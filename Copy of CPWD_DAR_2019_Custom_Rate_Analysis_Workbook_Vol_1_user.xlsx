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ROJECTS_PYTHON_CODEX\CPWD DAR_2019\"/>
    </mc:Choice>
  </mc:AlternateContent>
  <bookViews>
    <workbookView xWindow="0" yWindow="0" windowWidth="30720" windowHeight="12240" firstSheet="6" activeTab="7"/>
  </bookViews>
  <sheets>
    <sheet name="Vol_1_Cover" sheetId="1" r:id="rId1"/>
    <sheet name="Rates_Master" sheetId="2" r:id="rId2"/>
    <sheet name="Global_Factors" sheetId="3" r:id="rId3"/>
    <sheet name="Labour_Machinery_Productivity" sheetId="4" r:id="rId4"/>
    <sheet name="Sundries_Reference" sheetId="5" r:id="rId5"/>
    <sheet name="Resolved_Cross_Volume_Items" sheetId="6" r:id="rId6"/>
    <sheet name="01_Carriage_of_Materials" sheetId="7" r:id="rId7"/>
    <sheet name="02_Earth_Work" sheetId="8" r:id="rId8"/>
    <sheet name="03_Mortars" sheetId="9" r:id="rId9"/>
    <sheet name="04_Concrete_Work" sheetId="10" r:id="rId10"/>
    <sheet name="05_RCC_Work" sheetId="11" r:id="rId11"/>
    <sheet name="06_Masonry_Work" sheetId="12" r:id="rId12"/>
    <sheet name="07_Stone_Work" sheetId="13" r:id="rId13"/>
    <sheet name="08_Cladding_Work" sheetId="14" r:id="rId14"/>
    <sheet name="09_Wood_and_PVC_Work" sheetId="15" r:id="rId15"/>
    <sheet name="10_Steel_Work" sheetId="16" r:id="rId16"/>
    <sheet name="11_Flooring" sheetId="17" r:id="rId17"/>
    <sheet name="12_Roofing" sheetId="18" r:id="rId18"/>
  </sheets>
  <definedNames>
    <definedName name="CPWD_Carriage_Item_Codes">'01_Carriage_of_Materials'!$A$180:$A$216</definedName>
    <definedName name="CPWD_Carriage_Materials">'01_Carriage_of_Materials'!$B$180:$B$216</definedName>
    <definedName name="CPWD_Carriage_Net_Payable">'01_Carriage_of_Materials'!$D$180:$D$216</definedName>
    <definedName name="CPWD_Carriage_Scope">'01_Carriage_of_Materials'!$A$260:$A$265</definedName>
    <definedName name="CPWD_Carriage12_Materials">'01_Carriage_of_Materials'!$B$221:$B$255</definedName>
    <definedName name="CPWD_Carriage14_Items">'01_Carriage_of_Materials'!$A$269:$A$272</definedName>
    <definedName name="CPWD_Carriage14_Table">'01_Carriage_of_Materials'!$A$269:$M$272</definedName>
    <definedName name="CPWD_DataSheet1">'01_Carriage_of_Materials'!$A$146:$H$175</definedName>
    <definedName name="CPWD_Earth_Items">'02_Earth_Work'!$P$100:$P$148</definedName>
    <definedName name="Factor_Cess">Global_Factors!$F$15</definedName>
    <definedName name="Factor_CPOH">Global_Factors!$F$14</definedName>
    <definedName name="Factor_GST">Global_Factors!$F$13</definedName>
    <definedName name="Factor_Sundries">Global_Factors!$F$16</definedName>
    <definedName name="Factor_Water">Global_Factors!$F$12</definedName>
    <definedName name="Master_Codes">Rates_Master!$A$2:$A$2142</definedName>
    <definedName name="Master_Rates_Table">Rates_Master!$A$2:$E$2142</definedName>
    <definedName name="Productivity_Summary">Labour_Machinery_Productivity!$A$6:$L$179</definedName>
    <definedName name="Productivity_Work_Types">Labour_Machinery_Productivity!$A$6:$A$179</definedName>
    <definedName name="Resolved_Cess_Factor">IF(Global_Factors!$E$15&lt;&gt;"",Global_Factors!$E$15,Global_Factors!$C$15)</definedName>
    <definedName name="Resolved_CPOH_Factor">IF(Global_Factors!$E$14&lt;&gt;"",Global_Factors!$E$14,Global_Factors!$C$14)</definedName>
    <definedName name="Resolved_GST_Factor">IF(Global_Factors!$E$13&lt;&gt;"",Global_Factors!$E$13,Global_Factors!$C$13)</definedName>
    <definedName name="Resolved_Water_Factor">IF(Global_Factors!$E$12&lt;&gt;"",Global_Factors!$E$12,Global_Factors!$C$12)</definedName>
    <definedName name="Table_5E_Master">'02_Earth_Work'!$P$100:$V$148</definedName>
    <definedName name="Table_5E_Resources">'02_Earth_Work'!$A$100:$O$277</definedName>
    <definedName name="Total_Active_Rates">COUNTA(Rates_Master!$A:$A)-1</definedName>
    <definedName name="Total_Labour_Norms">COUNTA(Labour_Machinery_Productivity!$C$183:$C$3206)</definedName>
    <definedName name="Total_Sundries_Norms">COUNTA(Sundries_Reference!$A:$A)-1</definedName>
    <definedName name="Total_Work_Type_Crews">ROWS(Labour_Machinery_Productivity!$A$6:$A$179)</definedName>
    <definedName name="XV_13_50_1">Resolved_Cross_Volume_Items!$G$66</definedName>
    <definedName name="XV_13_50_3">Resolved_Cross_Volume_Items!$G$86</definedName>
    <definedName name="XV_13_57_1">Resolved_Cross_Volume_Items!$G$107</definedName>
    <definedName name="XV_18_78">Resolved_Cross_Volume_Items!$G$126</definedName>
    <definedName name="XV_4_2_5">Resolved_Cross_Volume_Items!$G$44</definedName>
  </definedNames>
  <calcPr calcId="162913"/>
</workbook>
</file>

<file path=xl/calcChain.xml><?xml version="1.0" encoding="utf-8"?>
<calcChain xmlns="http://schemas.openxmlformats.org/spreadsheetml/2006/main">
  <c r="B69" i="18" l="1"/>
  <c r="B68" i="18"/>
  <c r="B67" i="18"/>
  <c r="G51" i="18"/>
  <c r="F51" i="18"/>
  <c r="D51" i="18"/>
  <c r="C51" i="18"/>
  <c r="G50" i="18"/>
  <c r="F50" i="18"/>
  <c r="D50" i="18"/>
  <c r="C50" i="18"/>
  <c r="G49" i="18"/>
  <c r="F49" i="18"/>
  <c r="D49" i="18"/>
  <c r="C49" i="18"/>
  <c r="G48" i="18"/>
  <c r="F48" i="18"/>
  <c r="D48" i="18"/>
  <c r="C48" i="18"/>
  <c r="G47" i="18"/>
  <c r="F47" i="18"/>
  <c r="D47" i="18"/>
  <c r="C47" i="18"/>
  <c r="G46" i="18"/>
  <c r="F46" i="18"/>
  <c r="D46" i="18"/>
  <c r="C46" i="18"/>
  <c r="G45" i="18"/>
  <c r="F45" i="18"/>
  <c r="D45" i="18"/>
  <c r="C45" i="18"/>
  <c r="G44" i="18"/>
  <c r="F44" i="18"/>
  <c r="D44" i="18"/>
  <c r="C44" i="18"/>
  <c r="F43" i="18"/>
  <c r="G43" i="18" s="1"/>
  <c r="D43" i="18"/>
  <c r="C43" i="18"/>
  <c r="F42" i="18"/>
  <c r="G42" i="18" s="1"/>
  <c r="D42" i="18"/>
  <c r="C42" i="18"/>
  <c r="G39" i="18"/>
  <c r="G37" i="18"/>
  <c r="F37" i="18"/>
  <c r="D37" i="18"/>
  <c r="C37" i="18"/>
  <c r="G36" i="18"/>
  <c r="F36" i="18"/>
  <c r="D36" i="18"/>
  <c r="C36" i="18"/>
  <c r="G35" i="18"/>
  <c r="F35" i="18"/>
  <c r="D35" i="18"/>
  <c r="C35" i="18"/>
  <c r="G34" i="18"/>
  <c r="F34" i="18"/>
  <c r="D34" i="18"/>
  <c r="C34" i="18"/>
  <c r="G33" i="18"/>
  <c r="F33" i="18"/>
  <c r="D33" i="18"/>
  <c r="C33" i="18"/>
  <c r="F32" i="18"/>
  <c r="G32" i="18" s="1"/>
  <c r="D32" i="18"/>
  <c r="C32" i="18"/>
  <c r="F31" i="18"/>
  <c r="G31" i="18" s="1"/>
  <c r="D31" i="18"/>
  <c r="C31" i="18"/>
  <c r="G30" i="18"/>
  <c r="F30" i="18"/>
  <c r="D30" i="18"/>
  <c r="C30" i="18"/>
  <c r="F29" i="18"/>
  <c r="G29" i="18" s="1"/>
  <c r="D29" i="18"/>
  <c r="C29" i="18"/>
  <c r="F28" i="18"/>
  <c r="G28" i="18" s="1"/>
  <c r="D28" i="18"/>
  <c r="C28" i="18"/>
  <c r="I25" i="18"/>
  <c r="D25" i="18"/>
  <c r="B17" i="18"/>
  <c r="B69" i="17"/>
  <c r="B68" i="17"/>
  <c r="B67" i="17"/>
  <c r="G51" i="17"/>
  <c r="F51" i="17"/>
  <c r="D51" i="17"/>
  <c r="C51" i="17"/>
  <c r="G50" i="17"/>
  <c r="F50" i="17"/>
  <c r="D50" i="17"/>
  <c r="C50" i="17"/>
  <c r="G49" i="17"/>
  <c r="F49" i="17"/>
  <c r="D49" i="17"/>
  <c r="C49" i="17"/>
  <c r="G48" i="17"/>
  <c r="F48" i="17"/>
  <c r="D48" i="17"/>
  <c r="C48" i="17"/>
  <c r="G47" i="17"/>
  <c r="F47" i="17"/>
  <c r="D47" i="17"/>
  <c r="C47" i="17"/>
  <c r="G46" i="17"/>
  <c r="F46" i="17"/>
  <c r="D46" i="17"/>
  <c r="C46" i="17"/>
  <c r="G45" i="17"/>
  <c r="F45" i="17"/>
  <c r="D45" i="17"/>
  <c r="C45" i="17"/>
  <c r="F44" i="17"/>
  <c r="G44" i="17" s="1"/>
  <c r="G52" i="17" s="1"/>
  <c r="D44" i="17"/>
  <c r="C44" i="17"/>
  <c r="G43" i="17"/>
  <c r="F43" i="17"/>
  <c r="D43" i="17"/>
  <c r="C43" i="17"/>
  <c r="G42" i="17"/>
  <c r="F42" i="17"/>
  <c r="D42" i="17"/>
  <c r="C42" i="17"/>
  <c r="G39" i="17"/>
  <c r="I25" i="17" s="1"/>
  <c r="G37" i="17"/>
  <c r="F37" i="17"/>
  <c r="D37" i="17"/>
  <c r="C37" i="17"/>
  <c r="G36" i="17"/>
  <c r="F36" i="17"/>
  <c r="D36" i="17"/>
  <c r="C36" i="17"/>
  <c r="G35" i="17"/>
  <c r="F35" i="17"/>
  <c r="D35" i="17"/>
  <c r="C35" i="17"/>
  <c r="G34" i="17"/>
  <c r="F34" i="17"/>
  <c r="D34" i="17"/>
  <c r="C34" i="17"/>
  <c r="G33" i="17"/>
  <c r="F33" i="17"/>
  <c r="D33" i="17"/>
  <c r="C33" i="17"/>
  <c r="G32" i="17"/>
  <c r="F32" i="17"/>
  <c r="D32" i="17"/>
  <c r="C32" i="17"/>
  <c r="G31" i="17"/>
  <c r="F31" i="17"/>
  <c r="D31" i="17"/>
  <c r="C31" i="17"/>
  <c r="G29" i="17"/>
  <c r="F29" i="17"/>
  <c r="D29" i="17"/>
  <c r="C29" i="17"/>
  <c r="F28" i="17"/>
  <c r="G28" i="17" s="1"/>
  <c r="D28" i="17"/>
  <c r="C28" i="17"/>
  <c r="D25" i="17"/>
  <c r="B17" i="17"/>
  <c r="B69" i="16"/>
  <c r="B68" i="16"/>
  <c r="B67" i="16"/>
  <c r="G51" i="16"/>
  <c r="F51" i="16"/>
  <c r="D51" i="16"/>
  <c r="C51" i="16"/>
  <c r="G50" i="16"/>
  <c r="F50" i="16"/>
  <c r="D50" i="16"/>
  <c r="C50" i="16"/>
  <c r="G49" i="16"/>
  <c r="F49" i="16"/>
  <c r="D49" i="16"/>
  <c r="C49" i="16"/>
  <c r="G48" i="16"/>
  <c r="F48" i="16"/>
  <c r="D48" i="16"/>
  <c r="C48" i="16"/>
  <c r="G47" i="16"/>
  <c r="F47" i="16"/>
  <c r="D47" i="16"/>
  <c r="C47" i="16"/>
  <c r="G46" i="16"/>
  <c r="F46" i="16"/>
  <c r="D46" i="16"/>
  <c r="C46" i="16"/>
  <c r="G45" i="16"/>
  <c r="F45" i="16"/>
  <c r="D45" i="16"/>
  <c r="C45" i="16"/>
  <c r="G44" i="16"/>
  <c r="F44" i="16"/>
  <c r="D44" i="16"/>
  <c r="C44" i="16"/>
  <c r="G43" i="16"/>
  <c r="F43" i="16"/>
  <c r="D43" i="16"/>
  <c r="C43" i="16"/>
  <c r="F42" i="16"/>
  <c r="G42" i="16" s="1"/>
  <c r="D42" i="16"/>
  <c r="C42" i="16"/>
  <c r="G37" i="16"/>
  <c r="F37" i="16"/>
  <c r="D37" i="16"/>
  <c r="C37" i="16"/>
  <c r="G36" i="16"/>
  <c r="F36" i="16"/>
  <c r="D36" i="16"/>
  <c r="C36" i="16"/>
  <c r="G35" i="16"/>
  <c r="F35" i="16"/>
  <c r="D35" i="16"/>
  <c r="C35" i="16"/>
  <c r="G34" i="16"/>
  <c r="F34" i="16"/>
  <c r="D34" i="16"/>
  <c r="C34" i="16"/>
  <c r="G33" i="16"/>
  <c r="F33" i="16"/>
  <c r="D33" i="16"/>
  <c r="C33" i="16"/>
  <c r="G32" i="16"/>
  <c r="F32" i="16"/>
  <c r="D32" i="16"/>
  <c r="C32" i="16"/>
  <c r="G31" i="16"/>
  <c r="F31" i="16"/>
  <c r="D31" i="16"/>
  <c r="C31" i="16"/>
  <c r="F29" i="16"/>
  <c r="G29" i="16" s="1"/>
  <c r="D29" i="16"/>
  <c r="C29" i="16"/>
  <c r="G28" i="16"/>
  <c r="F28" i="16"/>
  <c r="D28" i="16"/>
  <c r="C28" i="16"/>
  <c r="D25" i="16"/>
  <c r="B17" i="16"/>
  <c r="B69" i="15"/>
  <c r="B68" i="15"/>
  <c r="B67" i="15"/>
  <c r="G51" i="15"/>
  <c r="F51" i="15"/>
  <c r="D51" i="15"/>
  <c r="C51" i="15"/>
  <c r="G50" i="15"/>
  <c r="F50" i="15"/>
  <c r="D50" i="15"/>
  <c r="C50" i="15"/>
  <c r="G49" i="15"/>
  <c r="F49" i="15"/>
  <c r="D49" i="15"/>
  <c r="C49" i="15"/>
  <c r="G48" i="15"/>
  <c r="F48" i="15"/>
  <c r="D48" i="15"/>
  <c r="C48" i="15"/>
  <c r="G47" i="15"/>
  <c r="F47" i="15"/>
  <c r="D47" i="15"/>
  <c r="C47" i="15"/>
  <c r="G46" i="15"/>
  <c r="F46" i="15"/>
  <c r="D46" i="15"/>
  <c r="C46" i="15"/>
  <c r="G45" i="15"/>
  <c r="F45" i="15"/>
  <c r="D45" i="15"/>
  <c r="C45" i="15"/>
  <c r="G44" i="15"/>
  <c r="F44" i="15"/>
  <c r="D44" i="15"/>
  <c r="C44" i="15"/>
  <c r="G43" i="15"/>
  <c r="F43" i="15"/>
  <c r="D43" i="15"/>
  <c r="C43" i="15"/>
  <c r="F42" i="15"/>
  <c r="G42" i="15" s="1"/>
  <c r="G52" i="15" s="1"/>
  <c r="D42" i="15"/>
  <c r="C42" i="15"/>
  <c r="G37" i="15"/>
  <c r="F37" i="15"/>
  <c r="D37" i="15"/>
  <c r="C37" i="15"/>
  <c r="G36" i="15"/>
  <c r="F36" i="15"/>
  <c r="D36" i="15"/>
  <c r="C36" i="15"/>
  <c r="G35" i="15"/>
  <c r="F35" i="15"/>
  <c r="D35" i="15"/>
  <c r="C35" i="15"/>
  <c r="G34" i="15"/>
  <c r="F34" i="15"/>
  <c r="D34" i="15"/>
  <c r="C34" i="15"/>
  <c r="G33" i="15"/>
  <c r="F33" i="15"/>
  <c r="D33" i="15"/>
  <c r="C33" i="15"/>
  <c r="G32" i="15"/>
  <c r="F32" i="15"/>
  <c r="D32" i="15"/>
  <c r="C32" i="15"/>
  <c r="F29" i="15"/>
  <c r="G29" i="15" s="1"/>
  <c r="D29" i="15"/>
  <c r="C29" i="15"/>
  <c r="G28" i="15"/>
  <c r="F28" i="15"/>
  <c r="D28" i="15"/>
  <c r="C28" i="15"/>
  <c r="D25" i="15"/>
  <c r="B17" i="15"/>
  <c r="B69" i="14"/>
  <c r="B68" i="14"/>
  <c r="B67" i="14"/>
  <c r="G51" i="14"/>
  <c r="F51" i="14"/>
  <c r="D51" i="14"/>
  <c r="C51" i="14"/>
  <c r="G50" i="14"/>
  <c r="F50" i="14"/>
  <c r="D50" i="14"/>
  <c r="C50" i="14"/>
  <c r="G49" i="14"/>
  <c r="F49" i="14"/>
  <c r="D49" i="14"/>
  <c r="C49" i="14"/>
  <c r="G48" i="14"/>
  <c r="F48" i="14"/>
  <c r="D48" i="14"/>
  <c r="C48" i="14"/>
  <c r="G47" i="14"/>
  <c r="F47" i="14"/>
  <c r="D47" i="14"/>
  <c r="C47" i="14"/>
  <c r="G46" i="14"/>
  <c r="F46" i="14"/>
  <c r="D46" i="14"/>
  <c r="C46" i="14"/>
  <c r="G45" i="14"/>
  <c r="F45" i="14"/>
  <c r="D45" i="14"/>
  <c r="C45" i="14"/>
  <c r="G44" i="14"/>
  <c r="F44" i="14"/>
  <c r="D44" i="14"/>
  <c r="C44" i="14"/>
  <c r="F43" i="14"/>
  <c r="G43" i="14" s="1"/>
  <c r="D43" i="14"/>
  <c r="C43" i="14"/>
  <c r="G42" i="14"/>
  <c r="F42" i="14"/>
  <c r="D42" i="14"/>
  <c r="C42" i="14"/>
  <c r="G37" i="14"/>
  <c r="F37" i="14"/>
  <c r="D37" i="14"/>
  <c r="C37" i="14"/>
  <c r="G36" i="14"/>
  <c r="F36" i="14"/>
  <c r="D36" i="14"/>
  <c r="C36" i="14"/>
  <c r="G35" i="14"/>
  <c r="F35" i="14"/>
  <c r="D35" i="14"/>
  <c r="C35" i="14"/>
  <c r="G34" i="14"/>
  <c r="F34" i="14"/>
  <c r="D34" i="14"/>
  <c r="C34" i="14"/>
  <c r="G33" i="14"/>
  <c r="F33" i="14"/>
  <c r="D33" i="14"/>
  <c r="C33" i="14"/>
  <c r="G31" i="14"/>
  <c r="F31" i="14"/>
  <c r="F29" i="14"/>
  <c r="G29" i="14" s="1"/>
  <c r="D29" i="14"/>
  <c r="C29" i="14"/>
  <c r="G28" i="14"/>
  <c r="F28" i="14"/>
  <c r="D28" i="14"/>
  <c r="C28" i="14"/>
  <c r="D25" i="14"/>
  <c r="B17" i="14"/>
  <c r="B69" i="13"/>
  <c r="B68" i="13"/>
  <c r="B67" i="13"/>
  <c r="G51" i="13"/>
  <c r="F51" i="13"/>
  <c r="D51" i="13"/>
  <c r="C51" i="13"/>
  <c r="G50" i="13"/>
  <c r="F50" i="13"/>
  <c r="D50" i="13"/>
  <c r="C50" i="13"/>
  <c r="G49" i="13"/>
  <c r="F49" i="13"/>
  <c r="D49" i="13"/>
  <c r="C49" i="13"/>
  <c r="G48" i="13"/>
  <c r="F48" i="13"/>
  <c r="D48" i="13"/>
  <c r="C48" i="13"/>
  <c r="G47" i="13"/>
  <c r="F47" i="13"/>
  <c r="D47" i="13"/>
  <c r="C47" i="13"/>
  <c r="G46" i="13"/>
  <c r="F46" i="13"/>
  <c r="D46" i="13"/>
  <c r="C46" i="13"/>
  <c r="G45" i="13"/>
  <c r="F45" i="13"/>
  <c r="D45" i="13"/>
  <c r="C45" i="13"/>
  <c r="F44" i="13"/>
  <c r="G44" i="13" s="1"/>
  <c r="D44" i="13"/>
  <c r="C44" i="13"/>
  <c r="G43" i="13"/>
  <c r="F43" i="13"/>
  <c r="D43" i="13"/>
  <c r="C43" i="13"/>
  <c r="F42" i="13"/>
  <c r="G42" i="13" s="1"/>
  <c r="G52" i="13" s="1"/>
  <c r="D42" i="13"/>
  <c r="C42" i="13"/>
  <c r="G39" i="13"/>
  <c r="I25" i="13" s="1"/>
  <c r="G37" i="13"/>
  <c r="F37" i="13"/>
  <c r="D37" i="13"/>
  <c r="C37" i="13"/>
  <c r="G36" i="13"/>
  <c r="F36" i="13"/>
  <c r="D36" i="13"/>
  <c r="C36" i="13"/>
  <c r="G35" i="13"/>
  <c r="F35" i="13"/>
  <c r="D35" i="13"/>
  <c r="C35" i="13"/>
  <c r="G34" i="13"/>
  <c r="F34" i="13"/>
  <c r="D34" i="13"/>
  <c r="C34" i="13"/>
  <c r="G33" i="13"/>
  <c r="F33" i="13"/>
  <c r="D33" i="13"/>
  <c r="C33" i="13"/>
  <c r="G32" i="13"/>
  <c r="F32" i="13"/>
  <c r="D32" i="13"/>
  <c r="C32" i="13"/>
  <c r="F30" i="13"/>
  <c r="G30" i="13" s="1"/>
  <c r="D30" i="13"/>
  <c r="C30" i="13"/>
  <c r="F29" i="13"/>
  <c r="G29" i="13" s="1"/>
  <c r="D29" i="13"/>
  <c r="C29" i="13"/>
  <c r="F28" i="13"/>
  <c r="G28" i="13" s="1"/>
  <c r="D28" i="13"/>
  <c r="C28" i="13"/>
  <c r="D25" i="13"/>
  <c r="B17" i="13"/>
  <c r="B69" i="12"/>
  <c r="B68" i="12"/>
  <c r="B67" i="12"/>
  <c r="G51" i="12"/>
  <c r="F51" i="12"/>
  <c r="D51" i="12"/>
  <c r="C51" i="12"/>
  <c r="G50" i="12"/>
  <c r="F50" i="12"/>
  <c r="D50" i="12"/>
  <c r="C50" i="12"/>
  <c r="G49" i="12"/>
  <c r="F49" i="12"/>
  <c r="D49" i="12"/>
  <c r="C49" i="12"/>
  <c r="G48" i="12"/>
  <c r="F48" i="12"/>
  <c r="D48" i="12"/>
  <c r="C48" i="12"/>
  <c r="G47" i="12"/>
  <c r="F47" i="12"/>
  <c r="D47" i="12"/>
  <c r="C47" i="12"/>
  <c r="G46" i="12"/>
  <c r="F46" i="12"/>
  <c r="D46" i="12"/>
  <c r="C46" i="12"/>
  <c r="F45" i="12"/>
  <c r="G45" i="12" s="1"/>
  <c r="D45" i="12"/>
  <c r="C45" i="12"/>
  <c r="G44" i="12"/>
  <c r="F44" i="12"/>
  <c r="D44" i="12"/>
  <c r="C44" i="12"/>
  <c r="G43" i="12"/>
  <c r="F43" i="12"/>
  <c r="D43" i="12"/>
  <c r="C43" i="12"/>
  <c r="F42" i="12"/>
  <c r="G42" i="12" s="1"/>
  <c r="D42" i="12"/>
  <c r="C42" i="12"/>
  <c r="G39" i="12"/>
  <c r="G37" i="12"/>
  <c r="F37" i="12"/>
  <c r="D37" i="12"/>
  <c r="C37" i="12"/>
  <c r="G36" i="12"/>
  <c r="F36" i="12"/>
  <c r="D36" i="12"/>
  <c r="C36" i="12"/>
  <c r="G35" i="12"/>
  <c r="F35" i="12"/>
  <c r="D35" i="12"/>
  <c r="C35" i="12"/>
  <c r="G34" i="12"/>
  <c r="F34" i="12"/>
  <c r="D34" i="12"/>
  <c r="C34" i="12"/>
  <c r="G33" i="12"/>
  <c r="F33" i="12"/>
  <c r="D33" i="12"/>
  <c r="C33" i="12"/>
  <c r="G32" i="12"/>
  <c r="F32" i="12"/>
  <c r="D32" i="12"/>
  <c r="C32" i="12"/>
  <c r="G31" i="12"/>
  <c r="F31" i="12"/>
  <c r="D31" i="12"/>
  <c r="C31" i="12"/>
  <c r="F29" i="12"/>
  <c r="G29" i="12" s="1"/>
  <c r="D29" i="12"/>
  <c r="C29" i="12"/>
  <c r="G28" i="12"/>
  <c r="F28" i="12"/>
  <c r="D28" i="12"/>
  <c r="C28" i="12"/>
  <c r="I25" i="12"/>
  <c r="D25" i="12"/>
  <c r="B17" i="12"/>
  <c r="B69" i="11"/>
  <c r="B68" i="11"/>
  <c r="B67" i="11"/>
  <c r="G51" i="11"/>
  <c r="F51" i="11"/>
  <c r="D51" i="11"/>
  <c r="C51" i="11"/>
  <c r="G50" i="11"/>
  <c r="F50" i="11"/>
  <c r="D50" i="11"/>
  <c r="C50" i="11"/>
  <c r="G49" i="11"/>
  <c r="F49" i="11"/>
  <c r="D49" i="11"/>
  <c r="C49" i="11"/>
  <c r="G48" i="11"/>
  <c r="F48" i="11"/>
  <c r="D48" i="11"/>
  <c r="C48" i="11"/>
  <c r="G47" i="11"/>
  <c r="F47" i="11"/>
  <c r="D47" i="11"/>
  <c r="C47" i="11"/>
  <c r="F46" i="11"/>
  <c r="G46" i="11" s="1"/>
  <c r="D46" i="11"/>
  <c r="C46" i="11"/>
  <c r="G45" i="11"/>
  <c r="F45" i="11"/>
  <c r="D45" i="11"/>
  <c r="C45" i="11"/>
  <c r="F44" i="11"/>
  <c r="G44" i="11" s="1"/>
  <c r="G52" i="11" s="1"/>
  <c r="D44" i="11"/>
  <c r="C44" i="11"/>
  <c r="F43" i="11"/>
  <c r="G43" i="11" s="1"/>
  <c r="D43" i="11"/>
  <c r="C43" i="11"/>
  <c r="G42" i="11"/>
  <c r="F42" i="11"/>
  <c r="D42" i="11"/>
  <c r="C42" i="11"/>
  <c r="G39" i="11"/>
  <c r="G37" i="11"/>
  <c r="F37" i="11"/>
  <c r="D37" i="11"/>
  <c r="C37" i="11"/>
  <c r="G36" i="11"/>
  <c r="F36" i="11"/>
  <c r="D36" i="11"/>
  <c r="C36" i="11"/>
  <c r="G35" i="11"/>
  <c r="F35" i="11"/>
  <c r="D35" i="11"/>
  <c r="C35" i="11"/>
  <c r="F34" i="11"/>
  <c r="G34" i="11" s="1"/>
  <c r="D34" i="11"/>
  <c r="C34" i="11"/>
  <c r="F33" i="11"/>
  <c r="G33" i="11" s="1"/>
  <c r="D33" i="11"/>
  <c r="C33" i="11"/>
  <c r="F32" i="11"/>
  <c r="G32" i="11" s="1"/>
  <c r="D32" i="11"/>
  <c r="C32" i="11"/>
  <c r="F31" i="11"/>
  <c r="G31" i="11" s="1"/>
  <c r="D31" i="11"/>
  <c r="C31" i="11"/>
  <c r="F30" i="11"/>
  <c r="G30" i="11" s="1"/>
  <c r="D30" i="11"/>
  <c r="C30" i="11"/>
  <c r="F29" i="11"/>
  <c r="G29" i="11" s="1"/>
  <c r="D29" i="11"/>
  <c r="C29" i="11"/>
  <c r="F28" i="11"/>
  <c r="G28" i="11" s="1"/>
  <c r="G38" i="11" s="1"/>
  <c r="D28" i="11"/>
  <c r="C28" i="11"/>
  <c r="I25" i="11"/>
  <c r="D25" i="11"/>
  <c r="B17" i="11"/>
  <c r="B69" i="10"/>
  <c r="B68" i="10"/>
  <c r="B67" i="10"/>
  <c r="G51" i="10"/>
  <c r="F51" i="10"/>
  <c r="D51" i="10"/>
  <c r="C51" i="10"/>
  <c r="G50" i="10"/>
  <c r="F50" i="10"/>
  <c r="D50" i="10"/>
  <c r="C50" i="10"/>
  <c r="G49" i="10"/>
  <c r="F49" i="10"/>
  <c r="D49" i="10"/>
  <c r="C49" i="10"/>
  <c r="G48" i="10"/>
  <c r="F48" i="10"/>
  <c r="D48" i="10"/>
  <c r="C48" i="10"/>
  <c r="G47" i="10"/>
  <c r="F47" i="10"/>
  <c r="D47" i="10"/>
  <c r="C47" i="10"/>
  <c r="G46" i="10"/>
  <c r="F46" i="10"/>
  <c r="D46" i="10"/>
  <c r="C46" i="10"/>
  <c r="G45" i="10"/>
  <c r="F45" i="10"/>
  <c r="D45" i="10"/>
  <c r="C45" i="10"/>
  <c r="F44" i="10"/>
  <c r="G44" i="10" s="1"/>
  <c r="D44" i="10"/>
  <c r="C44" i="10"/>
  <c r="G43" i="10"/>
  <c r="F43" i="10"/>
  <c r="D43" i="10"/>
  <c r="C43" i="10"/>
  <c r="G42" i="10"/>
  <c r="G52" i="10" s="1"/>
  <c r="F42" i="10"/>
  <c r="D42" i="10"/>
  <c r="C42" i="10"/>
  <c r="G39" i="10"/>
  <c r="G37" i="10"/>
  <c r="F37" i="10"/>
  <c r="D37" i="10"/>
  <c r="C37" i="10"/>
  <c r="G36" i="10"/>
  <c r="F36" i="10"/>
  <c r="D36" i="10"/>
  <c r="C36" i="10"/>
  <c r="G35" i="10"/>
  <c r="F35" i="10"/>
  <c r="D35" i="10"/>
  <c r="C35" i="10"/>
  <c r="G34" i="10"/>
  <c r="F34" i="10"/>
  <c r="D34" i="10"/>
  <c r="C34" i="10"/>
  <c r="F33" i="10"/>
  <c r="G33" i="10" s="1"/>
  <c r="D33" i="10"/>
  <c r="C33" i="10"/>
  <c r="G32" i="10"/>
  <c r="F32" i="10"/>
  <c r="D32" i="10"/>
  <c r="C32" i="10"/>
  <c r="G31" i="10"/>
  <c r="F31" i="10"/>
  <c r="D31" i="10"/>
  <c r="C31" i="10"/>
  <c r="F30" i="10"/>
  <c r="G30" i="10" s="1"/>
  <c r="D30" i="10"/>
  <c r="C30" i="10"/>
  <c r="G29" i="10"/>
  <c r="F29" i="10"/>
  <c r="D29" i="10"/>
  <c r="C29" i="10"/>
  <c r="G28" i="10"/>
  <c r="G38" i="10" s="1"/>
  <c r="F28" i="10"/>
  <c r="D28" i="10"/>
  <c r="C28" i="10"/>
  <c r="I25" i="10"/>
  <c r="D25" i="10"/>
  <c r="B17" i="10"/>
  <c r="B69" i="9"/>
  <c r="B68" i="9"/>
  <c r="B67" i="9"/>
  <c r="G66" i="9"/>
  <c r="G64" i="9"/>
  <c r="G62" i="9"/>
  <c r="G60" i="9"/>
  <c r="G51" i="9"/>
  <c r="F51" i="9"/>
  <c r="D51" i="9"/>
  <c r="C51" i="9"/>
  <c r="G50" i="9"/>
  <c r="F50" i="9"/>
  <c r="D50" i="9"/>
  <c r="C50" i="9"/>
  <c r="G49" i="9"/>
  <c r="F49" i="9"/>
  <c r="D49" i="9"/>
  <c r="C49" i="9"/>
  <c r="G48" i="9"/>
  <c r="F48" i="9"/>
  <c r="D48" i="9"/>
  <c r="C48" i="9"/>
  <c r="G47" i="9"/>
  <c r="F47" i="9"/>
  <c r="D47" i="9"/>
  <c r="C47" i="9"/>
  <c r="G46" i="9"/>
  <c r="F46" i="9"/>
  <c r="D46" i="9"/>
  <c r="C46" i="9"/>
  <c r="G45" i="9"/>
  <c r="F45" i="9"/>
  <c r="D45" i="9"/>
  <c r="C45" i="9"/>
  <c r="G44" i="9"/>
  <c r="F44" i="9"/>
  <c r="D44" i="9"/>
  <c r="C44" i="9"/>
  <c r="G43" i="9"/>
  <c r="F43" i="9"/>
  <c r="D43" i="9"/>
  <c r="C43" i="9"/>
  <c r="G42" i="9"/>
  <c r="G52" i="9" s="1"/>
  <c r="F42" i="9"/>
  <c r="D42" i="9"/>
  <c r="C42" i="9"/>
  <c r="G39" i="9"/>
  <c r="G37" i="9"/>
  <c r="F37" i="9"/>
  <c r="D37" i="9"/>
  <c r="C37" i="9"/>
  <c r="G36" i="9"/>
  <c r="F36" i="9"/>
  <c r="D36" i="9"/>
  <c r="C36" i="9"/>
  <c r="G35" i="9"/>
  <c r="F35" i="9"/>
  <c r="D35" i="9"/>
  <c r="C35" i="9"/>
  <c r="G34" i="9"/>
  <c r="F34" i="9"/>
  <c r="D34" i="9"/>
  <c r="C34" i="9"/>
  <c r="G33" i="9"/>
  <c r="F33" i="9"/>
  <c r="D33" i="9"/>
  <c r="C33" i="9"/>
  <c r="G32" i="9"/>
  <c r="F32" i="9"/>
  <c r="D32" i="9"/>
  <c r="C32" i="9"/>
  <c r="G31" i="9"/>
  <c r="F31" i="9"/>
  <c r="D31" i="9"/>
  <c r="C31" i="9"/>
  <c r="F30" i="9"/>
  <c r="G30" i="9" s="1"/>
  <c r="D30" i="9"/>
  <c r="C30" i="9"/>
  <c r="G29" i="9"/>
  <c r="F29" i="9"/>
  <c r="D29" i="9"/>
  <c r="C29" i="9"/>
  <c r="F28" i="9"/>
  <c r="G28" i="9" s="1"/>
  <c r="G38" i="9" s="1"/>
  <c r="D28" i="9"/>
  <c r="C28" i="9"/>
  <c r="I25" i="9"/>
  <c r="D25" i="9"/>
  <c r="B17" i="9"/>
  <c r="I89" i="8"/>
  <c r="K89" i="8" s="1"/>
  <c r="L89" i="8" s="1"/>
  <c r="N89" i="8" s="1"/>
  <c r="K88" i="8"/>
  <c r="L88" i="8" s="1"/>
  <c r="N88" i="8" s="1"/>
  <c r="I88" i="8"/>
  <c r="M88" i="8" s="1"/>
  <c r="M87" i="8"/>
  <c r="K87" i="8"/>
  <c r="L87" i="8" s="1"/>
  <c r="N87" i="8" s="1"/>
  <c r="I87" i="8"/>
  <c r="I86" i="8"/>
  <c r="K86" i="8" s="1"/>
  <c r="L86" i="8" s="1"/>
  <c r="N86" i="8" s="1"/>
  <c r="N85" i="8"/>
  <c r="M85" i="8"/>
  <c r="L85" i="8"/>
  <c r="K85" i="8"/>
  <c r="I85" i="8"/>
  <c r="M84" i="8"/>
  <c r="K84" i="8"/>
  <c r="L84" i="8" s="1"/>
  <c r="N84" i="8" s="1"/>
  <c r="I84" i="8"/>
  <c r="L83" i="8"/>
  <c r="N83" i="8" s="1"/>
  <c r="K83" i="8"/>
  <c r="I83" i="8"/>
  <c r="M83" i="8" s="1"/>
  <c r="I82" i="8"/>
  <c r="N81" i="8"/>
  <c r="M81" i="8"/>
  <c r="K81" i="8"/>
  <c r="L81" i="8" s="1"/>
  <c r="I81" i="8"/>
  <c r="M80" i="8"/>
  <c r="L80" i="8"/>
  <c r="N80" i="8" s="1"/>
  <c r="I80" i="8"/>
  <c r="K80" i="8" s="1"/>
  <c r="M79" i="8"/>
  <c r="K79" i="8"/>
  <c r="L79" i="8" s="1"/>
  <c r="N79" i="8" s="1"/>
  <c r="I79" i="8"/>
  <c r="I78" i="8"/>
  <c r="M77" i="8"/>
  <c r="K77" i="8"/>
  <c r="L77" i="8" s="1"/>
  <c r="N77" i="8" s="1"/>
  <c r="I77" i="8"/>
  <c r="L76" i="8"/>
  <c r="N76" i="8" s="1"/>
  <c r="K76" i="8"/>
  <c r="I76" i="8"/>
  <c r="M76" i="8" s="1"/>
  <c r="I75" i="8"/>
  <c r="N74" i="8"/>
  <c r="M74" i="8"/>
  <c r="L74" i="8"/>
  <c r="I74" i="8"/>
  <c r="K74" i="8" s="1"/>
  <c r="M73" i="8"/>
  <c r="L73" i="8"/>
  <c r="N73" i="8" s="1"/>
  <c r="K73" i="8"/>
  <c r="I73" i="8"/>
  <c r="L72" i="8"/>
  <c r="N72" i="8" s="1"/>
  <c r="K72" i="8"/>
  <c r="I72" i="8"/>
  <c r="M72" i="8" s="1"/>
  <c r="I71" i="8"/>
  <c r="K70" i="8"/>
  <c r="L70" i="8" s="1"/>
  <c r="N70" i="8" s="1"/>
  <c r="I70" i="8"/>
  <c r="M70" i="8" s="1"/>
  <c r="M69" i="8"/>
  <c r="K69" i="8"/>
  <c r="L69" i="8" s="1"/>
  <c r="N69" i="8" s="1"/>
  <c r="I69" i="8"/>
  <c r="I68" i="8"/>
  <c r="N67" i="8"/>
  <c r="M67" i="8"/>
  <c r="L67" i="8"/>
  <c r="K67" i="8"/>
  <c r="I67" i="8"/>
  <c r="N66" i="8"/>
  <c r="M66" i="8"/>
  <c r="K66" i="8"/>
  <c r="L66" i="8" s="1"/>
  <c r="I66" i="8"/>
  <c r="L65" i="8"/>
  <c r="N65" i="8" s="1"/>
  <c r="K65" i="8"/>
  <c r="I65" i="8"/>
  <c r="M65" i="8" s="1"/>
  <c r="I64" i="8"/>
  <c r="N63" i="8"/>
  <c r="M63" i="8"/>
  <c r="K63" i="8"/>
  <c r="L63" i="8" s="1"/>
  <c r="I63" i="8"/>
  <c r="G58" i="8"/>
  <c r="G57" i="8"/>
  <c r="G56" i="8"/>
  <c r="G55" i="8"/>
  <c r="G54" i="8"/>
  <c r="G52" i="8"/>
  <c r="G50" i="8"/>
  <c r="G48" i="8"/>
  <c r="G46" i="8"/>
  <c r="W40" i="8"/>
  <c r="U40" i="8"/>
  <c r="T40" i="8"/>
  <c r="S40" i="8"/>
  <c r="O40" i="8"/>
  <c r="N40" i="8"/>
  <c r="K40" i="8"/>
  <c r="H40" i="8"/>
  <c r="G40" i="8"/>
  <c r="F40" i="8"/>
  <c r="E40" i="8"/>
  <c r="C40" i="8"/>
  <c r="B40" i="8"/>
  <c r="K39" i="8"/>
  <c r="B39" i="8"/>
  <c r="O39" i="8" s="1"/>
  <c r="W38" i="8"/>
  <c r="V38" i="8"/>
  <c r="S38" i="8"/>
  <c r="R38" i="8"/>
  <c r="Q38" i="8"/>
  <c r="P38" i="8"/>
  <c r="O38" i="8"/>
  <c r="K38" i="8"/>
  <c r="I38" i="8"/>
  <c r="G38" i="8"/>
  <c r="F38" i="8"/>
  <c r="M38" i="8" s="1"/>
  <c r="E38" i="8"/>
  <c r="D38" i="8"/>
  <c r="C38" i="8"/>
  <c r="B38" i="8"/>
  <c r="U38" i="8" s="1"/>
  <c r="W37" i="8"/>
  <c r="V37" i="8"/>
  <c r="U37" i="8"/>
  <c r="Q37" i="8"/>
  <c r="P37" i="8"/>
  <c r="O37" i="8"/>
  <c r="K37" i="8"/>
  <c r="I37" i="8"/>
  <c r="E37" i="8"/>
  <c r="D37" i="8"/>
  <c r="C37" i="8"/>
  <c r="B37" i="8"/>
  <c r="S37" i="8" s="1"/>
  <c r="K36" i="8"/>
  <c r="B36" i="8"/>
  <c r="U36" i="8" s="1"/>
  <c r="W35" i="8"/>
  <c r="V35" i="8"/>
  <c r="U35" i="8"/>
  <c r="S35" i="8"/>
  <c r="R35" i="8"/>
  <c r="Q35" i="8"/>
  <c r="P35" i="8"/>
  <c r="O35" i="8"/>
  <c r="K35" i="8"/>
  <c r="I35" i="8"/>
  <c r="G35" i="8"/>
  <c r="F35" i="8"/>
  <c r="E35" i="8"/>
  <c r="D35" i="8"/>
  <c r="C35" i="8"/>
  <c r="B35" i="8"/>
  <c r="T35" i="8" s="1"/>
  <c r="W34" i="8"/>
  <c r="V34" i="8"/>
  <c r="U34" i="8"/>
  <c r="Q34" i="8"/>
  <c r="P34" i="8"/>
  <c r="O34" i="8"/>
  <c r="K34" i="8"/>
  <c r="I34" i="8"/>
  <c r="E34" i="8"/>
  <c r="D34" i="8"/>
  <c r="C34" i="8"/>
  <c r="B34" i="8"/>
  <c r="S34" i="8" s="1"/>
  <c r="O33" i="8"/>
  <c r="N33" i="8"/>
  <c r="K33" i="8"/>
  <c r="G33" i="8"/>
  <c r="C33" i="8"/>
  <c r="B33" i="8"/>
  <c r="W32" i="8"/>
  <c r="V32" i="8"/>
  <c r="U32" i="8"/>
  <c r="S32" i="8"/>
  <c r="R32" i="8"/>
  <c r="Q32" i="8"/>
  <c r="P32" i="8"/>
  <c r="O32" i="8"/>
  <c r="K32" i="8"/>
  <c r="I32" i="8"/>
  <c r="G32" i="8"/>
  <c r="F32" i="8"/>
  <c r="M32" i="8" s="1"/>
  <c r="E32" i="8"/>
  <c r="D32" i="8"/>
  <c r="C32" i="8"/>
  <c r="B32" i="8"/>
  <c r="T32" i="8" s="1"/>
  <c r="K31" i="8"/>
  <c r="B31" i="8"/>
  <c r="Q31" i="8" s="1"/>
  <c r="U30" i="8"/>
  <c r="R30" i="8"/>
  <c r="O30" i="8"/>
  <c r="N30" i="8"/>
  <c r="K30" i="8"/>
  <c r="I30" i="8"/>
  <c r="H30" i="8"/>
  <c r="G30" i="8"/>
  <c r="F30" i="8"/>
  <c r="L30" i="8" s="1"/>
  <c r="B30" i="8"/>
  <c r="W29" i="8"/>
  <c r="V29" i="8"/>
  <c r="S29" i="8"/>
  <c r="R29" i="8"/>
  <c r="Q29" i="8"/>
  <c r="P29" i="8"/>
  <c r="O29" i="8"/>
  <c r="L29" i="8"/>
  <c r="K29" i="8"/>
  <c r="I29" i="8"/>
  <c r="G29" i="8"/>
  <c r="F29" i="8"/>
  <c r="M29" i="8" s="1"/>
  <c r="E29" i="8"/>
  <c r="D29" i="8"/>
  <c r="C29" i="8"/>
  <c r="B29" i="8"/>
  <c r="U29" i="8" s="1"/>
  <c r="V28" i="8"/>
  <c r="U28" i="8"/>
  <c r="O28" i="8"/>
  <c r="N28" i="8"/>
  <c r="K28" i="8"/>
  <c r="G28" i="8"/>
  <c r="E28" i="8"/>
  <c r="B28" i="8"/>
  <c r="K27" i="8"/>
  <c r="B27" i="8"/>
  <c r="E23" i="8"/>
  <c r="S22" i="8"/>
  <c r="E22" i="8"/>
  <c r="S21" i="8"/>
  <c r="D21" i="8"/>
  <c r="S20" i="8"/>
  <c r="D20" i="8"/>
  <c r="S19" i="8"/>
  <c r="D19" i="8"/>
  <c r="E14" i="8"/>
  <c r="D14" i="8"/>
  <c r="D13" i="8"/>
  <c r="D11" i="8"/>
  <c r="D10" i="8"/>
  <c r="L32" i="8" s="1"/>
  <c r="N175" i="7"/>
  <c r="N174" i="7"/>
  <c r="N173" i="7"/>
  <c r="N172" i="7"/>
  <c r="N171" i="7"/>
  <c r="N170" i="7"/>
  <c r="N169" i="7"/>
  <c r="N168" i="7"/>
  <c r="N167" i="7"/>
  <c r="N166" i="7"/>
  <c r="N165" i="7"/>
  <c r="N164" i="7"/>
  <c r="N163" i="7"/>
  <c r="N162" i="7"/>
  <c r="N161" i="7"/>
  <c r="N160" i="7"/>
  <c r="N159" i="7"/>
  <c r="N158" i="7"/>
  <c r="N157" i="7"/>
  <c r="N156" i="7"/>
  <c r="N155" i="7"/>
  <c r="N154" i="7"/>
  <c r="N153" i="7"/>
  <c r="N152" i="7"/>
  <c r="N151" i="7"/>
  <c r="N150" i="7"/>
  <c r="N149" i="7"/>
  <c r="N148" i="7"/>
  <c r="N147" i="7"/>
  <c r="N146" i="7"/>
  <c r="B140" i="7"/>
  <c r="B133" i="7"/>
  <c r="B131" i="7"/>
  <c r="B129" i="7"/>
  <c r="B125" i="7"/>
  <c r="B122" i="7"/>
  <c r="B124" i="7" s="1"/>
  <c r="B121" i="7"/>
  <c r="B120" i="7"/>
  <c r="B119" i="7"/>
  <c r="B132" i="7" s="1"/>
  <c r="B134" i="7" s="1"/>
  <c r="B110" i="7"/>
  <c r="B111" i="7" s="1"/>
  <c r="B109" i="7"/>
  <c r="B103" i="7"/>
  <c r="B105" i="7" s="1"/>
  <c r="B102" i="7"/>
  <c r="B101" i="7"/>
  <c r="B100" i="7"/>
  <c r="E88" i="7"/>
  <c r="G83" i="7"/>
  <c r="G79" i="7"/>
  <c r="G77" i="7"/>
  <c r="G70" i="7"/>
  <c r="F70" i="7"/>
  <c r="D70" i="7"/>
  <c r="C70" i="7"/>
  <c r="G69" i="7"/>
  <c r="F69" i="7"/>
  <c r="D69" i="7"/>
  <c r="C69" i="7"/>
  <c r="G68" i="7"/>
  <c r="F68" i="7"/>
  <c r="D68" i="7"/>
  <c r="C68" i="7"/>
  <c r="G67" i="7"/>
  <c r="F67" i="7"/>
  <c r="D67" i="7"/>
  <c r="C67" i="7"/>
  <c r="F66" i="7"/>
  <c r="D66" i="7"/>
  <c r="C66" i="7"/>
  <c r="F65" i="7"/>
  <c r="D65" i="7"/>
  <c r="C65" i="7"/>
  <c r="F64" i="7"/>
  <c r="E64" i="7"/>
  <c r="G64" i="7" s="1"/>
  <c r="D64" i="7"/>
  <c r="C64" i="7"/>
  <c r="F63" i="7"/>
  <c r="G63" i="7" s="1"/>
  <c r="D63" i="7"/>
  <c r="C63" i="7"/>
  <c r="B50" i="7"/>
  <c r="G88" i="7" s="1"/>
  <c r="B35" i="7"/>
  <c r="B37" i="7" s="1"/>
  <c r="B42" i="7" s="1"/>
  <c r="B30" i="7"/>
  <c r="B16" i="7"/>
  <c r="B12" i="7"/>
  <c r="B15" i="7" s="1"/>
  <c r="G115" i="6"/>
  <c r="F115" i="6"/>
  <c r="D115" i="6"/>
  <c r="C115" i="6"/>
  <c r="G114" i="6"/>
  <c r="F114" i="6"/>
  <c r="D114" i="6"/>
  <c r="C114" i="6"/>
  <c r="F113" i="6"/>
  <c r="G113" i="6" s="1"/>
  <c r="D113" i="6"/>
  <c r="C113" i="6"/>
  <c r="G98" i="6"/>
  <c r="F93" i="6"/>
  <c r="G93" i="6" s="1"/>
  <c r="D93" i="6"/>
  <c r="C93" i="6"/>
  <c r="G92" i="6"/>
  <c r="F92" i="6"/>
  <c r="D92" i="6"/>
  <c r="C92" i="6"/>
  <c r="F91" i="6"/>
  <c r="G91" i="6" s="1"/>
  <c r="D91" i="6"/>
  <c r="C91" i="6"/>
  <c r="F84" i="6"/>
  <c r="G77" i="6"/>
  <c r="F73" i="6"/>
  <c r="G73" i="6" s="1"/>
  <c r="D73" i="6"/>
  <c r="C73" i="6"/>
  <c r="G72" i="6"/>
  <c r="F72" i="6"/>
  <c r="D72" i="6"/>
  <c r="C72" i="6"/>
  <c r="F71" i="6"/>
  <c r="G71" i="6" s="1"/>
  <c r="D71" i="6"/>
  <c r="C71" i="6"/>
  <c r="G57" i="6"/>
  <c r="F54" i="6"/>
  <c r="G54" i="6" s="1"/>
  <c r="F51" i="6"/>
  <c r="G51" i="6" s="1"/>
  <c r="D51" i="6"/>
  <c r="C51" i="6"/>
  <c r="F50" i="6"/>
  <c r="G50" i="6" s="1"/>
  <c r="D50" i="6"/>
  <c r="C50" i="6"/>
  <c r="G49" i="6"/>
  <c r="F49" i="6"/>
  <c r="D49" i="6"/>
  <c r="C49" i="6"/>
  <c r="F40" i="6"/>
  <c r="G35" i="6"/>
  <c r="F31" i="6"/>
  <c r="G31" i="6" s="1"/>
  <c r="D31" i="6"/>
  <c r="C31" i="6"/>
  <c r="F30" i="6"/>
  <c r="G30" i="6" s="1"/>
  <c r="D30" i="6"/>
  <c r="C30" i="6"/>
  <c r="G29" i="6"/>
  <c r="F29" i="6"/>
  <c r="D29" i="6"/>
  <c r="C29" i="6"/>
  <c r="F28" i="6"/>
  <c r="G28" i="6" s="1"/>
  <c r="D28" i="6"/>
  <c r="C28" i="6"/>
  <c r="F27" i="6"/>
  <c r="G27" i="6" s="1"/>
  <c r="D27" i="6"/>
  <c r="C27" i="6"/>
  <c r="G26" i="6"/>
  <c r="F26" i="6"/>
  <c r="D26" i="6"/>
  <c r="C26" i="6"/>
  <c r="F25" i="6"/>
  <c r="G25" i="6" s="1"/>
  <c r="D25" i="6"/>
  <c r="C25" i="6"/>
  <c r="F24" i="6"/>
  <c r="G24" i="6" s="1"/>
  <c r="D24" i="6"/>
  <c r="C24" i="6"/>
  <c r="G23" i="6"/>
  <c r="F23" i="6"/>
  <c r="D23" i="6"/>
  <c r="C23" i="6"/>
  <c r="F22" i="6"/>
  <c r="G22" i="6" s="1"/>
  <c r="D22" i="6"/>
  <c r="C22" i="6"/>
  <c r="F21" i="6"/>
  <c r="G21" i="6" s="1"/>
  <c r="D21" i="6"/>
  <c r="C21" i="6"/>
  <c r="G20" i="6"/>
  <c r="F20" i="6"/>
  <c r="D20" i="6"/>
  <c r="C20" i="6"/>
  <c r="F19" i="6"/>
  <c r="G19" i="6" s="1"/>
  <c r="D19" i="6"/>
  <c r="C19" i="6"/>
  <c r="F18" i="6"/>
  <c r="G18" i="6" s="1"/>
  <c r="D18" i="6"/>
  <c r="C18" i="6"/>
  <c r="F17" i="6"/>
  <c r="G17" i="6" s="1"/>
  <c r="D17" i="6"/>
  <c r="C17" i="6"/>
  <c r="F16" i="3"/>
  <c r="F32" i="6" s="1"/>
  <c r="G32" i="6" s="1"/>
  <c r="F15" i="3"/>
  <c r="F105" i="6" s="1"/>
  <c r="F14" i="3"/>
  <c r="F82" i="6" s="1"/>
  <c r="F13" i="3"/>
  <c r="F12" i="3"/>
  <c r="B44" i="7" l="1"/>
  <c r="D59" i="7"/>
  <c r="F85" i="7"/>
  <c r="F89" i="7"/>
  <c r="F60" i="17"/>
  <c r="F60" i="15"/>
  <c r="F60" i="13"/>
  <c r="F60" i="11"/>
  <c r="F60" i="18"/>
  <c r="F60" i="14"/>
  <c r="F60" i="16"/>
  <c r="F60" i="12"/>
  <c r="F60" i="10"/>
  <c r="F60" i="9"/>
  <c r="F95" i="6"/>
  <c r="G95" i="6" s="1"/>
  <c r="F122" i="6"/>
  <c r="H57" i="8"/>
  <c r="E57" i="8"/>
  <c r="G27" i="8"/>
  <c r="M30" i="8"/>
  <c r="I31" i="8"/>
  <c r="W33" i="8"/>
  <c r="Q33" i="8"/>
  <c r="E33" i="8"/>
  <c r="V33" i="8"/>
  <c r="P33" i="8"/>
  <c r="D33" i="8"/>
  <c r="R33" i="8"/>
  <c r="F33" i="8"/>
  <c r="F62" i="9"/>
  <c r="F62" i="10"/>
  <c r="F62" i="17"/>
  <c r="F62" i="15"/>
  <c r="F62" i="13"/>
  <c r="F62" i="11"/>
  <c r="F62" i="18"/>
  <c r="F62" i="14"/>
  <c r="F49" i="8"/>
  <c r="F62" i="16"/>
  <c r="F62" i="12"/>
  <c r="F58" i="6"/>
  <c r="F64" i="6"/>
  <c r="F75" i="6"/>
  <c r="G75" i="6" s="1"/>
  <c r="F99" i="6"/>
  <c r="B17" i="7"/>
  <c r="B18" i="7" s="1"/>
  <c r="B51" i="7"/>
  <c r="F79" i="7"/>
  <c r="B104" i="7"/>
  <c r="B106" i="7" s="1"/>
  <c r="V27" i="8"/>
  <c r="P27" i="8"/>
  <c r="R27" i="8" s="1"/>
  <c r="F27" i="8" s="1"/>
  <c r="N27" i="8"/>
  <c r="U27" i="8"/>
  <c r="S31" i="8"/>
  <c r="G31" i="8"/>
  <c r="R31" i="8"/>
  <c r="F31" i="8"/>
  <c r="T31" i="8"/>
  <c r="W36" i="8"/>
  <c r="Q36" i="8"/>
  <c r="E36" i="8"/>
  <c r="V36" i="8"/>
  <c r="P36" i="8"/>
  <c r="D36" i="8"/>
  <c r="R36" i="8"/>
  <c r="F36" i="8"/>
  <c r="T39" i="8"/>
  <c r="N39" i="8"/>
  <c r="R39" i="8"/>
  <c r="E39" i="8"/>
  <c r="Q39" i="8"/>
  <c r="D39" i="8"/>
  <c r="U39" i="8"/>
  <c r="G39" i="8"/>
  <c r="S39" i="8"/>
  <c r="F39" i="8"/>
  <c r="P39" i="8"/>
  <c r="M40" i="8"/>
  <c r="F47" i="8"/>
  <c r="M64" i="8"/>
  <c r="K64" i="8"/>
  <c r="L64" i="8" s="1"/>
  <c r="N64" i="8" s="1"/>
  <c r="F66" i="17"/>
  <c r="F66" i="15"/>
  <c r="F66" i="13"/>
  <c r="F66" i="11"/>
  <c r="F66" i="18"/>
  <c r="F66" i="14"/>
  <c r="F66" i="16"/>
  <c r="F66" i="12"/>
  <c r="F53" i="8"/>
  <c r="F66" i="9"/>
  <c r="F66" i="10"/>
  <c r="F38" i="6"/>
  <c r="F52" i="6"/>
  <c r="G52" i="6" s="1"/>
  <c r="G56" i="6" s="1"/>
  <c r="F55" i="6"/>
  <c r="G55" i="6" s="1"/>
  <c r="F96" i="6"/>
  <c r="G96" i="6" s="1"/>
  <c r="F120" i="6"/>
  <c r="B52" i="7"/>
  <c r="B54" i="7" s="1"/>
  <c r="B57" i="7" s="1"/>
  <c r="C27" i="8"/>
  <c r="I27" i="8"/>
  <c r="O27" i="8"/>
  <c r="W27" i="8"/>
  <c r="C31" i="8"/>
  <c r="U31" i="8"/>
  <c r="C36" i="8"/>
  <c r="N36" i="8"/>
  <c r="C39" i="8"/>
  <c r="V39" i="8"/>
  <c r="K68" i="8"/>
  <c r="L68" i="8" s="1"/>
  <c r="N68" i="8" s="1"/>
  <c r="M68" i="8"/>
  <c r="K71" i="8"/>
  <c r="L71" i="8" s="1"/>
  <c r="N71" i="8" s="1"/>
  <c r="M71" i="8"/>
  <c r="M75" i="8"/>
  <c r="K75" i="8"/>
  <c r="L75" i="8" s="1"/>
  <c r="N75" i="8" s="1"/>
  <c r="M82" i="8"/>
  <c r="K82" i="8"/>
  <c r="L82" i="8" s="1"/>
  <c r="N82" i="8" s="1"/>
  <c r="F78" i="6"/>
  <c r="F64" i="16"/>
  <c r="F64" i="12"/>
  <c r="F64" i="9"/>
  <c r="F64" i="10"/>
  <c r="F64" i="17"/>
  <c r="F64" i="15"/>
  <c r="F64" i="13"/>
  <c r="F64" i="18"/>
  <c r="F51" i="8"/>
  <c r="F64" i="14"/>
  <c r="F64" i="11"/>
  <c r="F62" i="6"/>
  <c r="F103" i="6"/>
  <c r="B13" i="7"/>
  <c r="F77" i="7"/>
  <c r="F83" i="7"/>
  <c r="F88" i="7"/>
  <c r="B54" i="8"/>
  <c r="L40" i="8"/>
  <c r="D27" i="8"/>
  <c r="Q27" i="8"/>
  <c r="I28" i="8"/>
  <c r="P28" i="8"/>
  <c r="W28" i="8"/>
  <c r="D31" i="8"/>
  <c r="N31" i="8"/>
  <c r="V31" i="8"/>
  <c r="H33" i="8"/>
  <c r="S33" i="8"/>
  <c r="L35" i="8"/>
  <c r="G36" i="8"/>
  <c r="O36" i="8"/>
  <c r="H39" i="8"/>
  <c r="W39" i="8"/>
  <c r="K78" i="8"/>
  <c r="L78" i="8" s="1"/>
  <c r="N78" i="8" s="1"/>
  <c r="M78" i="8"/>
  <c r="F55" i="16"/>
  <c r="G55" i="16" s="1"/>
  <c r="F55" i="12"/>
  <c r="G55" i="12" s="1"/>
  <c r="F55" i="9"/>
  <c r="G55" i="9" s="1"/>
  <c r="G59" i="9" s="1"/>
  <c r="F55" i="10"/>
  <c r="G55" i="10" s="1"/>
  <c r="G59" i="10" s="1"/>
  <c r="F55" i="17"/>
  <c r="G55" i="17" s="1"/>
  <c r="F55" i="15"/>
  <c r="G55" i="15" s="1"/>
  <c r="F55" i="13"/>
  <c r="G55" i="13" s="1"/>
  <c r="F55" i="18"/>
  <c r="G55" i="18" s="1"/>
  <c r="F55" i="14"/>
  <c r="G55" i="14" s="1"/>
  <c r="F55" i="11"/>
  <c r="G55" i="11" s="1"/>
  <c r="G59" i="11" s="1"/>
  <c r="F36" i="6"/>
  <c r="F42" i="6"/>
  <c r="F53" i="6"/>
  <c r="G53" i="6" s="1"/>
  <c r="F80" i="6"/>
  <c r="F94" i="6"/>
  <c r="G94" i="6" s="1"/>
  <c r="G97" i="6" s="1"/>
  <c r="F118" i="6"/>
  <c r="F124" i="6"/>
  <c r="B14" i="7"/>
  <c r="B55" i="7"/>
  <c r="B56" i="7" s="1"/>
  <c r="E87" i="7" s="1"/>
  <c r="B55" i="8"/>
  <c r="B57" i="8"/>
  <c r="D55" i="8"/>
  <c r="B56" i="8"/>
  <c r="E27" i="8"/>
  <c r="C28" i="8"/>
  <c r="Q28" i="8"/>
  <c r="W30" i="8"/>
  <c r="Q30" i="8"/>
  <c r="E30" i="8"/>
  <c r="V30" i="8"/>
  <c r="P30" i="8"/>
  <c r="D30" i="8"/>
  <c r="S30" i="8"/>
  <c r="E31" i="8"/>
  <c r="O31" i="8"/>
  <c r="W31" i="8"/>
  <c r="I33" i="8"/>
  <c r="T33" i="8"/>
  <c r="M35" i="8"/>
  <c r="H36" i="8"/>
  <c r="S36" i="8"/>
  <c r="L38" i="8"/>
  <c r="I39" i="8"/>
  <c r="F33" i="6"/>
  <c r="G33" i="6" s="1"/>
  <c r="G34" i="6" s="1"/>
  <c r="F60" i="6"/>
  <c r="F74" i="6"/>
  <c r="G74" i="6" s="1"/>
  <c r="G76" i="6" s="1"/>
  <c r="F101" i="6"/>
  <c r="F81" i="7"/>
  <c r="B126" i="7"/>
  <c r="B127" i="7" s="1"/>
  <c r="B130" i="7" s="1"/>
  <c r="B135" i="7" s="1"/>
  <c r="S27" i="8"/>
  <c r="D28" i="8"/>
  <c r="S28" i="8"/>
  <c r="C30" i="8"/>
  <c r="T30" i="8"/>
  <c r="H31" i="8"/>
  <c r="P31" i="8"/>
  <c r="U33" i="8"/>
  <c r="I36" i="8"/>
  <c r="T36" i="8"/>
  <c r="N34" i="8"/>
  <c r="T34" i="8"/>
  <c r="H37" i="8"/>
  <c r="N37" i="8"/>
  <c r="T37" i="8"/>
  <c r="M89" i="8"/>
  <c r="G38" i="18"/>
  <c r="G52" i="18"/>
  <c r="H29" i="8"/>
  <c r="N29" i="8"/>
  <c r="T29" i="8"/>
  <c r="H32" i="8"/>
  <c r="N32" i="8"/>
  <c r="F34" i="8"/>
  <c r="R34" i="8"/>
  <c r="H35" i="8"/>
  <c r="N35" i="8"/>
  <c r="F37" i="8"/>
  <c r="R37" i="8"/>
  <c r="H38" i="8"/>
  <c r="N38" i="8"/>
  <c r="T38" i="8"/>
  <c r="V40" i="8"/>
  <c r="P40" i="8"/>
  <c r="D40" i="8"/>
  <c r="I40" i="8"/>
  <c r="Q40" i="8"/>
  <c r="G52" i="14"/>
  <c r="G34" i="8"/>
  <c r="G37" i="8"/>
  <c r="R40" i="8"/>
  <c r="M86" i="8"/>
  <c r="G52" i="12"/>
  <c r="G52" i="16"/>
  <c r="E99" i="6" l="1"/>
  <c r="G99" i="6" s="1"/>
  <c r="G100" i="6" s="1"/>
  <c r="E78" i="6"/>
  <c r="G78" i="6" s="1"/>
  <c r="G79" i="6" s="1"/>
  <c r="F25" i="11"/>
  <c r="E60" i="11"/>
  <c r="G60" i="11" s="1"/>
  <c r="G61" i="11" s="1"/>
  <c r="E60" i="10"/>
  <c r="G60" i="10" s="1"/>
  <c r="G61" i="10" s="1"/>
  <c r="F25" i="10"/>
  <c r="T27" i="8"/>
  <c r="G61" i="9"/>
  <c r="E60" i="9"/>
  <c r="F25" i="9"/>
  <c r="B19" i="7"/>
  <c r="B20" i="7"/>
  <c r="L27" i="8"/>
  <c r="M27" i="8"/>
  <c r="H27" i="8"/>
  <c r="E36" i="6"/>
  <c r="G36" i="6" s="1"/>
  <c r="G37" i="6"/>
  <c r="G59" i="6"/>
  <c r="E58" i="6"/>
  <c r="G58" i="6" s="1"/>
  <c r="F86" i="7"/>
  <c r="F59" i="7"/>
  <c r="B136" i="7"/>
  <c r="B137" i="7" s="1"/>
  <c r="B138" i="7" s="1"/>
  <c r="B139" i="7" s="1"/>
  <c r="B141" i="7" s="1"/>
  <c r="M31" i="8"/>
  <c r="L31" i="8"/>
  <c r="R28" i="8"/>
  <c r="F28" i="8" s="1"/>
  <c r="H42" i="8"/>
  <c r="B128" i="7"/>
  <c r="L36" i="8"/>
  <c r="M36" i="8"/>
  <c r="B107" i="7"/>
  <c r="B108" i="7" s="1"/>
  <c r="B112" i="7" s="1"/>
  <c r="B113" i="7" s="1"/>
  <c r="B46" i="7"/>
  <c r="E66" i="7" s="1"/>
  <c r="G66" i="7" s="1"/>
  <c r="B45" i="7"/>
  <c r="E65" i="7" s="1"/>
  <c r="G65" i="7" s="1"/>
  <c r="G71" i="7" s="1"/>
  <c r="M34" i="8"/>
  <c r="L34" i="8"/>
  <c r="L33" i="8"/>
  <c r="M33" i="8"/>
  <c r="G59" i="18"/>
  <c r="M37" i="8"/>
  <c r="L37" i="8"/>
  <c r="H34" i="8"/>
  <c r="M39" i="8"/>
  <c r="L39" i="8"/>
  <c r="E62" i="10" l="1"/>
  <c r="G62" i="10" s="1"/>
  <c r="G63" i="10"/>
  <c r="E62" i="11"/>
  <c r="G62" i="11" s="1"/>
  <c r="G63" i="11" s="1"/>
  <c r="E80" i="6"/>
  <c r="G80" i="6" s="1"/>
  <c r="G81" i="6" s="1"/>
  <c r="E101" i="6"/>
  <c r="G101" i="6" s="1"/>
  <c r="G102" i="6" s="1"/>
  <c r="F25" i="18"/>
  <c r="E60" i="18"/>
  <c r="G60" i="18" s="1"/>
  <c r="G61" i="18" s="1"/>
  <c r="E38" i="6"/>
  <c r="G38" i="6" s="1"/>
  <c r="G39" i="6" s="1"/>
  <c r="H59" i="7"/>
  <c r="B59" i="7" s="1"/>
  <c r="G76" i="7"/>
  <c r="G72" i="7"/>
  <c r="L28" i="8"/>
  <c r="H28" i="8"/>
  <c r="T28" i="8" s="1"/>
  <c r="M28" i="8"/>
  <c r="E60" i="6"/>
  <c r="G60" i="6" s="1"/>
  <c r="G61" i="6" s="1"/>
  <c r="E62" i="9"/>
  <c r="G63" i="9"/>
  <c r="E64" i="11" l="1"/>
  <c r="G64" i="11" s="1"/>
  <c r="G65" i="11" s="1"/>
  <c r="E103" i="6"/>
  <c r="G103" i="6" s="1"/>
  <c r="G104" i="6" s="1"/>
  <c r="G63" i="6"/>
  <c r="E62" i="6"/>
  <c r="G62" i="6" s="1"/>
  <c r="E40" i="6"/>
  <c r="G40" i="6" s="1"/>
  <c r="G41" i="6"/>
  <c r="E82" i="6"/>
  <c r="G82" i="6" s="1"/>
  <c r="G83" i="6" s="1"/>
  <c r="G63" i="18"/>
  <c r="E62" i="18"/>
  <c r="G62" i="18" s="1"/>
  <c r="H41" i="8"/>
  <c r="E64" i="10"/>
  <c r="G64" i="10" s="1"/>
  <c r="G65" i="10" s="1"/>
  <c r="G65" i="9"/>
  <c r="E64" i="9"/>
  <c r="H25" i="9"/>
  <c r="B25" i="9" s="1"/>
  <c r="G78" i="7"/>
  <c r="E77" i="7"/>
  <c r="E66" i="10" l="1"/>
  <c r="G66" i="10" s="1"/>
  <c r="G67" i="10"/>
  <c r="G68" i="10" s="1"/>
  <c r="G69" i="10" s="1"/>
  <c r="H25" i="10"/>
  <c r="B25" i="10" s="1"/>
  <c r="E105" i="6"/>
  <c r="G105" i="6" s="1"/>
  <c r="G106" i="6" s="1"/>
  <c r="G107" i="6" s="1"/>
  <c r="E84" i="6"/>
  <c r="G84" i="6" s="1"/>
  <c r="G85" i="6" s="1"/>
  <c r="G86" i="6" s="1"/>
  <c r="E66" i="11"/>
  <c r="G66" i="11" s="1"/>
  <c r="G67" i="11"/>
  <c r="G68" i="11" s="1"/>
  <c r="G69" i="11" s="1"/>
  <c r="H25" i="11"/>
  <c r="B25" i="11" s="1"/>
  <c r="E64" i="18"/>
  <c r="G64" i="18" s="1"/>
  <c r="G65" i="18" s="1"/>
  <c r="E64" i="6"/>
  <c r="G64" i="6" s="1"/>
  <c r="G65" i="6" s="1"/>
  <c r="G66" i="6" s="1"/>
  <c r="H46" i="8"/>
  <c r="J40" i="8"/>
  <c r="J39" i="8"/>
  <c r="J36" i="8"/>
  <c r="J33" i="8"/>
  <c r="J30" i="8"/>
  <c r="E46" i="8"/>
  <c r="J38" i="8"/>
  <c r="J35" i="8"/>
  <c r="J34" i="8"/>
  <c r="J29" i="8"/>
  <c r="J28" i="8"/>
  <c r="J27" i="8"/>
  <c r="F15" i="8"/>
  <c r="J31" i="8"/>
  <c r="J37" i="8"/>
  <c r="J32" i="8"/>
  <c r="E42" i="6"/>
  <c r="G42" i="6" s="1"/>
  <c r="G43" i="6"/>
  <c r="G44" i="6" s="1"/>
  <c r="G80" i="7"/>
  <c r="E79" i="7"/>
  <c r="G67" i="9"/>
  <c r="G68" i="9" s="1"/>
  <c r="G69" i="9" s="1"/>
  <c r="E66" i="9"/>
  <c r="F30" i="16" l="1"/>
  <c r="G30" i="16" s="1"/>
  <c r="G9" i="6"/>
  <c r="F31" i="15"/>
  <c r="G31" i="15" s="1"/>
  <c r="G10" i="6"/>
  <c r="F30" i="15"/>
  <c r="G30" i="15" s="1"/>
  <c r="G8" i="6"/>
  <c r="E66" i="18"/>
  <c r="G66" i="18" s="1"/>
  <c r="G67" i="18" s="1"/>
  <c r="G68" i="18" s="1"/>
  <c r="G69" i="18" s="1"/>
  <c r="H25" i="18"/>
  <c r="B25" i="18" s="1"/>
  <c r="F112" i="6"/>
  <c r="G112" i="6" s="1"/>
  <c r="G7" i="6"/>
  <c r="H47" i="8"/>
  <c r="E47" i="8"/>
  <c r="G47" i="8" s="1"/>
  <c r="E81" i="7"/>
  <c r="G81" i="7" s="1"/>
  <c r="G82" i="7"/>
  <c r="F31" i="13"/>
  <c r="G31" i="13" s="1"/>
  <c r="G38" i="13" s="1"/>
  <c r="G59" i="13" s="1"/>
  <c r="F30" i="14"/>
  <c r="G30" i="14" s="1"/>
  <c r="F30" i="12"/>
  <c r="G30" i="12" s="1"/>
  <c r="G38" i="12" s="1"/>
  <c r="G59" i="12" s="1"/>
  <c r="F30" i="17"/>
  <c r="G30" i="17" s="1"/>
  <c r="G38" i="17" s="1"/>
  <c r="G59" i="17" s="1"/>
  <c r="F25" i="12" l="1"/>
  <c r="E60" i="12"/>
  <c r="G60" i="12" s="1"/>
  <c r="G61" i="12" s="1"/>
  <c r="E48" i="8"/>
  <c r="H48" i="8"/>
  <c r="G39" i="15"/>
  <c r="I25" i="15" s="1"/>
  <c r="G38" i="15"/>
  <c r="G59" i="15" s="1"/>
  <c r="G117" i="6"/>
  <c r="G116" i="6"/>
  <c r="E60" i="13"/>
  <c r="G60" i="13" s="1"/>
  <c r="G61" i="13" s="1"/>
  <c r="F25" i="13"/>
  <c r="G84" i="7"/>
  <c r="E83" i="7"/>
  <c r="E60" i="17"/>
  <c r="G60" i="17" s="1"/>
  <c r="G61" i="17" s="1"/>
  <c r="F25" i="17"/>
  <c r="G39" i="16"/>
  <c r="I25" i="16" s="1"/>
  <c r="G38" i="16"/>
  <c r="G59" i="16" s="1"/>
  <c r="E62" i="12" l="1"/>
  <c r="G62" i="12" s="1"/>
  <c r="G63" i="12" s="1"/>
  <c r="E62" i="13"/>
  <c r="G62" i="13" s="1"/>
  <c r="G63" i="13" s="1"/>
  <c r="G63" i="17"/>
  <c r="E62" i="17"/>
  <c r="G62" i="17" s="1"/>
  <c r="E49" i="8"/>
  <c r="G49" i="8" s="1"/>
  <c r="H49" i="8" s="1"/>
  <c r="E118" i="6"/>
  <c r="G118" i="6" s="1"/>
  <c r="G119" i="6"/>
  <c r="E60" i="15"/>
  <c r="G60" i="15" s="1"/>
  <c r="G61" i="15" s="1"/>
  <c r="F25" i="15"/>
  <c r="F25" i="16"/>
  <c r="E60" i="16"/>
  <c r="G60" i="16" s="1"/>
  <c r="G61" i="16" s="1"/>
  <c r="G86" i="7"/>
  <c r="G87" i="7" s="1"/>
  <c r="E86" i="7"/>
  <c r="G85" i="7"/>
  <c r="E85" i="7"/>
  <c r="E62" i="16" l="1"/>
  <c r="G62" i="16" s="1"/>
  <c r="G63" i="16"/>
  <c r="E50" i="8"/>
  <c r="H50" i="8"/>
  <c r="E62" i="15"/>
  <c r="G62" i="15" s="1"/>
  <c r="G63" i="15" s="1"/>
  <c r="E64" i="13"/>
  <c r="G64" i="13" s="1"/>
  <c r="G65" i="13" s="1"/>
  <c r="E64" i="12"/>
  <c r="G64" i="12" s="1"/>
  <c r="G65" i="12"/>
  <c r="H25" i="12" s="1"/>
  <c r="B25" i="12" s="1"/>
  <c r="E89" i="7"/>
  <c r="G90" i="7"/>
  <c r="I59" i="7" s="1"/>
  <c r="G89" i="7"/>
  <c r="E120" i="6"/>
  <c r="G120" i="6" s="1"/>
  <c r="G121" i="6" s="1"/>
  <c r="E64" i="17"/>
  <c r="G64" i="17" s="1"/>
  <c r="G65" i="17" s="1"/>
  <c r="E66" i="13" l="1"/>
  <c r="G66" i="13" s="1"/>
  <c r="G67" i="13" s="1"/>
  <c r="G68" i="13" s="1"/>
  <c r="G69" i="13" s="1"/>
  <c r="H25" i="13"/>
  <c r="B25" i="13" s="1"/>
  <c r="E64" i="15"/>
  <c r="G64" i="15" s="1"/>
  <c r="G65" i="15" s="1"/>
  <c r="E122" i="6"/>
  <c r="G122" i="6" s="1"/>
  <c r="G123" i="6" s="1"/>
  <c r="E66" i="17"/>
  <c r="G66" i="17" s="1"/>
  <c r="G67" i="17" s="1"/>
  <c r="G68" i="17" s="1"/>
  <c r="G69" i="17" s="1"/>
  <c r="H25" i="17"/>
  <c r="B25" i="17" s="1"/>
  <c r="H51" i="8"/>
  <c r="E51" i="8"/>
  <c r="G51" i="8" s="1"/>
  <c r="E66" i="12"/>
  <c r="G66" i="12" s="1"/>
  <c r="G67" i="12" s="1"/>
  <c r="G68" i="12" s="1"/>
  <c r="G69" i="12" s="1"/>
  <c r="E64" i="16"/>
  <c r="G64" i="16" s="1"/>
  <c r="G65" i="16" s="1"/>
  <c r="E66" i="16" l="1"/>
  <c r="G66" i="16" s="1"/>
  <c r="G67" i="16" s="1"/>
  <c r="G68" i="16" s="1"/>
  <c r="G69" i="16" s="1"/>
  <c r="H25" i="16"/>
  <c r="B25" i="16" s="1"/>
  <c r="E124" i="6"/>
  <c r="G124" i="6" s="1"/>
  <c r="G125" i="6"/>
  <c r="G126" i="6" s="1"/>
  <c r="E66" i="15"/>
  <c r="G66" i="15" s="1"/>
  <c r="G67" i="15" s="1"/>
  <c r="G68" i="15" s="1"/>
  <c r="G69" i="15" s="1"/>
  <c r="H25" i="15"/>
  <c r="B25" i="15" s="1"/>
  <c r="H52" i="8"/>
  <c r="E52" i="8"/>
  <c r="F32" i="14" l="1"/>
  <c r="G32" i="14" s="1"/>
  <c r="G11" i="6"/>
  <c r="E53" i="8"/>
  <c r="G53" i="8" s="1"/>
  <c r="H53" i="8" s="1"/>
  <c r="E54" i="8" l="1"/>
  <c r="H54" i="8"/>
  <c r="G39" i="14"/>
  <c r="I25" i="14" s="1"/>
  <c r="G38" i="14"/>
  <c r="G59" i="14" s="1"/>
  <c r="F25" i="14" l="1"/>
  <c r="E60" i="14"/>
  <c r="G60" i="14" s="1"/>
  <c r="G61" i="14" s="1"/>
  <c r="E55" i="8"/>
  <c r="H55" i="8"/>
  <c r="E62" i="14" l="1"/>
  <c r="G62" i="14" s="1"/>
  <c r="G63" i="14" s="1"/>
  <c r="E56" i="8"/>
  <c r="H56" i="8"/>
  <c r="E64" i="14" l="1"/>
  <c r="G64" i="14" s="1"/>
  <c r="G65" i="14"/>
  <c r="H25" i="14"/>
  <c r="B25" i="14" s="1"/>
  <c r="H58" i="8"/>
  <c r="D15" i="8" s="1"/>
  <c r="E58" i="8"/>
  <c r="E66" i="14" l="1"/>
  <c r="G66" i="14" s="1"/>
  <c r="G67" i="14"/>
  <c r="G68" i="14" s="1"/>
  <c r="G69" i="14" s="1"/>
</calcChain>
</file>

<file path=xl/comments1.xml><?xml version="1.0" encoding="utf-8"?>
<comments xmlns="http://schemas.openxmlformats.org/spreadsheetml/2006/main">
  <authors>
    <author>nishant</author>
  </authors>
  <commentList>
    <comment ref="T26" authorId="0" shapeId="0">
      <text>
        <r>
          <rPr>
            <b/>
            <sz val="9"/>
            <color indexed="81"/>
            <rFont val="Tahoma"/>
            <charset val="1"/>
          </rPr>
          <t>nishant:</t>
        </r>
        <r>
          <rPr>
            <sz val="9"/>
            <color indexed="81"/>
            <rFont val="Tahoma"/>
            <charset val="1"/>
          </rPr>
          <t xml:space="preserve">
This column provides an automated, dynamic breadcrumb of all cell precedents feeding into the active resource cost build-up in Table 2 (Rows 27–40).</t>
        </r>
      </text>
    </comment>
    <comment ref="E104" authorId="0" shapeId="0">
      <text>
        <r>
          <rPr>
            <b/>
            <sz val="9"/>
            <color indexed="81"/>
            <rFont val="Tahoma"/>
            <charset val="1"/>
          </rPr>
          <t>nishant:</t>
        </r>
        <r>
          <rPr>
            <sz val="9"/>
            <color indexed="81"/>
            <rFont val="Tahoma"/>
            <charset val="1"/>
          </rPr>
          <t xml:space="preserve">
indicates the exact sequential position of that resource within the official CPWD DAR 2019 resource bill for that specific rate analysis</t>
        </r>
      </text>
    </comment>
  </commentList>
</comments>
</file>

<file path=xl/sharedStrings.xml><?xml version="1.0" encoding="utf-8"?>
<sst xmlns="http://schemas.openxmlformats.org/spreadsheetml/2006/main" count="52705" uniqueCount="8366">
  <si>
    <t>CPWD DAR 2019  |  CUSTOM RATE ANALYSIS WORKBOOK — VOLUME 1 (Sub-Heads 01–12)
Template File  |  Open → Work → Save As &lt;Project Name&gt;.xlsx  |  Do NOT rename this file</t>
  </si>
  <si>
    <t>★  TEMPLATE — THIS FILE OPENS FRESH EACH TIME  ★
Nothing you type here is saved to the template. To keep your work:
   File → Save As → give it a project/item name (e.g. "ItemAnalysis_CC_Flooring.xlsx").</t>
  </si>
  <si>
    <t>HOW TO USE THIS WORKBOOK
1. SHEET LAYOUT (each trade sheet 01–12 has the same structure):
   Panel 1  — Scope &amp; Item Identification (yellow INPUT cells)
   Section 2 — Material Block  (enter code → rate auto-fills from Rates_Master)
   Section 3 — Labour Block    (same lookup pattern)
   Section 4 — Sundries, Markup Chain, Say Rate
2. YELLOW CELLS are user inputs. All other cells are calculated — do not overtype them.
3. RATES_MASTER: 2,200 CPWD DAR 2019 codes with basic rates. Type the code in Column B
   of the material/labour block; description, unit and rate fill automatically.
   To override a rate, type it directly in Column F of that row.
4. GLOBAL FACTORS (Water Tax, GST, CPOH, Cess, Sundries%) are in the Global_Factors
   sheet. Change them there once; all trade sheets update automatically.
5. IF YOU USE VOL. 2 (Sub-Heads 13–26):
   Before opening Vol. 2, save THIS file as:
       CPWD_DAR_2019_Custom_Rate_Analysis_Workbook_Vol_1.xlsx
   in the SAME FOLDER as Vol. 2. Vol. 2 external links depend on that exact filename.
6. REFERENCE SHEETS (read-only):
   Rates_Master, Global_Factors, Labour_Machinery_Productivity, Sundries_Reference,
   Resolved_Cross_Volume_Items — do not edit these; regenerate from source if needed.</t>
  </si>
  <si>
    <t>Code</t>
  </si>
  <si>
    <t>Category</t>
  </si>
  <si>
    <t>Description / Specification</t>
  </si>
  <si>
    <t>Unit</t>
  </si>
  <si>
    <t>Basic Rate (Rs)</t>
  </si>
  <si>
    <t>0001</t>
  </si>
  <si>
    <t>Hire Charges of Plants &amp; Machinery</t>
  </si>
  <si>
    <t>Hire charges of Coaltar Boiler 900 to 1400 litres</t>
  </si>
  <si>
    <t>day</t>
  </si>
  <si>
    <t>0002</t>
  </si>
  <si>
    <t>Hire charges of Concrete Mixer 0.25 to 0.40 cum with Hopper</t>
  </si>
  <si>
    <t>0003</t>
  </si>
  <si>
    <t>Hire charges of Diesel Road Roller - 8 to 10 tonne</t>
  </si>
  <si>
    <t>0004</t>
  </si>
  <si>
    <t>Production cost of concrete by batch mix plant</t>
  </si>
  <si>
    <t>cum</t>
  </si>
  <si>
    <t>0005</t>
  </si>
  <si>
    <t>Hire charges of Diesel Truck - 9 tonne</t>
  </si>
  <si>
    <t>0006</t>
  </si>
  <si>
    <t>Hire charges of Spraying machine including electric charges</t>
  </si>
  <si>
    <t>0007</t>
  </si>
  <si>
    <t>Hire charges of Coaltar Sprayer</t>
  </si>
  <si>
    <t>0008</t>
  </si>
  <si>
    <t>Hire charges of Barber green, drying, mixing and Asphalt Plant,</t>
  </si>
  <si>
    <t>0009</t>
  </si>
  <si>
    <t>Pumping charges of concrete including Hire charges of pump,</t>
  </si>
  <si>
    <t>0010</t>
  </si>
  <si>
    <t>Hire charges of Derrick monkey rope</t>
  </si>
  <si>
    <t>0011</t>
  </si>
  <si>
    <t>Hire charges of Pump set of capacity 4000 litres/hour</t>
  </si>
  <si>
    <t>0012</t>
  </si>
  <si>
    <t>Vibrator (Needle type 40 mm)</t>
  </si>
  <si>
    <t>0013</t>
  </si>
  <si>
    <t>Machine for rubbing of floors</t>
  </si>
  <si>
    <t>0014</t>
  </si>
  <si>
    <t>Front end loader capacity 1.00 cum</t>
  </si>
  <si>
    <t>0015</t>
  </si>
  <si>
    <t>Hire and running charges of Tripod and Mechanical Winch</t>
  </si>
  <si>
    <t>0016</t>
  </si>
  <si>
    <t>Mastic Cooker</t>
  </si>
  <si>
    <t>0017</t>
  </si>
  <si>
    <t>Hire and running charges of tipper</t>
  </si>
  <si>
    <t>0018</t>
  </si>
  <si>
    <t>Hire and running charges of loader</t>
  </si>
  <si>
    <t>0019</t>
  </si>
  <si>
    <t>Hand Grinder for mirror polish</t>
  </si>
  <si>
    <t>0020</t>
  </si>
  <si>
    <t>Hydraulic Excavator (3D) with driver and fuel</t>
  </si>
  <si>
    <t>0021</t>
  </si>
  <si>
    <t>Pin vibrator</t>
  </si>
  <si>
    <t>0022</t>
  </si>
  <si>
    <t>Surface Vibrator</t>
  </si>
  <si>
    <t>0023</t>
  </si>
  <si>
    <t>Hot Bitumen Mixer 0.5 cum i/c hand cart</t>
  </si>
  <si>
    <t>0024</t>
  </si>
  <si>
    <t>Hire and running charges of hydraulic piling rig with power</t>
  </si>
  <si>
    <t>0025</t>
  </si>
  <si>
    <t>Hire and running charges of light crane</t>
  </si>
  <si>
    <t>0026</t>
  </si>
  <si>
    <t>Hire and running charges of bentonite pump</t>
  </si>
  <si>
    <t>0027</t>
  </si>
  <si>
    <t>Hire and running charges of vibrating pile driving hammer</t>
  </si>
  <si>
    <t>0028</t>
  </si>
  <si>
    <t>Hire and running charges of crane 20 tonne capacity</t>
  </si>
  <si>
    <t>0029</t>
  </si>
  <si>
    <t>Carriage of concrete by transit mixer</t>
  </si>
  <si>
    <t>km/cum</t>
  </si>
  <si>
    <t>0030</t>
  </si>
  <si>
    <t>Generator 250 KVA</t>
  </si>
  <si>
    <t>0031</t>
  </si>
  <si>
    <t>Steam curing by using boiler /Heater</t>
  </si>
  <si>
    <t>0032</t>
  </si>
  <si>
    <t>Stressing Machine (jack with pump)</t>
  </si>
  <si>
    <t>0033</t>
  </si>
  <si>
    <t>Paint applicator</t>
  </si>
  <si>
    <t>0034</t>
  </si>
  <si>
    <t>Cutting saw machine</t>
  </si>
  <si>
    <t>0035</t>
  </si>
  <si>
    <t>Strands Roller machinery for laying strands</t>
  </si>
  <si>
    <t>0036</t>
  </si>
  <si>
    <t>Bed master (Pulling strands)</t>
  </si>
  <si>
    <t>0037</t>
  </si>
  <si>
    <t>Mobile crane</t>
  </si>
  <si>
    <t>0038</t>
  </si>
  <si>
    <t>Tractor with ripper attachment</t>
  </si>
  <si>
    <t>0039</t>
  </si>
  <si>
    <t>Tractor with trolley</t>
  </si>
  <si>
    <t>0040</t>
  </si>
  <si>
    <t>Air compressor 250 cfm with two leads for pneumatic cutters /</t>
  </si>
  <si>
    <t>0041</t>
  </si>
  <si>
    <t>Joint cutting machine with 2-3 blades</t>
  </si>
  <si>
    <t>0042</t>
  </si>
  <si>
    <t>C.C .batch mix plant</t>
  </si>
  <si>
    <t>0043</t>
  </si>
  <si>
    <t>Road sweeper</t>
  </si>
  <si>
    <t>0044</t>
  </si>
  <si>
    <t>Cost for crane upto 40 tonne capacity</t>
  </si>
  <si>
    <t>0045</t>
  </si>
  <si>
    <t>Slip form paver with sensor</t>
  </si>
  <si>
    <t>0046</t>
  </si>
  <si>
    <t>Water tanker 5000 litre</t>
  </si>
  <si>
    <t>0047</t>
  </si>
  <si>
    <t>Concrete joint cutting machine</t>
  </si>
  <si>
    <t>0048</t>
  </si>
  <si>
    <t>Texturing machine</t>
  </si>
  <si>
    <t>0049</t>
  </si>
  <si>
    <t>Dozer D-80-A 12</t>
  </si>
  <si>
    <t>hour</t>
  </si>
  <si>
    <t>0050</t>
  </si>
  <si>
    <t>Motor Grader 3.35 metre blade</t>
  </si>
  <si>
    <t>0051</t>
  </si>
  <si>
    <t>Hydraulic Excavator of 1 cum bucket</t>
  </si>
  <si>
    <t>0052</t>
  </si>
  <si>
    <t>Front end loader 1 cum bucket capacity (incl POL)</t>
  </si>
  <si>
    <t>0053</t>
  </si>
  <si>
    <t>Tipper-5 Cum</t>
  </si>
  <si>
    <t>tonne/km</t>
  </si>
  <si>
    <t>0054</t>
  </si>
  <si>
    <t>Vibratory roller 8 to 10 tonne</t>
  </si>
  <si>
    <t>0055</t>
  </si>
  <si>
    <t>Smooth Wheeled Roller 8 to 10 tonne</t>
  </si>
  <si>
    <t>0056</t>
  </si>
  <si>
    <t>Tandem Road Roller</t>
  </si>
  <si>
    <t>0057</t>
  </si>
  <si>
    <t>Water Tanker 5 to 6 KL capacity</t>
  </si>
  <si>
    <t>0058</t>
  </si>
  <si>
    <t>Air compressor</t>
  </si>
  <si>
    <t>0059</t>
  </si>
  <si>
    <t>Wet Mix Plant 60 TPH</t>
  </si>
  <si>
    <t>0060</t>
  </si>
  <si>
    <t>Mechanical Broom Hydraulic</t>
  </si>
  <si>
    <t>0061</t>
  </si>
  <si>
    <t>Emulsion Pressure Distributor of capacity</t>
  </si>
  <si>
    <t>1750 sqm per hour</t>
  </si>
  <si>
    <t>0062</t>
  </si>
  <si>
    <t>Hot mix Plant -120 TPH capacity</t>
  </si>
  <si>
    <t>0063</t>
  </si>
  <si>
    <t>Hot mix Plant 100 TPH Capacity</t>
  </si>
  <si>
    <t>0064</t>
  </si>
  <si>
    <t>Paver finisher Hydrostatic with sensor control 100 TPH</t>
  </si>
  <si>
    <t>0065</t>
  </si>
  <si>
    <t>Paver finisher Mechanical 100 TPH</t>
  </si>
  <si>
    <t>0066</t>
  </si>
  <si>
    <t>Batching and Mixing Plant @ 75 cum per hour</t>
  </si>
  <si>
    <t>0067</t>
  </si>
  <si>
    <t>Cost for crane upto 80 tonne capacity</t>
  </si>
  <si>
    <t>0068</t>
  </si>
  <si>
    <t>Concrete Paver finisher with 40 HP Motor and sensor</t>
  </si>
  <si>
    <t>0069</t>
  </si>
  <si>
    <t>0070</t>
  </si>
  <si>
    <t>Generator 100 KVA/125 KVA</t>
  </si>
  <si>
    <t>0071</t>
  </si>
  <si>
    <t>Truck 5.5 cum/10 tonnes</t>
  </si>
  <si>
    <t>tonne km</t>
  </si>
  <si>
    <t>0072</t>
  </si>
  <si>
    <t>Cost for crane having capacity 50MT</t>
  </si>
  <si>
    <t>0075</t>
  </si>
  <si>
    <t>Road sweeper (Mechamical Broom) @ 1250 sqm per hour</t>
  </si>
  <si>
    <t>0076</t>
  </si>
  <si>
    <t>Drum Type HMP of 60-90 TPH capacity @ 75 tonne per hour</t>
  </si>
  <si>
    <t>0080</t>
  </si>
  <si>
    <t>Hire and running charges of drill machine up to 400 mm dia (including cost of mobile oil, diesel consumption in ordinary soil</t>
  </si>
  <si>
    <t>0081</t>
  </si>
  <si>
    <t>Pile Integrity testing equipment</t>
  </si>
  <si>
    <t>0082</t>
  </si>
  <si>
    <t>Excavation of Diaphragm wall by Mechanical Grab</t>
  </si>
  <si>
    <t>sqm</t>
  </si>
  <si>
    <t>0083</t>
  </si>
  <si>
    <t>Hire charges of TATA 407 or equivalent for local shifting</t>
  </si>
  <si>
    <t>0084</t>
  </si>
  <si>
    <t>Hire charges of diesel truck - 9 tonne (without POL)</t>
  </si>
  <si>
    <t>0085</t>
  </si>
  <si>
    <t>Using cost of Ultra Violet Radiation tube</t>
  </si>
  <si>
    <t>Hour</t>
  </si>
  <si>
    <t>0086</t>
  </si>
  <si>
    <t>Compressor, gun, rubber pipes &amp; other accessories- hire charge of</t>
  </si>
  <si>
    <t>0087</t>
  </si>
  <si>
    <t>Hire Charges of Suction Jeting machine 2200 PSI machine i/c POL</t>
  </si>
  <si>
    <t>0088</t>
  </si>
  <si>
    <t>Hire charges of Drill machine upto 30 mm dia</t>
  </si>
  <si>
    <t>0089</t>
  </si>
  <si>
    <t>Hire charges of sand blasting equipment</t>
  </si>
  <si>
    <t>0090</t>
  </si>
  <si>
    <t>Hire charges of compressor</t>
  </si>
  <si>
    <t>0091</t>
  </si>
  <si>
    <t>Welding charges of shear key to existing reinforcement</t>
  </si>
  <si>
    <t>each</t>
  </si>
  <si>
    <t>0092</t>
  </si>
  <si>
    <t>Hire charges of plant and Machinery that can inject 350 kg/day</t>
  </si>
  <si>
    <t>0093</t>
  </si>
  <si>
    <t>Hire Charges of Suction Jeting machine 1500 PSI machine i/c POL</t>
  </si>
  <si>
    <t>0100</t>
  </si>
  <si>
    <t>Labour Wages</t>
  </si>
  <si>
    <t>Bandhani</t>
  </si>
  <si>
    <t>0101</t>
  </si>
  <si>
    <t>Bhisti</t>
  </si>
  <si>
    <t>0102</t>
  </si>
  <si>
    <t>Blacksmith 1st class</t>
  </si>
  <si>
    <t>0103</t>
  </si>
  <si>
    <t>Blacksmith 2nd class</t>
  </si>
  <si>
    <t>0111</t>
  </si>
  <si>
    <t>Carpenter 1st class</t>
  </si>
  <si>
    <t>0112</t>
  </si>
  <si>
    <t>Carpenter 2nd class</t>
  </si>
  <si>
    <t>0113</t>
  </si>
  <si>
    <t>Chowkidar</t>
  </si>
  <si>
    <t>0114</t>
  </si>
  <si>
    <t>Beldar</t>
  </si>
  <si>
    <t>0115</t>
  </si>
  <si>
    <t>Coolie</t>
  </si>
  <si>
    <t>0116</t>
  </si>
  <si>
    <t>Fitter (grade 1)</t>
  </si>
  <si>
    <t>0117</t>
  </si>
  <si>
    <t>Assistant Fitter or 2nd class Fitter</t>
  </si>
  <si>
    <t>0119</t>
  </si>
  <si>
    <t>Glazier</t>
  </si>
  <si>
    <t>0122</t>
  </si>
  <si>
    <t>Mason (for plaster of paris work) 1st class</t>
  </si>
  <si>
    <t>0123</t>
  </si>
  <si>
    <t>Mason (brick layer) 1st class</t>
  </si>
  <si>
    <t>0124</t>
  </si>
  <si>
    <t>Mason (brick layer) 2nd class</t>
  </si>
  <si>
    <t>0125</t>
  </si>
  <si>
    <t>Mason (for plain stone work) 2nd class</t>
  </si>
  <si>
    <t>0126</t>
  </si>
  <si>
    <t>Mason (for ornamental stone work) 1st class</t>
  </si>
  <si>
    <t>0127</t>
  </si>
  <si>
    <t>Driver for (Road roller, concrete mixer, Trucks etc.)</t>
  </si>
  <si>
    <t>0128</t>
  </si>
  <si>
    <t>Mate</t>
  </si>
  <si>
    <t>0129</t>
  </si>
  <si>
    <t>Sewer man</t>
  </si>
  <si>
    <t>0130</t>
  </si>
  <si>
    <t>Mistry</t>
  </si>
  <si>
    <t>0131</t>
  </si>
  <si>
    <t>Painter</t>
  </si>
  <si>
    <t>0132</t>
  </si>
  <si>
    <t>Rock Excavator</t>
  </si>
  <si>
    <t>0133</t>
  </si>
  <si>
    <t>Rock Breaker</t>
  </si>
  <si>
    <t>0134</t>
  </si>
  <si>
    <t>Rock Hole Driller</t>
  </si>
  <si>
    <t>0135</t>
  </si>
  <si>
    <t>Stone Chiseller</t>
  </si>
  <si>
    <t>0138</t>
  </si>
  <si>
    <t>Sprayer (for bitumen, tar etc.)</t>
  </si>
  <si>
    <t>0139</t>
  </si>
  <si>
    <t>Skilled Beldar (for floor rubbing etc.)</t>
  </si>
  <si>
    <t>0141</t>
  </si>
  <si>
    <t>White Washer</t>
  </si>
  <si>
    <t>0154</t>
  </si>
  <si>
    <t>Nozzel man/ gun man</t>
  </si>
  <si>
    <t>0155</t>
  </si>
  <si>
    <t>Mason (average)</t>
  </si>
  <si>
    <t>0156</t>
  </si>
  <si>
    <t>Carpenter (average)</t>
  </si>
  <si>
    <t>0157</t>
  </si>
  <si>
    <t>Operator (Pile/ Special machine)</t>
  </si>
  <si>
    <t>0159</t>
  </si>
  <si>
    <t>Skilled torch operator for laying tack</t>
  </si>
  <si>
    <t>0160</t>
  </si>
  <si>
    <t>Technician</t>
  </si>
  <si>
    <t>0161</t>
  </si>
  <si>
    <t>Helper (Technician)</t>
  </si>
  <si>
    <t>0162</t>
  </si>
  <si>
    <t>Labour for fabrication of uPVC extruded casement/ sliding windows and doors including drilling holes, fixing of fittings &amp; hardwares, hire</t>
  </si>
  <si>
    <t>0163</t>
  </si>
  <si>
    <t>Labour for installation of uPVC extruded casement/ sliding windows</t>
  </si>
  <si>
    <t>0164</t>
  </si>
  <si>
    <t>Security guard without gun (8 hours shift duty per day)</t>
  </si>
  <si>
    <t>0165</t>
  </si>
  <si>
    <t>Security guard</t>
  </si>
  <si>
    <t>gun (8 hours shift duty per day)</t>
  </si>
  <si>
    <t>0222</t>
  </si>
  <si>
    <t>Building Materials</t>
  </si>
  <si>
    <t>Seam bolts and nuts 6 mm dia and 25 mm long</t>
  </si>
  <si>
    <t>10 Nos</t>
  </si>
  <si>
    <t>0223</t>
  </si>
  <si>
    <t>Fibre (reinforced by organic fibres and / or inorganic synthetic fibre)</t>
  </si>
  <si>
    <t>0224</t>
  </si>
  <si>
    <t>metre</t>
  </si>
  <si>
    <t>0225</t>
  </si>
  <si>
    <t>0226</t>
  </si>
  <si>
    <t>0227</t>
  </si>
  <si>
    <t>0228</t>
  </si>
  <si>
    <t>0229</t>
  </si>
  <si>
    <t>0230</t>
  </si>
  <si>
    <t>0231</t>
  </si>
  <si>
    <t>0232</t>
  </si>
  <si>
    <t>0233</t>
  </si>
  <si>
    <t>pair</t>
  </si>
  <si>
    <t>0234</t>
  </si>
  <si>
    <t>0235</t>
  </si>
  <si>
    <t>0236</t>
  </si>
  <si>
    <t>Multi purpose fibre (reinforced by organic fibres and / or inorganic synthetic fibre)</t>
  </si>
  <si>
    <t>0237</t>
  </si>
  <si>
    <t>0238</t>
  </si>
  <si>
    <t>6 mm thick heavy duty fiber cement board</t>
  </si>
  <si>
    <t>0239</t>
  </si>
  <si>
    <t>8mm thick heavy duty fiber cement board</t>
  </si>
  <si>
    <t>0240</t>
  </si>
  <si>
    <t>9 mm thick heavy duty fiber cement board</t>
  </si>
  <si>
    <t>0241</t>
  </si>
  <si>
    <t>12.5 mm thick Gypsum plaster board</t>
  </si>
  <si>
    <t>0242</t>
  </si>
  <si>
    <t>6 mm thick mulitipurpose cement bonded wood particle board</t>
  </si>
  <si>
    <t>0243</t>
  </si>
  <si>
    <t>8 mm thick mulitipurpose cement bonded wood particle board</t>
  </si>
  <si>
    <t>0244</t>
  </si>
  <si>
    <t>Factory made light weight composite non asbestos fibre reinforced aerated cement sandwitched wall/roof panel (50mm thick). The outer face on both sides of the panels will be non asbestos fibre cement</t>
  </si>
  <si>
    <t>0245</t>
  </si>
  <si>
    <t>Factory made light weight non asbestos fibre reinforced aerated cement sandwitched wall/roof panel (75mm thick). The outer face on both sides of the panels will be non asbestos fibre cement board</t>
  </si>
  <si>
    <t>0246</t>
  </si>
  <si>
    <t>2mm thick sim pad</t>
  </si>
  <si>
    <t>0247</t>
  </si>
  <si>
    <t>5mm thick sim pad</t>
  </si>
  <si>
    <t>0248</t>
  </si>
  <si>
    <t>10mm thick sim pad</t>
  </si>
  <si>
    <t>0285</t>
  </si>
  <si>
    <t>Brick Aggregate (Single size) : 63 mm nominal size No.</t>
  </si>
  <si>
    <t>0286</t>
  </si>
  <si>
    <t>Brick Aggregate (Single size) : 50 mm nominal size</t>
  </si>
  <si>
    <t>0287</t>
  </si>
  <si>
    <t>Brick Aggregate (Single size) : 40 mm nominal size</t>
  </si>
  <si>
    <t>0291</t>
  </si>
  <si>
    <t>Stone Aggregate (Single size) : 63 mm nominal size</t>
  </si>
  <si>
    <t>0292</t>
  </si>
  <si>
    <t>Stone Aggregate (Single size) : 50 mm nominal size</t>
  </si>
  <si>
    <t>0293</t>
  </si>
  <si>
    <t>Stone Aggregate (Single size) : 40 mm nominal size</t>
  </si>
  <si>
    <t>0294</t>
  </si>
  <si>
    <t>Stone Aggregate (Single size) : 25 mm nominal size</t>
  </si>
  <si>
    <t>0295</t>
  </si>
  <si>
    <t>Stone Aggregate (Single size) : 20 mm nominal size</t>
  </si>
  <si>
    <t>0296</t>
  </si>
  <si>
    <t>Stone Aggregate (Single size) : 12.5 mm nominal size</t>
  </si>
  <si>
    <t>0297</t>
  </si>
  <si>
    <t>Stone Aggregate (Single size) : 10 mm nominal size</t>
  </si>
  <si>
    <t>0298</t>
  </si>
  <si>
    <t>Stone Aggregate (Single size) : 06 mm nominal size</t>
  </si>
  <si>
    <t>0302</t>
  </si>
  <si>
    <t>Safeda ballies 125 mm diameter</t>
  </si>
  <si>
    <t>0303</t>
  </si>
  <si>
    <t>Cowdung</t>
  </si>
  <si>
    <t>0304</t>
  </si>
  <si>
    <t>Bajri</t>
  </si>
  <si>
    <t>0305</t>
  </si>
  <si>
    <t>Bamboo 25 mm dia 2.5 metre long</t>
  </si>
  <si>
    <t>score</t>
  </si>
  <si>
    <t>0308</t>
  </si>
  <si>
    <t>Bhusa</t>
  </si>
  <si>
    <t>quintal</t>
  </si>
  <si>
    <t>0309</t>
  </si>
  <si>
    <t>Paving bitumen of grade VG-10 of approved quality</t>
  </si>
  <si>
    <t>tonne</t>
  </si>
  <si>
    <t>0310</t>
  </si>
  <si>
    <t>Bitumen emulsion</t>
  </si>
  <si>
    <t>0312</t>
  </si>
  <si>
    <t>Bitumen grade PMB - 40</t>
  </si>
  <si>
    <t>0313</t>
  </si>
  <si>
    <t>Blown type petroleum bitumen of penetration 85/25 of approved quality</t>
  </si>
  <si>
    <t>0314</t>
  </si>
  <si>
    <t>Bitumen hot sealing compound : grade A</t>
  </si>
  <si>
    <t>kg</t>
  </si>
  <si>
    <t>0316</t>
  </si>
  <si>
    <t>Bitumen solution primer of approved quality</t>
  </si>
  <si>
    <t>litre</t>
  </si>
  <si>
    <t>0317</t>
  </si>
  <si>
    <t>Premoulded joint filler 12 mm thick</t>
  </si>
  <si>
    <t>0318</t>
  </si>
  <si>
    <t>Bitumen felt fibre base (vegetable or animal):As per IS 7193 Grade I</t>
  </si>
  <si>
    <t>0319</t>
  </si>
  <si>
    <t>Bitumen felt as per IS 7193 Grade II</t>
  </si>
  <si>
    <t>0322</t>
  </si>
  <si>
    <t>Bitumen felt :Type 3 grade 1</t>
  </si>
  <si>
    <t>0323</t>
  </si>
  <si>
    <t>Separation Membrane of impermeable plastic sheeting 125 micron thick</t>
  </si>
  <si>
    <t>0324</t>
  </si>
  <si>
    <t>Coal Tar</t>
  </si>
  <si>
    <t>0325</t>
  </si>
  <si>
    <t>Blasting powder</t>
  </si>
  <si>
    <t>0326</t>
  </si>
  <si>
    <t>Blasting fuse (fuse wire)</t>
  </si>
  <si>
    <t>0328</t>
  </si>
  <si>
    <t>White face insulating board: 12 mm thick</t>
  </si>
  <si>
    <t>0332</t>
  </si>
  <si>
    <t>Natural colour insulating board: 12 mm thick</t>
  </si>
  <si>
    <t>0336</t>
  </si>
  <si>
    <t>Flame retardant face insulating board: 12 mm thick</t>
  </si>
  <si>
    <t>0339</t>
  </si>
  <si>
    <t>Flame retardant face insulating, Impregnated fibre board 12 mm thick</t>
  </si>
  <si>
    <t>0341</t>
  </si>
  <si>
    <t>Flat pressed 3 layer particle board (medium density) Grade 1, 12 mm thick</t>
  </si>
  <si>
    <t>0346</t>
  </si>
  <si>
    <t>Extra for veneered particle board with Teak veneering on one side and commercial veneered on other side</t>
  </si>
  <si>
    <t>0347</t>
  </si>
  <si>
    <t>Extra for veneered particle board with Commercial veneering on both</t>
  </si>
  <si>
    <t>0348</t>
  </si>
  <si>
    <t>Extra for veneered particle board with Teak veneering on both sides</t>
  </si>
  <si>
    <t>0349</t>
  </si>
  <si>
    <t>Curing compound</t>
  </si>
  <si>
    <t>0351</t>
  </si>
  <si>
    <t>Integral crystalline slurry</t>
  </si>
  <si>
    <t>0352</t>
  </si>
  <si>
    <t>Integral crystalline admixture</t>
  </si>
  <si>
    <t>0353</t>
  </si>
  <si>
    <t>Crystalline mortar</t>
  </si>
  <si>
    <t>0354</t>
  </si>
  <si>
    <t>Integral crystalline dry shake</t>
  </si>
  <si>
    <t>0355</t>
  </si>
  <si>
    <t>Swellable type water stop tape</t>
  </si>
  <si>
    <t>0356</t>
  </si>
  <si>
    <t>Primer for swellable type water stop tape</t>
  </si>
  <si>
    <t>0357</t>
  </si>
  <si>
    <t>Polymer modified adhesive mortar</t>
  </si>
  <si>
    <t>0362</t>
  </si>
  <si>
    <t>Brick bats</t>
  </si>
  <si>
    <t>0364</t>
  </si>
  <si>
    <t>Wire brush No.</t>
  </si>
  <si>
    <t>0365</t>
  </si>
  <si>
    <t>Soft brush</t>
  </si>
  <si>
    <t>0367</t>
  </si>
  <si>
    <t>Portland Cement (OPC-43 Grade)</t>
  </si>
  <si>
    <t>0368</t>
  </si>
  <si>
    <t>White Cement</t>
  </si>
  <si>
    <t>0369</t>
  </si>
  <si>
    <t>Plastic sheet,1.25 mm thick for dowel bars</t>
  </si>
  <si>
    <t>0370</t>
  </si>
  <si>
    <t>Coal (steam)</t>
  </si>
  <si>
    <t>0371</t>
  </si>
  <si>
    <t>Sealant primer</t>
  </si>
  <si>
    <t>0373</t>
  </si>
  <si>
    <t>Cramp Gun metal 25x6x300 mm</t>
  </si>
  <si>
    <t>0374</t>
  </si>
  <si>
    <t>Pre moulded Joint filler, 25 mm thick for expansion joint.</t>
  </si>
  <si>
    <t>0378</t>
  </si>
  <si>
    <t>Brass butt hinges (light/ordinary type) : 125x70x4 mm</t>
  </si>
  <si>
    <t>0379</t>
  </si>
  <si>
    <t>Brass butt hinges (light/ordinary type) : 100x70x4 mm</t>
  </si>
  <si>
    <t>0380</t>
  </si>
  <si>
    <t>Brass butt hinges (light/ordinary type) : 75x40x2.5 mm</t>
  </si>
  <si>
    <t>0381</t>
  </si>
  <si>
    <t>Brass butt hinges (light/ordinary type) : 50x40x2.5 mm</t>
  </si>
  <si>
    <t>0382</t>
  </si>
  <si>
    <t>Brass butt hinges (heavy type) : 125x85x5.5 mm(0.70 kg)</t>
  </si>
  <si>
    <t>0383</t>
  </si>
  <si>
    <t>Brass butt hinges (heavy type) : 100x85x5.5 mm(0.56 kg)</t>
  </si>
  <si>
    <t>0384</t>
  </si>
  <si>
    <t>Brass butt hinges (heavy type) :75x65x4.0 mm (weighing not less</t>
  </si>
  <si>
    <t>0385</t>
  </si>
  <si>
    <t>Brass parliamentary hinges 150x125x27x5 mm</t>
  </si>
  <si>
    <t>0386</t>
  </si>
  <si>
    <t>Brass parliamentary hinges 125x125x27x5 mm</t>
  </si>
  <si>
    <t>0387</t>
  </si>
  <si>
    <t>Brass parliamentary hinges 100x125x27x5 mm</t>
  </si>
  <si>
    <t>0388</t>
  </si>
  <si>
    <t>Brass parliamentary hinges 75x100x20x3.2 mm</t>
  </si>
  <si>
    <t>0389</t>
  </si>
  <si>
    <t>Brass single acting spring hinges 150 mm</t>
  </si>
  <si>
    <t>0390</t>
  </si>
  <si>
    <t>Brass single acting spring hinges 125 mm</t>
  </si>
  <si>
    <t>0391</t>
  </si>
  <si>
    <t>Brass single acting spring hinges 100 mm</t>
  </si>
  <si>
    <t>0392</t>
  </si>
  <si>
    <t>Brass double acting spring hinges 150 mm</t>
  </si>
  <si>
    <t>0393</t>
  </si>
  <si>
    <t>Brass double acting spring hinges 125 mm</t>
  </si>
  <si>
    <t>0394</t>
  </si>
  <si>
    <t>Brass double acting spring hinges 100 mm</t>
  </si>
  <si>
    <t>0400</t>
  </si>
  <si>
    <t>Brass tower bolt (barrel type) 250x10 mm</t>
  </si>
  <si>
    <t>0401</t>
  </si>
  <si>
    <t>Brass tower bolt (barrel type) 200x10 mm</t>
  </si>
  <si>
    <t>0402</t>
  </si>
  <si>
    <t>Brass tower bolt (barrel type) 150x10 mm</t>
  </si>
  <si>
    <t>0403</t>
  </si>
  <si>
    <t>Brass tower bolt (barrel type) 100x10 mm</t>
  </si>
  <si>
    <t>0404</t>
  </si>
  <si>
    <t>Brass flush bolt 250 mm</t>
  </si>
  <si>
    <t>0405</t>
  </si>
  <si>
    <t>Brass flush bolt 150 mm</t>
  </si>
  <si>
    <t>0406</t>
  </si>
  <si>
    <t>Brass flush bolt 100 mm</t>
  </si>
  <si>
    <t>0408</t>
  </si>
  <si>
    <t>Brass handles 125 mm with plate 175x32 mm</t>
  </si>
  <si>
    <t>0409</t>
  </si>
  <si>
    <t>Brass handles 100 mm with plate 150x32 mm</t>
  </si>
  <si>
    <t>0410</t>
  </si>
  <si>
    <t>Brass handles 75 mm with plate 125x32 mm</t>
  </si>
  <si>
    <t>0411</t>
  </si>
  <si>
    <t>Brass door latch 300x16x5 mmweighing not less than 0.380 kg</t>
  </si>
  <si>
    <t>0412</t>
  </si>
  <si>
    <t>Brass door latch 250x16x5 mm</t>
  </si>
  <si>
    <t>0413</t>
  </si>
  <si>
    <t>Brass mortice latch and lock 100x65 mm with 6 levers and a pair of</t>
  </si>
  <si>
    <t>0414</t>
  </si>
  <si>
    <t>Brass mortice latch 100x65mm with a pair of brass lever handles</t>
  </si>
  <si>
    <t>0417</t>
  </si>
  <si>
    <t>Brass 150 mm floor door stopper</t>
  </si>
  <si>
    <t>0418</t>
  </si>
  <si>
    <t>Brass hard drawn hooks and eyes 300 mm</t>
  </si>
  <si>
    <t>0419</t>
  </si>
  <si>
    <t>Brass hard drawn hooks and eyes 250 mm</t>
  </si>
  <si>
    <t>0420</t>
  </si>
  <si>
    <t>Brass hard drawn hooks and eyes 200 mm</t>
  </si>
  <si>
    <t>0421</t>
  </si>
  <si>
    <t>Brass hard drawn hooks and eyes 150 mm</t>
  </si>
  <si>
    <t>0422</t>
  </si>
  <si>
    <t>Brass hard drawn hooks and eyes 100 mm</t>
  </si>
  <si>
    <t>0423</t>
  </si>
  <si>
    <t>Brass casement window fastener No.</t>
  </si>
  <si>
    <t>0424</t>
  </si>
  <si>
    <t>Brass casement stays (straight peg type) 300 mm weighing not less</t>
  </si>
  <si>
    <t>0425</t>
  </si>
  <si>
    <t>Brass casement stays (straight peg type) 250 mm weighing not less</t>
  </si>
  <si>
    <t>0426</t>
  </si>
  <si>
    <t>Brass casement stays (straight peg type) 200 mm weighing not less</t>
  </si>
  <si>
    <t>0427</t>
  </si>
  <si>
    <t>Brass quadrant stays 300 mm</t>
  </si>
  <si>
    <t>0428</t>
  </si>
  <si>
    <t>Brass fanlight catch</t>
  </si>
  <si>
    <t>0429</t>
  </si>
  <si>
    <t>Brass fanlight pivot</t>
  </si>
  <si>
    <t>0430</t>
  </si>
  <si>
    <t>Brass chain with hook for fan light catch</t>
  </si>
  <si>
    <t>0431</t>
  </si>
  <si>
    <t>Brass hasps and staples (safety type) 150 mm</t>
  </si>
  <si>
    <t>0432</t>
  </si>
  <si>
    <t>Brass hasps and staples (safety type) 115 mm</t>
  </si>
  <si>
    <t>0433</t>
  </si>
  <si>
    <t>Brass hasps and staples (safety type) 90 mm</t>
  </si>
  <si>
    <t>0438</t>
  </si>
  <si>
    <t>Brass night latch</t>
  </si>
  <si>
    <t>0442</t>
  </si>
  <si>
    <t>Brass helical spring 150 mm</t>
  </si>
  <si>
    <t>0444</t>
  </si>
  <si>
    <t>Brass curtain rod 20 mm dia 1.25 mm thick</t>
  </si>
  <si>
    <t>0445</t>
  </si>
  <si>
    <t>Brass curtain rod 25 mm dia 1.25 mm thick</t>
  </si>
  <si>
    <t>0446</t>
  </si>
  <si>
    <t>Brass brackets (curtain rods) 20 mm</t>
  </si>
  <si>
    <t>0447</t>
  </si>
  <si>
    <t>Brass cupboard knob or wardrobe knob 50 mm</t>
  </si>
  <si>
    <t>0449</t>
  </si>
  <si>
    <t>Brass screws 50 mm</t>
  </si>
  <si>
    <t>100 Nos</t>
  </si>
  <si>
    <t>0450</t>
  </si>
  <si>
    <t>Brass screws 40 mm</t>
  </si>
  <si>
    <t>0451</t>
  </si>
  <si>
    <t>Brass screws 30 mm</t>
  </si>
  <si>
    <t>0452</t>
  </si>
  <si>
    <t>Brass screws 25 mm</t>
  </si>
  <si>
    <t>0453</t>
  </si>
  <si>
    <t>Brass screws 20 mm</t>
  </si>
  <si>
    <t>0454</t>
  </si>
  <si>
    <t>Stainless steel SS grade 304 , curtain rod 20 mm dia 1.20mm thick</t>
  </si>
  <si>
    <t>0455</t>
  </si>
  <si>
    <t>Stainless steel SS grade 304,</t>
  </si>
  <si>
    <t>0456</t>
  </si>
  <si>
    <t>0457</t>
  </si>
  <si>
    <t>0458</t>
  </si>
  <si>
    <t>plastic sleeves for screw</t>
  </si>
  <si>
    <t>0524</t>
  </si>
  <si>
    <t>Chromium plated Brass butt hinges (heavy) type 75x65x4 mm weighing</t>
  </si>
  <si>
    <t>0525</t>
  </si>
  <si>
    <t>Chromium plated Brass butt hinges (light/ordinary) type 125x70x4mm</t>
  </si>
  <si>
    <t>0526</t>
  </si>
  <si>
    <t>Chromium plated Brass butt hinges (light/ordinary) type 100x70x4 mm</t>
  </si>
  <si>
    <t>0527</t>
  </si>
  <si>
    <t>Chromium plated Brass butt hinges (light/ordinary) type 75x40x2.5 mm</t>
  </si>
  <si>
    <t>0528</t>
  </si>
  <si>
    <t>Chromium plated Brass butt hinges (light/ordinary) type 50x40x2.5 mm</t>
  </si>
  <si>
    <t>0552</t>
  </si>
  <si>
    <t>75mm SS fancy handles for kitchen cabinet</t>
  </si>
  <si>
    <t>10 Nos.</t>
  </si>
  <si>
    <t>0553</t>
  </si>
  <si>
    <t>100mm SS fancy handles for kitchen cabinet</t>
  </si>
  <si>
    <t>0554</t>
  </si>
  <si>
    <t>125mm SS fancy handles for kitchen cabinet</t>
  </si>
  <si>
    <t>0555</t>
  </si>
  <si>
    <t>Chromium plated Brass handles 125 mm with plate 175 x32 mm</t>
  </si>
  <si>
    <t>0556</t>
  </si>
  <si>
    <t>Chromium plated Brass handles 100 mm with plate 150 x 32 mm</t>
  </si>
  <si>
    <t>0557</t>
  </si>
  <si>
    <t>Chromium plated Brass handles 75mm with plate 125x32 mm</t>
  </si>
  <si>
    <t>0558</t>
  </si>
  <si>
    <t>Chromium plated Brass mortice latch and lock 100x65 mm with 6 levers and a pair of brass lever handles</t>
  </si>
  <si>
    <t>0568</t>
  </si>
  <si>
    <t>Chromium plated brass casement window fastener</t>
  </si>
  <si>
    <t>0569</t>
  </si>
  <si>
    <t>Chromium plated Brass casement stays (straight peg type) 300 mm</t>
  </si>
  <si>
    <t>0570</t>
  </si>
  <si>
    <t>Chromium plated Brass casement stays (straight peg type) 250 mm No.</t>
  </si>
  <si>
    <t>0571</t>
  </si>
  <si>
    <t>Chromium plated Brass casement stays (straight peg type) 200 mm</t>
  </si>
  <si>
    <t>0583</t>
  </si>
  <si>
    <t>Chromium plated Brass Night latch</t>
  </si>
  <si>
    <t>0584</t>
  </si>
  <si>
    <t>Chromium plated Brass Wardrobe Knob 50 mm</t>
  </si>
  <si>
    <t>0585</t>
  </si>
  <si>
    <t>Chromium plated Brass screws 50 mm</t>
  </si>
  <si>
    <t>0586</t>
  </si>
  <si>
    <t>Chromium plated Brass screws 40 mm</t>
  </si>
  <si>
    <t>0587</t>
  </si>
  <si>
    <t>Chromium plated Brass screws 30 mm</t>
  </si>
  <si>
    <t>0588</t>
  </si>
  <si>
    <t>Chromium plated Brass screws 25 mm</t>
  </si>
  <si>
    <t>0589</t>
  </si>
  <si>
    <t>Chromium plated Brass screws 20 mm</t>
  </si>
  <si>
    <t>0590</t>
  </si>
  <si>
    <t>Chromium plated Brass curtain rod 12 mm dia 1.25mm thick</t>
  </si>
  <si>
    <t>0591</t>
  </si>
  <si>
    <t>Chromium plated Brass curtain rod 20 mm dia 1.25mm thick</t>
  </si>
  <si>
    <t>0592</t>
  </si>
  <si>
    <t>Chromium plated Brass curtain rod 25 mm dia 1.25mm thick</t>
  </si>
  <si>
    <t>0593</t>
  </si>
  <si>
    <t>C.P. Brass Extension Nipple (1/2"x2" size)</t>
  </si>
  <si>
    <t>0594</t>
  </si>
  <si>
    <t>Bright finished or black enameled mild steel butt hinges 125x65x 2.12 mm</t>
  </si>
  <si>
    <t>0595</t>
  </si>
  <si>
    <t>Bright finished or black enameled mild steel butt hinges 100x58x 1.90 mm</t>
  </si>
  <si>
    <t>0596</t>
  </si>
  <si>
    <t>Bright finished or black enameled mild steel butt hinges 75x47x 1.70 mm</t>
  </si>
  <si>
    <t>0597</t>
  </si>
  <si>
    <t>Bright finished or black enameled mild steel butt hinges 50x37x 1.50 mm</t>
  </si>
  <si>
    <t>0608</t>
  </si>
  <si>
    <t>Nickel plated bright finished mild steel piano hinges 1 mm thick</t>
  </si>
  <si>
    <t>0635</t>
  </si>
  <si>
    <t>Bright finished or black enameled mild steel screws 50 mm</t>
  </si>
  <si>
    <t>0637</t>
  </si>
  <si>
    <t>Bright finished or black enameled mild steel screws 40 mm</t>
  </si>
  <si>
    <t>0638</t>
  </si>
  <si>
    <t>Bright finished or black enameled mild steel screws 30 mm</t>
  </si>
  <si>
    <t>0639</t>
  </si>
  <si>
    <t>Bright finished or black enameled mild steel screws 25 mm</t>
  </si>
  <si>
    <t>0640</t>
  </si>
  <si>
    <t>Bright finished or black enameled mild steel screws 20 mm</t>
  </si>
  <si>
    <t>0641</t>
  </si>
  <si>
    <t>Bright finished or black enameled mild steel bolts and nuts 50x6 mm</t>
  </si>
  <si>
    <t>0642</t>
  </si>
  <si>
    <t>Oxidised mild steel butt hinges 125x65x2.12 mm</t>
  </si>
  <si>
    <t>0643</t>
  </si>
  <si>
    <t>Oxidised mild steel butt hinges 100x58x1.90 mm</t>
  </si>
  <si>
    <t>0644</t>
  </si>
  <si>
    <t>Oxidised mild steel butt hinges 75x47x1.70 mm</t>
  </si>
  <si>
    <t>0645</t>
  </si>
  <si>
    <t>Oxidised mild steel butt hinges 50x37x1.50 mm</t>
  </si>
  <si>
    <t>0646</t>
  </si>
  <si>
    <t>Oxidised mild steel parliamentary hinges 150x125x27x2.8 mm</t>
  </si>
  <si>
    <t>0647</t>
  </si>
  <si>
    <t>Oxidised mild steel parliamentary hinges 125x125x27x2.8 mm</t>
  </si>
  <si>
    <t>0648</t>
  </si>
  <si>
    <t>Oxidised mild steel parliamentary hinges 100x125x27x2.8 mm</t>
  </si>
  <si>
    <t>0649</t>
  </si>
  <si>
    <t>Oxidised mild steel parliamentary hinges 75x100x20x2.24 mm</t>
  </si>
  <si>
    <t>0650</t>
  </si>
  <si>
    <t>Oxidised mild steel single acting spring hinges 150 mm</t>
  </si>
  <si>
    <t>0651</t>
  </si>
  <si>
    <t>Oxidised mild steel single acting spring hinges 125 mm</t>
  </si>
  <si>
    <t>0652</t>
  </si>
  <si>
    <t>Oxidised mild steel single acting spring hinges 100 mm</t>
  </si>
  <si>
    <t>0653</t>
  </si>
  <si>
    <t>Oxidised mild steel double acting spring hinges 150 mm</t>
  </si>
  <si>
    <t>0654</t>
  </si>
  <si>
    <t>Oxidised mild steel double acting spring hinges 125 mm</t>
  </si>
  <si>
    <t>0655</t>
  </si>
  <si>
    <t>Oxidised mild steel double acting spring hinges 100 mm</t>
  </si>
  <si>
    <t>0656</t>
  </si>
  <si>
    <t>Nickel plated mild steel piano hinges 1 mm thick 35 mm wide</t>
  </si>
  <si>
    <t>0660</t>
  </si>
  <si>
    <t>Oxidised mild steel sliding door bolt 300x16 mm</t>
  </si>
  <si>
    <t>0661</t>
  </si>
  <si>
    <t>Oxidised mild steel sliding door bolt 250x16 mm</t>
  </si>
  <si>
    <t>0662</t>
  </si>
  <si>
    <t>Oxidised mild steel door latch 300x20x6 mm</t>
  </si>
  <si>
    <t>0663</t>
  </si>
  <si>
    <t>Oxidised mild steel door latch 250x20x6 mm</t>
  </si>
  <si>
    <t>0664</t>
  </si>
  <si>
    <t>Oxidised mild steel tower bolt (barrel type) 250x10 mm</t>
  </si>
  <si>
    <t>0665</t>
  </si>
  <si>
    <t>Oxidised mild steel tower bolt (barrel type) 200x10 mm</t>
  </si>
  <si>
    <t>0666</t>
  </si>
  <si>
    <t>Oxidised mild steel tower bolt (barrel type) 150x10 mm</t>
  </si>
  <si>
    <t>0667</t>
  </si>
  <si>
    <t>Oxidised mild steel tower bolt (barrel type) 100x10 mm</t>
  </si>
  <si>
    <t>0668</t>
  </si>
  <si>
    <t>Oxidised mild steel handles 125 mm No.</t>
  </si>
  <si>
    <t>0669</t>
  </si>
  <si>
    <t>Oxidised mild steel handles 100 mm</t>
  </si>
  <si>
    <t>0670</t>
  </si>
  <si>
    <t>Oxidised mild steel handles 75 mm</t>
  </si>
  <si>
    <t>0679</t>
  </si>
  <si>
    <t>Oxidised mild steel hasps and staples (safety type) 150 mm</t>
  </si>
  <si>
    <t>0680</t>
  </si>
  <si>
    <t>Oxidised mild steel hasps and staples (safety type) 115 mm</t>
  </si>
  <si>
    <t>0681</t>
  </si>
  <si>
    <t>Oxidised mild steel hasps and staples (safety type) 90 mm</t>
  </si>
  <si>
    <t>0682</t>
  </si>
  <si>
    <t>Oxidised mild steel screws 50 mm</t>
  </si>
  <si>
    <t>0683</t>
  </si>
  <si>
    <t>Oxidised mild steel screws 40 mm</t>
  </si>
  <si>
    <t>0684</t>
  </si>
  <si>
    <t>Oxidised mild steel screws 30 mm</t>
  </si>
  <si>
    <t>0685</t>
  </si>
  <si>
    <t>Oxidised mild steel screws 25 mm</t>
  </si>
  <si>
    <t>0686</t>
  </si>
  <si>
    <t>Oxidised mild steel screws 20 mm</t>
  </si>
  <si>
    <t>0687</t>
  </si>
  <si>
    <t>Anodised Aluminium butt hinges 125x75x4 mm</t>
  </si>
  <si>
    <t>0688</t>
  </si>
  <si>
    <t>Anodised Aluminium butt hinges 125x63x4 mm</t>
  </si>
  <si>
    <t>0689</t>
  </si>
  <si>
    <t>Anodised Aluminium butt hinges 100x75x4 mm</t>
  </si>
  <si>
    <t>0690</t>
  </si>
  <si>
    <t>Anodised Aluminium butt hinges 100x63x3.2 mm</t>
  </si>
  <si>
    <t>0691</t>
  </si>
  <si>
    <t>Anodised Aluminium butt hinges 100x63x4 mm</t>
  </si>
  <si>
    <t>0692</t>
  </si>
  <si>
    <t>Anodised Aluminium butt hinges 75x63x4 mm</t>
  </si>
  <si>
    <t>0693</t>
  </si>
  <si>
    <t>Anodised Aluminium butt hinges 75x63x3.2 mm</t>
  </si>
  <si>
    <t>0694</t>
  </si>
  <si>
    <t>Anodised Aluminium butt hinges 75x45x3.2 mm</t>
  </si>
  <si>
    <t>0696</t>
  </si>
  <si>
    <t>Anodised Aluminium sliding door bolt 300x16 mm</t>
  </si>
  <si>
    <t>0697</t>
  </si>
  <si>
    <t>Anodised Aluminium sliding door bolt 250x16 mm</t>
  </si>
  <si>
    <t>0698</t>
  </si>
  <si>
    <t>Anodised Aluminium tower bolt (barrel type) 300x10 mm</t>
  </si>
  <si>
    <t>0699</t>
  </si>
  <si>
    <t>Anodised Aluminium tower bolt (barrel type) 250x10 mm</t>
  </si>
  <si>
    <t>0700</t>
  </si>
  <si>
    <t>Anodised Aluminium tower bolt (barrel type) 200x10 mm</t>
  </si>
  <si>
    <t>0701</t>
  </si>
  <si>
    <t>Anodised Aluminium tower bolt (barrel type) 150x10 mm</t>
  </si>
  <si>
    <t>0702</t>
  </si>
  <si>
    <t>Anodised Aluminium tower bolt (barrel type) 100x10 mm</t>
  </si>
  <si>
    <t>0703</t>
  </si>
  <si>
    <t>Anodised Aluminium handles 125 mm with plate 175 x 32 mm</t>
  </si>
  <si>
    <t>0704</t>
  </si>
  <si>
    <t>Anodised Aluminium handles 100 mm with plate 150 x 32 mm</t>
  </si>
  <si>
    <t>0705</t>
  </si>
  <si>
    <t>Anodised Aluminium handles 75mm with plate 125 x 32 mm</t>
  </si>
  <si>
    <t>0706</t>
  </si>
  <si>
    <t>Anodised Aluminium kicking plate 50 cm long 100x3.15 mm</t>
  </si>
  <si>
    <t>0713</t>
  </si>
  <si>
    <t>Block board construction flush door with teak wood ply on both faces</t>
  </si>
  <si>
    <t>0714</t>
  </si>
  <si>
    <t>0715</t>
  </si>
  <si>
    <t>0717</t>
  </si>
  <si>
    <t>Block board construction flush door with commercial ply on both faces</t>
  </si>
  <si>
    <t>0718</t>
  </si>
  <si>
    <t>0719</t>
  </si>
  <si>
    <t>0752</t>
  </si>
  <si>
    <t>Block board construction flush door lipping 25 mm thick door area</t>
  </si>
  <si>
    <t>sqm of</t>
  </si>
  <si>
    <t>0754</t>
  </si>
  <si>
    <t>Circular vision panel in Block board construction flush door door area</t>
  </si>
  <si>
    <t>0755</t>
  </si>
  <si>
    <t>Decorative type louvers in Block board construction flush door door area</t>
  </si>
  <si>
    <t>0757</t>
  </si>
  <si>
    <t>Rebate cutting in block board construction flush door door area No.</t>
  </si>
  <si>
    <t>0759</t>
  </si>
  <si>
    <t>Decorative plywood 4 mm</t>
  </si>
  <si>
    <t>0761</t>
  </si>
  <si>
    <t>Fuel wood</t>
  </si>
  <si>
    <t>0763</t>
  </si>
  <si>
    <t>Glue</t>
  </si>
  <si>
    <t>0764</t>
  </si>
  <si>
    <t>Calcium silicate base compound for jointing calcium silicate tiles</t>
  </si>
  <si>
    <t>0765</t>
  </si>
  <si>
    <t>Hessian cloth</t>
  </si>
  <si>
    <t>0768</t>
  </si>
  <si>
    <t>Cement Concrete Jali 50 mm thick</t>
  </si>
  <si>
    <t>0769</t>
  </si>
  <si>
    <t>Cement Concrete Jali 40 mm thick</t>
  </si>
  <si>
    <t>0770</t>
  </si>
  <si>
    <t>Cement Concrete Jali 25 mm thick</t>
  </si>
  <si>
    <t>0771</t>
  </si>
  <si>
    <t>Kerosene oil</t>
  </si>
  <si>
    <t>0772</t>
  </si>
  <si>
    <t>White cement based polymer modified self curing compound in powder</t>
  </si>
  <si>
    <t>0773</t>
  </si>
  <si>
    <t>Unslaked lime</t>
  </si>
  <si>
    <t>0775</t>
  </si>
  <si>
    <t>Dehradun white lime</t>
  </si>
  <si>
    <t>0776</t>
  </si>
  <si>
    <t>Satna lime</t>
  </si>
  <si>
    <t>0777</t>
  </si>
  <si>
    <t>Dry hydrated lime (factory made)</t>
  </si>
  <si>
    <t>0784</t>
  </si>
  <si>
    <t>Marble dust/ powder</t>
  </si>
  <si>
    <t>0785</t>
  </si>
  <si>
    <t>Marble chips up to 4 mm and down size White &amp; black</t>
  </si>
  <si>
    <t>0788</t>
  </si>
  <si>
    <t>Marble chips large size above 4 mm White &amp; black</t>
  </si>
  <si>
    <t>0801</t>
  </si>
  <si>
    <t>Silicon and acrylic emulsion</t>
  </si>
  <si>
    <t>0802</t>
  </si>
  <si>
    <t>Acrylic distemper 1st quality , having VOC content less than 50 grams/ litre</t>
  </si>
  <si>
    <t>Kg</t>
  </si>
  <si>
    <t>0803</t>
  </si>
  <si>
    <t>Acrylic emulsion, having VOC content less than 50 grams/ litre</t>
  </si>
  <si>
    <t>0804</t>
  </si>
  <si>
    <t>Premium acrylic emulsion of interior grade, having VOC content less</t>
  </si>
  <si>
    <t>0806</t>
  </si>
  <si>
    <t>Ready mixed pink or grey primer on wood work (hard and soft wood)</t>
  </si>
  <si>
    <t>0808</t>
  </si>
  <si>
    <t>Water thinnable cement primer for interior wall surface, having VOC</t>
  </si>
  <si>
    <t>0809</t>
  </si>
  <si>
    <t>Exterior primer</t>
  </si>
  <si>
    <t>0810</t>
  </si>
  <si>
    <t>Moorum</t>
  </si>
  <si>
    <t>0811</t>
  </si>
  <si>
    <t>Mud (dry)</t>
  </si>
  <si>
    <t>0815</t>
  </si>
  <si>
    <t>Dry distemper</t>
  </si>
  <si>
    <t>0816</t>
  </si>
  <si>
    <t>Ist quality Acrylic distemper(Ready mix) having VOC content less than</t>
  </si>
  <si>
    <t>0818</t>
  </si>
  <si>
    <t>Linseed oil (double boiled)</t>
  </si>
  <si>
    <t>0820</t>
  </si>
  <si>
    <t>Cement primer</t>
  </si>
  <si>
    <t>0821</t>
  </si>
  <si>
    <t>Distemper primer</t>
  </si>
  <si>
    <t>0823</t>
  </si>
  <si>
    <t>Pink primer (for wood)</t>
  </si>
  <si>
    <t>0824</t>
  </si>
  <si>
    <t>White cement based putty</t>
  </si>
  <si>
    <t>0826</t>
  </si>
  <si>
    <t>Aluminium paint</t>
  </si>
  <si>
    <t>0827</t>
  </si>
  <si>
    <t>Acid proof paint (chocolate or black)</t>
  </si>
  <si>
    <t>0828</t>
  </si>
  <si>
    <t>Anticorrosive bituminous paint (black)</t>
  </si>
  <si>
    <t>0829</t>
  </si>
  <si>
    <t>Black Japan paint</t>
  </si>
  <si>
    <t>0830</t>
  </si>
  <si>
    <t>Enamel paint</t>
  </si>
  <si>
    <t>0831</t>
  </si>
  <si>
    <t>Floor enamel paint in all shades except green</t>
  </si>
  <si>
    <t>0833</t>
  </si>
  <si>
    <t>Synthetic enamel paint in black or chocolate shade</t>
  </si>
  <si>
    <t>0834</t>
  </si>
  <si>
    <t>Synthetic enamel paint in all shades except black or chocolate shade</t>
  </si>
  <si>
    <t>0835</t>
  </si>
  <si>
    <t>Plastic acrylic emulsion paint</t>
  </si>
  <si>
    <t>0836</t>
  </si>
  <si>
    <t>100% Premium acrylic dirt resistance, Silicone additives exterior paint</t>
  </si>
  <si>
    <t>0837</t>
  </si>
  <si>
    <t>Acrylic Exterior Primer No.</t>
  </si>
  <si>
    <t>0845</t>
  </si>
  <si>
    <t>Roofing paint for iron sheets in red colour</t>
  </si>
  <si>
    <t>0850</t>
  </si>
  <si>
    <t>White lead</t>
  </si>
  <si>
    <t>0851</t>
  </si>
  <si>
    <t>Water proofing cement paint</t>
  </si>
  <si>
    <t>0855</t>
  </si>
  <si>
    <t>Wax polish (ready made)</t>
  </si>
  <si>
    <t>0856</t>
  </si>
  <si>
    <t>Ordinary varnish</t>
  </si>
  <si>
    <t>0857</t>
  </si>
  <si>
    <t>Superior copal varnish</t>
  </si>
  <si>
    <t>0858</t>
  </si>
  <si>
    <t>Superior spar varnish</t>
  </si>
  <si>
    <t>0859</t>
  </si>
  <si>
    <t>Oil type wood preservative</t>
  </si>
  <si>
    <t>0863</t>
  </si>
  <si>
    <t>Putty for wood work</t>
  </si>
  <si>
    <t>0865</t>
  </si>
  <si>
    <t>Pig lead</t>
  </si>
  <si>
    <t>0868</t>
  </si>
  <si>
    <t>Premixed super white gypsum plaster</t>
  </si>
  <si>
    <t>0869</t>
  </si>
  <si>
    <t>Plaster of Paris</t>
  </si>
  <si>
    <t>0870</t>
  </si>
  <si>
    <t>Plug</t>
  </si>
  <si>
    <t>0873</t>
  </si>
  <si>
    <t>Copper pins 6 mm dia 7.5 cm long</t>
  </si>
  <si>
    <t>0874</t>
  </si>
  <si>
    <t>Black colour dark shade pigment</t>
  </si>
  <si>
    <t>0876</t>
  </si>
  <si>
    <t>Green or blue medium shade pigment</t>
  </si>
  <si>
    <t>0886</t>
  </si>
  <si>
    <t>Standard holder bat clamps for sand cast iron or cast iron pipes</t>
  </si>
  <si>
    <t>0966</t>
  </si>
  <si>
    <t>Sand Cast iron plain shoe 150 mm dia</t>
  </si>
  <si>
    <t>0967</t>
  </si>
  <si>
    <t>Copper plate</t>
  </si>
  <si>
    <t>0969</t>
  </si>
  <si>
    <t>Pulley 25 mm dia</t>
  </si>
  <si>
    <t>0973</t>
  </si>
  <si>
    <t>Rolling shutter made of 80x1.25 mm machine rolled laths</t>
  </si>
  <si>
    <t>0974</t>
  </si>
  <si>
    <t>Top cover for rolling shutters 1.25 mm thick</t>
  </si>
  <si>
    <t>0975</t>
  </si>
  <si>
    <t>27.5 cm long wire spring grade No. 2 for rolling shutters</t>
  </si>
  <si>
    <t>0976</t>
  </si>
  <si>
    <t>Ball bearing for rolling shutters</t>
  </si>
  <si>
    <t>0977</t>
  </si>
  <si>
    <t>Extra for mechanical devices chain and cranked operation for operating</t>
  </si>
  <si>
    <t>0978</t>
  </si>
  <si>
    <t>0979</t>
  </si>
  <si>
    <t>Royalty for good earth</t>
  </si>
  <si>
    <t>0980</t>
  </si>
  <si>
    <t>Royalty for sludge</t>
  </si>
  <si>
    <t>0982</t>
  </si>
  <si>
    <t>Coarse sand (zone III)</t>
  </si>
  <si>
    <t>0983</t>
  </si>
  <si>
    <t>Fine sand (zone IV)</t>
  </si>
  <si>
    <t>0992</t>
  </si>
  <si>
    <t>Galvanised steel plain sheets</t>
  </si>
  <si>
    <t>0993</t>
  </si>
  <si>
    <t>FY-1860 grade wire strands</t>
  </si>
  <si>
    <t>0994</t>
  </si>
  <si>
    <t>Standard quality hard board sheet 3 mm thick</t>
  </si>
  <si>
    <t>0996</t>
  </si>
  <si>
    <t>Standard quality hard board sheet 4.5 mm thick</t>
  </si>
  <si>
    <t>0999</t>
  </si>
  <si>
    <t>Shellac</t>
  </si>
  <si>
    <t>1000</t>
  </si>
  <si>
    <t>Spirit</t>
  </si>
  <si>
    <t>1001</t>
  </si>
  <si>
    <t>Spun yarn</t>
  </si>
  <si>
    <t>1002</t>
  </si>
  <si>
    <t>Mild steel round bar 12 mm dia and below</t>
  </si>
  <si>
    <t>1003</t>
  </si>
  <si>
    <t>Mild steel round bar above 12 mm dia</t>
  </si>
  <si>
    <t>1004</t>
  </si>
  <si>
    <t>Average rate of Mild steel round bars for reinforcement</t>
  </si>
  <si>
    <t>1005</t>
  </si>
  <si>
    <t>Twisted steel/ deformed TMT bars Fe-500D</t>
  </si>
  <si>
    <t>1006</t>
  </si>
  <si>
    <t>Mild steel square bars</t>
  </si>
  <si>
    <t>1007</t>
  </si>
  <si>
    <t>Structural steel such as tees, angles channels and R.S. joist s</t>
  </si>
  <si>
    <t>1008</t>
  </si>
  <si>
    <t>Flats up to 10 mm in thickness No.</t>
  </si>
  <si>
    <t>1009</t>
  </si>
  <si>
    <t>Flats exceeding 10 mm in thickness</t>
  </si>
  <si>
    <t>1010</t>
  </si>
  <si>
    <t>Mild steel plates</t>
  </si>
  <si>
    <t>1011</t>
  </si>
  <si>
    <t>Steel glazed door, window/ ventilator, all members viz. F7D, F4B, K11</t>
  </si>
  <si>
    <t>1012</t>
  </si>
  <si>
    <t>Pregalvanized high tensile steel confirming to IS:277-199</t>
  </si>
  <si>
    <t>1013</t>
  </si>
  <si>
    <t>Mild steel sheets of 1.00 mm thickness for tanks</t>
  </si>
  <si>
    <t>1015</t>
  </si>
  <si>
    <t>Mild steel expanded metal 20x60 mm strands 3.25 mm wide 1.60 mm</t>
  </si>
  <si>
    <t>1019</t>
  </si>
  <si>
    <t>Mild steel hooks</t>
  </si>
  <si>
    <t>1020</t>
  </si>
  <si>
    <t>Mild steel rivets</t>
  </si>
  <si>
    <t>1021</t>
  </si>
  <si>
    <t>Hard drawn steel wire fabric 75 x 25 mm mesh of weight not less than</t>
  </si>
  <si>
    <t>1022</t>
  </si>
  <si>
    <t>Galvanised steel bolts &amp; nuts 6 mm dia and 25 mm long round head</t>
  </si>
  <si>
    <t>1023</t>
  </si>
  <si>
    <t>Galvanised steel J or L hooks 8 mm dia</t>
  </si>
  <si>
    <t>1024</t>
  </si>
  <si>
    <t>Galvanised steel bolts &amp; nuts 10 mm dia and 125 mm long round</t>
  </si>
  <si>
    <t>1025</t>
  </si>
  <si>
    <t>Mild steel bolts 6 mm dia and 25 mm long with hexagonal head</t>
  </si>
  <si>
    <t>1027</t>
  </si>
  <si>
    <t>Erection Bolts ( Minimum 04 nos for each element)</t>
  </si>
  <si>
    <t>1028</t>
  </si>
  <si>
    <t>Straining bolts</t>
  </si>
  <si>
    <t>1029</t>
  </si>
  <si>
    <t>Galvanised steel barbed wire of 9.8 kg /100metre</t>
  </si>
  <si>
    <t>1030</t>
  </si>
  <si>
    <t>Galvanised steel turn buckles</t>
  </si>
  <si>
    <t>1031</t>
  </si>
  <si>
    <t>Galvanised steel bolts &amp; nuts 10 mm dia and 27 cm long both sides</t>
  </si>
  <si>
    <t>1032</t>
  </si>
  <si>
    <t>Galvanised steel bolts 10 mm dia and 7 cm long with nuts</t>
  </si>
  <si>
    <t>1034</t>
  </si>
  <si>
    <t>Bolts and nuts up to 300 mm in length</t>
  </si>
  <si>
    <t>1035</t>
  </si>
  <si>
    <t>Bolts and nuts above 300 mm in length</t>
  </si>
  <si>
    <t>1036</t>
  </si>
  <si>
    <t>Iron pintels including welded pin</t>
  </si>
  <si>
    <t>1143</t>
  </si>
  <si>
    <t>Steel beading 10x10x1.6mm (box type)</t>
  </si>
  <si>
    <t>1145</t>
  </si>
  <si>
    <t>Aluminium Plain Strip edging 38x12x3 mm</t>
  </si>
  <si>
    <t>1149</t>
  </si>
  <si>
    <t>Glass strip 4 mm thick 40 mm deep</t>
  </si>
  <si>
    <t>1151</t>
  </si>
  <si>
    <t>Boundary stone top chisel dressed 15x15x90 cm</t>
  </si>
  <si>
    <t>1154</t>
  </si>
  <si>
    <t>Through and bond stone</t>
  </si>
  <si>
    <t>1157</t>
  </si>
  <si>
    <t>Stone for masonry work</t>
  </si>
  <si>
    <t>1158</t>
  </si>
  <si>
    <t>Stone for pitching 15 cm x 22.5 cm</t>
  </si>
  <si>
    <t>1159</t>
  </si>
  <si>
    <t>Stone dust</t>
  </si>
  <si>
    <t>1160</t>
  </si>
  <si>
    <t>Red sand stone block</t>
  </si>
  <si>
    <t>10 cudm</t>
  </si>
  <si>
    <t>1161</t>
  </si>
  <si>
    <t>White sand stone block</t>
  </si>
  <si>
    <t>1163</t>
  </si>
  <si>
    <t>White sand stone slab 75 mm thick (un-dressed)</t>
  </si>
  <si>
    <t>1164</t>
  </si>
  <si>
    <t>Red sand stone slab 40 mm thick (un-dressed)</t>
  </si>
  <si>
    <t>1165</t>
  </si>
  <si>
    <t>White sand stone slab 40 mm thick (un-dressed)</t>
  </si>
  <si>
    <t>1166</t>
  </si>
  <si>
    <t>Red sand stone slab 30 mm thick (un-dressed)</t>
  </si>
  <si>
    <t>1168</t>
  </si>
  <si>
    <t>Kota stone slab 20 mm to 25 mm thick (semi-polished)</t>
  </si>
  <si>
    <t>1169</t>
  </si>
  <si>
    <t>Kota stone slab 25mm thick (rough chiseled)</t>
  </si>
  <si>
    <t>1174</t>
  </si>
  <si>
    <t>Red sand stone slab 45 mm to 50 mm thick (un-dressed)</t>
  </si>
  <si>
    <t>1175</t>
  </si>
  <si>
    <t>White sand stone slab 45 mm to 50 mm thick (un-dressed)</t>
  </si>
  <si>
    <t>1177</t>
  </si>
  <si>
    <t>Stone grit 6 mm and down size or pea sized gravel</t>
  </si>
  <si>
    <t>1179</t>
  </si>
  <si>
    <t>Crushed stone 2.36 mm to 12.5 mm size</t>
  </si>
  <si>
    <t>1182</t>
  </si>
  <si>
    <t>Surkhi No.</t>
  </si>
  <si>
    <t>1186</t>
  </si>
  <si>
    <t>Superior class teak wood such as Dandeli, Balarshah or Malabar in</t>
  </si>
  <si>
    <t>1187</t>
  </si>
  <si>
    <t>First class teak wood in scantling</t>
  </si>
  <si>
    <t>1188</t>
  </si>
  <si>
    <t>First class teak wood in planks</t>
  </si>
  <si>
    <t>1189</t>
  </si>
  <si>
    <t>Second class teak wood in scantling</t>
  </si>
  <si>
    <t>1190</t>
  </si>
  <si>
    <t>Second class teak wood in planks</t>
  </si>
  <si>
    <t>1191</t>
  </si>
  <si>
    <t>Marandi wood in planks</t>
  </si>
  <si>
    <t>1192</t>
  </si>
  <si>
    <t>Marandi wood in scantling</t>
  </si>
  <si>
    <t>1194</t>
  </si>
  <si>
    <t>Second class deodar wood in planks</t>
  </si>
  <si>
    <t>1196</t>
  </si>
  <si>
    <t>First class kail wood in planks</t>
  </si>
  <si>
    <t>1197</t>
  </si>
  <si>
    <t>Second class kail wood in scantling</t>
  </si>
  <si>
    <t>1198</t>
  </si>
  <si>
    <t>Second class kail wood in planks</t>
  </si>
  <si>
    <t>1199</t>
  </si>
  <si>
    <t>Sal wood in scantling</t>
  </si>
  <si>
    <t>1200</t>
  </si>
  <si>
    <t>Kiln seasoned selected sheesham wood planks</t>
  </si>
  <si>
    <t>1201</t>
  </si>
  <si>
    <t>Precast terrazzo tiles 22 mm thick (light shade)</t>
  </si>
  <si>
    <t>1202</t>
  </si>
  <si>
    <t>Precast terrazzo tiles 22 mm thick (medium shade)</t>
  </si>
  <si>
    <t>1203</t>
  </si>
  <si>
    <t>Precast terrazzo tiles 22 mm thick (dark shade)</t>
  </si>
  <si>
    <t>1204</t>
  </si>
  <si>
    <t>Precast heat resistant terrace tiles (size 300x300 mm) and 20 mm thick</t>
  </si>
  <si>
    <t>1207</t>
  </si>
  <si>
    <t>G.I. Limpet washer</t>
  </si>
  <si>
    <t>1208</t>
  </si>
  <si>
    <t>Bitumen washer</t>
  </si>
  <si>
    <t>1209</t>
  </si>
  <si>
    <t>G.I. plain washer thick</t>
  </si>
  <si>
    <t>1210</t>
  </si>
  <si>
    <t>G.I. plain washer thin</t>
  </si>
  <si>
    <t>1211</t>
  </si>
  <si>
    <t>G.I. plain washer for seam bolts</t>
  </si>
  <si>
    <t>1213</t>
  </si>
  <si>
    <t>Water proofing materials</t>
  </si>
  <si>
    <t>kilogram</t>
  </si>
  <si>
    <t>1214</t>
  </si>
  <si>
    <t>Welding by gas plant</t>
  </si>
  <si>
    <t>cm</t>
  </si>
  <si>
    <t>1215</t>
  </si>
  <si>
    <t>Welding by electric plant</t>
  </si>
  <si>
    <t>1216</t>
  </si>
  <si>
    <t>Whiting</t>
  </si>
  <si>
    <t>1217</t>
  </si>
  <si>
    <t>GI Wire mesh 100x100 mm</t>
  </si>
  <si>
    <t>1218</t>
  </si>
  <si>
    <t>Shear stud</t>
  </si>
  <si>
    <t>1219</t>
  </si>
  <si>
    <t>Wire nails</t>
  </si>
  <si>
    <t>1220</t>
  </si>
  <si>
    <t>Wire mesh (rabbit)</t>
  </si>
  <si>
    <t>1221</t>
  </si>
  <si>
    <t>20 mm dia holding down bolts</t>
  </si>
  <si>
    <t>1222</t>
  </si>
  <si>
    <t>Mild steel sheets with bolts and nuts to rest on pintels</t>
  </si>
  <si>
    <t>1223</t>
  </si>
  <si>
    <t>Steel weld mesh</t>
  </si>
  <si>
    <t>1224</t>
  </si>
  <si>
    <t>Hard drawn steel wire</t>
  </si>
  <si>
    <t>1225</t>
  </si>
  <si>
    <t>Mild steel flat strap fitting</t>
  </si>
  <si>
    <t>1227</t>
  </si>
  <si>
    <t>Chequered terrazzo tiles 22 mm thick (light shade)</t>
  </si>
  <si>
    <t>1228</t>
  </si>
  <si>
    <t>Chequered terrazzo tiles 22 mm thick (medium shade)</t>
  </si>
  <si>
    <t>1229</t>
  </si>
  <si>
    <t>Chequered terrazzo tiles 22 mm thick (dark shade)</t>
  </si>
  <si>
    <t>1231</t>
  </si>
  <si>
    <t>Extra for selected planks of second class teakwood</t>
  </si>
  <si>
    <t>1234</t>
  </si>
  <si>
    <t>Aluminium Plain Strip edging 57x12x3 mm</t>
  </si>
  <si>
    <t>1235</t>
  </si>
  <si>
    <t>Diesel</t>
  </si>
  <si>
    <t>1237</t>
  </si>
  <si>
    <t>Cutting marble or sand stone slab up to 50 mm thick by mechanical</t>
  </si>
  <si>
    <t>1238</t>
  </si>
  <si>
    <t>Extra for selected planks of first class teakwood</t>
  </si>
  <si>
    <t>1239</t>
  </si>
  <si>
    <t>18 mm thick Flamed finish granite stone slab</t>
  </si>
  <si>
    <t>1240</t>
  </si>
  <si>
    <t>18 mm thick Italian Marble stone slab, Perlato (slab area up to 0.5 sqm).</t>
  </si>
  <si>
    <t>1241</t>
  </si>
  <si>
    <t>Commercial LPG in cylinder</t>
  </si>
  <si>
    <t>1242</t>
  </si>
  <si>
    <t>Glass mossaic tiles (20 mm x 20 mm x 4 mm) No.</t>
  </si>
  <si>
    <t>1243</t>
  </si>
  <si>
    <t>Tile fixing chemical adhesive</t>
  </si>
  <si>
    <t>1244</t>
  </si>
  <si>
    <t>Cement Polymer Grout Compound</t>
  </si>
  <si>
    <t>1245</t>
  </si>
  <si>
    <t>Acid for cleaning tiles</t>
  </si>
  <si>
    <t>1246</t>
  </si>
  <si>
    <t>Silicon based Joint Sealant for Tiles</t>
  </si>
  <si>
    <t>1247</t>
  </si>
  <si>
    <t>Rubber base Adhesive</t>
  </si>
  <si>
    <t>1248</t>
  </si>
  <si>
    <t>Epoxy based sealing Compound</t>
  </si>
  <si>
    <t>1249</t>
  </si>
  <si>
    <t>Acrylic based sealing compound</t>
  </si>
  <si>
    <t>1250</t>
  </si>
  <si>
    <t>Non woven reinforcement Tape</t>
  </si>
  <si>
    <t>1251</t>
  </si>
  <si>
    <t>M-60 grade cemetitious grout (Non Shrink)</t>
  </si>
  <si>
    <t>1252</t>
  </si>
  <si>
    <t>Cementitious polymer base adhesive confirming to EOTA ETAG 004</t>
  </si>
  <si>
    <t>1253</t>
  </si>
  <si>
    <t>Polypropylene mechanical fastener with plastic pin confirming to EOTA ETAG 014 (European Technical Approval) having dia 10mm &amp;</t>
  </si>
  <si>
    <t>1254</t>
  </si>
  <si>
    <t>Moisture cure Polyurethane Foam</t>
  </si>
  <si>
    <t>750 ml</t>
  </si>
  <si>
    <t>1255</t>
  </si>
  <si>
    <t>PVC Corner Bead of size 25mmx25mm fixed with glass fibre mesh</t>
  </si>
  <si>
    <t>1256</t>
  </si>
  <si>
    <t>Cementitious polymer base coat confirming to EOTA ETAG 004</t>
  </si>
  <si>
    <t>1257</t>
  </si>
  <si>
    <t>Fiberglass mesh with alkali-resistant coating having mass per unit</t>
  </si>
  <si>
    <t>1301</t>
  </si>
  <si>
    <t>Bleaching powder</t>
  </si>
  <si>
    <t>1304</t>
  </si>
  <si>
    <t>Surface box for stop cock</t>
  </si>
  <si>
    <t>1305</t>
  </si>
  <si>
    <t>Surface box for sluice valve</t>
  </si>
  <si>
    <t>1307</t>
  </si>
  <si>
    <t>Surface box for water meter</t>
  </si>
  <si>
    <t>1309</t>
  </si>
  <si>
    <t>C.I. bracket for wash basin and sinks</t>
  </si>
  <si>
    <t>1313</t>
  </si>
  <si>
    <t>8 mm dia C.P. Brass/ S.S. Jet with flexible tube upto 1 metre long with S.S. tringular plate for Eureopean type W.C.(Hindware/Kingston/Prima/Parko/ Marc)</t>
  </si>
  <si>
    <t>1314</t>
  </si>
  <si>
    <t>C.P.brass chain with 32 mm dia rubber plug</t>
  </si>
  <si>
    <t>1315</t>
  </si>
  <si>
    <t>C.P.brass chain with 40 mm dia rubber plug</t>
  </si>
  <si>
    <t>1316</t>
  </si>
  <si>
    <t>50mmx50mm hardwood plug</t>
  </si>
  <si>
    <t>1330</t>
  </si>
  <si>
    <t>Clamps and M.S. stays including bolts and nuts for 100 mm pipe</t>
  </si>
  <si>
    <t>1331</t>
  </si>
  <si>
    <t>M.S. Holder bat clamp of approved design for 100 mm S.C.I. pipe</t>
  </si>
  <si>
    <t>1332</t>
  </si>
  <si>
    <t>M.S. Holder bat clamp of approved design for 75 mm S.C.I. pipe</t>
  </si>
  <si>
    <t>1334</t>
  </si>
  <si>
    <t>Clamps and M.S. stays including bolts and nuts for 50 mm pipe</t>
  </si>
  <si>
    <t>1335</t>
  </si>
  <si>
    <t>Clamps and M.S. stays including bolts and nuts for 75 mm pipe</t>
  </si>
  <si>
    <t>1336</t>
  </si>
  <si>
    <t>Clearing eye with chain and lid 100 mm dia</t>
  </si>
  <si>
    <t>1337</t>
  </si>
  <si>
    <t>Clearing eye with chain and lid 150 mm dia</t>
  </si>
  <si>
    <t>1339</t>
  </si>
  <si>
    <t>Brass bib-cock 15 mm dia</t>
  </si>
  <si>
    <t>1340</t>
  </si>
  <si>
    <t>Brass bib-cock 20 mm dia</t>
  </si>
  <si>
    <t>1342</t>
  </si>
  <si>
    <t>Brass stop-cock 15 mm dia</t>
  </si>
  <si>
    <t>1343</t>
  </si>
  <si>
    <t>Brass stop-cock 20 mm dia</t>
  </si>
  <si>
    <t>1350</t>
  </si>
  <si>
    <t>Mosquito proof coupling of approved design</t>
  </si>
  <si>
    <t>1352</t>
  </si>
  <si>
    <t>C.I. cover and frame 300x300 mm inside</t>
  </si>
  <si>
    <t>1353</t>
  </si>
  <si>
    <t>C.I. cover without frame 300x300 mm inside i/c cover of 4.50 kg</t>
  </si>
  <si>
    <t>1354</t>
  </si>
  <si>
    <t>Rectangular cover 455x610 mm with frame (low duty)</t>
  </si>
  <si>
    <t>1355</t>
  </si>
  <si>
    <t>Rectangular cover 455x610 mm without frame (low duty)</t>
  </si>
  <si>
    <t>1356</t>
  </si>
  <si>
    <t>500 mm dia cover with frame (medium duty)</t>
  </si>
  <si>
    <t>1357</t>
  </si>
  <si>
    <t>500 mm dia cover without frame (medium duty)</t>
  </si>
  <si>
    <t>1360</t>
  </si>
  <si>
    <t>C.I. mouth, brass ferrule 15 mm dia No.</t>
  </si>
  <si>
    <t>1361</t>
  </si>
  <si>
    <t>C.I. mouth, brass ferrule 20 mm dia</t>
  </si>
  <si>
    <t>1362</t>
  </si>
  <si>
    <t>C.l. mouth, brass ferrule 25 mm dia</t>
  </si>
  <si>
    <t>1363</t>
  </si>
  <si>
    <t>Vitreous china foot rests 250x130x30 mm</t>
  </si>
  <si>
    <t>1364</t>
  </si>
  <si>
    <t>C.I. grating 100x100 mm</t>
  </si>
  <si>
    <t>1366</t>
  </si>
  <si>
    <t>C.I. grating 150x150 mm</t>
  </si>
  <si>
    <t>1367</t>
  </si>
  <si>
    <t>C.I. grating 180x180 mm</t>
  </si>
  <si>
    <t>1369</t>
  </si>
  <si>
    <t>S.C.I. gully or nahani grating 100 mm dia</t>
  </si>
  <si>
    <t>1373</t>
  </si>
  <si>
    <t>Rubber insertions for 75 mm dia pipe joints</t>
  </si>
  <si>
    <t>1374</t>
  </si>
  <si>
    <t>Rubber insertions for 100 mm dia pipe joints</t>
  </si>
  <si>
    <t>1375</t>
  </si>
  <si>
    <t>Rubber insertions for 125 mm dia pipe joints</t>
  </si>
  <si>
    <t>1376</t>
  </si>
  <si>
    <t>Rubber insertions for 150 mm dia pipe joints</t>
  </si>
  <si>
    <t>1377</t>
  </si>
  <si>
    <t>Rubber insertions for 200 mm dia pipe joints</t>
  </si>
  <si>
    <t>1378</t>
  </si>
  <si>
    <t>Rubber insertions for 250 mm dia pipe joints</t>
  </si>
  <si>
    <t>1379</t>
  </si>
  <si>
    <t>Rubber insertions for 300 mm dia pipe joints</t>
  </si>
  <si>
    <t>1380</t>
  </si>
  <si>
    <t>Rubber insertions for 350 mm dia pipe joints</t>
  </si>
  <si>
    <t>1381</t>
  </si>
  <si>
    <t>Rubber insertions for 400 mm dia pipe joints</t>
  </si>
  <si>
    <t>1382</t>
  </si>
  <si>
    <t>Rubber insertions for 450 mm dia pipe joints</t>
  </si>
  <si>
    <t>1383</t>
  </si>
  <si>
    <t>Rubber insertions for 500 mm dia pipe joints</t>
  </si>
  <si>
    <t>1384</t>
  </si>
  <si>
    <t>Rubber insertions for 600 mm dia pipe joints</t>
  </si>
  <si>
    <t>1392</t>
  </si>
  <si>
    <t>Mirror of superior make glass 60x45 cm</t>
  </si>
  <si>
    <t>1396</t>
  </si>
  <si>
    <t>Vitreous china pedestal for wash basin</t>
  </si>
  <si>
    <t>1397</t>
  </si>
  <si>
    <t>1464</t>
  </si>
  <si>
    <t>S &amp; S.C.I. standard specials upto 300 mm dia (heavy class)</t>
  </si>
  <si>
    <t>1466</t>
  </si>
  <si>
    <t>S &amp; S.C.I. standard specials over 300 mm dia (heavy class)</t>
  </si>
  <si>
    <t>1468</t>
  </si>
  <si>
    <t>Flanged C.I. standard specials upto 300 mm dia (heavy class)</t>
  </si>
  <si>
    <t>1470</t>
  </si>
  <si>
    <t>Flanged C.I. standard specials over 300 mm dia (heavy class)</t>
  </si>
  <si>
    <t>1472</t>
  </si>
  <si>
    <t>Casing pipe 100 mm dia</t>
  </si>
  <si>
    <t>1532</t>
  </si>
  <si>
    <t>Flush pipe with union spreaders and clamps all in C.P. brass for single stall</t>
  </si>
  <si>
    <t>1533</t>
  </si>
  <si>
    <t>Flush pipe with union spreaders and clamps all in C.P. brass for double stall</t>
  </si>
  <si>
    <t>1534</t>
  </si>
  <si>
    <t>Flush pipe with union spreaders and clamps all in C.P. brass for range of three stall</t>
  </si>
  <si>
    <t>1535</t>
  </si>
  <si>
    <t>Flush pipe with union spreaders and clamps all in C.P. brass for range of four stall</t>
  </si>
  <si>
    <t>1540</t>
  </si>
  <si>
    <t>Flush pipe and spreaders G.l. for single set of one squatting plate urinal</t>
  </si>
  <si>
    <t>1541</t>
  </si>
  <si>
    <t>Flush pipe and spreaders G.l. for range of two squatting plates urinal</t>
  </si>
  <si>
    <t>1542</t>
  </si>
  <si>
    <t>Flush pipe and spreaders G.l. for range of three squatting plates urinal</t>
  </si>
  <si>
    <t>1543</t>
  </si>
  <si>
    <t>Flush pipe and spreaders G.l. for range of four squatting plates urinal</t>
  </si>
  <si>
    <t>1545</t>
  </si>
  <si>
    <t>G.I. pipes 15 mm dia</t>
  </si>
  <si>
    <t>1546</t>
  </si>
  <si>
    <t>G.I. pipes 20 mm dia</t>
  </si>
  <si>
    <t>1547</t>
  </si>
  <si>
    <t>G.I. pipes 25 mm dia</t>
  </si>
  <si>
    <t>1548</t>
  </si>
  <si>
    <t>G.I. pipes 32 mm dia</t>
  </si>
  <si>
    <t>1549</t>
  </si>
  <si>
    <t>G.I. pipes 40 mm dia</t>
  </si>
  <si>
    <t>1550</t>
  </si>
  <si>
    <t>G.I. pipes 50 mm dia</t>
  </si>
  <si>
    <t>1551</t>
  </si>
  <si>
    <t>G.I. pipes 65 mm dia</t>
  </si>
  <si>
    <t>1552</t>
  </si>
  <si>
    <t>G.I. pipes 80 mm dia</t>
  </si>
  <si>
    <t>1555</t>
  </si>
  <si>
    <t>G.I. back (jam) nuts 25 mm dia</t>
  </si>
  <si>
    <t>1559</t>
  </si>
  <si>
    <t>G.I. back (jam) nuts 65 mm dia No.</t>
  </si>
  <si>
    <t>1608</t>
  </si>
  <si>
    <t>G.I. tees (equal) 25 mm</t>
  </si>
  <si>
    <t>1612</t>
  </si>
  <si>
    <t>G.I. tees (equal) 65 mm</t>
  </si>
  <si>
    <t>1614</t>
  </si>
  <si>
    <t>G.I. inlet connection</t>
  </si>
  <si>
    <t>1616</t>
  </si>
  <si>
    <t>S.C.I. soil, waste and vent single socketed pipe 1.80 metres long:</t>
  </si>
  <si>
    <t>1617</t>
  </si>
  <si>
    <t>1618</t>
  </si>
  <si>
    <t>1620</t>
  </si>
  <si>
    <t>S.C.I. plain bend 75 mm dia</t>
  </si>
  <si>
    <t>1621</t>
  </si>
  <si>
    <t>S.C.I. plain bend 100 mm dia</t>
  </si>
  <si>
    <t>1622</t>
  </si>
  <si>
    <t>S.C.I. plain bend 150 mm dia</t>
  </si>
  <si>
    <t>1624</t>
  </si>
  <si>
    <t>S.C.I. bend with access door 75 mm dia</t>
  </si>
  <si>
    <t>1625</t>
  </si>
  <si>
    <t>S.C.I. bend with access door 100 mm dia</t>
  </si>
  <si>
    <t>1627</t>
  </si>
  <si>
    <t>S.C.I. plain single equal junctions 75x75x75 mm dia</t>
  </si>
  <si>
    <t>1628</t>
  </si>
  <si>
    <t>S.C.I. plain single equal junctions 100x100x100 mm dia</t>
  </si>
  <si>
    <t>1630</t>
  </si>
  <si>
    <t>S.C.I. single equal junctions 75x75x75 mm dia with access door</t>
  </si>
  <si>
    <t>1631</t>
  </si>
  <si>
    <t>S.C.I. single equal junctions 100x100x100 mm dia with access door</t>
  </si>
  <si>
    <t>1633</t>
  </si>
  <si>
    <t>S.C.I. plain double equal junctions 75x75x75x75 mm dia</t>
  </si>
  <si>
    <t>1634</t>
  </si>
  <si>
    <t>S.C.I. plain double equal junctions 100x100x100x100 mm dia</t>
  </si>
  <si>
    <t>1636</t>
  </si>
  <si>
    <t>S.C.I. double equal junctions 75x75x75x75 mm dia with access door</t>
  </si>
  <si>
    <t>1637</t>
  </si>
  <si>
    <t>S.C.I. double equal junctions 100x100x100x100 mm dia with access</t>
  </si>
  <si>
    <t>1639</t>
  </si>
  <si>
    <t>Slotted cowl (terminal guard) 75 mm dia</t>
  </si>
  <si>
    <t>1640</t>
  </si>
  <si>
    <t>Slotted cowl (terminal guard) 100 mm dia</t>
  </si>
  <si>
    <t>1641</t>
  </si>
  <si>
    <t>G.I. Union 15 mm nominal bore</t>
  </si>
  <si>
    <t>1642</t>
  </si>
  <si>
    <t>G.I. Union 20 mm nominal bore</t>
  </si>
  <si>
    <t>1643</t>
  </si>
  <si>
    <t>G.I. Union 25 mm nominal bore</t>
  </si>
  <si>
    <t>1644</t>
  </si>
  <si>
    <t>G.I. Union 32 mm nominal bore</t>
  </si>
  <si>
    <t>1645</t>
  </si>
  <si>
    <t>G.I. Union 40 mm nominal bore</t>
  </si>
  <si>
    <t>1646</t>
  </si>
  <si>
    <t>G.I. Union 50 mm nominal bore</t>
  </si>
  <si>
    <t>1647</t>
  </si>
  <si>
    <t>G.I. Union 65 mm nominal bore</t>
  </si>
  <si>
    <t>1648</t>
  </si>
  <si>
    <t>G.I. Union 80 mm nominal bore</t>
  </si>
  <si>
    <t>1649</t>
  </si>
  <si>
    <t>Polyethylene water storage tank with cover and suitable locking</t>
  </si>
  <si>
    <t>1653</t>
  </si>
  <si>
    <t>Sand cast iron S&amp;S plain single unequal junctions: 100x100x75 mm dia</t>
  </si>
  <si>
    <t>1656</t>
  </si>
  <si>
    <t>Sand cast iron S&amp;S single unequal junctions: 100x100x75 mm dia with collar</t>
  </si>
  <si>
    <t>1659</t>
  </si>
  <si>
    <t>Sand cast iron S&amp;S plain double unequal junctions: 100x100x75x</t>
  </si>
  <si>
    <t>1662</t>
  </si>
  <si>
    <t>Sand cast iron S&amp;S double unequal junctions: 100x100x75x75 mm dia</t>
  </si>
  <si>
    <t>1666</t>
  </si>
  <si>
    <t>Sand cast iron heel rest bend 75 mm dia</t>
  </si>
  <si>
    <t>1667</t>
  </si>
  <si>
    <t>Sand cast iron heel rest bend 100 mm dia</t>
  </si>
  <si>
    <t>1669</t>
  </si>
  <si>
    <t>S.C.I. single equal invert branch of required degree 75x75x75 mm dia</t>
  </si>
  <si>
    <t>1670</t>
  </si>
  <si>
    <t>S.C.I. single equal invert branch of required degree 100x100x100 mm dia</t>
  </si>
  <si>
    <t>1672</t>
  </si>
  <si>
    <t>S.C.I. double equal invert branch of required degree 75x75x75x75 mm dia</t>
  </si>
  <si>
    <t>1673</t>
  </si>
  <si>
    <t>S.C.I. double equal invert branch of required degree 100x100x100x</t>
  </si>
  <si>
    <t>1674</t>
  </si>
  <si>
    <t>S.C.I. single unequal invert branch of required degree 100x100x75 mm dia No.</t>
  </si>
  <si>
    <t>1677</t>
  </si>
  <si>
    <t>S.C.I. double unequal invert branch of required degree 100x100x75x</t>
  </si>
  <si>
    <t>1682</t>
  </si>
  <si>
    <t>S.C.I. door pieces 75 mm dia</t>
  </si>
  <si>
    <t>1683</t>
  </si>
  <si>
    <t>S.C.I. door pieces 100 mm dia</t>
  </si>
  <si>
    <t>1685</t>
  </si>
  <si>
    <t>S.C.I. collar 75 mm dia</t>
  </si>
  <si>
    <t>1686</t>
  </si>
  <si>
    <t>S.C.I. collar 100 mm dia</t>
  </si>
  <si>
    <t>1687</t>
  </si>
  <si>
    <t>Unplasticised P.V.C. connection pipe with brass union 30 cm long</t>
  </si>
  <si>
    <t>1688</t>
  </si>
  <si>
    <t>1689</t>
  </si>
  <si>
    <t>Unplasticised P.V.C. connection pipe with brass union 45 cm long</t>
  </si>
  <si>
    <t>1690</t>
  </si>
  <si>
    <t>1693</t>
  </si>
  <si>
    <t>S.C.I. hand pump</t>
  </si>
  <si>
    <t>1700</t>
  </si>
  <si>
    <t>R.C.C. pipes NP2 class 100 mm dia</t>
  </si>
  <si>
    <t>1701</t>
  </si>
  <si>
    <t>R.C.C. pipes NP2 class 150 mm dia</t>
  </si>
  <si>
    <t>1702</t>
  </si>
  <si>
    <t>R.C.C. pipes NP2 class 250 mm dia</t>
  </si>
  <si>
    <t>1703</t>
  </si>
  <si>
    <t>R.C.C. pipes NP2 class 300 mm dia</t>
  </si>
  <si>
    <t>1704</t>
  </si>
  <si>
    <t>R.C.C. pipes NP2 class 450 mm dia</t>
  </si>
  <si>
    <t>1705</t>
  </si>
  <si>
    <t>R.C.C. pipes NP2 class 500 mm dia</t>
  </si>
  <si>
    <t>1706</t>
  </si>
  <si>
    <t>R.C.C. pipes NP2 class 600 mm dia</t>
  </si>
  <si>
    <t>1707</t>
  </si>
  <si>
    <t>R.C.C. pipes NP2 class 700 mm dia</t>
  </si>
  <si>
    <t>1709</t>
  </si>
  <si>
    <t>R.C.C. pipes NP2 class 800 mm dia</t>
  </si>
  <si>
    <t>1710</t>
  </si>
  <si>
    <t>R.C.C. pipes NP2 class 900 mm dia</t>
  </si>
  <si>
    <t>1711</t>
  </si>
  <si>
    <t>R.C.C. pipes NP2 class 1000 mm dia</t>
  </si>
  <si>
    <t>1712</t>
  </si>
  <si>
    <t>R.C.C. pipes NP2 class 1100 mm dia</t>
  </si>
  <si>
    <t>1713</t>
  </si>
  <si>
    <t>R.C.C. pipes NP2 class 1200 mm dia</t>
  </si>
  <si>
    <t>1714</t>
  </si>
  <si>
    <t>R.C.C. collars NP2 class 100 mm dia</t>
  </si>
  <si>
    <t>1715</t>
  </si>
  <si>
    <t>R.C.C. collars NP2 class 150 mm dia</t>
  </si>
  <si>
    <t>1716</t>
  </si>
  <si>
    <t>R.C.C. collars NP2 class 250 mm dia</t>
  </si>
  <si>
    <t>1717</t>
  </si>
  <si>
    <t>R.C.C. collars NP2 class 300 mm dia</t>
  </si>
  <si>
    <t>1718</t>
  </si>
  <si>
    <t>R.C.C. collars NP2 class 450 mm dia</t>
  </si>
  <si>
    <t>1719</t>
  </si>
  <si>
    <t>R.C.C. collars NP2 class 500 mm dia</t>
  </si>
  <si>
    <t>1720</t>
  </si>
  <si>
    <t>R.C.C. collars NP2 class 600 mm dia</t>
  </si>
  <si>
    <t>1721</t>
  </si>
  <si>
    <t>R.C.C. collars NP2 class 700 mm dia</t>
  </si>
  <si>
    <t>1723</t>
  </si>
  <si>
    <t>R.C.C. collars NP2 class 800 mm dia</t>
  </si>
  <si>
    <t>1724</t>
  </si>
  <si>
    <t>R.C.C. collars NP2 class 900 mm dia</t>
  </si>
  <si>
    <t>1725</t>
  </si>
  <si>
    <t>R.C.C. collars NP2 class 1000 mm dia</t>
  </si>
  <si>
    <t>1726</t>
  </si>
  <si>
    <t>R.C.C. collars NP2 class 1100 mm dia</t>
  </si>
  <si>
    <t>1727</t>
  </si>
  <si>
    <t>R.C.C. collars NP2 class 1200 mm dia</t>
  </si>
  <si>
    <t>1728</t>
  </si>
  <si>
    <t>RCC pipe 450 mm dia NP-3 spigot</t>
  </si>
  <si>
    <t>1729</t>
  </si>
  <si>
    <t>RCC pipe 600 mm dia NP-3 spigot</t>
  </si>
  <si>
    <t>1730</t>
  </si>
  <si>
    <t>RCC pipe 900 mm dia NP-3 spigot</t>
  </si>
  <si>
    <t>1731</t>
  </si>
  <si>
    <t>RCC pipe 1000 mm dia NP-3 spigot</t>
  </si>
  <si>
    <t>1732</t>
  </si>
  <si>
    <t>RCC pipe 1200 mm dia NP-3 spigot</t>
  </si>
  <si>
    <t>1733</t>
  </si>
  <si>
    <t>RCC pipe 1800 mm dia NP-3 spigot</t>
  </si>
  <si>
    <t>1734</t>
  </si>
  <si>
    <t>RCC pipe 450 mm dia NP-4 spigot</t>
  </si>
  <si>
    <t>1735</t>
  </si>
  <si>
    <t>RCC pipe 600 mm dia NP-4 spigot No.</t>
  </si>
  <si>
    <t>1736</t>
  </si>
  <si>
    <t>RCC pipe 900 mm dia NP-4 spigot</t>
  </si>
  <si>
    <t>1737</t>
  </si>
  <si>
    <t>RCC pipe 1000 mm dia NP-4 spigot</t>
  </si>
  <si>
    <t>1738</t>
  </si>
  <si>
    <t>RCC pipe 1200 mm dia NP-4 spigot</t>
  </si>
  <si>
    <t>1739</t>
  </si>
  <si>
    <t>RCC pipe 1800 mm dia NP-4 spigot</t>
  </si>
  <si>
    <t>1854</t>
  </si>
  <si>
    <t>Stoneware pipes grade A (60 cm long) 100 mm dia</t>
  </si>
  <si>
    <t>1855</t>
  </si>
  <si>
    <t>Stoneware pipes grade A (60 cm long) 150 mm dia</t>
  </si>
  <si>
    <t>1856</t>
  </si>
  <si>
    <t>Stoneware pipes grade A (60 cm long) 200 mm dia</t>
  </si>
  <si>
    <t>1857</t>
  </si>
  <si>
    <t>Stoneware pipes grade A (60 cm long) 230 mm dia</t>
  </si>
  <si>
    <t>1858</t>
  </si>
  <si>
    <t>Stoneware pipes grade A (60 cm long) 250 mm dia</t>
  </si>
  <si>
    <t>1859</t>
  </si>
  <si>
    <t>Stoneware pipes grade A (60 cm long) 300 mm dia</t>
  </si>
  <si>
    <t>1863</t>
  </si>
  <si>
    <t>Fire clay kitchen sink: 600x450x250 mm</t>
  </si>
  <si>
    <t>1871</t>
  </si>
  <si>
    <t>White vitreous china laboratory sink 450x300x150 mm</t>
  </si>
  <si>
    <t>1872</t>
  </si>
  <si>
    <t>White vitreous china laboratory sink 600x450x200 mm</t>
  </si>
  <si>
    <t>1875</t>
  </si>
  <si>
    <t>White plastic seat (solid) with lid C.P. brass hinges and rubber buffers</t>
  </si>
  <si>
    <t>1876</t>
  </si>
  <si>
    <t>Black plastic seat (solid) with lid C.P. brass hinges and rubber buffers</t>
  </si>
  <si>
    <t>1878</t>
  </si>
  <si>
    <t>Shower rose C.P. brass for 15 to 20 mm inlet 100 mm dia</t>
  </si>
  <si>
    <t>1879</t>
  </si>
  <si>
    <t>Shower rose C.P. brass for 15 to 20 mm inlet 150 mm dia</t>
  </si>
  <si>
    <t>1880</t>
  </si>
  <si>
    <t>Dismenteled P or S trap scrap (approx wt 2kg)</t>
  </si>
  <si>
    <t>1881</t>
  </si>
  <si>
    <t>1882</t>
  </si>
  <si>
    <t>Strainer brass 40 mm dia 1.5 metre long</t>
  </si>
  <si>
    <t>1885</t>
  </si>
  <si>
    <t>15 mm C.P. brass tap</t>
  </si>
  <si>
    <t>1889</t>
  </si>
  <si>
    <t>C.P. brass toilet paper holder of standard size</t>
  </si>
  <si>
    <t>1890</t>
  </si>
  <si>
    <t>Centrifugally SCI(spun) S &amp; S P or S trap</t>
  </si>
  <si>
    <t>1891</t>
  </si>
  <si>
    <t>C.I. trap for standard urinal with vent arm with operating and other</t>
  </si>
  <si>
    <t>1893</t>
  </si>
  <si>
    <t>1895</t>
  </si>
  <si>
    <t>C.P. brass trap 40 mm dia</t>
  </si>
  <si>
    <t>1896</t>
  </si>
  <si>
    <t>100 mm S.C.I. trap with vent heel</t>
  </si>
  <si>
    <t>1897</t>
  </si>
  <si>
    <t>100 mm S.C.I. trap with 100 mm inlet and 100 mm outlet</t>
  </si>
  <si>
    <t>1898</t>
  </si>
  <si>
    <t>100 mm S.C.I. trap with 100 mm inlet and 75 mm outlet</t>
  </si>
  <si>
    <t>1900</t>
  </si>
  <si>
    <t>S.W. gully trap P type 100x100 mm</t>
  </si>
  <si>
    <t>1902</t>
  </si>
  <si>
    <t>S.W. gully trap P type 150x100 mm</t>
  </si>
  <si>
    <t>1904</t>
  </si>
  <si>
    <t>S.W. gully trap P type 180x150 mm</t>
  </si>
  <si>
    <t>1913</t>
  </si>
  <si>
    <t>Vitreous china lipped front urinal</t>
  </si>
  <si>
    <t>1915</t>
  </si>
  <si>
    <t>Vitreous china squatting plate urinal</t>
  </si>
  <si>
    <t>1922</t>
  </si>
  <si>
    <t>H.P. or L.P. ball valve with polythene floats: 15 mm dia</t>
  </si>
  <si>
    <t>1923</t>
  </si>
  <si>
    <t>H.P. or L.P. ball valve with polythene floats: 20 mm dia</t>
  </si>
  <si>
    <t>1924</t>
  </si>
  <si>
    <t>H.P. or L.P. ball valve with polythene floats: 25 mm dia</t>
  </si>
  <si>
    <t>1926</t>
  </si>
  <si>
    <t>20 mm dia Gunmetal gate valve with wheel</t>
  </si>
  <si>
    <t>1927</t>
  </si>
  <si>
    <t>Brass full way valve with C.I. wheel (screwed end) 25 mm dia</t>
  </si>
  <si>
    <t>1928</t>
  </si>
  <si>
    <t>Brass full way valve with C.I. wheel (screwed end) 32 mm dia</t>
  </si>
  <si>
    <t>1929</t>
  </si>
  <si>
    <t>Brass full way valve with C.I. wheel (screwed end) 40 mm dia</t>
  </si>
  <si>
    <t>1930</t>
  </si>
  <si>
    <t>Brass full way valve with C.I. wheel (screwed end) 50 mm dia</t>
  </si>
  <si>
    <t>1931</t>
  </si>
  <si>
    <t>Brass full way valve with C.I. wheel (screwed end) 65 mm dia</t>
  </si>
  <si>
    <t>1932</t>
  </si>
  <si>
    <t>Brass full way valve with C.I. wheel (screwed end) 80 mm dia</t>
  </si>
  <si>
    <t>1933</t>
  </si>
  <si>
    <t>Gunmetal non-return valve-horizontal (screwed end) 25 mm dia</t>
  </si>
  <si>
    <t>1934</t>
  </si>
  <si>
    <t>Gunmetal non-return valve-horizontal (screwed end) 32 mm dia</t>
  </si>
  <si>
    <t>1935</t>
  </si>
  <si>
    <t>Gunmetal non-return valve-horizontal (screwed end) 40 mm dia No.</t>
  </si>
  <si>
    <t>1936</t>
  </si>
  <si>
    <t>Gunmetal non-return valve-horizontal (screwed end) 50 mm dia</t>
  </si>
  <si>
    <t>1937</t>
  </si>
  <si>
    <t>Gunmetal non-return valve-horizontal (screwed end) 65 mm dia</t>
  </si>
  <si>
    <t>1938</t>
  </si>
  <si>
    <t>Gunmetal non-return valve-horizontal (screwed end) 80 mm dia</t>
  </si>
  <si>
    <t>1940</t>
  </si>
  <si>
    <t>C.I. sluice valve (with caps) class I: 100 mm dia</t>
  </si>
  <si>
    <t>1941</t>
  </si>
  <si>
    <t>C.I. sluice valve (with caps) class I : 125 mm dia</t>
  </si>
  <si>
    <t>1942</t>
  </si>
  <si>
    <t>C.I. sluice valve (with caps) class I: 150 mm dia</t>
  </si>
  <si>
    <t>1943</t>
  </si>
  <si>
    <t>C.I. sluice valve (with caps) class I : 200 mm dia</t>
  </si>
  <si>
    <t>1944</t>
  </si>
  <si>
    <t>C.I. sluice valve (with caps) class I : 250 mm dia</t>
  </si>
  <si>
    <t>1945</t>
  </si>
  <si>
    <t>C.I. sluice valve (with caps) class I: 300 mm dia</t>
  </si>
  <si>
    <t>1947</t>
  </si>
  <si>
    <t>Vitreous china flat back wash basin 630x450 mm</t>
  </si>
  <si>
    <t>1949</t>
  </si>
  <si>
    <t>Vitreous china angle back wash basin 600x480 mm</t>
  </si>
  <si>
    <t>1950</t>
  </si>
  <si>
    <t>Vitreous china angle back wash basin 400x400 mm</t>
  </si>
  <si>
    <t>1951</t>
  </si>
  <si>
    <t>C.P. brass waste 32 mm</t>
  </si>
  <si>
    <t>1952</t>
  </si>
  <si>
    <t>C.P. brass waste 40 mm</t>
  </si>
  <si>
    <t>1953</t>
  </si>
  <si>
    <t>Vitreous china Indian type W.C. pan of size 580 mm</t>
  </si>
  <si>
    <t>1954</t>
  </si>
  <si>
    <t>Vitreous china orrisa type W.C. pan of size 580 mm</t>
  </si>
  <si>
    <t>1955</t>
  </si>
  <si>
    <t>Vitreous china pedestal type water closet</t>
  </si>
  <si>
    <t>1956</t>
  </si>
  <si>
    <t>Bolts and nuts 16 mm dia 60 mm long</t>
  </si>
  <si>
    <t>1957</t>
  </si>
  <si>
    <t>Bolts and nuts 16 mm dia 65 mm long</t>
  </si>
  <si>
    <t>1958</t>
  </si>
  <si>
    <t>Bolts and nuts 20 mm dia 65 mm long</t>
  </si>
  <si>
    <t>1959</t>
  </si>
  <si>
    <t>Bolts and nuts 20 mm dia 70 mm long</t>
  </si>
  <si>
    <t>1960</t>
  </si>
  <si>
    <t>Bolts and nuts 20 mm dia 75 mm long</t>
  </si>
  <si>
    <t>1961</t>
  </si>
  <si>
    <t>Bolts and nuts 20 mm dia 80 mm long</t>
  </si>
  <si>
    <t>1962</t>
  </si>
  <si>
    <t>Bolts and nuts 24 mm dia 85 mm long</t>
  </si>
  <si>
    <t>1963</t>
  </si>
  <si>
    <t>Bolts and nuts 24 mm dia 90 mm long</t>
  </si>
  <si>
    <t>1964</t>
  </si>
  <si>
    <t>Bolts and nuts 27 mm dia 100 mm long</t>
  </si>
  <si>
    <t>1965</t>
  </si>
  <si>
    <t>White vitreous china dual purpose closet (Anglo Indian W.C.) suitable for use as squatting pan or European type water closet as per manufacturer's specifications</t>
  </si>
  <si>
    <t>1966</t>
  </si>
  <si>
    <t>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t>
  </si>
  <si>
    <t>1970</t>
  </si>
  <si>
    <t>Vitreous china foot rests 250x125x25 mm</t>
  </si>
  <si>
    <t>1980</t>
  </si>
  <si>
    <t>Fly ash</t>
  </si>
  <si>
    <t>1984</t>
  </si>
  <si>
    <t>Common burnt clay F.P.S. bricks tile class designation 10</t>
  </si>
  <si>
    <t>1000 Nos</t>
  </si>
  <si>
    <t>1986</t>
  </si>
  <si>
    <t>Common burnt clay modular bricks class designation 12.5</t>
  </si>
  <si>
    <t>2200</t>
  </si>
  <si>
    <t>Carriage of Materials</t>
  </si>
  <si>
    <t>Carriage of Steam coal</t>
  </si>
  <si>
    <t>2201</t>
  </si>
  <si>
    <t>Carriage of Bricks</t>
  </si>
  <si>
    <t>2202</t>
  </si>
  <si>
    <t>Carriage of Stone aggregate below 40 mm nominal size</t>
  </si>
  <si>
    <t>2203</t>
  </si>
  <si>
    <t>Carriage of Coarse sand</t>
  </si>
  <si>
    <t>2204</t>
  </si>
  <si>
    <t>Carriage of Timber</t>
  </si>
  <si>
    <t>2205</t>
  </si>
  <si>
    <t>Carriage of Steel</t>
  </si>
  <si>
    <t>2206</t>
  </si>
  <si>
    <t>Carriage of Stone aggregate 40 mm nominal size and above</t>
  </si>
  <si>
    <t>2207</t>
  </si>
  <si>
    <t>Carriage of Brick tiles</t>
  </si>
  <si>
    <t>2208</t>
  </si>
  <si>
    <t>Carriage of Lime</t>
  </si>
  <si>
    <t>2209</t>
  </si>
  <si>
    <t>Carriage of Cement</t>
  </si>
  <si>
    <t>2211</t>
  </si>
  <si>
    <t>Carriage of Tar / Bitumen</t>
  </si>
  <si>
    <t>2215</t>
  </si>
  <si>
    <t>Carriage of Soling stone &amp; masonry stone</t>
  </si>
  <si>
    <t>2216</t>
  </si>
  <si>
    <t>Carriage of Stone blocks white &amp; red sand stone &amp; kota stone slab</t>
  </si>
  <si>
    <t>2224</t>
  </si>
  <si>
    <t>Carriage of S.W. pipes 100 mm dia No.</t>
  </si>
  <si>
    <t>100 metre</t>
  </si>
  <si>
    <t>2225</t>
  </si>
  <si>
    <t>Carriage of S.W. pipes 150 mm dia</t>
  </si>
  <si>
    <t>2226</t>
  </si>
  <si>
    <t>Carriage of S.W. pipes 200 mm dia</t>
  </si>
  <si>
    <t>2228</t>
  </si>
  <si>
    <t>Carriage of S.W. pipes 250 mm dia</t>
  </si>
  <si>
    <t>2229</t>
  </si>
  <si>
    <t>Carriage of S.W. pipes 300 mm dia</t>
  </si>
  <si>
    <t>2241</t>
  </si>
  <si>
    <t>Carriage of Good earth</t>
  </si>
  <si>
    <t>2242</t>
  </si>
  <si>
    <t>Carriage of Dump manure by mechanical transport upto 5 km lead</t>
  </si>
  <si>
    <t>2260</t>
  </si>
  <si>
    <t>Carriage of Brick aggregate</t>
  </si>
  <si>
    <t>2261</t>
  </si>
  <si>
    <t>Carriage of Fine sand (1 Part badarpur sand : 2 parts jamuna sand)</t>
  </si>
  <si>
    <t>2262</t>
  </si>
  <si>
    <t>Carriage of Flyash</t>
  </si>
  <si>
    <t>2264</t>
  </si>
  <si>
    <t>Carriage of Rubbish</t>
  </si>
  <si>
    <t>2265</t>
  </si>
  <si>
    <t>Carriage of Moorum</t>
  </si>
  <si>
    <t>2266</t>
  </si>
  <si>
    <t>Carriage of Surkhi</t>
  </si>
  <si>
    <t>2267</t>
  </si>
  <si>
    <t>Carriage of Stone dust</t>
  </si>
  <si>
    <t>2268</t>
  </si>
  <si>
    <t>Carriage of Marble dust and/or marble chips</t>
  </si>
  <si>
    <t>2271</t>
  </si>
  <si>
    <t>Carriage of G.I. pipes below 100 mm dia</t>
  </si>
  <si>
    <t>2272</t>
  </si>
  <si>
    <t>Carriage of Stainless Steel pipes below 100 mm dia</t>
  </si>
  <si>
    <t>2273</t>
  </si>
  <si>
    <t>Carriage of A.C.sheet and accessories</t>
  </si>
  <si>
    <t>2275</t>
  </si>
  <si>
    <t>Carriage of R.C.C. pipes 100 mm dia</t>
  </si>
  <si>
    <t>2281</t>
  </si>
  <si>
    <t>Carriage of R.C.C. pipes 150 mm dia</t>
  </si>
  <si>
    <t>2287</t>
  </si>
  <si>
    <t>Carriage of R.C.C. pipes 250 mm dia</t>
  </si>
  <si>
    <t>2290</t>
  </si>
  <si>
    <t>Carriage of R.C.C. pipes 300 mm dia</t>
  </si>
  <si>
    <t>2299</t>
  </si>
  <si>
    <t>Carriage of R.C.C. pipes 450 &amp; 500 mm dia</t>
  </si>
  <si>
    <t>2302</t>
  </si>
  <si>
    <t>Carriage of G.I. sheet and accessories</t>
  </si>
  <si>
    <t>2303</t>
  </si>
  <si>
    <t>Carriage of R.C.C. pipes 600,700,750 &amp; 800 mm dia</t>
  </si>
  <si>
    <t>2308</t>
  </si>
  <si>
    <t>Carriage of Plaster of paris</t>
  </si>
  <si>
    <t>2309</t>
  </si>
  <si>
    <t>Carriage of Cast Iron fittings</t>
  </si>
  <si>
    <t>2311</t>
  </si>
  <si>
    <t>Carriage of Red bajri</t>
  </si>
  <si>
    <t>2314</t>
  </si>
  <si>
    <t>Carriage of Barbed wire</t>
  </si>
  <si>
    <t>2317</t>
  </si>
  <si>
    <t>Carriage of Sludge</t>
  </si>
  <si>
    <t>2319</t>
  </si>
  <si>
    <t>Carriage of Spun iron S &amp; S pipes 100 mm dia</t>
  </si>
  <si>
    <t>2320</t>
  </si>
  <si>
    <t>Carriage of Spun iron S &amp; S pipes 125 mm dia</t>
  </si>
  <si>
    <t>2321</t>
  </si>
  <si>
    <t>Carriage of Spun iron S &amp; S pipes 150 mm dia</t>
  </si>
  <si>
    <t>2322</t>
  </si>
  <si>
    <t>Carriage of Spun iron S &amp; S pipes 200 mm dia</t>
  </si>
  <si>
    <t>2323</t>
  </si>
  <si>
    <t>Carriage of Spun iron S &amp; S pipes 250 mm dia</t>
  </si>
  <si>
    <t>2324</t>
  </si>
  <si>
    <t>Carriage of Spun iron S &amp; S pipes 300 mm dia</t>
  </si>
  <si>
    <t>2325</t>
  </si>
  <si>
    <t>Carriage of Spun iron S &amp; S pipes 350 mm dia</t>
  </si>
  <si>
    <t>2326</t>
  </si>
  <si>
    <t>Carriage of Spun iron S &amp; S pipes 400 mm dia</t>
  </si>
  <si>
    <t>2327</t>
  </si>
  <si>
    <t>Carriage of Spun iron S &amp; S pipes 450 mm dia</t>
  </si>
  <si>
    <t>2328</t>
  </si>
  <si>
    <t>Carriage of Spun iron S &amp; S pipes 500 mm dia</t>
  </si>
  <si>
    <t>2329</t>
  </si>
  <si>
    <t>Carriage of Spun iron S &amp; S pipes 600mm dia</t>
  </si>
  <si>
    <t>2330</t>
  </si>
  <si>
    <t>Carriage of C.I. pipes 500 mm dia</t>
  </si>
  <si>
    <t>2331</t>
  </si>
  <si>
    <t>Carriage of R.C.C. pipes 900 mm dia</t>
  </si>
  <si>
    <t>2332</t>
  </si>
  <si>
    <t>Carriage of R.C.C. pipes 1000 mm dia</t>
  </si>
  <si>
    <t>2333</t>
  </si>
  <si>
    <t>Carriage of R.C.C. pipes 1100 mm dia</t>
  </si>
  <si>
    <t>2334</t>
  </si>
  <si>
    <t>Carriage of R.C.C. pipes 1200 mm dia</t>
  </si>
  <si>
    <t>2335</t>
  </si>
  <si>
    <t>Carriage of sand</t>
  </si>
  <si>
    <t>2336</t>
  </si>
  <si>
    <t>Carriage of R.C.C. pipe above 1200 mm dia and upto 1800 mm dia</t>
  </si>
  <si>
    <t>2341</t>
  </si>
  <si>
    <t>Carriage of Pig lead No.</t>
  </si>
  <si>
    <t>2342</t>
  </si>
  <si>
    <t>Carriage of Solvent / Diesel.</t>
  </si>
  <si>
    <t>2343</t>
  </si>
  <si>
    <t>Carriage of Ductile Iron pipes (k7) 100 mm dia</t>
  </si>
  <si>
    <t>2344</t>
  </si>
  <si>
    <t>Carriage of Cast iron pipes 150 mm dia</t>
  </si>
  <si>
    <t>2345</t>
  </si>
  <si>
    <t>Carriage of Cast iron pipes 200 mm dia</t>
  </si>
  <si>
    <t>2346</t>
  </si>
  <si>
    <t>Carriage of Cast iron pipes 250 mm dia</t>
  </si>
  <si>
    <t>2347</t>
  </si>
  <si>
    <t>Carriage of Cast iron pipes 300 mm dia</t>
  </si>
  <si>
    <t>2348</t>
  </si>
  <si>
    <t>Carriage of Cast iron pipes 350 mm dia</t>
  </si>
  <si>
    <t>2349</t>
  </si>
  <si>
    <t>Carriage of Cast iron pipes 400 mm dia</t>
  </si>
  <si>
    <t>2350</t>
  </si>
  <si>
    <t>Carriage of Cast iron pipes 450 mm dia</t>
  </si>
  <si>
    <t>2351</t>
  </si>
  <si>
    <t>Carriage of Cast iron pipes 500 mm dia</t>
  </si>
  <si>
    <t>2352</t>
  </si>
  <si>
    <t>Carriage of Cast iron pipes 600 mm dia</t>
  </si>
  <si>
    <t>2353</t>
  </si>
  <si>
    <t>Carriage of Cast iron pipes 700 mm dia</t>
  </si>
  <si>
    <t>2355</t>
  </si>
  <si>
    <t>Carriage of Cast iron pipes 800 mm dia</t>
  </si>
  <si>
    <t>2356</t>
  </si>
  <si>
    <t>Carriage of Cast iron pipes 900 mm dia</t>
  </si>
  <si>
    <t>2357</t>
  </si>
  <si>
    <t>Carriage of Cast iron pipes 1000 mm dia</t>
  </si>
  <si>
    <t>2358</t>
  </si>
  <si>
    <t>Carriage of Bamboo Mat corrugated sheets and accessories</t>
  </si>
  <si>
    <t>2391</t>
  </si>
  <si>
    <t>Strips-Aluminium fluted 3.15 mm thick and 150 mm wide</t>
  </si>
  <si>
    <t>2392</t>
  </si>
  <si>
    <t>Strips Aluminium fluted 3.15 mm thick and 200 mm wide</t>
  </si>
  <si>
    <t>2393</t>
  </si>
  <si>
    <t>1 mm thick Stainless Steel Cover plate grade 304</t>
  </si>
  <si>
    <t>2394</t>
  </si>
  <si>
    <t>Coupler 16 mm dia</t>
  </si>
  <si>
    <t>2395</t>
  </si>
  <si>
    <t>Coupler 20 mm dia</t>
  </si>
  <si>
    <t>2396</t>
  </si>
  <si>
    <t>Coupler 25 mm dia</t>
  </si>
  <si>
    <t>2397</t>
  </si>
  <si>
    <t>Coupler 28 mm dia</t>
  </si>
  <si>
    <t>2398</t>
  </si>
  <si>
    <t>Coupler 32 mm dia</t>
  </si>
  <si>
    <t>2399</t>
  </si>
  <si>
    <t>Complete Roof Joint of 100 mm</t>
  </si>
  <si>
    <t>2400</t>
  </si>
  <si>
    <t>Complete Roof Joint of 150 mm</t>
  </si>
  <si>
    <t>2401</t>
  </si>
  <si>
    <t>Complete Roof Joint of 200 mm</t>
  </si>
  <si>
    <t>2402</t>
  </si>
  <si>
    <t>Epoxy adhesive</t>
  </si>
  <si>
    <t>2403</t>
  </si>
  <si>
    <t>Floor Joint of 100 mm</t>
  </si>
  <si>
    <t>2404</t>
  </si>
  <si>
    <t>Floor Joint of 150 mm</t>
  </si>
  <si>
    <t>2405</t>
  </si>
  <si>
    <t>Floor Joint of 200 mm</t>
  </si>
  <si>
    <t>2406</t>
  </si>
  <si>
    <t>Float glass panes of nominal thickness 4 mm (weight not less than</t>
  </si>
  <si>
    <t>2407</t>
  </si>
  <si>
    <t>Float glass panes of nominal thickness 5 mm (weight not less than</t>
  </si>
  <si>
    <t>2408</t>
  </si>
  <si>
    <t>Float glass panes of nominal thickness 8 mm (weight not less than</t>
  </si>
  <si>
    <t>2409</t>
  </si>
  <si>
    <t>Wall Joint of 100 mm</t>
  </si>
  <si>
    <t>2410</t>
  </si>
  <si>
    <t>Wall Joint of 150 mm</t>
  </si>
  <si>
    <t>2411</t>
  </si>
  <si>
    <t>Wall Joint of 200 mm</t>
  </si>
  <si>
    <t>2412</t>
  </si>
  <si>
    <t>Ply wood 5 ply with commercial ply on both faces 6 mm thick</t>
  </si>
  <si>
    <t>2413</t>
  </si>
  <si>
    <t>12 mm commercial ply</t>
  </si>
  <si>
    <t>2414</t>
  </si>
  <si>
    <t>18 mm thick block board with commercial ply veneering on both side</t>
  </si>
  <si>
    <t>2415</t>
  </si>
  <si>
    <t>21mm thick clear toughened Laminated glass for fins with holes</t>
  </si>
  <si>
    <t>2447</t>
  </si>
  <si>
    <t>Hollock ballies 125 mm diameter</t>
  </si>
  <si>
    <t>2449</t>
  </si>
  <si>
    <t>Oxidised mild steel pull bolt lock (locking bolt) of size 85 mm x</t>
  </si>
  <si>
    <t>2451</t>
  </si>
  <si>
    <t>Brass cupboard lock 6 levers of approved quality, 40 mm size</t>
  </si>
  <si>
    <t>2452</t>
  </si>
  <si>
    <t>Brass cupboard lock 6 levers of approved quality, 50 mm size No.</t>
  </si>
  <si>
    <t>2453</t>
  </si>
  <si>
    <t>Brass cupboard lock 6 levers of approved quality, 65 mm size</t>
  </si>
  <si>
    <t>2454</t>
  </si>
  <si>
    <t>Brass cupboard lock 6 levers of approved quality, 75 mm size</t>
  </si>
  <si>
    <t>2455</t>
  </si>
  <si>
    <t>Brass hanging type door stopper 150 mm</t>
  </si>
  <si>
    <t>2456</t>
  </si>
  <si>
    <t>Hydraulic door closer bottle type M.S. body with necessary accessories</t>
  </si>
  <si>
    <t>2459</t>
  </si>
  <si>
    <t>Anodised Aluminium hanging type door stopper</t>
  </si>
  <si>
    <t>2464</t>
  </si>
  <si>
    <t>Anodised Aluminium pull bolt lock (locking bolt) of size 85 mm x</t>
  </si>
  <si>
    <t>2465</t>
  </si>
  <si>
    <t>Anodised Aluminium Casement stay 250 mm</t>
  </si>
  <si>
    <t>2466</t>
  </si>
  <si>
    <t>Hollock wood in scantling</t>
  </si>
  <si>
    <t>2467</t>
  </si>
  <si>
    <t>Chromium plated Brass pull bolt lock (locking bolt) of size 85 mm x</t>
  </si>
  <si>
    <t>2468</t>
  </si>
  <si>
    <t>Nickled Chromium Brass cupboard lock 40 mm size</t>
  </si>
  <si>
    <t>2469</t>
  </si>
  <si>
    <t>Nickled Chromium Brass cupboard lock 50 mm size</t>
  </si>
  <si>
    <t>2470</t>
  </si>
  <si>
    <t>Nickled Chromium Brass cupboard lock 65 mm size</t>
  </si>
  <si>
    <t>2471</t>
  </si>
  <si>
    <t>Nickled Chromium Brass cupboard lock 75 mm size</t>
  </si>
  <si>
    <t>2480</t>
  </si>
  <si>
    <t>Ply wood 5 ply with teak ply on both faces 9 mm thick</t>
  </si>
  <si>
    <t>2481</t>
  </si>
  <si>
    <t>Ply wood 5 ply with teak ply on one face and commercial ply on</t>
  </si>
  <si>
    <t>2483</t>
  </si>
  <si>
    <t>Ply wood 7 ply with teak ply on one face and commercial ply on another</t>
  </si>
  <si>
    <t>2484</t>
  </si>
  <si>
    <t>Pre-laminated with decorative lamination on both side exterior</t>
  </si>
  <si>
    <t>2485</t>
  </si>
  <si>
    <t>2486</t>
  </si>
  <si>
    <t>Pre-laminated with decorative lamination one side and other side balancing lamination exterior Grade-I MDF Board 25 mm thick</t>
  </si>
  <si>
    <t>2487</t>
  </si>
  <si>
    <t>Pre-laminated with decorative lamination one side and other side balancing lamination exterior Grade-I MDF Board 12 mm thick</t>
  </si>
  <si>
    <t>2488</t>
  </si>
  <si>
    <t>Pre-laminated with decorative lamination one side and other side balancing lamination exterior Grade-I MDF Board 18 mm thick</t>
  </si>
  <si>
    <t>2489</t>
  </si>
  <si>
    <t>PVC edge bending tape 2.00 mm thick</t>
  </si>
  <si>
    <t>2491</t>
  </si>
  <si>
    <t>Pre laminated both side solid foam uPVC profile (45x20mm)</t>
  </si>
  <si>
    <t>2492</t>
  </si>
  <si>
    <t>Solid foam uPVC</t>
  </si>
  <si>
    <t>2493</t>
  </si>
  <si>
    <t>PVC edge beading</t>
  </si>
  <si>
    <t>2494</t>
  </si>
  <si>
    <t>Expandable fastner with plastic sleeve</t>
  </si>
  <si>
    <t>2500</t>
  </si>
  <si>
    <t>Extra for selected planks of second class deodar wood</t>
  </si>
  <si>
    <t>2504</t>
  </si>
  <si>
    <t>Kiln seasoning of timber</t>
  </si>
  <si>
    <t>2505</t>
  </si>
  <si>
    <t>Hollock wood in planks</t>
  </si>
  <si>
    <t>2506</t>
  </si>
  <si>
    <t>Carben Steel galvanised (min 5 micron) dash fastner (min 5 micron) of 10 mm dia double threaded 6.8 grade counter sunk head screw comprising of 10 mm dia polyamide PA 6 grade sleave. Size 10mm x</t>
  </si>
  <si>
    <t>2507</t>
  </si>
  <si>
    <t>Carben Steel galvanised (min 5 micron) dash fastner (min 5 micron) of 10 mm dia double threaded 6.8 grade counter sunk head screw comprising of 10 mm dia polyamide PA 6 grade sleave. Size 10mm x No.</t>
  </si>
  <si>
    <t>2508</t>
  </si>
  <si>
    <t>Carben Steel galvanised (min 5 micron) dash fastner (min 5 micron) of 10 mm dia double threaded 6.8 grade counter sunk head screw comprising of 10 mm dia polyamide PA 6 grade sleave. Size 10 mm</t>
  </si>
  <si>
    <t>2509</t>
  </si>
  <si>
    <t>2510</t>
  </si>
  <si>
    <t>2602</t>
  </si>
  <si>
    <t>Common burnt clay F.P.S. (non modular) bricks class designation 7.5</t>
  </si>
  <si>
    <t>2603</t>
  </si>
  <si>
    <t>Common burnt clay F.P.S. (non modular) bricks class designation 5.0</t>
  </si>
  <si>
    <t>2604</t>
  </si>
  <si>
    <t>Weather/structural non sag elastomeric PU sealant (600ml Sausage) for joints in RCC/ Brick/ Stone/ wood/ Ceramic/ Gypsum/ Alluminium work complying to ASTM C920, DIN 18540-F &amp; ISO 11600 incl all</t>
  </si>
  <si>
    <t>2605</t>
  </si>
  <si>
    <t>Structural sealant - 6 mm x 12 mm</t>
  </si>
  <si>
    <t>2606</t>
  </si>
  <si>
    <t>Spacer tape 6.4 mm thick x 6 mm wide</t>
  </si>
  <si>
    <t>2607</t>
  </si>
  <si>
    <t>Weather Sealant - Non Staining (600 ml)</t>
  </si>
  <si>
    <t>2608</t>
  </si>
  <si>
    <t>Weather Sealant - Normal (300 ml)</t>
  </si>
  <si>
    <t>2609</t>
  </si>
  <si>
    <t>MS Brackets/Aluminium Alloy Brackets</t>
  </si>
  <si>
    <t>2610</t>
  </si>
  <si>
    <t>Silicon Gasket in Kg (Above 50 g / m)</t>
  </si>
  <si>
    <t>2611</t>
  </si>
  <si>
    <t>EPDM Gasket in Kg (Above 60 g / m)</t>
  </si>
  <si>
    <t>2612</t>
  </si>
  <si>
    <t>Anchor Fastner - M10</t>
  </si>
  <si>
    <t>2613</t>
  </si>
  <si>
    <t>SS Bolt with washer of sizes for structural glazing / ACP Cladding</t>
  </si>
  <si>
    <t>2614</t>
  </si>
  <si>
    <t>SS Screws of sizes for structural glazing / ACP Cladding</t>
  </si>
  <si>
    <t>2615</t>
  </si>
  <si>
    <t>Protective Tape</t>
  </si>
  <si>
    <t>2616</t>
  </si>
  <si>
    <t>GI flashing - 1.2 mm Thick</t>
  </si>
  <si>
    <t>2617</t>
  </si>
  <si>
    <t>6 mm thick High performance glass</t>
  </si>
  <si>
    <t>2618</t>
  </si>
  <si>
    <t>6 mm thick clear heat strengthened glass</t>
  </si>
  <si>
    <t>2619</t>
  </si>
  <si>
    <t>2620</t>
  </si>
  <si>
    <t>ARMS GS HD - Top Hung -20"- Type P- Couple</t>
  </si>
  <si>
    <t>2621</t>
  </si>
  <si>
    <t>Connection Block for vision glass panel</t>
  </si>
  <si>
    <t>2622</t>
  </si>
  <si>
    <t>Curtain wall striker for vision glass panel</t>
  </si>
  <si>
    <t>2623</t>
  </si>
  <si>
    <t>Adjustable Fastening Pawl for vision glass panel</t>
  </si>
  <si>
    <t>2624</t>
  </si>
  <si>
    <t>Corner drive for vision glass panel</t>
  </si>
  <si>
    <t>2625</t>
  </si>
  <si>
    <t>Top wedge Block for vision glass panel</t>
  </si>
  <si>
    <t>2626</t>
  </si>
  <si>
    <t>Glass wool of denisity @ 48 Kg / cum with black glass tissue (BGT)</t>
  </si>
  <si>
    <t>2627</t>
  </si>
  <si>
    <t>SS Screws - # 8 x 19</t>
  </si>
  <si>
    <t>2628</t>
  </si>
  <si>
    <t>Weather Sealant - DC 789</t>
  </si>
  <si>
    <t>cartridge</t>
  </si>
  <si>
    <t>2629</t>
  </si>
  <si>
    <t>Cement Board</t>
  </si>
  <si>
    <t>2630</t>
  </si>
  <si>
    <t>Baker rod</t>
  </si>
  <si>
    <t>2631</t>
  </si>
  <si>
    <t>4 mm thick ACP</t>
  </si>
  <si>
    <t>2632</t>
  </si>
  <si>
    <t>Fire Stop</t>
  </si>
  <si>
    <t>2634</t>
  </si>
  <si>
    <t>GI/Aluminium Sheet (0.8 mm thick) No.</t>
  </si>
  <si>
    <t>2635</t>
  </si>
  <si>
    <t>New Technologies</t>
  </si>
  <si>
    <t>GI Screws of gauge 10, length 25 mm for fixing cement fibre board to C section</t>
  </si>
  <si>
    <t>2636</t>
  </si>
  <si>
    <t>GI Screws of gauge 10, length 45 mm for fixing cement fibre board to C section</t>
  </si>
  <si>
    <t>2637</t>
  </si>
  <si>
    <t>Vapour barrier</t>
  </si>
  <si>
    <t>2640</t>
  </si>
  <si>
    <t>Glass panes of required thickness having 120 minutes of fire resistance both integrity and radiation control (EI 120) and minimum</t>
  </si>
  <si>
    <t>2641</t>
  </si>
  <si>
    <t>G.I U beading of 1.6 mm thick G.I sheet with ceramic tape.</t>
  </si>
  <si>
    <t>2642</t>
  </si>
  <si>
    <t>Ceramic tape 5 x20 mm size</t>
  </si>
  <si>
    <t>2704</t>
  </si>
  <si>
    <t>Aluminium Strip 40 mm wide and 2 mm thick</t>
  </si>
  <si>
    <t>2708</t>
  </si>
  <si>
    <t>Truf Paver (500 x 500 x 40 mm)</t>
  </si>
  <si>
    <t>2709</t>
  </si>
  <si>
    <t>Ceremic Tiles Pieces for Crazy Flooring</t>
  </si>
  <si>
    <t>2710</t>
  </si>
  <si>
    <t>White marble makrana second quality plain veined stone pieces for crazy flooring</t>
  </si>
  <si>
    <t>2711</t>
  </si>
  <si>
    <t>FS800H Grade Flooring Panel (Size 600 mm x600 mm x32 mm)</t>
  </si>
  <si>
    <t>2712</t>
  </si>
  <si>
    <t>Zinc Electroplated Pedestals - 300 mm</t>
  </si>
  <si>
    <t>2713</t>
  </si>
  <si>
    <t>Zinc Electroplated Pedestals - 450 mm</t>
  </si>
  <si>
    <t>2714</t>
  </si>
  <si>
    <t>Zinc Electroplated Tube Stinger</t>
  </si>
  <si>
    <t>2715</t>
  </si>
  <si>
    <t>Machine Screw for Fixing</t>
  </si>
  <si>
    <t>2750</t>
  </si>
  <si>
    <t>8 mm thick granite stone tiles (mirror polished of all shades)</t>
  </si>
  <si>
    <t>2751</t>
  </si>
  <si>
    <t>8 mm thick marble tiles (polished) Raj Nagar</t>
  </si>
  <si>
    <t>2901</t>
  </si>
  <si>
    <t>Stone Aggregate (Single size): 100 mm nominal size</t>
  </si>
  <si>
    <t>2902</t>
  </si>
  <si>
    <t>Stone Aggregate (Single size): 80 mm nominal size</t>
  </si>
  <si>
    <t>2903</t>
  </si>
  <si>
    <t>Stone chippings/ screenings 4.75 mm nominal size</t>
  </si>
  <si>
    <t>2904</t>
  </si>
  <si>
    <t>Stone chippings/ screenings 150 micron nominal size</t>
  </si>
  <si>
    <t>2908</t>
  </si>
  <si>
    <t>Over burnt (Jhama) Brick Aggregate: 120 mm to 40 mm size</t>
  </si>
  <si>
    <t>2909</t>
  </si>
  <si>
    <t>Over burnt (Jhama) Brick Aggregate: 90 mm to 40 mm size</t>
  </si>
  <si>
    <t>2910</t>
  </si>
  <si>
    <t>Stone chippings/ screenings 12.5/ 13.2 mm nominal size</t>
  </si>
  <si>
    <t>2911</t>
  </si>
  <si>
    <t>Stone chippings/ screenings 10/ 11.2 mm nominal size</t>
  </si>
  <si>
    <t>2914</t>
  </si>
  <si>
    <t>Solvent</t>
  </si>
  <si>
    <t>2916</t>
  </si>
  <si>
    <t>Paving Asphalt VG 10 of approved quality</t>
  </si>
  <si>
    <t>3002</t>
  </si>
  <si>
    <t>Polyvinyl chloride sheet 400 micron thick</t>
  </si>
  <si>
    <t>3004</t>
  </si>
  <si>
    <t>Stone ware spouts 100 mm dia 60 cm long</t>
  </si>
  <si>
    <t>3050</t>
  </si>
  <si>
    <t>Galvanised steel corrugated sheets</t>
  </si>
  <si>
    <t>3080</t>
  </si>
  <si>
    <t>Gunmetal non-return valve - vertical (screwed end) 25 mm dia</t>
  </si>
  <si>
    <t>3084</t>
  </si>
  <si>
    <t>Gunmetal non-return valve - vertical (screwed end) 32 mm dia</t>
  </si>
  <si>
    <t>3088</t>
  </si>
  <si>
    <t>Gunmetal non-return valve - vertical (screwed end) 40 mm dia</t>
  </si>
  <si>
    <t>3092</t>
  </si>
  <si>
    <t>Gunmetal non-return valve - vertical (screwed end) 50 mm dia</t>
  </si>
  <si>
    <t>3096</t>
  </si>
  <si>
    <t>Gunmetal non-return valve - vertical (screwed end) 65 mm dia</t>
  </si>
  <si>
    <t>3213</t>
  </si>
  <si>
    <t>Vitreous china Surgeon type wash basin of size 660x460 mm</t>
  </si>
  <si>
    <t>3228</t>
  </si>
  <si>
    <t>600x120 mm glass shelf with anodised aluminium angle frame,</t>
  </si>
  <si>
    <t>3229</t>
  </si>
  <si>
    <t>Vitreous china flat back wash basin 550x400 mm</t>
  </si>
  <si>
    <t>3300</t>
  </si>
  <si>
    <t>Gunmetal non-return valve - vertical (screwed end) 80 mm dia</t>
  </si>
  <si>
    <t>3311</t>
  </si>
  <si>
    <t>C.I. sluice valve (with caps) class II : 100 mm dia</t>
  </si>
  <si>
    <t>3314</t>
  </si>
  <si>
    <t>C.I. sluice valve (with caps) class II : 125 mm dia</t>
  </si>
  <si>
    <t>3317</t>
  </si>
  <si>
    <t>C.I. sluice valve (with caps) class II : 150 mm dia</t>
  </si>
  <si>
    <t>3320</t>
  </si>
  <si>
    <t>C.I. sluice valve (with caps) class II : 200 mm dia</t>
  </si>
  <si>
    <t>3321</t>
  </si>
  <si>
    <t>C.I. sluice valve (with caps) class II : 250 mm dia</t>
  </si>
  <si>
    <t>3326</t>
  </si>
  <si>
    <t>C.I. sluice valve (with caps) class II : 300 mm dia</t>
  </si>
  <si>
    <t>3327</t>
  </si>
  <si>
    <t>15 mm Battery Based Sensor Pillar Cock No.</t>
  </si>
  <si>
    <t>3617</t>
  </si>
  <si>
    <t>C.P. Brass union 40mm dia</t>
  </si>
  <si>
    <t>3620</t>
  </si>
  <si>
    <t>C.C.I. (spun) socketed soil, waste and vent pipe 1.80 metres long:</t>
  </si>
  <si>
    <t>3621</t>
  </si>
  <si>
    <t>3624</t>
  </si>
  <si>
    <t>S.C.I. S&amp;S bends with access door 100 mm dia</t>
  </si>
  <si>
    <t>3625</t>
  </si>
  <si>
    <t>S.C.I. S&amp;S bends with access door 75 mm dia</t>
  </si>
  <si>
    <t>3628</t>
  </si>
  <si>
    <t>S.C.I. S&amp;S bend 100 mm dia</t>
  </si>
  <si>
    <t>3629</t>
  </si>
  <si>
    <t>S.C.I. S&amp;S bend 75 mm dia</t>
  </si>
  <si>
    <t>3634</t>
  </si>
  <si>
    <t>S.C.I. S&amp;S heel rest sanitary bend 100 mm dia</t>
  </si>
  <si>
    <t>3635</t>
  </si>
  <si>
    <t>S.C.I. S&amp;S heel rest sanitary bend 75 mm dia</t>
  </si>
  <si>
    <t>3640</t>
  </si>
  <si>
    <t>S.C.I. S&amp;S single equal junctions 100x100x100 mm</t>
  </si>
  <si>
    <t>3641</t>
  </si>
  <si>
    <t>S.C.I. S&amp;S single equal junctions 75x75x75 mm</t>
  </si>
  <si>
    <t>3644</t>
  </si>
  <si>
    <t>S.C.I. S&amp;S single equal junctions with access door 100x100x 100 mm</t>
  </si>
  <si>
    <t>3645</t>
  </si>
  <si>
    <t>S.C.I. S&amp;S single equal junctions with access door 75x75x75 mm</t>
  </si>
  <si>
    <t>3650</t>
  </si>
  <si>
    <t>S.C.I. S&amp;S double equal junctions 100x100x100x100 mm</t>
  </si>
  <si>
    <t>3651</t>
  </si>
  <si>
    <t>S.C.I. S&amp;S double equal junctions 75x75x75x75 mm</t>
  </si>
  <si>
    <t>3654</t>
  </si>
  <si>
    <t>S.C.I. S&amp;S double equal junctions with access door 100x100x100x</t>
  </si>
  <si>
    <t>3655</t>
  </si>
  <si>
    <t>S.C.I. S&amp;S double equal junctions with access door 75x75x75x75</t>
  </si>
  <si>
    <t>mm</t>
  </si>
  <si>
    <t>3660</t>
  </si>
  <si>
    <t>S.C.I. S&amp;S single unequal junctions 100x100x75 mm</t>
  </si>
  <si>
    <t>3664</t>
  </si>
  <si>
    <t>S.C.I. S&amp;S single unequal junctions with access door 100x100x75</t>
  </si>
  <si>
    <t>3670</t>
  </si>
  <si>
    <t>S.C.I. S&amp;S double unequal junctions 100x100x75x75 mm</t>
  </si>
  <si>
    <t>3674</t>
  </si>
  <si>
    <t>S.C.I. S&amp;S double unequal junctions with access door 100x100x75x</t>
  </si>
  <si>
    <t>3681</t>
  </si>
  <si>
    <t>S.C.I. S&amp;S single equal invert branch of required degree 100x100x</t>
  </si>
  <si>
    <t>3682</t>
  </si>
  <si>
    <t>S.C.I. S&amp;S single equal invert branch of required degree 75x75x 75 mm dia</t>
  </si>
  <si>
    <t>3685</t>
  </si>
  <si>
    <t>S.C.I. S&amp;S double equal invert branch of required degree 100x100x</t>
  </si>
  <si>
    <t>3686</t>
  </si>
  <si>
    <t>S.C.I. S&amp;S double equal invert branch of required degree 75x75x75x</t>
  </si>
  <si>
    <t>3690</t>
  </si>
  <si>
    <t>S.C.I. S&amp;S single unequal invert branch of required degree 100x100x</t>
  </si>
  <si>
    <t>3695</t>
  </si>
  <si>
    <t>S.C.I. S&amp;S double unequal invert branch of required degree 100x100x</t>
  </si>
  <si>
    <t>3699</t>
  </si>
  <si>
    <t>S.C.I. S&amp;S, 75 mm offset for 75 mm dia pipe</t>
  </si>
  <si>
    <t>3707</t>
  </si>
  <si>
    <t>S.C.I. S&amp;S, 150 mm offset for 75 mm dia pipe</t>
  </si>
  <si>
    <t>3708</t>
  </si>
  <si>
    <t>S.C.I. S&amp;S, 150 mm offset for 100 mm dia pipe</t>
  </si>
  <si>
    <t>3712</t>
  </si>
  <si>
    <t>S.C.I. S&amp;S, 114 mm offset for 75 mm dia pipe</t>
  </si>
  <si>
    <t>3713</t>
  </si>
  <si>
    <t>S.C.I. S&amp;S, 114 mm offset for 100 mm dia pipe</t>
  </si>
  <si>
    <t>3716</t>
  </si>
  <si>
    <t>S.C.I. S&amp;S, 152 mm offset for 75 mm dia pipe</t>
  </si>
  <si>
    <t>3717</t>
  </si>
  <si>
    <t>S.C.I. S&amp;S, 152 mm offset for 100 mm dia pipe</t>
  </si>
  <si>
    <t>3728</t>
  </si>
  <si>
    <t>S.C.I. S&amp;S door pieces 100 mm dia</t>
  </si>
  <si>
    <t>3729</t>
  </si>
  <si>
    <t>S.C.I. S&amp;S door pieces 75 mm dia</t>
  </si>
  <si>
    <t>3733</t>
  </si>
  <si>
    <t>S.C.I. S&amp;S, Slotted Cowl (Terminal Guard) 100 mm</t>
  </si>
  <si>
    <t>3734</t>
  </si>
  <si>
    <t>S.C.I. S&amp;S, Slotted Cowl (Terminal Guard) 75 mm</t>
  </si>
  <si>
    <t>3738</t>
  </si>
  <si>
    <t>S.C.I. S&amp;S, collars 100 mm</t>
  </si>
  <si>
    <t>3739</t>
  </si>
  <si>
    <t>S.C.I. S&amp;S, collars 75 mm</t>
  </si>
  <si>
    <t>3746</t>
  </si>
  <si>
    <t>S.C.I. S&amp;S, 75 mm offset for 75 mm dia pipe No.</t>
  </si>
  <si>
    <t>3747</t>
  </si>
  <si>
    <t>S.C.I. S&amp;S, 75 mm offset for 100 mm dia pipe</t>
  </si>
  <si>
    <t>3749</t>
  </si>
  <si>
    <t>Vitreous china toilet paper holder of standard size</t>
  </si>
  <si>
    <t>3860</t>
  </si>
  <si>
    <t>560 mm dia cover with frame (Heavy duty)</t>
  </si>
  <si>
    <t>3861</t>
  </si>
  <si>
    <t>560 mm dia cover without frame (Heavy duty)</t>
  </si>
  <si>
    <t>3991</t>
  </si>
  <si>
    <t>Galvanized iron (1.6 ± 0.2 mm) thick reinforcement for small series casement window/door frame, sash, mullion &amp; small series sliding</t>
  </si>
  <si>
    <t>3992</t>
  </si>
  <si>
    <t>Galvanized iron (1.6 ± 0.2 mm) thick reinforcement for big series casement window/door frame, sash, mullion, big &amp; small series</t>
  </si>
  <si>
    <t>3995</t>
  </si>
  <si>
    <t>G.I fasteners 100 x 8 mm</t>
  </si>
  <si>
    <t>4001</t>
  </si>
  <si>
    <t>Stainless steel (Grade-304)hollow section round/square tubes</t>
  </si>
  <si>
    <t>4002</t>
  </si>
  <si>
    <t>Stainless steel bolts/square bar and plates</t>
  </si>
  <si>
    <t>4006</t>
  </si>
  <si>
    <t>Pressed steel door frames (mild steel sheet 1.60 mm) Profile "B"</t>
  </si>
  <si>
    <t>4007</t>
  </si>
  <si>
    <t>Pressed steel door frames (mild steel sheet 1.60 mm) Profile "C"</t>
  </si>
  <si>
    <t>4008</t>
  </si>
  <si>
    <t>Pressed steel door frames (mild steel sheet 1.60 mm) Profile "E"</t>
  </si>
  <si>
    <t>4009</t>
  </si>
  <si>
    <t>Mild steel tubes hot finished welded type</t>
  </si>
  <si>
    <t>4010</t>
  </si>
  <si>
    <t>Mild steel tubes hot finished seamless type</t>
  </si>
  <si>
    <t>4011</t>
  </si>
  <si>
    <t>Mild steel tubes electric resistant or induction butt welded</t>
  </si>
  <si>
    <t>4012</t>
  </si>
  <si>
    <t>Circular C.I. Box for ceiling fan internal dia 140 mm, 73 mm height,</t>
  </si>
  <si>
    <t>4013</t>
  </si>
  <si>
    <t>Pulley 40 mm dia</t>
  </si>
  <si>
    <t>4201</t>
  </si>
  <si>
    <t>Aluminium primer</t>
  </si>
  <si>
    <t>4202</t>
  </si>
  <si>
    <t>Red oxide Zinc chromate primer</t>
  </si>
  <si>
    <t>4203</t>
  </si>
  <si>
    <t>Copper acetate</t>
  </si>
  <si>
    <t>4204</t>
  </si>
  <si>
    <t>Hydrochloric acid</t>
  </si>
  <si>
    <t>4205</t>
  </si>
  <si>
    <t>Copper chloride</t>
  </si>
  <si>
    <t>4206</t>
  </si>
  <si>
    <t>Copper nitrate</t>
  </si>
  <si>
    <t>4207</t>
  </si>
  <si>
    <t>Ammonium chloride</t>
  </si>
  <si>
    <t>5001</t>
  </si>
  <si>
    <t>Mobil oil</t>
  </si>
  <si>
    <t>5050</t>
  </si>
  <si>
    <t>SS pipe 304 grades with press fit technology as per JIS 3448 S tandard</t>
  </si>
  <si>
    <t>5743</t>
  </si>
  <si>
    <t>Coloured inter locking C.C. paver Block</t>
  </si>
  <si>
    <t>6001</t>
  </si>
  <si>
    <t>White marble slab Makrana second quality plain veined 18 mm thick</t>
  </si>
  <si>
    <t>6007</t>
  </si>
  <si>
    <t>Pink marble slab plain 18 mm thick</t>
  </si>
  <si>
    <t>6010</t>
  </si>
  <si>
    <t>Udaypur green marble slab plain 18 mm thick</t>
  </si>
  <si>
    <t>6019</t>
  </si>
  <si>
    <t>Black Zebra marble slab plain 18 mm thick</t>
  </si>
  <si>
    <t>6501</t>
  </si>
  <si>
    <t>Sand zone V (Jamuna)</t>
  </si>
  <si>
    <t>7001</t>
  </si>
  <si>
    <t>Brass 100mm mortice latch and lock with 6 levers without pair of handles</t>
  </si>
  <si>
    <t>7003</t>
  </si>
  <si>
    <t>Pair of Anodised Aluminium lever handles for 100 mm mortice latch</t>
  </si>
  <si>
    <t>7004</t>
  </si>
  <si>
    <t>Vitreous china flat back wash basin 450x300 mm</t>
  </si>
  <si>
    <t>7005</t>
  </si>
  <si>
    <t>Vitreous china 10 litres low level cistern without fittings</t>
  </si>
  <si>
    <t>7006</t>
  </si>
  <si>
    <t>Vitreous china 10 litres low level cistern with fittings</t>
  </si>
  <si>
    <t>7008</t>
  </si>
  <si>
    <t>F.P.S. (non modular) clay fly ash bricks class designation 7.5</t>
  </si>
  <si>
    <t>7009</t>
  </si>
  <si>
    <t>12.5 mm thick tapered edge plain Gypsum plaster borad Confirming to No.</t>
  </si>
  <si>
    <t>7010</t>
  </si>
  <si>
    <t>Galvanised Steel ceiling section (size 80x26x0.50 mm)</t>
  </si>
  <si>
    <t>7011</t>
  </si>
  <si>
    <t>Galvanised Steel perimetre Channel (Size 20x27x30x0.50 mm)</t>
  </si>
  <si>
    <t>7012</t>
  </si>
  <si>
    <t>Galvanised Steel intermediate Channel (Size 15x45x15x0.90 mm)</t>
  </si>
  <si>
    <t>7013</t>
  </si>
  <si>
    <t>Galvanised Steel angle hanger (Celling angle) (Size 25x10x0.50 mm)</t>
  </si>
  <si>
    <t>7014</t>
  </si>
  <si>
    <t>Galvanised Steel connecting clips (2.64 mm dia and 230 mm long</t>
  </si>
  <si>
    <t>7015</t>
  </si>
  <si>
    <t>Galvanised Steel soffit cleat (Size 27x37x25x0.60 mm)</t>
  </si>
  <si>
    <t>7016</t>
  </si>
  <si>
    <t>Joint filler</t>
  </si>
  <si>
    <t>7017</t>
  </si>
  <si>
    <t>Joint finisher</t>
  </si>
  <si>
    <t>7018</t>
  </si>
  <si>
    <t>Joint tape roll</t>
  </si>
  <si>
    <t>roll</t>
  </si>
  <si>
    <t>7019</t>
  </si>
  <si>
    <t>Dash fastener / Chemical fastener</t>
  </si>
  <si>
    <t>7020</t>
  </si>
  <si>
    <t>All drive screws (for gypsum board)</t>
  </si>
  <si>
    <t>7021</t>
  </si>
  <si>
    <t>Primer (for gypsum board)</t>
  </si>
  <si>
    <t>7022</t>
  </si>
  <si>
    <t>Chlorpyriphos 20% E.C. / Lindane 20% E.C.</t>
  </si>
  <si>
    <t>7023</t>
  </si>
  <si>
    <t>Chromium plated brackets (curtain rods)</t>
  </si>
  <si>
    <t>7024</t>
  </si>
  <si>
    <t>Acid Proof cement</t>
  </si>
  <si>
    <t>7025</t>
  </si>
  <si>
    <t>Self tapping pan head nickel coated mild steel screws of size 13 x</t>
  </si>
  <si>
    <t>7026</t>
  </si>
  <si>
    <t>Fibre joint tape 50 mm wide (90 metre) roll</t>
  </si>
  <si>
    <t>each roll</t>
  </si>
  <si>
    <t>7027</t>
  </si>
  <si>
    <t>M.S. Butt hinges 125x90x4 mm</t>
  </si>
  <si>
    <t>7028</t>
  </si>
  <si>
    <t>12.5 mm thick Fully Perforated gypsum board</t>
  </si>
  <si>
    <t>7029</t>
  </si>
  <si>
    <t>Galvanised wire mesh of average width of aperture 1.4 mm and nominal</t>
  </si>
  <si>
    <t>7031</t>
  </si>
  <si>
    <t>12.5 mm thick tapered edge moisture resistant plain Gypsum plaster</t>
  </si>
  <si>
    <t>7032</t>
  </si>
  <si>
    <t>Frosted glass sheet of nominal thickness 4 mm (weighing not less than</t>
  </si>
  <si>
    <t>7033</t>
  </si>
  <si>
    <t>Nickel plated M.S. pipe 25 mm dia</t>
  </si>
  <si>
    <t>7034</t>
  </si>
  <si>
    <t>Nickel plated M.S. pipe 20 mm dia</t>
  </si>
  <si>
    <t>7035</t>
  </si>
  <si>
    <t>Nickel plated M.S. Brackets for curtain rod 20 mm</t>
  </si>
  <si>
    <t>7036</t>
  </si>
  <si>
    <t>Nickel plated M.S - Brackets for curtain rod 25 mm</t>
  </si>
  <si>
    <t>7040</t>
  </si>
  <si>
    <t>Oxidised mild steel screws 35 mm</t>
  </si>
  <si>
    <t>7042</t>
  </si>
  <si>
    <t>Mild steel conduit pipe (heavy type) ISI marked-20 mm dia</t>
  </si>
  <si>
    <t>7043</t>
  </si>
  <si>
    <t>Mild steel conduit pipe (heavy type) ISI marked-25 mm dia</t>
  </si>
  <si>
    <t>7044</t>
  </si>
  <si>
    <t>Rolling shutters of 80x0.90 mm laths</t>
  </si>
  <si>
    <t>7045</t>
  </si>
  <si>
    <t>Rolling shutters of 80x1.2 mm laths</t>
  </si>
  <si>
    <t>7046</t>
  </si>
  <si>
    <t>Top cover of Rolling shutters 0.90 mm thick</t>
  </si>
  <si>
    <t>7047</t>
  </si>
  <si>
    <t>Top cover of Rolling shutters 1.20 mm thick</t>
  </si>
  <si>
    <t>7048</t>
  </si>
  <si>
    <t>Rawl plug 50 mm (designation 10 nos)</t>
  </si>
  <si>
    <t>7049</t>
  </si>
  <si>
    <t>Teak wood lipping of size 25x3 mm in pelmets</t>
  </si>
  <si>
    <t>7050</t>
  </si>
  <si>
    <t>PU Primer</t>
  </si>
  <si>
    <t>7051</t>
  </si>
  <si>
    <t>40 mm (average) PU spray having 40-45 kg/m3 density</t>
  </si>
  <si>
    <t>7052</t>
  </si>
  <si>
    <t>GI wire netting 3/4" x 24 G</t>
  </si>
  <si>
    <t>7053</t>
  </si>
  <si>
    <t>400 G polythene sheet</t>
  </si>
  <si>
    <t>7055</t>
  </si>
  <si>
    <t>Flat pressed 3 layer and graded particle board (medium density) Grade</t>
  </si>
  <si>
    <t>7056</t>
  </si>
  <si>
    <t>Aluminium tee channel (heavy duty) with rollers and stop end</t>
  </si>
  <si>
    <t>7059</t>
  </si>
  <si>
    <t>Aluminium hanging floor door stopper with twin rubber &amp; stopper</t>
  </si>
  <si>
    <t>7060</t>
  </si>
  <si>
    <t>Hydraulic door closer tubular type Aluminium section body No.</t>
  </si>
  <si>
    <t>7063</t>
  </si>
  <si>
    <t>Oxidised M.S.casement stay (straight peg type) 300 mm not less than</t>
  </si>
  <si>
    <t>7064</t>
  </si>
  <si>
    <t>Oxidised M.S.casement stay (straight peg type) 250 mm not less than</t>
  </si>
  <si>
    <t>7065</t>
  </si>
  <si>
    <t>Oxidised M.S. casement stay (straight peg type) 200 mm not less than</t>
  </si>
  <si>
    <t>7068</t>
  </si>
  <si>
    <t>Extra for providing grilled rolling shutters with 8 mm dia M.S. rod</t>
  </si>
  <si>
    <t>7070</t>
  </si>
  <si>
    <t>Chequered precast cement concrete tiles 22 mm thick using marble</t>
  </si>
  <si>
    <t>7071</t>
  </si>
  <si>
    <t>White marble Raj Nagar plain 18 mm thick upto 0.50 sqm area</t>
  </si>
  <si>
    <t>7072</t>
  </si>
  <si>
    <t>Wall mounted water closet of size 780 x 370x690 mm</t>
  </si>
  <si>
    <t>7073</t>
  </si>
  <si>
    <t>Adjustable Vitreous China Cistern with fittings of flushing capacity</t>
  </si>
  <si>
    <t>7074</t>
  </si>
  <si>
    <t>White Vetrious China Waterless Urinal of size 600x330x315 mm</t>
  </si>
  <si>
    <t>7075</t>
  </si>
  <si>
    <t>Cistern with fittings for Waterless Urinal</t>
  </si>
  <si>
    <t>7076</t>
  </si>
  <si>
    <t>Battery based infrared sensor operated white Vitreous Urinal of aprox.</t>
  </si>
  <si>
    <t>7077</t>
  </si>
  <si>
    <t>Acid and alkali resistant tiles 300x300 mm size, 10 mm thick</t>
  </si>
  <si>
    <t>7087</t>
  </si>
  <si>
    <t>S.C.I. Tee 150 mm</t>
  </si>
  <si>
    <t>7090</t>
  </si>
  <si>
    <t>Expanded polystyrene type N- Normal 50 mm thick</t>
  </si>
  <si>
    <t>7091</t>
  </si>
  <si>
    <t>Expanded polystyrene type - SE 50 mm thick</t>
  </si>
  <si>
    <t>7095</t>
  </si>
  <si>
    <t>Stainless steel kitchen sink - with drain board 510 x 1040 mm bowl</t>
  </si>
  <si>
    <t>7096</t>
  </si>
  <si>
    <t>7097</t>
  </si>
  <si>
    <t>7098</t>
  </si>
  <si>
    <t>Stainless steel kitchen sink - with drain board 510x1040 mm bowl</t>
  </si>
  <si>
    <t>7101</t>
  </si>
  <si>
    <t>Stainless steel kitchen sink - without drain board 610x510 mm bowl</t>
  </si>
  <si>
    <t>7102</t>
  </si>
  <si>
    <t>Stainless steel kitchen sink - without drain board 610x460 mm bowl</t>
  </si>
  <si>
    <t>7103</t>
  </si>
  <si>
    <t>Stainless steel kitchen sink - without drain board 470x420 mm bowl</t>
  </si>
  <si>
    <t>7104</t>
  </si>
  <si>
    <t>Coloured Orissa pattern W.C. pan 580x440 mm</t>
  </si>
  <si>
    <t>7105</t>
  </si>
  <si>
    <t>Coloured Pedestal type W.C. pan 580x440 mm (European type)</t>
  </si>
  <si>
    <t>7106</t>
  </si>
  <si>
    <t>Coloured Vitreous china 10 lit. low level cistern</t>
  </si>
  <si>
    <t>7107</t>
  </si>
  <si>
    <t>Coloured (other than black) solid P.V.C. seat in European W.C. pan</t>
  </si>
  <si>
    <t>7112</t>
  </si>
  <si>
    <t>Circular shape 450 mm dia Mirror with Plastic moulded frame</t>
  </si>
  <si>
    <t>7113</t>
  </si>
  <si>
    <t>Rectangular shape 453x357 mm Mirror with Plastic moulded frame</t>
  </si>
  <si>
    <t>7114</t>
  </si>
  <si>
    <t>Oval shape 450x350 mm (outer dimensions) Mirror with Plastic</t>
  </si>
  <si>
    <t>7115</t>
  </si>
  <si>
    <t>Rectangular shape 1500x450 mm Mirror with Plastic moulded frame</t>
  </si>
  <si>
    <t>7116</t>
  </si>
  <si>
    <t>Hard board 6 mm thick</t>
  </si>
  <si>
    <t>7117</t>
  </si>
  <si>
    <t>Semi Rigid PVC waste pipe for sink and wash basin 32 mm dia with length not less than 700 mm i/c PVC waste fittings</t>
  </si>
  <si>
    <t>7118</t>
  </si>
  <si>
    <t>Semi Rigid PVC waste pipe for sink and wash basin 40 mm dia with length not less than 700 mm i/c PVC waste fittings</t>
  </si>
  <si>
    <t>7119</t>
  </si>
  <si>
    <t>Flexible (coil shaped) PVC waste pipe for sink and wash basin 32mm dia</t>
  </si>
  <si>
    <t>7120</t>
  </si>
  <si>
    <t>Flexible (coil shaped) PVC waste pipe for sink and wash basin 40 No.</t>
  </si>
  <si>
    <t>7121</t>
  </si>
  <si>
    <t>Bottle Trap</t>
  </si>
  <si>
    <t>7122</t>
  </si>
  <si>
    <t>CP Brass Single lever telephonic wall mixer of approved make</t>
  </si>
  <si>
    <t>7123</t>
  </si>
  <si>
    <t>Coloured High density polyethylene / poly propylene 10 lit. (full flush)</t>
  </si>
  <si>
    <t>7126</t>
  </si>
  <si>
    <t>White Vitreous china 10 litre (full flush) capacity controlled low level</t>
  </si>
  <si>
    <t>7127</t>
  </si>
  <si>
    <t>Coloured Vitreous china 10 litre (full flush) capacity controlled low level</t>
  </si>
  <si>
    <t>7128</t>
  </si>
  <si>
    <t>S.W. intercepting trap 100 mm dia</t>
  </si>
  <si>
    <t>7129</t>
  </si>
  <si>
    <t>S.W. intercepting trap 150 mm dia</t>
  </si>
  <si>
    <t>7130</t>
  </si>
  <si>
    <t>Rectangular shape 600x450 mm precast R.C.C. manhole cover with frame - L.D. - 2.5 T</t>
  </si>
  <si>
    <t>7131</t>
  </si>
  <si>
    <t>Square shape 450x450 mm precast R.C.C. manhole cover with frame -</t>
  </si>
  <si>
    <t>7132</t>
  </si>
  <si>
    <t>Circular shape 450 mm dia precast R.C.C. manhole cover with frame -</t>
  </si>
  <si>
    <t>7133</t>
  </si>
  <si>
    <t>Rectangular shape 500x500 mm precast R.C.C. manhole cover with frame - M.D. - 10 T</t>
  </si>
  <si>
    <t>7134</t>
  </si>
  <si>
    <t>Circular shape 500 mm dia precast R.C.C. manhole cover with frame-</t>
  </si>
  <si>
    <t>7135</t>
  </si>
  <si>
    <t>Circular shape 560 mm dia precast R.C.C. manhole cover with frame -</t>
  </si>
  <si>
    <t>7136</t>
  </si>
  <si>
    <t>7137</t>
  </si>
  <si>
    <t>Factory made 35 mm thick shutters with laminated veneer lumber styles &amp; rails as per TADS 15:1995 and panels of 12 mm thick plain type-I, medium density flat pressed three layer , graded particle board (FPT-I) as per IS:3087 bonded with BWP type synthetic resin adhesive,</t>
  </si>
  <si>
    <t>7139</t>
  </si>
  <si>
    <t>Factory made 35 mm thick shutters with laminated veneer lumber styles &amp; rails as per TADS 15:1995 and panels of 12 mm thick both sides prelaminated type-I, medium density flat pressed three layer , graded particle board (FPT-I) as per IS:3087 bonded with BWP type</t>
  </si>
  <si>
    <t>7143</t>
  </si>
  <si>
    <t>Factory made 35 mm thick shutters with laminated veneer lumber styles &amp; rails as per TADS 15:1995 and panels of 12 mm thick one side prelaminated type-I, and other side balancing lamination, medium density flat pressed three layer, graded particle board (FPT- I) as per IS:3087 bonded with BWP type synthetic resin adhesive, as</t>
  </si>
  <si>
    <t>7151</t>
  </si>
  <si>
    <t>Factory made 30 mm thick shutters with laminated veneer lumber styles &amp; rails as per TADS 15:1995 and panels of sheet glass using</t>
  </si>
  <si>
    <t>7154</t>
  </si>
  <si>
    <t>Factory made 35 mm thick shutters with laminated veneer lumber styles &amp; rails as per TADS 15:1995 and panels of galvanised wire gauge with average width of aperture 1.4 mm in both directions with wire of dia 0.63 mm</t>
  </si>
  <si>
    <t>7155</t>
  </si>
  <si>
    <t>Factory made 30 mm thick shutters with laminated veneer lumber styles &amp; rails as per TADS 15:1995 and panels of galvanised wire gauge with average width of aperture 1.4 mm in both directions with wire of dia 0.63 mm</t>
  </si>
  <si>
    <t>7157</t>
  </si>
  <si>
    <t>Laminated veneer lumber confirming to TADS 15:1995 manufactured No.</t>
  </si>
  <si>
    <t>7178</t>
  </si>
  <si>
    <t>Chemical ASTMC-type I</t>
  </si>
  <si>
    <t>7181</t>
  </si>
  <si>
    <t>C.I. pile shoe</t>
  </si>
  <si>
    <t>7182</t>
  </si>
  <si>
    <t>M.S. clamps for pile shoe of 35 kg</t>
  </si>
  <si>
    <t>per pile</t>
  </si>
  <si>
    <t>7183</t>
  </si>
  <si>
    <t>Bentonite of 35 kg per pile</t>
  </si>
  <si>
    <t>7184</t>
  </si>
  <si>
    <t>Oxidised M.S. safety chain (weighing not less than 450 gms) for door</t>
  </si>
  <si>
    <t>7187</t>
  </si>
  <si>
    <t>C.I. grating 150 mm dia, weighing not less than 440 gm</t>
  </si>
  <si>
    <t>7188</t>
  </si>
  <si>
    <t>U-PVC pipes (working pressure 4 kg / cm²) Single socketed pipe</t>
  </si>
  <si>
    <t>7189</t>
  </si>
  <si>
    <t>7190</t>
  </si>
  <si>
    <t>U-PVC pipes (working pressure 4 kg / cm²) Rubber (Seal) Ring</t>
  </si>
  <si>
    <t>7191</t>
  </si>
  <si>
    <t>7192</t>
  </si>
  <si>
    <t>uPVC coupler for UPVC drainage pipes 75 mm</t>
  </si>
  <si>
    <t>7193</t>
  </si>
  <si>
    <t>uPVC coupler for UPVC drainage pipes 110 mm</t>
  </si>
  <si>
    <t>7194</t>
  </si>
  <si>
    <t>uPVC pushfit coupler (single) 75 mm thick</t>
  </si>
  <si>
    <t>7195</t>
  </si>
  <si>
    <t>uPVC pushfit coupler (single) 110 mm thick</t>
  </si>
  <si>
    <t>7196</t>
  </si>
  <si>
    <t>uPVC single equal Tee (without door) 75x75x75 mm</t>
  </si>
  <si>
    <t>7197</t>
  </si>
  <si>
    <t>uPVC single equal Tee (without door) 110x110x110 mm</t>
  </si>
  <si>
    <t>7198</t>
  </si>
  <si>
    <t>uPVC single equal Tee (with door) 75x75x75 mm</t>
  </si>
  <si>
    <t>7199</t>
  </si>
  <si>
    <t>uPVC single equal Tee (with door) 110x110x110 mm</t>
  </si>
  <si>
    <t>7208</t>
  </si>
  <si>
    <t>UPVC bend 87.5° 75 mm bend</t>
  </si>
  <si>
    <t>7209</t>
  </si>
  <si>
    <t>UPVC bend 87.5° 110 mm bend</t>
  </si>
  <si>
    <t>7212</t>
  </si>
  <si>
    <t>UPVC plain shoe 75 mm bend</t>
  </si>
  <si>
    <t>7213</t>
  </si>
  <si>
    <t>UPVC plain shoe 110 mm bend</t>
  </si>
  <si>
    <t>7214</t>
  </si>
  <si>
    <t>UPVC pipe clip 75 mm bend</t>
  </si>
  <si>
    <t>7215</t>
  </si>
  <si>
    <t>UPVC pipe clip 110 mm bend</t>
  </si>
  <si>
    <t>7231</t>
  </si>
  <si>
    <t>Resin Bonded Glass wool 16 kg/m³ : 50 mm thick</t>
  </si>
  <si>
    <t>7232</t>
  </si>
  <si>
    <t>Resin Bonded Glass wool 24 kg/m³ : 50 mm thick</t>
  </si>
  <si>
    <t>7233</t>
  </si>
  <si>
    <t>Fibre glass tissue reinforcement Type II Grade i</t>
  </si>
  <si>
    <t>7236</t>
  </si>
  <si>
    <t>Precast chequered cement tiles 22 mm thick Dark shade using ordinary</t>
  </si>
  <si>
    <t>7237</t>
  </si>
  <si>
    <t>Precast chequered cement tiles 22 mm thick medium shade using</t>
  </si>
  <si>
    <t>7238</t>
  </si>
  <si>
    <t>High Albedo paint</t>
  </si>
  <si>
    <t>7239</t>
  </si>
  <si>
    <t>Epoxy paint</t>
  </si>
  <si>
    <t>7240</t>
  </si>
  <si>
    <t>Fire retardant paint</t>
  </si>
  <si>
    <t>7241</t>
  </si>
  <si>
    <t>Melamine polish</t>
  </si>
  <si>
    <t>7244</t>
  </si>
  <si>
    <t>Table rubbed polished stone 18 mm thick (75x50cm) Agaria Marble</t>
  </si>
  <si>
    <t>7245</t>
  </si>
  <si>
    <t>Table rubbed polished stone 18mm thick (75x50cm) Granite stone- (Part-IV) including installation of loading platform and preparation of pile head or construction of test cap and dismantling of test cap after test etc. complete as per specification and up to 50 tonne capacity (Part-IV) including installation of loading platform and preparation of pile head or construction of test cap and dismantling of test cap after test etc. complete as per specification &amp; above 50 tonne and up to No. (Part-IV) including installation of loading platform and preparation of pile head or construction of test cap and dismantling of test cap after test etc. complete as per specification &amp; group of two or more up to</t>
  </si>
  <si>
    <t>7249</t>
  </si>
  <si>
    <t>Cyclic vertical load testing of piles in accordance with IS : 291 1 (Part- IV) including preparation of pile head etc. for Single pile up to 50</t>
  </si>
  <si>
    <t>test</t>
  </si>
  <si>
    <t>7250</t>
  </si>
  <si>
    <t>Cyclic vertical load testing of piles in accordance with IS : 291 1 (Part- IV) including preparation of pile head etc. for Single pile above 50</t>
  </si>
  <si>
    <t>7251</t>
  </si>
  <si>
    <t>Cyclic vertical load testing of piles in accordance with IS : 291 1 (Part- IV) including preparation of pile head etc. for Group of two piles up to</t>
  </si>
  <si>
    <t>7252</t>
  </si>
  <si>
    <t>Lateral load testing of single pile in accordance with IS : 291 1 part -IV for determining safe allowable lateral load on pile up to 50 tonne</t>
  </si>
  <si>
    <t>7253</t>
  </si>
  <si>
    <t>Lateral load testing of single pile in accordance with IS : 291 1 part -IV for determining safe allowable lateral load on pile above 50 tonne</t>
  </si>
  <si>
    <t>7254</t>
  </si>
  <si>
    <t>Hardening compound</t>
  </si>
  <si>
    <t>7255</t>
  </si>
  <si>
    <t>Road marking paint (spirit based)</t>
  </si>
  <si>
    <t>7256</t>
  </si>
  <si>
    <t>Superior quality road marking paint (water based)</t>
  </si>
  <si>
    <t>7257</t>
  </si>
  <si>
    <t>C.P. Brass bibcock 15 mm</t>
  </si>
  <si>
    <t>7258</t>
  </si>
  <si>
    <t>C.P. Brass long nose bibcock 15 mm</t>
  </si>
  <si>
    <t>7259</t>
  </si>
  <si>
    <t>C.P. Brass long body bibcock 15 mm</t>
  </si>
  <si>
    <t>7260</t>
  </si>
  <si>
    <t>C.P. Brass stop cock (concealed) 15 mm</t>
  </si>
  <si>
    <t>7261</t>
  </si>
  <si>
    <t>C.P. Brass angle valve 15 mm</t>
  </si>
  <si>
    <t>7266</t>
  </si>
  <si>
    <t>Pressed clay tiles 20mm thick 250x250 mm size</t>
  </si>
  <si>
    <t>7267</t>
  </si>
  <si>
    <t>Plain ceiling tiles (BWP type phenol formaldehyde synthetic resin</t>
  </si>
  <si>
    <t>7268</t>
  </si>
  <si>
    <t>Semi perforated ceiling tiles (600x600x12 mm)</t>
  </si>
  <si>
    <t>7269</t>
  </si>
  <si>
    <t>25 mm thick particle board</t>
  </si>
  <si>
    <t>7270</t>
  </si>
  <si>
    <t>30 mm thick prelaminated flush door shutter</t>
  </si>
  <si>
    <t>7271</t>
  </si>
  <si>
    <t>Second class teak wood lipping 25 mm wide x 12 mm thick</t>
  </si>
  <si>
    <t>7272</t>
  </si>
  <si>
    <t>25 mm thick melamine faced prelaminated three layer particle board</t>
  </si>
  <si>
    <t>7273</t>
  </si>
  <si>
    <t>Resin Bonded Rockwool 48 kg/m3</t>
  </si>
  <si>
    <t>7274</t>
  </si>
  <si>
    <t>Glass wool 50 mm thick</t>
  </si>
  <si>
    <t>7280</t>
  </si>
  <si>
    <t>Waste plastic additive</t>
  </si>
  <si>
    <t>7281</t>
  </si>
  <si>
    <t>Chemical ASTMC-type II</t>
  </si>
  <si>
    <t>7295</t>
  </si>
  <si>
    <t>Granite of any colour, 18 mm thick (slab area upto 0.50 sqm)</t>
  </si>
  <si>
    <t>7296</t>
  </si>
  <si>
    <t>Granite of any colour, 30 mm thick (slab area upto 0.50 sqm)</t>
  </si>
  <si>
    <t>7297</t>
  </si>
  <si>
    <t>Granite of any colour, 18 mm thick (slab area above 0.50 sqm)</t>
  </si>
  <si>
    <t>7306</t>
  </si>
  <si>
    <t>Aluminium T or L sections</t>
  </si>
  <si>
    <t>7307</t>
  </si>
  <si>
    <t>For flush door shutters Extra for providing teak veneering on one side</t>
  </si>
  <si>
    <t>7309</t>
  </si>
  <si>
    <t>Paving Asphalt of grade VG-30 of approved quality</t>
  </si>
  <si>
    <t>7312</t>
  </si>
  <si>
    <t>Expandable fastener with plastic sleeve and M.S. screws : 25 mm long</t>
  </si>
  <si>
    <t>7313</t>
  </si>
  <si>
    <t>Expandable fastener with plastic sleeve and M.S. screws : 32 mm long</t>
  </si>
  <si>
    <t>7314</t>
  </si>
  <si>
    <t>Expandable fastener with plastic sleeve and M.S. screws : 40 mm long</t>
  </si>
  <si>
    <t>7315</t>
  </si>
  <si>
    <t>Expandable fastener with plastic sleeve and M.S. screws. 50 mm long No.</t>
  </si>
  <si>
    <t>7318</t>
  </si>
  <si>
    <t>Plasticizer / super plasticizer</t>
  </si>
  <si>
    <t>7319</t>
  </si>
  <si>
    <t>Wall form panel 1250x500 mm</t>
  </si>
  <si>
    <t>7320</t>
  </si>
  <si>
    <t>Tie bolt 12 mm dia 100 mm length</t>
  </si>
  <si>
    <t>7321</t>
  </si>
  <si>
    <t>Tie bolt 12 mm dia 150 mm length</t>
  </si>
  <si>
    <t>7322</t>
  </si>
  <si>
    <t>Tie bolt 20 mm dia 150 mm length</t>
  </si>
  <si>
    <t>7323</t>
  </si>
  <si>
    <t>Tie bolt 20 mm dia 225 mm length</t>
  </si>
  <si>
    <t>7324</t>
  </si>
  <si>
    <t>Spring coil 12 mm</t>
  </si>
  <si>
    <t>7325</t>
  </si>
  <si>
    <t>Plastic cone 12 mm dia</t>
  </si>
  <si>
    <t>7326</t>
  </si>
  <si>
    <t>Corner angle 45x45x5 mm 1.50 m long</t>
  </si>
  <si>
    <t>7327</t>
  </si>
  <si>
    <t>100 mm channel shoulder 2.5 m long</t>
  </si>
  <si>
    <t>7328</t>
  </si>
  <si>
    <t>Double clip (bridge clip)</t>
  </si>
  <si>
    <t>7329</t>
  </si>
  <si>
    <t>Single clip</t>
  </si>
  <si>
    <t>7330</t>
  </si>
  <si>
    <t>M.S. tube 40 mm dia</t>
  </si>
  <si>
    <t>7331</t>
  </si>
  <si>
    <t>Wall form panel 1250x450 mm</t>
  </si>
  <si>
    <t>7332</t>
  </si>
  <si>
    <t>Corner angle 45x45x5 mm 2.50 m long</t>
  </si>
  <si>
    <t>7333</t>
  </si>
  <si>
    <t>Column clamp 450x1070 mm</t>
  </si>
  <si>
    <t>7334</t>
  </si>
  <si>
    <t>Prop 2 m ( 2-3.5 m)</t>
  </si>
  <si>
    <t>7335</t>
  </si>
  <si>
    <t>Binding wire</t>
  </si>
  <si>
    <t>7336</t>
  </si>
  <si>
    <t>Lock Bar (E 250) - 10 thick MS Plate</t>
  </si>
  <si>
    <t>7338</t>
  </si>
  <si>
    <t>Gun metal cramp</t>
  </si>
  <si>
    <t>7339</t>
  </si>
  <si>
    <t>Stainless steel cramp</t>
  </si>
  <si>
    <t>7340</t>
  </si>
  <si>
    <t>Stainless steel pin</t>
  </si>
  <si>
    <t>7342</t>
  </si>
  <si>
    <t>Adjustable span ESO+SI (2.35-3.40)</t>
  </si>
  <si>
    <t>7343</t>
  </si>
  <si>
    <t>Adjustable telescopic prop 3 m (2.02-3.75 m)</t>
  </si>
  <si>
    <t>7344</t>
  </si>
  <si>
    <t>Beam clamp 300-380 mm (450-1070 mm)</t>
  </si>
  <si>
    <t>each set</t>
  </si>
  <si>
    <t>7345</t>
  </si>
  <si>
    <t>Prop 4 m</t>
  </si>
  <si>
    <t>7346</t>
  </si>
  <si>
    <t>Double coupler</t>
  </si>
  <si>
    <t>7347</t>
  </si>
  <si>
    <t>Cadmium plated full threaded steel screws (30x4 mm dia)</t>
  </si>
  <si>
    <t>7348</t>
  </si>
  <si>
    <t>Aluminium washer 2 mm thick 15 mm dia</t>
  </si>
  <si>
    <t>7349</t>
  </si>
  <si>
    <t>12 mm M.S. 'U' beading</t>
  </si>
  <si>
    <t>7354</t>
  </si>
  <si>
    <t>Plastic encapsulated M.S. foot rest 30x20x15 cm</t>
  </si>
  <si>
    <t>7358</t>
  </si>
  <si>
    <t>Flushing Cistern P.V.C. 10 litre capacity (low level) (White) (with fittings,</t>
  </si>
  <si>
    <t>7359</t>
  </si>
  <si>
    <t>P.V.C. automatic flushing cistern 5 litre capacity</t>
  </si>
  <si>
    <t>7361</t>
  </si>
  <si>
    <t>P.V.C. automatic flushing cistern 10 litre capacity</t>
  </si>
  <si>
    <t>7363</t>
  </si>
  <si>
    <t>15 mm C.P. brass tap with elbow operation lever</t>
  </si>
  <si>
    <t>7364</t>
  </si>
  <si>
    <t>White glazed fire clay draining board 600x450x25 mm</t>
  </si>
  <si>
    <t>7366</t>
  </si>
  <si>
    <t>Glass reinforced Gypsum (GRG) plaster board 12.5 mm thick confirming</t>
  </si>
  <si>
    <t>7367</t>
  </si>
  <si>
    <t>Galvanised M.S. sheet 0.5 mm thick pressed channel section of size</t>
  </si>
  <si>
    <t>7368</t>
  </si>
  <si>
    <t>GFRG Panel of 124 mm thick</t>
  </si>
  <si>
    <t>7369</t>
  </si>
  <si>
    <t>Galvanised M.S. sheet 0.50 mm thick pressed stud : 48x34x36 mm</t>
  </si>
  <si>
    <t>7375</t>
  </si>
  <si>
    <t>G.I. flush pipe and C.P. brass spreader including C.P. connecting pipe</t>
  </si>
  <si>
    <t>7376</t>
  </si>
  <si>
    <t>7377</t>
  </si>
  <si>
    <t>G.i. flush pipe and C.P. brass spreader including C.P. connecting pipe</t>
  </si>
  <si>
    <t>7378</t>
  </si>
  <si>
    <t>G.I. flush pipe and C.P. brass spreader including C.P. connecting pipe No.</t>
  </si>
  <si>
    <t>7379</t>
  </si>
  <si>
    <t>White vitreous china clay half stall urinal flat back 580x380x350 mm or</t>
  </si>
  <si>
    <t>7380</t>
  </si>
  <si>
    <t>Precast R.C.C. grating with frame 500x450 mm horizontal grating</t>
  </si>
  <si>
    <t>7381</t>
  </si>
  <si>
    <t>Precast R.C.C. grating with frame 450x100 mm vertical grating</t>
  </si>
  <si>
    <t>7382</t>
  </si>
  <si>
    <t>Bitumen emulsion rapid setting (R.S.) confirming to IS : 8887</t>
  </si>
  <si>
    <t>7383</t>
  </si>
  <si>
    <t>12 mm dia 50 mm long wedge type expanded zinc alloy dash fastener</t>
  </si>
  <si>
    <t>7385</t>
  </si>
  <si>
    <t>3 mm thick translucent white acrylic plastic sheet</t>
  </si>
  <si>
    <t>7386</t>
  </si>
  <si>
    <t>12 mm thick particle board ceiling tile</t>
  </si>
  <si>
    <t>7387</t>
  </si>
  <si>
    <t>Spigot for standard jointing</t>
  </si>
  <si>
    <t>7388</t>
  </si>
  <si>
    <t>Dash hold fastener 12.5 mm dia, 50 mm long with 6 mm dia bolt</t>
  </si>
  <si>
    <t>7389</t>
  </si>
  <si>
    <t>Anodising 15 microns on aluminium sections</t>
  </si>
  <si>
    <t>7390</t>
  </si>
  <si>
    <t>EPDM Gasket for uPVC window/door</t>
  </si>
  <si>
    <t>7391</t>
  </si>
  <si>
    <t>Anodising 25 microns on aluminium sections</t>
  </si>
  <si>
    <t>7392</t>
  </si>
  <si>
    <t>Powder coating 50 microns on aluminium sections</t>
  </si>
  <si>
    <t>7393</t>
  </si>
  <si>
    <t>Polyester powder coating 50 microns on aluminium sections</t>
  </si>
  <si>
    <t>7394</t>
  </si>
  <si>
    <t>Double action hydraulic floor spring with stainless steel cover plate</t>
  </si>
  <si>
    <t>7395</t>
  </si>
  <si>
    <t>6 mm dia G.I. adjustable hangers including clips (up to 1.2 m length)</t>
  </si>
  <si>
    <t>7396</t>
  </si>
  <si>
    <t>Double action hydraulic floor spring with brass cover plate</t>
  </si>
  <si>
    <t>7397</t>
  </si>
  <si>
    <t>Base Jack</t>
  </si>
  <si>
    <t>7398</t>
  </si>
  <si>
    <t>Challies</t>
  </si>
  <si>
    <t>7399</t>
  </si>
  <si>
    <t>Cup locks</t>
  </si>
  <si>
    <t>7400</t>
  </si>
  <si>
    <t>15 mm PTMT bib cock</t>
  </si>
  <si>
    <t>7401</t>
  </si>
  <si>
    <t>15 mm PTMT bib cock with flange (fancy)</t>
  </si>
  <si>
    <t>7402</t>
  </si>
  <si>
    <t>15 mm PTMT bib cock long body with flange</t>
  </si>
  <si>
    <t>7403</t>
  </si>
  <si>
    <t>15 mm dia PTMT stop cock (male thread)</t>
  </si>
  <si>
    <t>7405</t>
  </si>
  <si>
    <t>20 mm dia PTMT stop cock</t>
  </si>
  <si>
    <t>7406</t>
  </si>
  <si>
    <t>PTMT pillar cock</t>
  </si>
  <si>
    <t>7407</t>
  </si>
  <si>
    <t>PTMT push cock 15 mm dia</t>
  </si>
  <si>
    <t>7408</t>
  </si>
  <si>
    <t>PTMT push cock 12 mm dia 20 mm BSP</t>
  </si>
  <si>
    <t>7409</t>
  </si>
  <si>
    <t>PTMT grating 100 mm dia</t>
  </si>
  <si>
    <t>7410</t>
  </si>
  <si>
    <t>PTMT Pillar cock (fancy) 15 mm foam flow</t>
  </si>
  <si>
    <t>7411</t>
  </si>
  <si>
    <t>125 mm grating with waste hole</t>
  </si>
  <si>
    <t>7412</t>
  </si>
  <si>
    <t>Rectangular type with openable circular lid 150 mm size 18 mm high</t>
  </si>
  <si>
    <t>7415</t>
  </si>
  <si>
    <t>Double acting air valve 50 mm</t>
  </si>
  <si>
    <t>7416</t>
  </si>
  <si>
    <t>Double acting air valve 80 mm</t>
  </si>
  <si>
    <t>7417</t>
  </si>
  <si>
    <t>Double acting air valve 100 mm</t>
  </si>
  <si>
    <t>7418</t>
  </si>
  <si>
    <t>Water meter (including testing charges) 80 mm</t>
  </si>
  <si>
    <t>7419</t>
  </si>
  <si>
    <t>Water meter (including testing charges) 100 mm</t>
  </si>
  <si>
    <t>7420</t>
  </si>
  <si>
    <t>Water meter (including testing charges) 150 mm</t>
  </si>
  <si>
    <t>7421</t>
  </si>
  <si>
    <t>Water meter (including testing charges) 200 mm</t>
  </si>
  <si>
    <t>7422</t>
  </si>
  <si>
    <t>Dirt box strainer 80 mm</t>
  </si>
  <si>
    <t>7423</t>
  </si>
  <si>
    <t>Dirt box strainer 100 mm</t>
  </si>
  <si>
    <t>7424</t>
  </si>
  <si>
    <t>Dirt box strainer 150 mm</t>
  </si>
  <si>
    <t>7425</t>
  </si>
  <si>
    <t>Dirt box strainer 200 mm</t>
  </si>
  <si>
    <t>7426</t>
  </si>
  <si>
    <t>Cat's eye</t>
  </si>
  <si>
    <t>7427</t>
  </si>
  <si>
    <t>Water stops Serrated with central bulb (225 mm wide, 8-11 mm thick)</t>
  </si>
  <si>
    <t>7428</t>
  </si>
  <si>
    <t>Water stops Dumb bell with central bulb</t>
  </si>
  <si>
    <t>7429</t>
  </si>
  <si>
    <t>Kickers No.</t>
  </si>
  <si>
    <t>7430</t>
  </si>
  <si>
    <t>Wedge expansion hold fastener 1/4" or 6 mm</t>
  </si>
  <si>
    <t>7431</t>
  </si>
  <si>
    <t>Wedge expansion hold fastener 3/8" or 10 mm</t>
  </si>
  <si>
    <t>7432</t>
  </si>
  <si>
    <t>Wedge expansion hold fastener 1/2" or 12 mm</t>
  </si>
  <si>
    <t>7439</t>
  </si>
  <si>
    <t>8mm thick (mirror polished tiles machine cut edge) Raj Nagar white</t>
  </si>
  <si>
    <t>7442</t>
  </si>
  <si>
    <t>Wheel 75 mm dia. 40 mm wide</t>
  </si>
  <si>
    <t>7443</t>
  </si>
  <si>
    <t>Aluminium single cleat of size 30x32x3 mm</t>
  </si>
  <si>
    <t>7444</t>
  </si>
  <si>
    <t>Aluminium grip strip of size 50x12x2 mm</t>
  </si>
  <si>
    <t>7445</t>
  </si>
  <si>
    <t>25 mm thick prelaminated flush door shutter both side decorative</t>
  </si>
  <si>
    <t>7449</t>
  </si>
  <si>
    <t>Aluminium U beading</t>
  </si>
  <si>
    <t>7451</t>
  </si>
  <si>
    <t>Glass sheet (Pin headed) 4 mm thick</t>
  </si>
  <si>
    <t>7452</t>
  </si>
  <si>
    <t>Raj nagar plain white marble (table rubbed and polished) 18 mm thick</t>
  </si>
  <si>
    <t>7453</t>
  </si>
  <si>
    <t>7466</t>
  </si>
  <si>
    <t>Second class deodar teak wood lipping 30 mm wide x 12 mm thick</t>
  </si>
  <si>
    <t>7468</t>
  </si>
  <si>
    <t>Veneered particle board with commercial veneering on both sides 12 mm</t>
  </si>
  <si>
    <t>7477</t>
  </si>
  <si>
    <t>Prelaminated particle board with one side decorative and other side balancing lamination, flat pressed 3 layer &amp; graded (medium density)</t>
  </si>
  <si>
    <t>7478</t>
  </si>
  <si>
    <t>7479</t>
  </si>
  <si>
    <t>7480</t>
  </si>
  <si>
    <t>Prelaminated particle board with both sides decorative lamination, flat pressed 3 layer &amp; graded (medium density) Grade I, Type II</t>
  </si>
  <si>
    <t>7485</t>
  </si>
  <si>
    <t>Oxidised M. S. hinges finished with nickel plating 50 mm (Over all width)</t>
  </si>
  <si>
    <t>7486</t>
  </si>
  <si>
    <t>Oxidised M. S. hinges finished with nickel plating 65 mm (Over all width)</t>
  </si>
  <si>
    <t>7491</t>
  </si>
  <si>
    <t>PTMT - Waste Coupling 31/32 mm</t>
  </si>
  <si>
    <t>7492</t>
  </si>
  <si>
    <t>PTMT - Waste Coupling 38/40 mm</t>
  </si>
  <si>
    <t>7493</t>
  </si>
  <si>
    <t>PTMT - Bottle Trap 31/32 mm</t>
  </si>
  <si>
    <t>7494</t>
  </si>
  <si>
    <t>PTMT - Bottle Trap 38/40 mm</t>
  </si>
  <si>
    <t>7495</t>
  </si>
  <si>
    <t>PTMT Ball Cock 15mm complete with Epoxy Coated Aluminium Rod &amp;</t>
  </si>
  <si>
    <t>7496</t>
  </si>
  <si>
    <t>PTMT Ball Cock 20mm complete with Epoxy Coated Aluminium Rod &amp;</t>
  </si>
  <si>
    <t>7497</t>
  </si>
  <si>
    <t>PTMT Ball Cock 25mm complete with Epoxy Coated Aluminium Rod &amp;</t>
  </si>
  <si>
    <t>7498</t>
  </si>
  <si>
    <t>PTMT Ball Cock 40mm complete with Epoxy Coated Aluminium Rod &amp;</t>
  </si>
  <si>
    <t>7499</t>
  </si>
  <si>
    <t>PTMT Ball Cock 50mm complete with Epoxy Coated Aluminium Rod &amp;</t>
  </si>
  <si>
    <t>7500</t>
  </si>
  <si>
    <t>PTMT Angle Stop cock with Flange 15 mm</t>
  </si>
  <si>
    <t>7501</t>
  </si>
  <si>
    <t>PTMT Swiveling shower 15 mm</t>
  </si>
  <si>
    <t>7503</t>
  </si>
  <si>
    <t>PTMT Liquid Soap Container of 400 ml capacity</t>
  </si>
  <si>
    <t>7504</t>
  </si>
  <si>
    <t>PTMT</t>
  </si>
  <si>
    <t>- Towel Ring 215x200x37 mm</t>
  </si>
  <si>
    <t>7505</t>
  </si>
  <si>
    <t>PTMT - Towel Rail (450 mm long )</t>
  </si>
  <si>
    <t>7506</t>
  </si>
  <si>
    <t>PTMT - Towel Rail (600 mm long) No.</t>
  </si>
  <si>
    <t>7507</t>
  </si>
  <si>
    <t>PTMT Shelf 450x124x36 mm</t>
  </si>
  <si>
    <t>7508</t>
  </si>
  <si>
    <t>PTMT - Urinal Spreader 15 mm</t>
  </si>
  <si>
    <t>7509</t>
  </si>
  <si>
    <t>PTMT Soap Dish/Holder 138x102x75 mm</t>
  </si>
  <si>
    <t>7512</t>
  </si>
  <si>
    <t>PTMT handle 125x34x24 mm</t>
  </si>
  <si>
    <t>7513</t>
  </si>
  <si>
    <t>PTMT handle 150x34x24 mm</t>
  </si>
  <si>
    <t>7514</t>
  </si>
  <si>
    <t>PTMT butt hinges 75x60x10 mm</t>
  </si>
  <si>
    <t>7515</t>
  </si>
  <si>
    <t>PTMT butt hinges 100x75x10 mm</t>
  </si>
  <si>
    <t>7516</t>
  </si>
  <si>
    <t>PTMT Tower bolt 152x42x18 mm</t>
  </si>
  <si>
    <t>7517</t>
  </si>
  <si>
    <t>PTMT Tower bolt 202x42x18 mm</t>
  </si>
  <si>
    <t>7518</t>
  </si>
  <si>
    <t>PTMT door catcher 72x42 mm</t>
  </si>
  <si>
    <t>7552</t>
  </si>
  <si>
    <t>Coir veneered board 4 mm thick</t>
  </si>
  <si>
    <t>7553</t>
  </si>
  <si>
    <t>Coir veneered board 6 mm thick</t>
  </si>
  <si>
    <t>7555</t>
  </si>
  <si>
    <t>Coir veneered board 12 mm thick</t>
  </si>
  <si>
    <t>7556</t>
  </si>
  <si>
    <t>Coir veneered board 18 mm thick</t>
  </si>
  <si>
    <t>7621</t>
  </si>
  <si>
    <t>Hubless centrifugally cast (spun) iron pipes as per IS 15905 - 100 mm dia</t>
  </si>
  <si>
    <t>7622</t>
  </si>
  <si>
    <t>Hubless centrifugally cast (spun) iron pipes as per IS 15905 - 75 mm dia</t>
  </si>
  <si>
    <t>7623</t>
  </si>
  <si>
    <t>Hubless centrifugally cast (spun) iron plain bend as per IS 15905 -</t>
  </si>
  <si>
    <t>7624</t>
  </si>
  <si>
    <t>7625</t>
  </si>
  <si>
    <t>Hubless centrifugally cast (spun) iron double equal plain junction as per IS 15905 - 100x100x100x100 mm dia</t>
  </si>
  <si>
    <t>7626</t>
  </si>
  <si>
    <t>Hubless centrifugally cast (spun) iron double equal plain junction as per IS 15905 - 75x75x75x75 mm dia</t>
  </si>
  <si>
    <t>7627</t>
  </si>
  <si>
    <t>Hubless centrifugally cast (spun) iron single equal plain junction as per IS 15905 - 100x100x100 mm dia</t>
  </si>
  <si>
    <t>7628</t>
  </si>
  <si>
    <t>Hubless centrifugally cast (spun) iron single equal plain junction as per IS 15905 - 75x75x75 mm dia</t>
  </si>
  <si>
    <t>7629</t>
  </si>
  <si>
    <t>Hubless centrifugally cast (spun) iron double unequal plain junction as</t>
  </si>
  <si>
    <t>7630</t>
  </si>
  <si>
    <t>Hubless centrifugally cast (spun) iron single unequal plain junction as</t>
  </si>
  <si>
    <t>7631</t>
  </si>
  <si>
    <t>Hubless centrifugally cast (spun) iron double equal plain invert</t>
  </si>
  <si>
    <t>7632</t>
  </si>
  <si>
    <t>Hubless centrifugally cast (spun) iron single equal plain invert branch as</t>
  </si>
  <si>
    <t>7633</t>
  </si>
  <si>
    <t>7634</t>
  </si>
  <si>
    <t>Hubless centrifugally cast (spun) iron single unequal plain invert branch</t>
  </si>
  <si>
    <t>7635</t>
  </si>
  <si>
    <t>Hubless centrifugally cast (spun) iron 65 mm offset with 100 mm dia</t>
  </si>
  <si>
    <t>7636</t>
  </si>
  <si>
    <t>Hubless centrifugally cast (spun) iron 65 mm offset with 75 mm dia pipe</t>
  </si>
  <si>
    <t>7637</t>
  </si>
  <si>
    <t>Hubless centrifugally cast (spun) iron 130 mm offset with 100 mm dia</t>
  </si>
  <si>
    <t>7638</t>
  </si>
  <si>
    <t>Hubless centrifugally cast (spun) iron 130 mm offset with 75 mm dia</t>
  </si>
  <si>
    <t>7639</t>
  </si>
  <si>
    <t>Hubless centrifugally cast (spun) iron bend with access door - 100mm No.</t>
  </si>
  <si>
    <t>7640</t>
  </si>
  <si>
    <t>Hubless centrifugally cast (spun) iron bend with access door - 75mm dia</t>
  </si>
  <si>
    <t>7641</t>
  </si>
  <si>
    <t>Hubless centrifugally cast (spun) iron terminal guard (slotted cowl) -</t>
  </si>
  <si>
    <t>7642</t>
  </si>
  <si>
    <t>Hubless centrifugally cast (spun) iron trap with 100 mm inlet and 100 mm outlet</t>
  </si>
  <si>
    <t>as per IS 15905</t>
  </si>
  <si>
    <t>7643</t>
  </si>
  <si>
    <t>Hubless centrifugally cast (spun) iron trap with 100 mm inlet and 75 mm</t>
  </si>
  <si>
    <t>7644</t>
  </si>
  <si>
    <t>SS 304 grade shielded coupling with EPDM rubber gasket for 100mm dia</t>
  </si>
  <si>
    <t>7645</t>
  </si>
  <si>
    <t>SS 304 grade shielded coupling with EPDM rubber gasket for 75 mm dia</t>
  </si>
  <si>
    <t>7651</t>
  </si>
  <si>
    <t>Ductile Iron class K - 9 pipe Conforming to I.S. 8329 100 mm dia</t>
  </si>
  <si>
    <t>7652</t>
  </si>
  <si>
    <t>Ductile Iron class K - 9 pipe Conforming to I.S. 8329 - 150 mm dia</t>
  </si>
  <si>
    <t>7653</t>
  </si>
  <si>
    <t>Ductile Iron class K - 9 pipe Conforming to I.S. 8329 - 200 mm dia</t>
  </si>
  <si>
    <t>7654</t>
  </si>
  <si>
    <t>Ductile Iron class K - 9 pipe Conforming to I.S. 8329 - 250 mm dia</t>
  </si>
  <si>
    <t>7655</t>
  </si>
  <si>
    <t>Ductile Iron class K - 9 pipe Conforming to 1.S. 8329 - 300 mm dia</t>
  </si>
  <si>
    <t>7656</t>
  </si>
  <si>
    <t>Ductile Iron class K - 9 pipe Conforming to I.S. 8329 - 350 mm dia</t>
  </si>
  <si>
    <t>7657</t>
  </si>
  <si>
    <t>Ductile Iron class K - 9 pipe Conforming to 1.S. 8329 - 400 mm dia</t>
  </si>
  <si>
    <t>7658</t>
  </si>
  <si>
    <t>Ductile Iron class K - 9 pipe Conforming to 1.S. 8329 - 450 mm dia</t>
  </si>
  <si>
    <t>7659</t>
  </si>
  <si>
    <t>Ductile Iron class K - 9 pipe Conforming to I.S. 8329 - 500 mm dia</t>
  </si>
  <si>
    <t>7660</t>
  </si>
  <si>
    <t>Ductile Iron class K -9 pipe Conforming to I.S. 8329 - 600 mm dia</t>
  </si>
  <si>
    <t>7661</t>
  </si>
  <si>
    <t>Ductile Iron class K - 9 pipe Conforming to I.S. 8329 - 700 mm dia</t>
  </si>
  <si>
    <t>7662</t>
  </si>
  <si>
    <t>Ductile Iron class K - 9 pipe Conforming to I.S. 8329 - 750 mm dia</t>
  </si>
  <si>
    <t>7663</t>
  </si>
  <si>
    <t>Ductile Iron class K - 9 pipe Conforming to I.S. 8329 - 800 mm dia</t>
  </si>
  <si>
    <t>7664</t>
  </si>
  <si>
    <t>Ductile Iron class K - 9 pipe Conforming to I.S. 8329 - 900 mm dia</t>
  </si>
  <si>
    <t>7665</t>
  </si>
  <si>
    <t>Ductile Iron class K - 9 pipe Conforming to I.S. 8329 - 1000 mm dia</t>
  </si>
  <si>
    <t>7666</t>
  </si>
  <si>
    <t>Rubber Gaskets Conforming to I.S 5382 of S.B.R quality 100 mm dia</t>
  </si>
  <si>
    <t>7668</t>
  </si>
  <si>
    <t>Rubber Gaskets Conforming to I.S 5382 of S.B.R quality 150 mm dia</t>
  </si>
  <si>
    <t>7669</t>
  </si>
  <si>
    <t>Rubber Gaskets Conforming to I.S 5382 of S.B.R quality 200 mm dia</t>
  </si>
  <si>
    <t>7670</t>
  </si>
  <si>
    <t>Rubber Gaskets Conforming to I.S 5382 of S.B.R quality 250 mm dia</t>
  </si>
  <si>
    <t>7671</t>
  </si>
  <si>
    <t>Rubber Gaskets Conforming to I.S 5382 of S.B.R quality 300 mm dia</t>
  </si>
  <si>
    <t>7672</t>
  </si>
  <si>
    <t>Rubber Gaskets Conforming to I.S 5382 of S.B.R quality 350 mm dia</t>
  </si>
  <si>
    <t>7673</t>
  </si>
  <si>
    <t>Rubber Gaskets Conforming to I.S 5382 of S.B.R quality 400 mm dia</t>
  </si>
  <si>
    <t>7674</t>
  </si>
  <si>
    <t>Rubber Gaskets Conforming to I.S 5382 of S.B.R quality 450 mm dia</t>
  </si>
  <si>
    <t>7675</t>
  </si>
  <si>
    <t>Rubber Gaskets Conforming to I.S 5382 of S.B.R quality 500 mm dia</t>
  </si>
  <si>
    <t>7676</t>
  </si>
  <si>
    <t>Rubber Gaskets Conforming to I.S 5382 of S.B.R quality 600 mm dia</t>
  </si>
  <si>
    <t>7677</t>
  </si>
  <si>
    <t>Rubber Gaskets Conforming to I.S 5382 of S.B.R quality 700 mm dia</t>
  </si>
  <si>
    <t>7678</t>
  </si>
  <si>
    <t>Rubber Gaskets Conforming to I.S 5382 of S.B.R quality 750 mm dia</t>
  </si>
  <si>
    <t>7679</t>
  </si>
  <si>
    <t>Rubber Gaskets Conforming to I.S 5382 of S.B.R quality 800 mm dia</t>
  </si>
  <si>
    <t>7680</t>
  </si>
  <si>
    <t>Rubber Gaskets Conforming to I.S 5382 of S.B.R quality 900 mm dia</t>
  </si>
  <si>
    <t>7681</t>
  </si>
  <si>
    <t>Rubber Gaskets Conforming to I.S 5382 of S.B.R quality 1000 mm dia</t>
  </si>
  <si>
    <t>7682</t>
  </si>
  <si>
    <t>Ductile Iron K - 12 specials suitable for push on jointing up to 600 mm dia</t>
  </si>
  <si>
    <t>7683</t>
  </si>
  <si>
    <t>Ductile Iron K - 12 specials suitable for push on jointing over 600 mm dia</t>
  </si>
  <si>
    <t>7684</t>
  </si>
  <si>
    <t>Ductile Iron specials suitable for mechanical jointing as per I.S. 9523 -</t>
  </si>
  <si>
    <t>7685</t>
  </si>
  <si>
    <t>Ductile Iron Specials suitable for mechanical jointing as per I.S. 9523</t>
  </si>
  <si>
    <t>7686</t>
  </si>
  <si>
    <t>Ductile Iron Pipe Class K-9 flanges and welding 100 mm dia</t>
  </si>
  <si>
    <t>7687</t>
  </si>
  <si>
    <t>Ductile Iron Pipe Class K-9 flanges and welding 150 mm dia No.</t>
  </si>
  <si>
    <t>7688</t>
  </si>
  <si>
    <t>Ductile Iron Pipe Class K-9 flanges and welding 200 mm dia</t>
  </si>
  <si>
    <t>7689</t>
  </si>
  <si>
    <t>Ductile Iron Pipe Class K-9 flanges and welding 250 mm dia</t>
  </si>
  <si>
    <t>7690</t>
  </si>
  <si>
    <t>Ductile Iron Pipe Class K-9 flanges and welding 300 mm dia</t>
  </si>
  <si>
    <t>7691</t>
  </si>
  <si>
    <t>Ductile Iron Pipe Class K-9 flanges and welding 350 mm dia</t>
  </si>
  <si>
    <t>7692</t>
  </si>
  <si>
    <t>Ductile Iron Pipe Class K-9 flanges and welding 400 mm dia</t>
  </si>
  <si>
    <t>7693</t>
  </si>
  <si>
    <t>Ductile Iron Pipe Class K-9 flanges and welding 450 mm dia</t>
  </si>
  <si>
    <t>7694</t>
  </si>
  <si>
    <t>Ductile Iron Pipe Class K-9 flanges and welding 500 mm dia</t>
  </si>
  <si>
    <t>7695</t>
  </si>
  <si>
    <t>Ductile Iron Pipe Class K-9 flanges and welding 600 mm dia</t>
  </si>
  <si>
    <t>7696</t>
  </si>
  <si>
    <t>Ductile Iron Pipe Class K-9 flanges and welding 700 mm dia</t>
  </si>
  <si>
    <t>7697</t>
  </si>
  <si>
    <t>S&amp;S Centrifugally (Spun) C.I. Pipe class LA 100 mm dia</t>
  </si>
  <si>
    <t>7698</t>
  </si>
  <si>
    <t>S&amp;S Centrifugally (Spun) C.I. Pipe class LA 125 mm dia</t>
  </si>
  <si>
    <t>7699</t>
  </si>
  <si>
    <t>S&amp;S Centrifugally (Spun) C.I. Pipe class LA 150 mm dia</t>
  </si>
  <si>
    <t>7700</t>
  </si>
  <si>
    <t>S&amp;S Centrifugally (Spun) C.I. Pipe class LA 200 mm dia</t>
  </si>
  <si>
    <t>7701</t>
  </si>
  <si>
    <t>S&amp;S Centrifugally (Spun) C.I. Pipe class LA 250 mm dia</t>
  </si>
  <si>
    <t>7702</t>
  </si>
  <si>
    <t>S&amp;S Centrifugally (Spun) C.I. Pipe class LA 300 mm dia</t>
  </si>
  <si>
    <t>7703</t>
  </si>
  <si>
    <t>S&amp;S Centrifugally (Spun) C.I. Pipe class LA 350 mm dia</t>
  </si>
  <si>
    <t>7704</t>
  </si>
  <si>
    <t>S&amp;S Centrifugally (Spun) C.I. Pipe class LA 400 mm dia</t>
  </si>
  <si>
    <t>7705</t>
  </si>
  <si>
    <t>S&amp;S Centrifugally (Spun) C.I. Pipe class LA 450 mm dia</t>
  </si>
  <si>
    <t>7706</t>
  </si>
  <si>
    <t>S&amp;S Centrifugally (Spun) C.I. Pipe class LA 500 mm dia</t>
  </si>
  <si>
    <t>7707</t>
  </si>
  <si>
    <t>S&amp;S Centrifugally (Spun) C.I. Pipe class LA 600 mm dia</t>
  </si>
  <si>
    <t>7708</t>
  </si>
  <si>
    <t>S&amp;S Centrifugally (Spun) C.I. Pipe Specials as per IS 1538 suitable</t>
  </si>
  <si>
    <t>7709</t>
  </si>
  <si>
    <t>7710</t>
  </si>
  <si>
    <t>S&amp;S Centrifugally (Spun) C.I. Pipe specials suitable for mechanical</t>
  </si>
  <si>
    <t>7711</t>
  </si>
  <si>
    <t>S&amp;S Centrifugally (Spun) C.I. Pipe Specials suitable for mechanical</t>
  </si>
  <si>
    <t>7712</t>
  </si>
  <si>
    <t>Screwed double flanged centrifugally cast (spun) C.I. Pipe of Class B</t>
  </si>
  <si>
    <t>7722</t>
  </si>
  <si>
    <t>Ductile Iron Class K- 7 pipe conforming to I.S. 8329 - 100 mm dia</t>
  </si>
  <si>
    <t>7723</t>
  </si>
  <si>
    <t>Ductile Iron Class K- 7 pipe conforming to I.S. 8329 - 150 mm dia</t>
  </si>
  <si>
    <t>7724</t>
  </si>
  <si>
    <t>Ductile Iron Class K- 7 pipe conforming to I.S. 8329 - 200 mm dia No.</t>
  </si>
  <si>
    <t>7725</t>
  </si>
  <si>
    <t>Ductile Iron Class K- 7 pipe conforming to I.S. 8329 - 250 mm dia</t>
  </si>
  <si>
    <t>7726</t>
  </si>
  <si>
    <t>Ductile Iron Class K- 7 pipe conforming to i.S. 8329 - 300 mm dia</t>
  </si>
  <si>
    <t>7727</t>
  </si>
  <si>
    <t>Ductile Iron Class K- 7 pipe conforming to i.S. 8329 - 350 mm dia</t>
  </si>
  <si>
    <t>7728</t>
  </si>
  <si>
    <t>Ductile Iron Class K- 7 pipe conforming to I.S. 8329 - 400 mm dia</t>
  </si>
  <si>
    <t>7729</t>
  </si>
  <si>
    <t>Ductile Iron Class K- 7 pipe conforming to I.S. 8329 - 450 mm dia</t>
  </si>
  <si>
    <t>7730</t>
  </si>
  <si>
    <t>Ductile Iron Class K- 7 pipe conforming to I.S. 8329 - 500 mm dia</t>
  </si>
  <si>
    <t>7731</t>
  </si>
  <si>
    <t>Ductile Iron Class K- 7 pipe conforming to I.S. 8329 - 600 mm dia</t>
  </si>
  <si>
    <t>7732</t>
  </si>
  <si>
    <t>Ductile Iron Class K- 7 pipe conforming to I.S. 8329 - 700 mm dia</t>
  </si>
  <si>
    <t>7733</t>
  </si>
  <si>
    <t>Ductile Iron Class K- 7 pipe conforming to I.S. 8329 - 800 mm dia</t>
  </si>
  <si>
    <t>7734</t>
  </si>
  <si>
    <t>Ductile Iron Class K- 7 pipe conforming to I.S. 8329 - 900 mm dia</t>
  </si>
  <si>
    <t>7735</t>
  </si>
  <si>
    <t>Ductile Iron Class K- 7 pipe conforming to I.S. 8329 - 1000 mm dia</t>
  </si>
  <si>
    <t>7736</t>
  </si>
  <si>
    <t>Extruded burnt flyash clay sewer bricks conforming to I.S 4885</t>
  </si>
  <si>
    <t>7737</t>
  </si>
  <si>
    <t>Fly ash bricks conforming to I.S. 12894</t>
  </si>
  <si>
    <t>7738</t>
  </si>
  <si>
    <t>Calcium Silicate Bricks machine moulded conforming to I.S. 4139</t>
  </si>
  <si>
    <t>7739</t>
  </si>
  <si>
    <t>Modified Bitumen Refinery produced CRMB - 55</t>
  </si>
  <si>
    <t>7741</t>
  </si>
  <si>
    <t>Modified Bitumen Refinery produced CRMB - 60</t>
  </si>
  <si>
    <t>7742</t>
  </si>
  <si>
    <t>Bitumen emulsion medium setting (M.S.) conforming to IS : 8887</t>
  </si>
  <si>
    <t>7743</t>
  </si>
  <si>
    <t>M.S. pipe 150 mm dia casing pipe</t>
  </si>
  <si>
    <t>7744</t>
  </si>
  <si>
    <t>M.S. pipe 200 mm dia casing pipe</t>
  </si>
  <si>
    <t>7745</t>
  </si>
  <si>
    <t>PVC blind pipe 150 mm dia as per IS: 12818</t>
  </si>
  <si>
    <t>7746</t>
  </si>
  <si>
    <t>PVC blind pipe 200 mm dia as per IS: 12818</t>
  </si>
  <si>
    <t>7747</t>
  </si>
  <si>
    <t>M.S. cap 150 mm dia</t>
  </si>
  <si>
    <t>7748</t>
  </si>
  <si>
    <t>M.S. cap 200 mm dia</t>
  </si>
  <si>
    <t>7749</t>
  </si>
  <si>
    <t>M.S bail plug 150 mm dia</t>
  </si>
  <si>
    <t>7750</t>
  </si>
  <si>
    <t>M.S bail plug 200 mm dia</t>
  </si>
  <si>
    <t>7751</t>
  </si>
  <si>
    <t>PVC slotted pipe 150 mm dia as per IS: 12818</t>
  </si>
  <si>
    <t>7752</t>
  </si>
  <si>
    <t>PVC slotted pipe 200 mm dia as per IS: 12818</t>
  </si>
  <si>
    <t>7753</t>
  </si>
  <si>
    <t>Stone Boulder 50 mm to 200 mm</t>
  </si>
  <si>
    <t>7754</t>
  </si>
  <si>
    <t>Gravel 5 mm to 10 mm</t>
  </si>
  <si>
    <t>7755</t>
  </si>
  <si>
    <t>Gravel 1.5 mm to 2 mm</t>
  </si>
  <si>
    <t>7756</t>
  </si>
  <si>
    <t>Gravel 3 mm to 6 mm</t>
  </si>
  <si>
    <t>7757</t>
  </si>
  <si>
    <t>M.S. pipe 100 mm dia casing pipe</t>
  </si>
  <si>
    <t>7758</t>
  </si>
  <si>
    <t>uPVC blind pipe 100 mm dia as per IS: 12818</t>
  </si>
  <si>
    <t>7759</t>
  </si>
  <si>
    <t>uPVC slotted pipe 100 mm dia as per IS: 12818</t>
  </si>
  <si>
    <t>7760</t>
  </si>
  <si>
    <t>M.S. cap 100 mm dia</t>
  </si>
  <si>
    <t>7761</t>
  </si>
  <si>
    <t>M.S. bail plug 100 mm dia</t>
  </si>
  <si>
    <t>7762</t>
  </si>
  <si>
    <t>Precast R.C.C. perforated slab</t>
  </si>
  <si>
    <t>7763</t>
  </si>
  <si>
    <t>Water supply tanker of 5000 litre capacity</t>
  </si>
  <si>
    <t>7764</t>
  </si>
  <si>
    <t>M.S. socket 100 mm dia</t>
  </si>
  <si>
    <t>7765</t>
  </si>
  <si>
    <t>M.S. socket 150 mm dia</t>
  </si>
  <si>
    <t>7766</t>
  </si>
  <si>
    <t>M.S. socket 200 mm dia</t>
  </si>
  <si>
    <t>7767</t>
  </si>
  <si>
    <t>Stone cleaning chemical approved by ASI</t>
  </si>
  <si>
    <t>7768</t>
  </si>
  <si>
    <t>Water repallent chemical approved by ASI</t>
  </si>
  <si>
    <t>7769</t>
  </si>
  <si>
    <t>Stone surface strengthening chemical approved by ASI</t>
  </si>
  <si>
    <t>7770</t>
  </si>
  <si>
    <t>Turpentine oil</t>
  </si>
  <si>
    <t>7771</t>
  </si>
  <si>
    <t>Liquid Ammonia 5%</t>
  </si>
  <si>
    <t>7772</t>
  </si>
  <si>
    <t>Pea Gravel</t>
  </si>
  <si>
    <t>7773</t>
  </si>
  <si>
    <t>Coloured inter locking C.C. paver Block (60 mm thick, M-35) No.</t>
  </si>
  <si>
    <t>7774</t>
  </si>
  <si>
    <t>Stone size 10x10x7.50cm</t>
  </si>
  <si>
    <t>7775</t>
  </si>
  <si>
    <t>Sodium pentachlorophenate</t>
  </si>
  <si>
    <t>7776</t>
  </si>
  <si>
    <t>Concrete paver block of grade M-30 made of C&amp;D waste (60mm thickness)</t>
  </si>
  <si>
    <t>7800</t>
  </si>
  <si>
    <t>Ceramic Glazed Tiles 1st quality minimum thickness 5mm in all</t>
  </si>
  <si>
    <t>7801</t>
  </si>
  <si>
    <t>Ceramic Glazed Tiles 1st quality 300 x 300 mm in all shades and designs of White, Ivory, grey, Fuem Red brown etc.</t>
  </si>
  <si>
    <t>7802</t>
  </si>
  <si>
    <t>Ceramic Glazed Tiles 1st quality 300 x 300 in all shades designs</t>
  </si>
  <si>
    <t>7803</t>
  </si>
  <si>
    <t>Rectified Ceramic Glazed Tiles 1st quality 300 x 300 mm or more in</t>
  </si>
  <si>
    <t>7804</t>
  </si>
  <si>
    <t>7805</t>
  </si>
  <si>
    <t>Salem Stainless steel AISI - 304 (18/8) Orrisa pattern W.C. pan</t>
  </si>
  <si>
    <t>7806</t>
  </si>
  <si>
    <t>Salem Stainless steel AISI - 304 (18/8) Round basin 405mm X 355 mm</t>
  </si>
  <si>
    <t>7807</t>
  </si>
  <si>
    <t>Salem Stainless steel AISI - 304 (18/8) Wash basin 530mm X 345 mm</t>
  </si>
  <si>
    <t>7808</t>
  </si>
  <si>
    <t>Centrifugally cast (spun) iron S&amp;S 100 mm inlet and 100 mm outlet</t>
  </si>
  <si>
    <t>7809</t>
  </si>
  <si>
    <t>Centrifugally cast (spun) iron S&amp;S 100 mm inlet and 75 mm outlet</t>
  </si>
  <si>
    <t>7850</t>
  </si>
  <si>
    <t>Agaria White marble slab plain 18 mm thick</t>
  </si>
  <si>
    <t>7857</t>
  </si>
  <si>
    <t>P.T.M.T. Grating square slit 150 mm</t>
  </si>
  <si>
    <t>7858</t>
  </si>
  <si>
    <t>P.T.M.T. Urinal cock 15 mm dia</t>
  </si>
  <si>
    <t>7859</t>
  </si>
  <si>
    <t>P.T.M.T. Bib cock with nozzle 15 mm</t>
  </si>
  <si>
    <t>7861</t>
  </si>
  <si>
    <t>P.T.M.T. Stop cock (concealed) 15 mm</t>
  </si>
  <si>
    <t>7862</t>
  </si>
  <si>
    <t>15 mm nominal bore and 30 cm length PVC connection pipe with P.T.M.T. Nuts</t>
  </si>
  <si>
    <t>7863</t>
  </si>
  <si>
    <t>15 mm nominal bore and 45 cm length PVC connection pipe with P.T.M.T. Nuts</t>
  </si>
  <si>
    <t>7864</t>
  </si>
  <si>
    <t>P.T.M.T. extension nipple 15 mm dia</t>
  </si>
  <si>
    <t>7865</t>
  </si>
  <si>
    <t>P.T.M.T. extension nipple 20 mm dia</t>
  </si>
  <si>
    <t>7866</t>
  </si>
  <si>
    <t>P.T.M.T. extension nipple 25 mm dia</t>
  </si>
  <si>
    <t>7893</t>
  </si>
  <si>
    <t>Tactile tile</t>
  </si>
  <si>
    <t>7895</t>
  </si>
  <si>
    <t>Matt finished vitrified tile 100x100 x16 mm</t>
  </si>
  <si>
    <t>7896</t>
  </si>
  <si>
    <t>Vitrified tile</t>
  </si>
  <si>
    <t>7900</t>
  </si>
  <si>
    <t>Modular common burnt clay bricks of class designation 7.5</t>
  </si>
  <si>
    <t>7901</t>
  </si>
  <si>
    <t>Machine moulded perforated common burnt clay FPS (non modular)</t>
  </si>
  <si>
    <t>7902</t>
  </si>
  <si>
    <t>Machine moulded common burnt clay modular perforated bricks of</t>
  </si>
  <si>
    <t>7903</t>
  </si>
  <si>
    <t>Machine moulded common burnt clay FPS (non modular) bricks of</t>
  </si>
  <si>
    <t>7904</t>
  </si>
  <si>
    <t>Machine moulded common burnt clay tile bricks of class designation 12.5</t>
  </si>
  <si>
    <t>7911</t>
  </si>
  <si>
    <t>Chemical Rust Remover</t>
  </si>
  <si>
    <t>7912</t>
  </si>
  <si>
    <t>7913</t>
  </si>
  <si>
    <t>Epoxy</t>
  </si>
  <si>
    <t>7914</t>
  </si>
  <si>
    <t>SBR Polymer</t>
  </si>
  <si>
    <t>7915</t>
  </si>
  <si>
    <t>Woven PVC cloth</t>
  </si>
  <si>
    <t>7916</t>
  </si>
  <si>
    <t>7917</t>
  </si>
  <si>
    <t>Hire charges of compressure</t>
  </si>
  <si>
    <t>7918</t>
  </si>
  <si>
    <t>25mm thick cement concrete shotcrete(guniting) No.</t>
  </si>
  <si>
    <t>7919</t>
  </si>
  <si>
    <t>50mm thick cement concrete shotcrete(guniting)</t>
  </si>
  <si>
    <t>7920</t>
  </si>
  <si>
    <t>75mm thick cement concrete shotcrete(guniting)</t>
  </si>
  <si>
    <t>7921</t>
  </si>
  <si>
    <t>Adhesive chemical</t>
  </si>
  <si>
    <t>ml</t>
  </si>
  <si>
    <t>7922</t>
  </si>
  <si>
    <t>Bit of drilling machine for Hole upto 30mm dia</t>
  </si>
  <si>
    <t>7923</t>
  </si>
  <si>
    <t>GI</t>
  </si>
  <si>
    <t>7924</t>
  </si>
  <si>
    <t>Blowing compressed air for cleaning holes upto 30mm dia</t>
  </si>
  <si>
    <t>7925</t>
  </si>
  <si>
    <t>L shaped 100mm long, 10mm dia mild steel shear key</t>
  </si>
  <si>
    <t>7926</t>
  </si>
  <si>
    <t>7927</t>
  </si>
  <si>
    <t>Acrylic Polymer chemical for cracks</t>
  </si>
  <si>
    <t>7928</t>
  </si>
  <si>
    <t>Hire charges of Plant and machinery, it can inject - 350kg/day</t>
  </si>
  <si>
    <t>7929</t>
  </si>
  <si>
    <t>Shear loops (6mm dia GI wire rope) (For vertical joints) 6 nos on each side</t>
  </si>
  <si>
    <t>7930</t>
  </si>
  <si>
    <t>dowel tubes (Corrugated GI pipes 50 to 80mm dia) (For horizontal joints)</t>
  </si>
  <si>
    <t>7931</t>
  </si>
  <si>
    <t>Hooks for lifting (Alloy steel) having 2.5 tonne capacity</t>
  </si>
  <si>
    <t>7996</t>
  </si>
  <si>
    <t>Factory made EPS light weight composite sandwitched wall/roof panel (50mm thick) having core material of EPS granule balls/beads (conforming to IS 4671:1984 and shall have density not less than 15kg per cum). The outer face on both sides of the panels will be non asbestos fiber cement board confirming to IS 14862:2000 or Calcium</t>
  </si>
  <si>
    <t>7997</t>
  </si>
  <si>
    <t>Factory made EPS light weight composite sandwitched wall/roof panel (60mm thick) having core material of EPS granule balls/beads (conforming to IS 4671:1984 and shall have density not less than 15kg per cum). The outer face on both sides of the panels will be non asbestos fiber cement board confirming to IS 14862:2000 or Calcium</t>
  </si>
  <si>
    <t>7998</t>
  </si>
  <si>
    <t>Factory made EPS light weight composite sandwitched wall/roof panel (75mm thick) having core material of EPS granule balls/beads (conforming to IS 4671:1984 and shall have density not less than 15kg per cum). The outer face on both sides of the panels will be non asbestos fiber cement board confirming to IS 14862:2000 or Calcium</t>
  </si>
  <si>
    <t>7999</t>
  </si>
  <si>
    <t>Factory made EPS light weight composite sandwitched wall/roof panel (90mm thick) having core material of EPS granule balls/beads (conforming to IS 4671:1984 and shall have density not less than 15kg per cum). The outer face on both sides of the panels will be non asbestos fiber cement board confirming to IS 14862:2000 or Calcium</t>
  </si>
  <si>
    <t>8000</t>
  </si>
  <si>
    <t>Factory made EPS light weight composite sandwitched wall/roof panel (100mm thick) having core material of EPS granule balls/beads (conforming to IS 4671:1984 and shall have density not less than 15kg per cum). The outer face on both sides of the panels will be non asbestos fiber cement board confirming to IS 14862:2000 or Calcium</t>
  </si>
  <si>
    <t>8001</t>
  </si>
  <si>
    <t>24 mm thick Factory made shutters with style, rails and panels of</t>
  </si>
  <si>
    <t>8002</t>
  </si>
  <si>
    <t>30 mm thick Factory made shutters with style, rails and panels of</t>
  </si>
  <si>
    <t>8003</t>
  </si>
  <si>
    <t>Factory made PVC rigid foam panelled shutter i/c carriage</t>
  </si>
  <si>
    <t>8004</t>
  </si>
  <si>
    <t>Factory made PVC rigid foam panelled shutter as per IS : 4020 i/c carriage</t>
  </si>
  <si>
    <t>8006</t>
  </si>
  <si>
    <t>Factory made PVC rigid foam sheet 1 mm thick</t>
  </si>
  <si>
    <t>8007</t>
  </si>
  <si>
    <t>Factory made PVC rigid foam sheet 5 mm thick</t>
  </si>
  <si>
    <t>8008</t>
  </si>
  <si>
    <t>Factory made prelaminated PVC rigid foam sheet 5 mm thick No.</t>
  </si>
  <si>
    <t>8010</t>
  </si>
  <si>
    <t>48mmX40mmX1.5mm thick Factory made door frame of PVC</t>
  </si>
  <si>
    <t>8011</t>
  </si>
  <si>
    <t>Factory made door frame PVC extruded sheet i/c carriage</t>
  </si>
  <si>
    <t>8012</t>
  </si>
  <si>
    <t>Adhesive solvent cement</t>
  </si>
  <si>
    <t>8013</t>
  </si>
  <si>
    <t>Factory made EPS Core wallpanel /roof panel sandwiched between mesh,with 50 mm pitch in both the directions, kept at 120-135 mm gap and interconnected by the zig zag G.I. wire of 3 mm dia at alternate</t>
  </si>
  <si>
    <t>8014</t>
  </si>
  <si>
    <t>Factory made door frame of size 50x47 mm with wall thickness 5 mm</t>
  </si>
  <si>
    <t>8015</t>
  </si>
  <si>
    <t>Expanded poly ethylene Foam sheet 4mm thick of Density 40kg/m3</t>
  </si>
  <si>
    <t>8016</t>
  </si>
  <si>
    <t>High Density expanded poly ethylene (EPE)</t>
  </si>
  <si>
    <t>8017</t>
  </si>
  <si>
    <t>Fire rated door frame made with 1.6 mm thick G.I sheet (120 minutes</t>
  </si>
  <si>
    <t>8018</t>
  </si>
  <si>
    <t>Fire rated door shutter made with 1.6 mm thick G.I sheet (120 minutes</t>
  </si>
  <si>
    <t>8019</t>
  </si>
  <si>
    <t>GI sheet 0.8 mm thick confirming to IS 277:1992</t>
  </si>
  <si>
    <t>8020</t>
  </si>
  <si>
    <t>Factory made EPS Core wall panel /roof panel sandwiched between two Engineered welded wire fabric mesh of 3 mm dia G.I. wire mesh, with 50 mm pitch in both the directions, connected by G.I. wire of</t>
  </si>
  <si>
    <t>8021</t>
  </si>
  <si>
    <t>Bamboo wood Tile Flooring 14mm thick of minimum size 1800mm x</t>
  </si>
  <si>
    <t>8022</t>
  </si>
  <si>
    <t>Bamboo wood Quarter Round 18mm thick of size 1900mm x 18mm</t>
  </si>
  <si>
    <t>8023</t>
  </si>
  <si>
    <t>Bamboo wood door reducer 14mm thick of size 1900mm x 44mm</t>
  </si>
  <si>
    <t>8024</t>
  </si>
  <si>
    <t>Bamboo wood Skirting 14mm thick</t>
  </si>
  <si>
    <t>of Size 1900mm</t>
  </si>
  <si>
    <t>8025</t>
  </si>
  <si>
    <t>Bamboo wood Tile Wall Cladding 10mm thick of size 1900mm x</t>
  </si>
  <si>
    <t>135mm</t>
  </si>
  <si>
    <t>8026</t>
  </si>
  <si>
    <t>Bamboo wood T-mold 14mm thick of size 1900mm x 44mm</t>
  </si>
  <si>
    <t>8027</t>
  </si>
  <si>
    <t>Bamboo wood Threshold 14mm thick of size 1900mm x 44mm</t>
  </si>
  <si>
    <t>8028</t>
  </si>
  <si>
    <t>Bamboo wood shutter of doors</t>
  </si>
  <si>
    <t>8029</t>
  </si>
  <si>
    <t>Bamboo wood panelling (10mm thick)</t>
  </si>
  <si>
    <t>8030</t>
  </si>
  <si>
    <t>Superior class Bamboo wood door frame 65 mm thick,</t>
  </si>
  <si>
    <t>8032</t>
  </si>
  <si>
    <t>Aluminium sheets</t>
  </si>
  <si>
    <t>8033</t>
  </si>
  <si>
    <t>Aluminium sheets Accessories for aluminium form work</t>
  </si>
  <si>
    <t>Grade 5052, 4 mm thick for</t>
  </si>
  <si>
    <t>8034</t>
  </si>
  <si>
    <t>External corner 2050 mm</t>
  </si>
  <si>
    <t>8035</t>
  </si>
  <si>
    <t>External corner 825 mm</t>
  </si>
  <si>
    <t>8036</t>
  </si>
  <si>
    <t>soldier tie 370mm</t>
  </si>
  <si>
    <t>8037</t>
  </si>
  <si>
    <t>Adjustable prop-2.0 x2.0 m</t>
  </si>
  <si>
    <t>8038</t>
  </si>
  <si>
    <t>Pin-50</t>
  </si>
  <si>
    <t>8039</t>
  </si>
  <si>
    <t>Pin-127</t>
  </si>
  <si>
    <t>8040</t>
  </si>
  <si>
    <t>wedge</t>
  </si>
  <si>
    <t>8041</t>
  </si>
  <si>
    <t>wall tie-150 (355 mm )</t>
  </si>
  <si>
    <t>8042</t>
  </si>
  <si>
    <t>Polythene Sleeve 90 x 150mm</t>
  </si>
  <si>
    <t>8043</t>
  </si>
  <si>
    <t>Polythene Roll - 150mm Long.</t>
  </si>
  <si>
    <t>8044</t>
  </si>
  <si>
    <t>Vertical Soldier -1100mm No.</t>
  </si>
  <si>
    <t>8045</t>
  </si>
  <si>
    <t>Wall Attached Bracket 600x1000mm</t>
  </si>
  <si>
    <t>8046</t>
  </si>
  <si>
    <t>Allignment Pipe - 3.00 Mtr.</t>
  </si>
  <si>
    <t>8047</t>
  </si>
  <si>
    <t>Allignment Bracket</t>
  </si>
  <si>
    <t>8048</t>
  </si>
  <si>
    <t>Tie Rod for Bracket - 500mm</t>
  </si>
  <si>
    <t>8049</t>
  </si>
  <si>
    <t>Anchor Wing Nut Ø100 mm</t>
  </si>
  <si>
    <t>8050</t>
  </si>
  <si>
    <t>Debit Pin - 250mm</t>
  </si>
  <si>
    <t>8051</t>
  </si>
  <si>
    <t>PVC Pipe Ø20mm - 150mm long</t>
  </si>
  <si>
    <t>8052</t>
  </si>
  <si>
    <t>PVC Cone</t>
  </si>
  <si>
    <t>8053</t>
  </si>
  <si>
    <t>Bolt+Nut - 16 x 80 mm</t>
  </si>
  <si>
    <t>8054</t>
  </si>
  <si>
    <t>Flat Washer Ø16, 3mm thik</t>
  </si>
  <si>
    <t>8055</t>
  </si>
  <si>
    <t>Bolt+Nut - 16 x 30 mm</t>
  </si>
  <si>
    <t>8056</t>
  </si>
  <si>
    <t>Door spacer 45x45x5-1135mm Long</t>
  </si>
  <si>
    <t>8057</t>
  </si>
  <si>
    <t>8100</t>
  </si>
  <si>
    <t>Powder coated M.S. butt hinges 100 mm X58 mmX1.9 mm</t>
  </si>
  <si>
    <t>8101</t>
  </si>
  <si>
    <t>SS ball bearing of size 100 x89x3mm</t>
  </si>
  <si>
    <t>8116</t>
  </si>
  <si>
    <t>Zinc alloy (white powder coated) 3D Hinges for uPVC door</t>
  </si>
  <si>
    <t>8117</t>
  </si>
  <si>
    <t>Zinc alloy (white powder coated) handles with zinc plated mild steel multi point locking having transmission gear, cylinder with keeps</t>
  </si>
  <si>
    <t>set</t>
  </si>
  <si>
    <t>8118</t>
  </si>
  <si>
    <t>Zinc alloy (white powder coated) handles along with zinc plated mild steel multi point locking having transmission gear with keeps for uPVC sliding window</t>
  </si>
  <si>
    <t>8119</t>
  </si>
  <si>
    <t>Zinc alloy (white powder coated) handles with key along with zinc plated mild steel multi point locking having transmission gear with keeps for uPVC sliding door</t>
  </si>
  <si>
    <t>8121</t>
  </si>
  <si>
    <t>uPVC extruded (small series) casement window frame</t>
  </si>
  <si>
    <t>size 47x50mm</t>
  </si>
  <si>
    <t>8122</t>
  </si>
  <si>
    <t>uPVC extruded (small series) casement window sash/window mullion</t>
  </si>
  <si>
    <t>8126</t>
  </si>
  <si>
    <t>uPVC</t>
  </si>
  <si>
    <t>8127</t>
  </si>
  <si>
    <t>uPVC extruded (big series) casement door frame size 67x64 mm</t>
  </si>
  <si>
    <t>8128</t>
  </si>
  <si>
    <t>uPVC extruded (big series) casement window sash/window mullion/</t>
  </si>
  <si>
    <t>8129</t>
  </si>
  <si>
    <t>uPVC extruded (big series) casement door sash</t>
  </si>
  <si>
    <t>size 67x110 mm</t>
  </si>
  <si>
    <t>8130</t>
  </si>
  <si>
    <t>uPVC extruded glazing bead of appropriate dimension for big series</t>
  </si>
  <si>
    <t>8131</t>
  </si>
  <si>
    <t>uPVC extruded glazing bead of appropriate dimension for small series sliding</t>
  </si>
  <si>
    <t>window sash</t>
  </si>
  <si>
    <t>8132</t>
  </si>
  <si>
    <t>8135</t>
  </si>
  <si>
    <t>uPVC extruded (small series) 3 track sliding window frame size</t>
  </si>
  <si>
    <t>8137</t>
  </si>
  <si>
    <t>uPVC extruded (small series) 2 track sliding window sash/3 track sliding window sash No.</t>
  </si>
  <si>
    <t>size 32x60mm</t>
  </si>
  <si>
    <t>8138</t>
  </si>
  <si>
    <t>uPVC extruded (big series) 2 track sliding window sash</t>
  </si>
  <si>
    <t>size 46x62mm</t>
  </si>
  <si>
    <t>8139</t>
  </si>
  <si>
    <t>uPVC extruded (big series) 3 track sliding window sash</t>
  </si>
  <si>
    <t>8140</t>
  </si>
  <si>
    <t>uPVC extruded</t>
  </si>
  <si>
    <t>interlock</t>
  </si>
  <si>
    <t>8141</t>
  </si>
  <si>
    <t>8143</t>
  </si>
  <si>
    <t>uPVC extruded 2 track sliding</t>
  </si>
  <si>
    <t>8144</t>
  </si>
  <si>
    <t>Bamboo Mat corrugated sheets 3.5 to 4mm thick conforming to</t>
  </si>
  <si>
    <t>8145</t>
  </si>
  <si>
    <t>Bamboo Mat Ridge cap 3.5 to 4mm thick conforming to IS 15476:2004</t>
  </si>
  <si>
    <t>8146</t>
  </si>
  <si>
    <t>3mm thick Bamboo Mat Board conforming to IS 13958:1994</t>
  </si>
  <si>
    <t>8147</t>
  </si>
  <si>
    <t>4mm thick Bamboo Mat Board conforming to IS 13958:1994</t>
  </si>
  <si>
    <t>8148</t>
  </si>
  <si>
    <t>6mm thick Bamboo Mat Board conforming to IS 13958:1994</t>
  </si>
  <si>
    <t>8149</t>
  </si>
  <si>
    <t>9mm thick Bamboo Mat Board conforming to IS 13958:1994</t>
  </si>
  <si>
    <t>8150</t>
  </si>
  <si>
    <t>12mm thick Bamboo Mat Board conforming to IS 13958:1994</t>
  </si>
  <si>
    <t>8200</t>
  </si>
  <si>
    <t>A.P.P. modified polymeric felt (two layers) 1.5 mm thick</t>
  </si>
  <si>
    <t>8201</t>
  </si>
  <si>
    <t>A.P.P. modified polymeric felt (two layers) 2 mm thick</t>
  </si>
  <si>
    <t>8203</t>
  </si>
  <si>
    <t>A.P.P. modified 2 mm thick membrane reinforced with glass fibre matt</t>
  </si>
  <si>
    <t>8204</t>
  </si>
  <si>
    <t>A.P.P. modified 3 mm thick membrane reinforced with glass fibre matt</t>
  </si>
  <si>
    <t>8205</t>
  </si>
  <si>
    <t>A.P.P. modified 3 mm thick membrane reinforced with polyester matt</t>
  </si>
  <si>
    <t>8206</t>
  </si>
  <si>
    <t>Bitumen primer for bitumen membrane</t>
  </si>
  <si>
    <t>8207</t>
  </si>
  <si>
    <t>Geotextile 120 grams per sqm membrane</t>
  </si>
  <si>
    <t>8210</t>
  </si>
  <si>
    <t>Stainless steel screws 50 mm</t>
  </si>
  <si>
    <t>8211</t>
  </si>
  <si>
    <t>Stainless steel screws 40 mm</t>
  </si>
  <si>
    <t>8212</t>
  </si>
  <si>
    <t>Stainless steel screws 30 mm</t>
  </si>
  <si>
    <t>8214</t>
  </si>
  <si>
    <t>Stainless steel screws 20 mm</t>
  </si>
  <si>
    <t>8215</t>
  </si>
  <si>
    <t>Stainless steel butt hinges 125x64x1.9 mm IS : 12817 marked</t>
  </si>
  <si>
    <t>8216</t>
  </si>
  <si>
    <t>Stainless steel butt hinges 100x58x1.9 mm IS : 12817 marked</t>
  </si>
  <si>
    <t>8217</t>
  </si>
  <si>
    <t>Stainless steel butt hinges 75x47x1.8 mm IS : 12817 marked</t>
  </si>
  <si>
    <t>8218</t>
  </si>
  <si>
    <t>Stainless steel butt hinges 50x37x1.5 mm IS : 12817 marked</t>
  </si>
  <si>
    <t>8219</t>
  </si>
  <si>
    <t>Stainless steel butt hinges (heavy weight) 125x64x2.5 mm IS : 12817 marked</t>
  </si>
  <si>
    <t>8220</t>
  </si>
  <si>
    <t>Stainless steel butt hinges (heavy weight) 100x60x2.5 mm IS : 12817 marked</t>
  </si>
  <si>
    <t>8221</t>
  </si>
  <si>
    <t>Stainless steel butt hinges (heavy weight) 75x50x2.5 mm IS :12817 marked</t>
  </si>
  <si>
    <t>8222</t>
  </si>
  <si>
    <t>M.S. heavy weight butt hinges 125x90x4.0 mm IS: 1341 marked.</t>
  </si>
  <si>
    <t>8223</t>
  </si>
  <si>
    <t>M.S. heavy weight butt hinges 100x75x3.5 mm IS: 1341 marked</t>
  </si>
  <si>
    <t>8224</t>
  </si>
  <si>
    <t>M.S. heavy weight butt hinges 75x60x3.1 mm IS: 1341 marked</t>
  </si>
  <si>
    <t>8225</t>
  </si>
  <si>
    <t>M.S. heavy weight butt hinges 50x40x2.5 mm IS : 1341 marked</t>
  </si>
  <si>
    <t>8226</t>
  </si>
  <si>
    <t>Concealed zinc coated hinges 19-20 mm thick with mounting plate</t>
  </si>
  <si>
    <t>8300</t>
  </si>
  <si>
    <t>1216 mm PE-AL-PE Composite pressure pipe</t>
  </si>
  <si>
    <t>8301</t>
  </si>
  <si>
    <t>1620 mm PE-AL-PE Composite pressure pipe</t>
  </si>
  <si>
    <t>8302</t>
  </si>
  <si>
    <t>2025 mm PE-AL-PE Composite pressure pipe</t>
  </si>
  <si>
    <t>8303</t>
  </si>
  <si>
    <t>2532 mm PE-AL-PE Composite pressure pipe</t>
  </si>
  <si>
    <t>8304</t>
  </si>
  <si>
    <t>3240 mm PE-AL-PE Composite pressure pipe</t>
  </si>
  <si>
    <t>8305</t>
  </si>
  <si>
    <t>4050 mm PE-AL-PE Composite pressure pipe</t>
  </si>
  <si>
    <t>8306</t>
  </si>
  <si>
    <t>PPR Union 20 mm</t>
  </si>
  <si>
    <t>8307</t>
  </si>
  <si>
    <t>PPR Union 25 mm No.</t>
  </si>
  <si>
    <t>8308</t>
  </si>
  <si>
    <t>PPR Union 32 mm</t>
  </si>
  <si>
    <t>8309</t>
  </si>
  <si>
    <t>PPR Union 40 mm</t>
  </si>
  <si>
    <t>8310</t>
  </si>
  <si>
    <t>PPR Union 50 mm</t>
  </si>
  <si>
    <t>8311</t>
  </si>
  <si>
    <t>PPR Union 63 mm</t>
  </si>
  <si>
    <t>8312</t>
  </si>
  <si>
    <t>PPR Union 75 mm</t>
  </si>
  <si>
    <t>8500</t>
  </si>
  <si>
    <t>Water for jetting / blowback</t>
  </si>
  <si>
    <t>1000 litre</t>
  </si>
  <si>
    <t>8501</t>
  </si>
  <si>
    <t>Polymer modified cementation coating</t>
  </si>
  <si>
    <t>8502</t>
  </si>
  <si>
    <t>Fibre glass cloth</t>
  </si>
  <si>
    <t>8504</t>
  </si>
  <si>
    <t>Multi surface paint</t>
  </si>
  <si>
    <t>8505</t>
  </si>
  <si>
    <t>Acrylic exterior paint</t>
  </si>
  <si>
    <t>8506</t>
  </si>
  <si>
    <t>Premium Acrylic exterior paint</t>
  </si>
  <si>
    <t>8507</t>
  </si>
  <si>
    <t>Textured exterior paint</t>
  </si>
  <si>
    <t>8508</t>
  </si>
  <si>
    <t>Primer for cement paint</t>
  </si>
  <si>
    <t>8509</t>
  </si>
  <si>
    <t>Special Primer (C.W.)</t>
  </si>
  <si>
    <t>8510</t>
  </si>
  <si>
    <t>Metal Primer (U.G.)</t>
  </si>
  <si>
    <t>8511</t>
  </si>
  <si>
    <t>Fibre reinforced elastomeric liquid water proofing membrane</t>
  </si>
  <si>
    <t>8512</t>
  </si>
  <si>
    <t>Cementitious water proofing coating with elastic polymers</t>
  </si>
  <si>
    <t>8513</t>
  </si>
  <si>
    <t>Acrylic modified resin based texture</t>
  </si>
  <si>
    <t>8514</t>
  </si>
  <si>
    <t>40 mm long S.S screws with plastic rawl plugs</t>
  </si>
  <si>
    <t>100</t>
  </si>
  <si>
    <t>8515</t>
  </si>
  <si>
    <t>Galavanised MS 8 mm outer diameter M-6 dash fastener 50mm long</t>
  </si>
  <si>
    <t>8516</t>
  </si>
  <si>
    <t>ZMB 60/equivalent</t>
  </si>
  <si>
    <t>8517</t>
  </si>
  <si>
    <t>ZMB thinner</t>
  </si>
  <si>
    <t>8518</t>
  </si>
  <si>
    <t>Zycoprime / equivalent</t>
  </si>
  <si>
    <t>8519</t>
  </si>
  <si>
    <t>Zycosil / equivalent</t>
  </si>
  <si>
    <t>8520</t>
  </si>
  <si>
    <t>Elastobar / equivalent</t>
  </si>
  <si>
    <t>8552</t>
  </si>
  <si>
    <t>Mineral fibre beveled tegular edged ceiling tiles 595 x595mm,16 mm thick</t>
  </si>
  <si>
    <t>8553</t>
  </si>
  <si>
    <t>Mineral fibre beveled tegular edged ceiling tiles 595 x595mm,16 mm</t>
  </si>
  <si>
    <t>8554</t>
  </si>
  <si>
    <t>Mineral fiber beveled tegular edged ceiling tiles 595 x595mm,20 mm thick.</t>
  </si>
  <si>
    <t>8555</t>
  </si>
  <si>
    <t>G.I main runner 15 x32 mm of 3000 mm length, 0.33 mm thick</t>
  </si>
  <si>
    <t>8556</t>
  </si>
  <si>
    <t>G.I cross-T 15 x32 mm of 1200 mm length, 0.33 mm thick</t>
  </si>
  <si>
    <t>8557</t>
  </si>
  <si>
    <t>G.I cross-T 15 x32 mm of 600 mm length, 0.33 mm thick</t>
  </si>
  <si>
    <t>8558</t>
  </si>
  <si>
    <t>G.I hanger rod 6mm dia fully threaded upto 1000 mm length</t>
  </si>
  <si>
    <t>8559</t>
  </si>
  <si>
    <t>Stainless steel U Channel of size (50x25x2mm)</t>
  </si>
  <si>
    <t>8560</t>
  </si>
  <si>
    <t>Non staining water resistant</t>
  </si>
  <si>
    <t>8561</t>
  </si>
  <si>
    <t>Extruded polystyrene rigid insulation board 50 mm thick</t>
  </si>
  <si>
    <t>8562</t>
  </si>
  <si>
    <t>Expanded Polystyrene insulation board 120 mm thick confirming to IS 4671-1984, Fire retardant property self-extinguishing type as per EN 13501-1</t>
  </si>
  <si>
    <t>8563</t>
  </si>
  <si>
    <t>15 mm thick, light weight, integral densified micro look edged,false</t>
  </si>
  <si>
    <t>8564</t>
  </si>
  <si>
    <t>15 mm thick, light weight, fully perforated square/butt edge integral densified, false ceiling tiles of size 595x595 mm</t>
  </si>
  <si>
    <t>8565</t>
  </si>
  <si>
    <t>Galavanised MS hanger rod 6 mm dia MS fully threaded up to 1000mm</t>
  </si>
  <si>
    <t>8566</t>
  </si>
  <si>
    <t>Powder coated steel section main-T ceiling sections 15x42x0.40 mm</t>
  </si>
  <si>
    <t>8567</t>
  </si>
  <si>
    <t>Galvanized mild steel perimeter wall angle 22x19x0.40 mm (3000mm No.</t>
  </si>
  <si>
    <t>8568</t>
  </si>
  <si>
    <t>Powder coated Galvanised Iron intermediate cross-T section 15x42x</t>
  </si>
  <si>
    <t>8569</t>
  </si>
  <si>
    <t>Powder coated Galvanized Iron intermediate cross-T section 15x42x</t>
  </si>
  <si>
    <t>8570</t>
  </si>
  <si>
    <t>GI Main T ceiling section 30x25x0.3 mm (3 metre long)</t>
  </si>
  <si>
    <t>8571</t>
  </si>
  <si>
    <t>GI Perimeter wall angle 25x25x0.4 mm (3 metre long)</t>
  </si>
  <si>
    <t>8572</t>
  </si>
  <si>
    <t>GI Intermediate cross T section 25x25x0.3 mm (1.2 metre long)</t>
  </si>
  <si>
    <t>8573</t>
  </si>
  <si>
    <t>GI Intermediate cross T section 25x25x0.3 mm (0.6 metre long)</t>
  </si>
  <si>
    <t>8576</t>
  </si>
  <si>
    <t>Powder coated Galvanized Iron intermediate cross-T section wire</t>
  </si>
  <si>
    <t>8578</t>
  </si>
  <si>
    <t>Crates made of Mesh type 10x12 (D=100 mm) Zn+10% Al alloy +PVC</t>
  </si>
  <si>
    <t>8580</t>
  </si>
  <si>
    <t>Wastage of cold form light gauge steel</t>
  </si>
  <si>
    <t>8581</t>
  </si>
  <si>
    <t>12 mm thick micro tegular edged semi perforated GRG (Glass Fibre</t>
  </si>
  <si>
    <t>8582</t>
  </si>
  <si>
    <t>12 mm thick micro tegular edged fully perforated GRG (Glass Fibre Reinforced Gypsum) false celing tiles</t>
  </si>
  <si>
    <t>of Size 595x595 mm</t>
  </si>
  <si>
    <t>8583</t>
  </si>
  <si>
    <t>10 mm thick square edge fully perforated GRG(Glass Fibre Reinforced Gypsum) false celing tiles</t>
  </si>
  <si>
    <t>8587</t>
  </si>
  <si>
    <t>Galvanized iron intermediate cross-T section 15x32x0.33 mm (600 mm long)</t>
  </si>
  <si>
    <t>8588</t>
  </si>
  <si>
    <t>Galvanised MS hanger rod 6 mm dia MS fully threaded up to 1000 mm length</t>
  </si>
  <si>
    <t>8589</t>
  </si>
  <si>
    <t>Calcium Silicate tegular edged celling tiles 595x595 mm and 15 mm thick</t>
  </si>
  <si>
    <t>8590</t>
  </si>
  <si>
    <t>Galvanised Steel main Tee ceiling section Size 24x38x0.33 mm (3 metre</t>
  </si>
  <si>
    <t>8591</t>
  </si>
  <si>
    <t>Galvanised Steel perimeter wall Angle Size 24 x 24 x 0.40 mm (3.00 metre</t>
  </si>
  <si>
    <t>8592</t>
  </si>
  <si>
    <t>Galvanised Steel intermediate cross T section Size 24 x 25 x 0.33mm</t>
  </si>
  <si>
    <t>8593</t>
  </si>
  <si>
    <t>8594</t>
  </si>
  <si>
    <t>Galvanised Steel soffit cleat size 25x35x1.60 mm</t>
  </si>
  <si>
    <t>8595</t>
  </si>
  <si>
    <t>Wooden screws with plastic rawl plugs 35x8 mm</t>
  </si>
  <si>
    <t>8596</t>
  </si>
  <si>
    <t>Galvanised MS 8mm outer diameter M-6 dash fastener 25mm long</t>
  </si>
  <si>
    <t>8597</t>
  </si>
  <si>
    <t>GI Metal Tile Clip in Plain Beveled edge global white colour tiles of</t>
  </si>
  <si>
    <t>8598</t>
  </si>
  <si>
    <t>GI Metal Tile Clip in Perforated Beveled edge global white colour tiles</t>
  </si>
  <si>
    <t>8599</t>
  </si>
  <si>
    <t>GI Metal Tile Lay-in Plain Tegular edge global white color tiles of Size</t>
  </si>
  <si>
    <t>8600</t>
  </si>
  <si>
    <t>GI Metal Tile Lay-in Perforated Tegular edge global white color tiles</t>
  </si>
  <si>
    <t>8601</t>
  </si>
  <si>
    <t>PVC Laminated Gypsum Tiles (Square edge) of Size 595x595 mm</t>
  </si>
  <si>
    <t>8602</t>
  </si>
  <si>
    <t>Gypsum Tiles Fully Perforated Square edge of Size 595x595 mm</t>
  </si>
  <si>
    <t>8604</t>
  </si>
  <si>
    <t>Spring T-section 24x34x0.45 mm (3.00 meter long)</t>
  </si>
  <si>
    <t>8605</t>
  </si>
  <si>
    <t>C Wall angle section 20x30x20x0.50 mm (3.00 meter long) No.</t>
  </si>
  <si>
    <t>8606</t>
  </si>
  <si>
    <t>Main C Carrier Size 10x38x10x0.70 mm (3.00 meter long)</t>
  </si>
  <si>
    <t>8607</t>
  </si>
  <si>
    <t>Spring T-connector</t>
  </si>
  <si>
    <t>8608</t>
  </si>
  <si>
    <t>C Carrier Connector</t>
  </si>
  <si>
    <t>8609</t>
  </si>
  <si>
    <t>C Suspension Clip</t>
  </si>
  <si>
    <t>8610</t>
  </si>
  <si>
    <t>Wire Coupling Clip</t>
  </si>
  <si>
    <t>8611</t>
  </si>
  <si>
    <t>Main T ceiling sections 24x38x0.3 mm (3 metre long)</t>
  </si>
  <si>
    <t>8612</t>
  </si>
  <si>
    <t>Perimeter wall angle 24 x 24 x 0.3 mm (3 metre long)</t>
  </si>
  <si>
    <t>8613</t>
  </si>
  <si>
    <t>Intermediate cross T-Section 24x25x0.3 mm (1.2 m long)</t>
  </si>
  <si>
    <t>8614</t>
  </si>
  <si>
    <t>Intermediate cross T-Section 24x25x0.3 mm (0.6 m long)</t>
  </si>
  <si>
    <t>8615</t>
  </si>
  <si>
    <t>Hanger rod 4 mm thick</t>
  </si>
  <si>
    <t>8616</t>
  </si>
  <si>
    <t>Adjustment clip 85x30x0.8 mm</t>
  </si>
  <si>
    <t>8617</t>
  </si>
  <si>
    <t>Soffit cleat (Size 27x37x25x1.60 mm)</t>
  </si>
  <si>
    <t>8618</t>
  </si>
  <si>
    <t>Dash fastener 6 mm dia 50 mm long</t>
  </si>
  <si>
    <t>8619</t>
  </si>
  <si>
    <t>Galavanised MS</t>
  </si>
  <si>
    <t>8620</t>
  </si>
  <si>
    <t>Vitrified floor tile 50x50 cm conforming to IS 15622:2006 group (B1a)</t>
  </si>
  <si>
    <t>8621</t>
  </si>
  <si>
    <t>Vitrified floor tile 60x60 cm</t>
  </si>
  <si>
    <t>8622</t>
  </si>
  <si>
    <t>Vitrified floor tile 80x80 cm</t>
  </si>
  <si>
    <t>8623</t>
  </si>
  <si>
    <t>Vitrified floor tile 100x100 cm</t>
  </si>
  <si>
    <t>8624</t>
  </si>
  <si>
    <t>"Border tiles 200x75mm size</t>
  </si>
  <si>
    <t>8626</t>
  </si>
  <si>
    <t>Poly propylene- Random - Co - Polymer (PPR) pipes PN-16 (SDR 7.4) -</t>
  </si>
  <si>
    <t>8627</t>
  </si>
  <si>
    <t>8628</t>
  </si>
  <si>
    <t>8629</t>
  </si>
  <si>
    <t>8630</t>
  </si>
  <si>
    <t>Poly propylene- Random - Co - Polymer (PPR) pipes PN-10 (SDR 11) -</t>
  </si>
  <si>
    <t>8631</t>
  </si>
  <si>
    <t>8632</t>
  </si>
  <si>
    <t>8633</t>
  </si>
  <si>
    <t>8634</t>
  </si>
  <si>
    <t>8635</t>
  </si>
  <si>
    <t>8636</t>
  </si>
  <si>
    <t>Chlorinated Polyvinyl - chloride (CPVC) pipe 15 mm outer dia</t>
  </si>
  <si>
    <t>8637</t>
  </si>
  <si>
    <t>Chlorinated Polyvinyl - chloride (CPVC) pipe 20 mm outer dia</t>
  </si>
  <si>
    <t>8638</t>
  </si>
  <si>
    <t>Chlorinated Polyvinyl - chloride (CPVC) pipe 25 mm outer dia</t>
  </si>
  <si>
    <t>8639</t>
  </si>
  <si>
    <t>Chlorinated Polyvinyl - chloride (CPVC) pipe 32 mm outer dia</t>
  </si>
  <si>
    <t>8640</t>
  </si>
  <si>
    <t>Chlorinated Polyvinyl - chloride (CPVC) pipe 40 mm outer dia</t>
  </si>
  <si>
    <t>8641</t>
  </si>
  <si>
    <t>Chlorinated Polyvinyl - chloride (CPVC) pipe 50 mm outer dia</t>
  </si>
  <si>
    <t>8642</t>
  </si>
  <si>
    <t>Chlorinated Polyvinyl - chloride (CPVC) pipe 62.5 mm inner dia</t>
  </si>
  <si>
    <t>8643</t>
  </si>
  <si>
    <t>Chlorinated Polyvinyl - chloride (CPVC) pipe 75 mm inner dia</t>
  </si>
  <si>
    <t>8644</t>
  </si>
  <si>
    <t>Chlorinated Polyvinyl - chloride (CPVC) pipe 100 mm inner dia</t>
  </si>
  <si>
    <t>8645</t>
  </si>
  <si>
    <t>Chlorinated Polyvinyl - chloride (CPVC) pipe 150 mm inner dia</t>
  </si>
  <si>
    <t>8646</t>
  </si>
  <si>
    <t>Weather Silicon sealant No.</t>
  </si>
  <si>
    <t>8647</t>
  </si>
  <si>
    <t>Stainless steel screws 30 mm x4 mm</t>
  </si>
  <si>
    <t>8648</t>
  </si>
  <si>
    <t>Hermetically sealed double glazed unit made with 6 mm thick clear float</t>
  </si>
  <si>
    <t>8649</t>
  </si>
  <si>
    <t>Stainless steel (SS 304 grade) adjustable friction window stay 205 x 19 mm</t>
  </si>
  <si>
    <t>8650</t>
  </si>
  <si>
    <t>Stainless steel (SS 304 grade) adjustable friction window stay 255 x 19 mm</t>
  </si>
  <si>
    <t>8651</t>
  </si>
  <si>
    <t>Stainless steel (SS 304 grade) adjustable friction window stay 355 x 19 mm</t>
  </si>
  <si>
    <t>8652</t>
  </si>
  <si>
    <t>Stainless steel (SS 304 grade) adjustable friction window stay 510 x 19 mm</t>
  </si>
  <si>
    <t>8653</t>
  </si>
  <si>
    <t>Stainless steel (SS 304 grade) adjustable friction window stay 710 x 19 mm</t>
  </si>
  <si>
    <t>8654</t>
  </si>
  <si>
    <t>Masking tape</t>
  </si>
  <si>
    <t>8655</t>
  </si>
  <si>
    <t>Autoclaved aerated cement (AAC) blocks</t>
  </si>
  <si>
    <t>8656</t>
  </si>
  <si>
    <t>Gypsum panel 666 X 500 X 100 mm size</t>
  </si>
  <si>
    <t>8657</t>
  </si>
  <si>
    <t>Bonding plaster for Gypsum panel</t>
  </si>
  <si>
    <t>8658</t>
  </si>
  <si>
    <t>Precast C&amp;D waste concrete block</t>
  </si>
  <si>
    <t>8659</t>
  </si>
  <si>
    <t>Water proof ply 12 mm thick</t>
  </si>
  <si>
    <t>8660</t>
  </si>
  <si>
    <t>Aluminium casement window fastener (Anodised AC 15)</t>
  </si>
  <si>
    <t>8661</t>
  </si>
  <si>
    <t>Aluminium casement window fastener (powder coated )</t>
  </si>
  <si>
    <t>8662</t>
  </si>
  <si>
    <t>Aluminium casement window fastener (polyester powder coated)</t>
  </si>
  <si>
    <t>8663</t>
  </si>
  <si>
    <t>Aluminium round shape handle (anodised AC 15) outer dia 100 mm</t>
  </si>
  <si>
    <t>8664</t>
  </si>
  <si>
    <t>Aluminium round shape handle (powder coated) outer dia 100 mm</t>
  </si>
  <si>
    <t>8665</t>
  </si>
  <si>
    <t>Aluminium round shape handle (polyester powder coated) outer dia</t>
  </si>
  <si>
    <t>8666</t>
  </si>
  <si>
    <t>Stainless steel screws 25 mm x4 mm</t>
  </si>
  <si>
    <t>8667</t>
  </si>
  <si>
    <t>UV stabilised 2 mm thick plain FRP sheet</t>
  </si>
  <si>
    <t>8668</t>
  </si>
  <si>
    <t>UV stabilised 2 mm thick corrugated FRP sheet</t>
  </si>
  <si>
    <t>8669</t>
  </si>
  <si>
    <t>Mangalore ridge tiles 20 mm thick</t>
  </si>
  <si>
    <t>8670</t>
  </si>
  <si>
    <t>Mangalore tiles 20 mm thick</t>
  </si>
  <si>
    <t>8671</t>
  </si>
  <si>
    <t>Precoated galvanised iron profile sheet 0.50 mm TCT</t>
  </si>
  <si>
    <t>8672</t>
  </si>
  <si>
    <t>Precoated galvanised steel plain ridges 0.50 mm TCT and 500-600mm</t>
  </si>
  <si>
    <t>8673</t>
  </si>
  <si>
    <t>Precoated galvanised steel flashings/aprons 0.50 mm TCT and upto</t>
  </si>
  <si>
    <t>8674</t>
  </si>
  <si>
    <t>Precoated galvanised steel gutter 600mm overall girth</t>
  </si>
  <si>
    <t>8675</t>
  </si>
  <si>
    <t>Precoated galvanised steel north light curves</t>
  </si>
  <si>
    <t>8676</t>
  </si>
  <si>
    <t>Precoated galvanised steel barge board (upto 300mm )</t>
  </si>
  <si>
    <t>8677</t>
  </si>
  <si>
    <t>Precoated galvanised steel crimp curve</t>
  </si>
  <si>
    <t>8678</t>
  </si>
  <si>
    <t>1 mm thick 35 mm wide bright finished stainless steel piano hinges</t>
  </si>
  <si>
    <t>8682</t>
  </si>
  <si>
    <t>Epoxy Grout</t>
  </si>
  <si>
    <t>8683</t>
  </si>
  <si>
    <t>Red sand stone gang saw cut 30 mm thick</t>
  </si>
  <si>
    <t>8684</t>
  </si>
  <si>
    <t>White sand stone gang saw cut 30 mm thick</t>
  </si>
  <si>
    <t>8685</t>
  </si>
  <si>
    <t>Delineator</t>
  </si>
  <si>
    <t>8686</t>
  </si>
  <si>
    <t>Precast C.C. Kerb stone M - 25</t>
  </si>
  <si>
    <t>8687</t>
  </si>
  <si>
    <t>Thermoplastic paint</t>
  </si>
  <si>
    <t>8688</t>
  </si>
  <si>
    <t>Glass beads</t>
  </si>
  <si>
    <t>8689</t>
  </si>
  <si>
    <t>Interlocking C.C. paver block ( 60 mm thick, M-30)</t>
  </si>
  <si>
    <t>8690</t>
  </si>
  <si>
    <t>High intensity retro - reflective sheet as per IRC 67-2001</t>
  </si>
  <si>
    <t>8691</t>
  </si>
  <si>
    <t>Punched tape concertina coil 600 mm dia 10 m openable length (Total</t>
  </si>
  <si>
    <t>bundle</t>
  </si>
  <si>
    <t>8692</t>
  </si>
  <si>
    <t>RBT reinforced barbed wire</t>
  </si>
  <si>
    <t>8693</t>
  </si>
  <si>
    <t>Turn buckle and strengthening bolt No.</t>
  </si>
  <si>
    <t>8694</t>
  </si>
  <si>
    <t>Precast pavement slab 450 x 450 x 50 mm (M - 30)</t>
  </si>
  <si>
    <t>8695</t>
  </si>
  <si>
    <t>Chain link fabric fencing mesh of size 50x50 mm made of G.I. wire of dia</t>
  </si>
  <si>
    <t>8696</t>
  </si>
  <si>
    <t>8697</t>
  </si>
  <si>
    <t>Chain link fabric fencing mesh of size 25x25 mm made of G.I. wire of dia</t>
  </si>
  <si>
    <t>8698</t>
  </si>
  <si>
    <t>Stainless steel cramps(weight 260 grams) with nuts, bolts and washer</t>
  </si>
  <si>
    <t>8699</t>
  </si>
  <si>
    <t>8 mm thick tapered edge calcium silicate board</t>
  </si>
  <si>
    <t>8700</t>
  </si>
  <si>
    <t>10 mm thick calcium silicate board</t>
  </si>
  <si>
    <t>8701</t>
  </si>
  <si>
    <t>SS pipe 304 grades with press fit technology as per JIS 3448 standard</t>
  </si>
  <si>
    <t>8702</t>
  </si>
  <si>
    <t>Coupling/Socket fittings for 15.88 mm outer dia SS pipe</t>
  </si>
  <si>
    <t>8703</t>
  </si>
  <si>
    <t>Telescopic drawer channels 300 mm long</t>
  </si>
  <si>
    <t>8704</t>
  </si>
  <si>
    <t>Stainless steel roller for sliding arrangement in racks/ cupboards/cabinets</t>
  </si>
  <si>
    <t>8705</t>
  </si>
  <si>
    <t>50 mmX42 mmX2 mm thick Factory made door frame of PVC extruded</t>
  </si>
  <si>
    <t>8706</t>
  </si>
  <si>
    <t>25 mm thick factory made PVC flush door shutter i/c carriage</t>
  </si>
  <si>
    <t>8707</t>
  </si>
  <si>
    <t>Factory made glass reinforced plastic door frame 90x45 mm i/c carriage</t>
  </si>
  <si>
    <t>8708</t>
  </si>
  <si>
    <t>30 mm thick factory made glass fiber reinforced plastic panel door</t>
  </si>
  <si>
    <t>8709</t>
  </si>
  <si>
    <t>30 mm thick factory made solid PVC profile panelled door single piece</t>
  </si>
  <si>
    <t>8710</t>
  </si>
  <si>
    <t>Factory made solid PVC door frame 60 x 30 mm i/c carriage</t>
  </si>
  <si>
    <t>8711</t>
  </si>
  <si>
    <t>20 mm factory made solid PVC panel door shutter i/c carriage</t>
  </si>
  <si>
    <t>8712</t>
  </si>
  <si>
    <t>8713</t>
  </si>
  <si>
    <t>Fiber glass reinforced plastic chajja</t>
  </si>
  <si>
    <t>8714</t>
  </si>
  <si>
    <t>Magnetic catcher triple strip vertical type</t>
  </si>
  <si>
    <t>8715</t>
  </si>
  <si>
    <t>Magnetic catcher double strip horizontal type</t>
  </si>
  <si>
    <t>8716</t>
  </si>
  <si>
    <t>100 mm mortice lock with 6 levers for aluminium door</t>
  </si>
  <si>
    <t>8719</t>
  </si>
  <si>
    <t>2nd class teak wood moulded beading or Taj beading/ornamental</t>
  </si>
  <si>
    <t>8720</t>
  </si>
  <si>
    <t>Ceiling sections 0.55 mm thick having a knurled web of 51.55 mm and two</t>
  </si>
  <si>
    <t>8721</t>
  </si>
  <si>
    <t>Perimeter channel having one flange of 20 mm and another flange of</t>
  </si>
  <si>
    <t>8722</t>
  </si>
  <si>
    <t>Nylon sleeves &amp; wooden screws (40 mm)</t>
  </si>
  <si>
    <t>8723</t>
  </si>
  <si>
    <t>Counter sunk ribbed head screw 25 mm</t>
  </si>
  <si>
    <t>8724</t>
  </si>
  <si>
    <t>12 mm thick marine plywood conforming to IS: 710</t>
  </si>
  <si>
    <t>8725</t>
  </si>
  <si>
    <t>12 mm thick fire retardant plywood conforming to IS: 5509</t>
  </si>
  <si>
    <t>8726</t>
  </si>
  <si>
    <t>1.5 mm thick decorative laminated sheet</t>
  </si>
  <si>
    <t>8727</t>
  </si>
  <si>
    <t>1.0 mm thick decorative laminated sheet</t>
  </si>
  <si>
    <t>8730</t>
  </si>
  <si>
    <t>30 mm thick factory made glass fiber reinforced plastic flush door shutter</t>
  </si>
  <si>
    <t>8731</t>
  </si>
  <si>
    <t>High polymer modified quickset tile adhesive</t>
  </si>
  <si>
    <t>8732</t>
  </si>
  <si>
    <t>Synthetic ployster triangular fibre of length 12 mm, effective diameter 10-40 No.</t>
  </si>
  <si>
    <t>8733</t>
  </si>
  <si>
    <t>Synthetic ployster triangular fibre of length 6 mm, effective diameter 10-40</t>
  </si>
  <si>
    <t>microns and specific gravity of 1.34 to 1.40</t>
  </si>
  <si>
    <t>8734</t>
  </si>
  <si>
    <t>P.V.C. Single piece extruded door frame of profile size 50 mm x 47mm</t>
  </si>
  <si>
    <t>8735</t>
  </si>
  <si>
    <t>35 mm thick factory made solid panel PVC door shutter of single</t>
  </si>
  <si>
    <t>8736</t>
  </si>
  <si>
    <t>8737</t>
  </si>
  <si>
    <t>Stainless steel wire guage (Grade-304) aperture 1.4 mm and 0.50mm</t>
  </si>
  <si>
    <t>8738</t>
  </si>
  <si>
    <t>Factory made door frame fire rated (60 minutes) made with 16 SWG G.I. Sheet of section 143 mm x 57 mm duly filled with vermuculite</t>
  </si>
  <si>
    <t>8739</t>
  </si>
  <si>
    <t>Fire rated door shuttere made with 16 SWG G.I. sheet (60 minutes)</t>
  </si>
  <si>
    <t>8740</t>
  </si>
  <si>
    <t>Fire seal Putty</t>
  </si>
  <si>
    <t>8741</t>
  </si>
  <si>
    <t>Clear fire resistant glass panes 6mm thick (60 minutes)</t>
  </si>
  <si>
    <t>8742</t>
  </si>
  <si>
    <t>G.I. U beading of 16 SWG G.I. sheet (zinc coating &gt;120gm/m²) with M4x38mm SS screws</t>
  </si>
  <si>
    <t>8743</t>
  </si>
  <si>
    <t>Matrix Mineral Board</t>
  </si>
  <si>
    <t>8744</t>
  </si>
  <si>
    <t>Panic Bar / latch (Double point)</t>
  </si>
  <si>
    <t>8745</t>
  </si>
  <si>
    <t>65 mm x 55 mm x 2 mm thick Factory made door frame of PVC</t>
  </si>
  <si>
    <t>8746</t>
  </si>
  <si>
    <t>37 mm thick Factory made shutter with style,rails and panels of PVC</t>
  </si>
  <si>
    <t>8747</t>
  </si>
  <si>
    <t>75 mm x 53 mm x 2.0 mm thick Factory made door frame of PVC</t>
  </si>
  <si>
    <t>8748</t>
  </si>
  <si>
    <t>37 mm thick Factory made fusion welded shutter with style, rails and panels of PVC extruded section in wooden finish.</t>
  </si>
  <si>
    <t>8749</t>
  </si>
  <si>
    <t>Zinc alloy (white powder coated) touch lock with hook for wire mesh shutter</t>
  </si>
  <si>
    <t>8750</t>
  </si>
  <si>
    <t>Zinc alloy (white powder coated) casement handle for uPVC window/door</t>
  </si>
  <si>
    <t>8751</t>
  </si>
  <si>
    <t>Zinc alloy (white powder coated) touch lock withhook for uPVC window/door</t>
  </si>
  <si>
    <t>8752</t>
  </si>
  <si>
    <t>Zinc alloy body with single nylon roller (weight bearing capacity to be</t>
  </si>
  <si>
    <t>8753</t>
  </si>
  <si>
    <t>Stainless Steel (SS - 304) with adjustable double nylon roller (weight</t>
  </si>
  <si>
    <t>8754</t>
  </si>
  <si>
    <t>Zinc alloy (white powder coated) cresent lock for uPVC sliding door/window</t>
  </si>
  <si>
    <t>8755</t>
  </si>
  <si>
    <t>Stainless steel friction hinge of size 200 mm x 19 x 1.9 mm for uPVC windows</t>
  </si>
  <si>
    <t>8756</t>
  </si>
  <si>
    <t>Stainless steel friction hinge of size 250 mm x 19 x 1.9 mm for uPVC windows</t>
  </si>
  <si>
    <t>8757</t>
  </si>
  <si>
    <t>Stainless steel friction hinges (SS-304 grade) size 300 x 19 x 1.9 mm for uPVC window</t>
  </si>
  <si>
    <t>8758</t>
  </si>
  <si>
    <t>Stainless steel friction hinges (SS-304 grade) size 350 x 19 x 1.9 mm for uPVC window</t>
  </si>
  <si>
    <t>8759</t>
  </si>
  <si>
    <t>Stainless steel friction hinges (SS-304 grade) size 400 x 19 x 1.9 mm for uPVC window</t>
  </si>
  <si>
    <t>8760</t>
  </si>
  <si>
    <t>Glass panes of required thickness having 60 minutes of fire resistance both integrity and radiation control (EW 60) and minimum 20 minutes of</t>
  </si>
  <si>
    <t>8761</t>
  </si>
  <si>
    <t>Scaffolding net made of high density polyethylene UV stabilized having</t>
  </si>
  <si>
    <t>8772</t>
  </si>
  <si>
    <t>Aluminium Track on bottom rail for uPVC window</t>
  </si>
  <si>
    <t>8773</t>
  </si>
  <si>
    <t>Wool pile/ weather pile strip for uPVC sliding window</t>
  </si>
  <si>
    <t>8774</t>
  </si>
  <si>
    <t>Aluminium Grill as per IS 1868</t>
  </si>
  <si>
    <t>8775</t>
  </si>
  <si>
    <t>Steel Galvanised tubular reinforcement for uPVC door/ window</t>
  </si>
  <si>
    <t>8776</t>
  </si>
  <si>
    <t>Stainless steel dash fastener of 8 mm dia and 75 mm long bolt No.</t>
  </si>
  <si>
    <t>8777</t>
  </si>
  <si>
    <t>GI Fastener 100x8 mm</t>
  </si>
  <si>
    <t>8778</t>
  </si>
  <si>
    <t>Toughened glass 12 mm thickness</t>
  </si>
  <si>
    <t>8779</t>
  </si>
  <si>
    <t>8780</t>
  </si>
  <si>
    <t>8781</t>
  </si>
  <si>
    <t>8782</t>
  </si>
  <si>
    <t>8783</t>
  </si>
  <si>
    <t>8784</t>
  </si>
  <si>
    <t>8 mm thick Calcium silicate perforated tiles of size 595 x595 mm</t>
  </si>
  <si>
    <t>8785</t>
  </si>
  <si>
    <t>Interlocking C.C. paver block ( 80 mm thick, M-30)</t>
  </si>
  <si>
    <t>8786</t>
  </si>
  <si>
    <t>Coupling/Socket fittings for 22.22 mm outer dia SS pipe</t>
  </si>
  <si>
    <t>8787</t>
  </si>
  <si>
    <t>Coupling/Socket fittings for 28.58 mm outer dia SS pipe</t>
  </si>
  <si>
    <t>8788</t>
  </si>
  <si>
    <t>Coupling/Socket fittings for 34.00 mm outer dia SS pipe</t>
  </si>
  <si>
    <t>8789</t>
  </si>
  <si>
    <t>Coupling/Socket fittings for 42.70 mm outer dia SS pipe</t>
  </si>
  <si>
    <t>8790</t>
  </si>
  <si>
    <t>Coupling/Socket fittings for 48.60 mm outer dia SS pipe</t>
  </si>
  <si>
    <t>8791</t>
  </si>
  <si>
    <t>Reducer for 22.22 mm X 15.88 mm outer Dia SS pipe</t>
  </si>
  <si>
    <t>8792</t>
  </si>
  <si>
    <t>Reducer for 28.58 mm X 15.88 mm outer Dia SS pipe</t>
  </si>
  <si>
    <t>8793</t>
  </si>
  <si>
    <t>Reducer for 28.58 mm X 22.22 mm outer Dia SS pipe</t>
  </si>
  <si>
    <t>8794</t>
  </si>
  <si>
    <t>Reducer for 34.00 mm X 15.88 mm outer Dia SS pipe</t>
  </si>
  <si>
    <t>8795</t>
  </si>
  <si>
    <t>Reducer for 34.00 mm X 22.22 mm outer Dia SS pipe</t>
  </si>
  <si>
    <t>8796</t>
  </si>
  <si>
    <t>Reducer for 34.00 mm X 28.58 mm outer Dia SS pipe</t>
  </si>
  <si>
    <t>8797</t>
  </si>
  <si>
    <t>Reducer for 42.70 mm X 15.88 mm outer Dia SS pipe</t>
  </si>
  <si>
    <t>8798</t>
  </si>
  <si>
    <t>Reducer for 42.70 mm X 22.22 mm outer Dia SS pipe</t>
  </si>
  <si>
    <t>8799</t>
  </si>
  <si>
    <t>Reducer for 42.70 mm X 28.58 mm outer Dia SS pipe</t>
  </si>
  <si>
    <t>8800</t>
  </si>
  <si>
    <t>Reducer for 42.70 mm X 34.00 mm outer Dia SS pipe</t>
  </si>
  <si>
    <t>8801</t>
  </si>
  <si>
    <t>Reducer for 48.60 mm X 15.88 mm outer Dia SS pipe</t>
  </si>
  <si>
    <t>8802</t>
  </si>
  <si>
    <t>Reducer for 48.60 mm X 22.22 mm outer Dia SS pipe</t>
  </si>
  <si>
    <t>8803</t>
  </si>
  <si>
    <t>Reducer for 48.60 mm X 28.58 mm outer Dia SS pipe</t>
  </si>
  <si>
    <t>8804</t>
  </si>
  <si>
    <t>Reducer for 48.60 mm X 34.00 mm outer Dia SS pipe</t>
  </si>
  <si>
    <t>8805</t>
  </si>
  <si>
    <t>Reducer for48.60 mm X 42.70 mm outer Dia SS pipe</t>
  </si>
  <si>
    <t>8806</t>
  </si>
  <si>
    <t>Slip Coupling / Socket 15.88 mm outer dia SS pipe</t>
  </si>
  <si>
    <t>8807</t>
  </si>
  <si>
    <t>Slip Coupling / Socket 22.22 mm outer dia SS pipe</t>
  </si>
  <si>
    <t>8808</t>
  </si>
  <si>
    <t>Slip Coupling / Socket 28.58 mm outer dia SS pipe</t>
  </si>
  <si>
    <t>8809</t>
  </si>
  <si>
    <t>Slip Coupling / Socket 34.00 mm outer dia SS pipe</t>
  </si>
  <si>
    <t>8810</t>
  </si>
  <si>
    <t>Slip Coupling / Socket 42.70 mm outer dia SS pipe</t>
  </si>
  <si>
    <t>8811</t>
  </si>
  <si>
    <t>Slip Coupling / Socket 48.60 mm outer dia SS pipe</t>
  </si>
  <si>
    <t>8812</t>
  </si>
  <si>
    <t>Elbow 90° for 15.88 mm outer dia SS pipe</t>
  </si>
  <si>
    <t>8813</t>
  </si>
  <si>
    <t>Elbow 90° for 22.22 mm outer dia SS pipe</t>
  </si>
  <si>
    <t>8814</t>
  </si>
  <si>
    <t>Elbow 90° for 28.58 mm outer dia SS pipe</t>
  </si>
  <si>
    <t>8815</t>
  </si>
  <si>
    <t>Elbow 90° for 34.00 mm outer dia SS pipe</t>
  </si>
  <si>
    <t>8816</t>
  </si>
  <si>
    <t>Elbow 90° for 42.70 mm outer dia SS pipe</t>
  </si>
  <si>
    <t>8817</t>
  </si>
  <si>
    <t>Elbow 90° for 48.60 mm outer dia SS pipe</t>
  </si>
  <si>
    <t>8818</t>
  </si>
  <si>
    <t>Reducing Elbow 90° for 22.22 mm X 15.88 mm outer dia SS pipe</t>
  </si>
  <si>
    <t>8819</t>
  </si>
  <si>
    <t>Reducing Elbow 90° for 28.58 mm X 15.88 mm outer dia SS pipe</t>
  </si>
  <si>
    <t>8820</t>
  </si>
  <si>
    <t>Reducing Elbow 90° for 28.58 mm X 22.22 mm outer dia SS pipe No.</t>
  </si>
  <si>
    <t>8821</t>
  </si>
  <si>
    <t>Reducing Elbow 90° for 34.00 mm X 22.22 mm outer dia SS pipe</t>
  </si>
  <si>
    <t>8822</t>
  </si>
  <si>
    <t>Reducing Elbow 90° for 34.00 mm X 28.58 mm outer dia SS pipe</t>
  </si>
  <si>
    <t>8823</t>
  </si>
  <si>
    <t>Reducing Elbow 90° for 42.70 mm X 34.00 mm outer dia SS pipe</t>
  </si>
  <si>
    <t>8824</t>
  </si>
  <si>
    <t>Equal Tee for 15.88 mm outer dia SS pipe</t>
  </si>
  <si>
    <t>8825</t>
  </si>
  <si>
    <t>Equal Tee for 22.22 mm outer dia SS pipe</t>
  </si>
  <si>
    <t>8826</t>
  </si>
  <si>
    <t>Equal Tee for 28.58 mm outer dia SS pipe</t>
  </si>
  <si>
    <t>8827</t>
  </si>
  <si>
    <t>Equal Tee for 34.00 mm outer dia SS pipe</t>
  </si>
  <si>
    <t>8828</t>
  </si>
  <si>
    <t>Equal Tee for 42.70 mm outer dia SS pipe</t>
  </si>
  <si>
    <t>8829</t>
  </si>
  <si>
    <t>Equal Tee for 48.60 mm outer dia SS pipe</t>
  </si>
  <si>
    <t>8830</t>
  </si>
  <si>
    <t>Reducing Tee for 22.22 mm X 15.88 mm outer dia SS</t>
  </si>
  <si>
    <t>8831</t>
  </si>
  <si>
    <t>Reducing Tee for 28.58 mm X 15.88 mm outer dia SS pipe</t>
  </si>
  <si>
    <t>8832</t>
  </si>
  <si>
    <t>Reducing Tee for 28.58 mm X 22.22 mm outer dia SS pipe</t>
  </si>
  <si>
    <t>8833</t>
  </si>
  <si>
    <t>Reducing Tee for 34.00 mm X 15.88 mm outer dia SS pipe</t>
  </si>
  <si>
    <t>8834</t>
  </si>
  <si>
    <t>Reducing Tee for 34.00 mm X 22.22 mm outer dia SS pipe</t>
  </si>
  <si>
    <t>8835</t>
  </si>
  <si>
    <t>Reducing Tee for 34.00 mm X 28.58 mm outer dia SS pipe</t>
  </si>
  <si>
    <t>8836</t>
  </si>
  <si>
    <t>Reducing Tee for 42.70 mm X 15.88 mm outer dia SS pipe</t>
  </si>
  <si>
    <t>8837</t>
  </si>
  <si>
    <t>Reducing Tee for 42.70 mm X 22.22 mm outer dia SS pipe</t>
  </si>
  <si>
    <t>8838</t>
  </si>
  <si>
    <t>Reducing Tee for 42.70 mm X 28.58 mm outer dia SS pipe</t>
  </si>
  <si>
    <t>8839</t>
  </si>
  <si>
    <t>Reducing Tee for 42.70 mm X 34.00 mm outer dia SS pipe</t>
  </si>
  <si>
    <t>8840</t>
  </si>
  <si>
    <t>Reducing Tee for 48.60 mm X 15.88 mm outer dia SS pipe</t>
  </si>
  <si>
    <t>8841</t>
  </si>
  <si>
    <t>Reducing Tee for 48.60 mm X 22.22 mm outer dia SS pipe</t>
  </si>
  <si>
    <t>8842</t>
  </si>
  <si>
    <t>Reducing Tee for 48.60 mm X 28.58 mm outer dia SS pipe</t>
  </si>
  <si>
    <t>8843</t>
  </si>
  <si>
    <t>Reducing Tee for 48.60mm X 34.00 mm outer dia SS pipe</t>
  </si>
  <si>
    <t>8844</t>
  </si>
  <si>
    <t>Reducing Tee for 48.60mm X 42.70mm outer dia SS pipe</t>
  </si>
  <si>
    <t>8845</t>
  </si>
  <si>
    <t>Stainless steel Male thread Tee for 15.88 mm outer dia X 15 mm nominal</t>
  </si>
  <si>
    <t>8846</t>
  </si>
  <si>
    <t>Stainless steel Male thread Tee for 22.22 mm outer dia X 15 mm nomina</t>
  </si>
  <si>
    <t>8847</t>
  </si>
  <si>
    <t>Stainless steel Male thread Tee for 22.22 mm outer dia X 20 mm nominal</t>
  </si>
  <si>
    <t>8848</t>
  </si>
  <si>
    <t>Sanitary &amp; Water Supply</t>
  </si>
  <si>
    <t>Stainless steel Male thread Tee for 28.58 mm outer dia X 15 mm nominal dia threaded</t>
  </si>
  <si>
    <t>8849</t>
  </si>
  <si>
    <t>Stainless steel Male thread Tee for 28.58 mm outer dia X 20 mm nominal</t>
  </si>
  <si>
    <t>8850</t>
  </si>
  <si>
    <t>Stainless steel Male thread Tee for 28.58 mm outer dia X 25 mm nominal</t>
  </si>
  <si>
    <t>8851</t>
  </si>
  <si>
    <t>Stainless steel Male thread Tee for 34.00 mm outer dia X 15 mm nominal</t>
  </si>
  <si>
    <t>8852</t>
  </si>
  <si>
    <t>Stainless steel Male thread Tee for 34.00 mm outer dia X 20 mm nominal</t>
  </si>
  <si>
    <t>8853</t>
  </si>
  <si>
    <t>Stainless steel Male thread Tee for 34.00 mm outer dia X 25 mm nominal</t>
  </si>
  <si>
    <t>8854</t>
  </si>
  <si>
    <t>Stainless steel Male thread Tee for 34.00 mm outer dia X 32 mm nominal</t>
  </si>
  <si>
    <t>8855</t>
  </si>
  <si>
    <t>Stainless steel Male thread Tee for 42.70 mm outer dia X 15 mm nominal</t>
  </si>
  <si>
    <t>8856</t>
  </si>
  <si>
    <t>Stainless steel Male thread Tee for 42.70 mm outer dia X 20 mm nominal</t>
  </si>
  <si>
    <t>8857</t>
  </si>
  <si>
    <t>Stainless steel Male thread Tee for 42.70 mm outer dia X 25 mm nominal No.</t>
  </si>
  <si>
    <t>8858</t>
  </si>
  <si>
    <t>Stainless steel Male thread Tee for 42.70 mm outer dia X 32 mm</t>
  </si>
  <si>
    <t>8859</t>
  </si>
  <si>
    <t>Stainless steel Male thread Tee for 42.70 mm outer dia X 40 mm</t>
  </si>
  <si>
    <t>8860</t>
  </si>
  <si>
    <t>Stainless steel Male thread Tee for 48.60 mm outer dia X 15 mm</t>
  </si>
  <si>
    <t>8861</t>
  </si>
  <si>
    <t>Stainless steel Male thread Tee for 48.60 mm outer dia X 20 mm</t>
  </si>
  <si>
    <t>8862</t>
  </si>
  <si>
    <t>Stainless steel Male thread Tee for 48.60 mm outer dia X 25 mm</t>
  </si>
  <si>
    <t>8863</t>
  </si>
  <si>
    <t>Stainless steel Male thread Tee for 48.60 mm outer dia X 32 mm</t>
  </si>
  <si>
    <t>8864</t>
  </si>
  <si>
    <t>Stainless steel Male thread Tee for 48.60 mm outer dia X 40 mm</t>
  </si>
  <si>
    <t>8865</t>
  </si>
  <si>
    <t>Stainless steel Male thread Tee for 48.60 mm outer dia X 50 mm</t>
  </si>
  <si>
    <t>8866</t>
  </si>
  <si>
    <t>Stainless steel Female thread Tee for 15.88 mm outer dia X 15 mm</t>
  </si>
  <si>
    <t>8867</t>
  </si>
  <si>
    <t>Stainless steel Female thread Tee for 22.22 mm outer dia X 15 mm</t>
  </si>
  <si>
    <t>8868</t>
  </si>
  <si>
    <t>Stainless steel Female thread Tee for 22.22 mm outer dia X 20 mm</t>
  </si>
  <si>
    <t>8869</t>
  </si>
  <si>
    <t>Stainless steel Female thread Tee for 28.58 mm outer dia X 15 mm</t>
  </si>
  <si>
    <t>8870</t>
  </si>
  <si>
    <t>Stainless steel Female thread Tee for 28.58 mm outer dia X 20 mm</t>
  </si>
  <si>
    <t>8871</t>
  </si>
  <si>
    <t>Stainless steel Female thread Tee for 28.58 mm outer dia X 25 mm</t>
  </si>
  <si>
    <t>8872</t>
  </si>
  <si>
    <t>Stainless steel Female thread Tee for 34.00 mm outer dia X 15 mm</t>
  </si>
  <si>
    <t>8873</t>
  </si>
  <si>
    <t>Stainless steel Female thread Tee for 34.00 mm outer dia X 20 mm</t>
  </si>
  <si>
    <t>8874</t>
  </si>
  <si>
    <t>Stainless steel Female thread Tee for 34.00 mm outer dia X 25 mm</t>
  </si>
  <si>
    <t>8875</t>
  </si>
  <si>
    <t>Stainless steel Female thread Tee for 34.00 mm outer dia X 32 mm</t>
  </si>
  <si>
    <t>8876</t>
  </si>
  <si>
    <t>Stainless steel Female thread Tee for 42.70 mm outer dia X 15 mm</t>
  </si>
  <si>
    <t>8877</t>
  </si>
  <si>
    <t>Stainless steel Female thread Tee for 42.70 mm outer dia X 20 mm</t>
  </si>
  <si>
    <t>8878</t>
  </si>
  <si>
    <t>Stainless steel Female thread Tee for 42.70 mm outer dia X 25 mm</t>
  </si>
  <si>
    <t>8879</t>
  </si>
  <si>
    <t>Stainless steel Female thread Tee for 42.70 mm outer dia X 32 mm</t>
  </si>
  <si>
    <t>8880</t>
  </si>
  <si>
    <t>Stainless steel Female thread Tee for 42.70 mm outer dia X 40 mm</t>
  </si>
  <si>
    <t>8881</t>
  </si>
  <si>
    <t>Stainless steel Female thread Tee for 48.60 mm outer dia X 15 mm</t>
  </si>
  <si>
    <t>8882</t>
  </si>
  <si>
    <t>Stainless steel Female thread Tee for 48.60 mm outer dia X 20 mm</t>
  </si>
  <si>
    <t>8883</t>
  </si>
  <si>
    <t>Stainless steel Female thread Tee for 48.60 mm outer dia X 25 mm No.</t>
  </si>
  <si>
    <t>8884</t>
  </si>
  <si>
    <t>Stainless steel Female thread Tee for 48.60 mm outer dia X 32 mm</t>
  </si>
  <si>
    <t>8885</t>
  </si>
  <si>
    <t>Stainless steel Female thread Tee for 48.60 mm outer dia X 40 mm</t>
  </si>
  <si>
    <t>8886</t>
  </si>
  <si>
    <t>Stainless steel Female thread Tee for 48.60 mm outer dia X 50 mm</t>
  </si>
  <si>
    <t>8887</t>
  </si>
  <si>
    <t>Stainless steel Female threaded Connector/Adapter for 15.88 mm</t>
  </si>
  <si>
    <t>8888</t>
  </si>
  <si>
    <t>Stainless steel Female threaded Connector/Adapter for 22.22 mm</t>
  </si>
  <si>
    <t>8889</t>
  </si>
  <si>
    <t>8890</t>
  </si>
  <si>
    <t>Stainless steel Female threaded Connector/Adapter for 28.58 mm</t>
  </si>
  <si>
    <t>8891</t>
  </si>
  <si>
    <t>8892</t>
  </si>
  <si>
    <t>8893</t>
  </si>
  <si>
    <t>Stainless steel Female threaded Connector/Adapter for 34.00 mm</t>
  </si>
  <si>
    <t>8894</t>
  </si>
  <si>
    <t>8898</t>
  </si>
  <si>
    <t>Stainless steel Female threaded Connector/Adapter for 48.60 mm</t>
  </si>
  <si>
    <t>8899</t>
  </si>
  <si>
    <t>Stainless steel Male threaded Connector/Adapter for 15.88 mm</t>
  </si>
  <si>
    <t>8901</t>
  </si>
  <si>
    <t>Stainless steel Male threaded Connector/Adapter for 22.22 mm</t>
  </si>
  <si>
    <t>8904</t>
  </si>
  <si>
    <t>Stainless steel Male threaded Connector/Adapter for 34.00 mm</t>
  </si>
  <si>
    <t>8905</t>
  </si>
  <si>
    <t>8906</t>
  </si>
  <si>
    <t>Stainless steel Male threaded Connector/Adapter for 42.70 mm</t>
  </si>
  <si>
    <t>8907</t>
  </si>
  <si>
    <t>Stainless steel Male threaded Connector/Adapter for 42.70 mm outer</t>
  </si>
  <si>
    <t>8908</t>
  </si>
  <si>
    <t>Stainless steel Male threaded Connector/Adapter for 48.60 mm outer</t>
  </si>
  <si>
    <t>8909</t>
  </si>
  <si>
    <t>Stainless steel Male threaded Connector/Adapter for 48.60 mm outer No.</t>
  </si>
  <si>
    <t>8910</t>
  </si>
  <si>
    <t>Stainless steel Valve Connector for 15.88 mm outer dia X 15 mm</t>
  </si>
  <si>
    <t>8911</t>
  </si>
  <si>
    <t>Stainless steel Valve Connector for 22.22 mm outer dia X 15 mm</t>
  </si>
  <si>
    <t>8912</t>
  </si>
  <si>
    <t>Stainless steel Valve Connector for 22.22 mm outer dia X 20 mm</t>
  </si>
  <si>
    <t>8913</t>
  </si>
  <si>
    <t>Stainless steel Valve Connector for 28.58 mm outer dia X 25 mm</t>
  </si>
  <si>
    <t>8914</t>
  </si>
  <si>
    <t>Stainless steel Valve Connector for 34.00 mm outer dia X 32 mm</t>
  </si>
  <si>
    <t>8915</t>
  </si>
  <si>
    <t>Stainless steel Valve Connector for 42.70 mm outer dia X 40 mm</t>
  </si>
  <si>
    <t>8916</t>
  </si>
  <si>
    <t>Stainless steel Valve Connector for 48.60 mm outer dia X 50 mm</t>
  </si>
  <si>
    <t>8917</t>
  </si>
  <si>
    <t>SS Female Threaded Elbow 90o for 15.88 mm outer dia X 15 mm</t>
  </si>
  <si>
    <t>8918</t>
  </si>
  <si>
    <t>Stainless steel Female Threaded Elbow 90o for 22.22 mm outer dia X 15 mm</t>
  </si>
  <si>
    <t>nominal dia threaded</t>
  </si>
  <si>
    <t>8919</t>
  </si>
  <si>
    <t>Stainless steel Female Threaded Elbow 90o for 22.22 mm outer dia</t>
  </si>
  <si>
    <t>8920</t>
  </si>
  <si>
    <t>Stainless steel Female Threaded Elbow 90o for 28.58 mm outer dia</t>
  </si>
  <si>
    <t>8921</t>
  </si>
  <si>
    <t>Stainless steel Female Threaded Elbow 90o for 34.00 mm outer dia</t>
  </si>
  <si>
    <t>8922</t>
  </si>
  <si>
    <t>Stainless steel Female Threaded Elbow 90o for 42.70 mm outer dia</t>
  </si>
  <si>
    <t>8923</t>
  </si>
  <si>
    <t>8924</t>
  </si>
  <si>
    <t>Stainless steel Female Threaded Elbow 90o for 48.60 mm outer dia</t>
  </si>
  <si>
    <t>8925</t>
  </si>
  <si>
    <t>8927</t>
  </si>
  <si>
    <t>Stainless steel Male Threaded Elbow 90o for 22.22 mm outer dia X</t>
  </si>
  <si>
    <t>8928</t>
  </si>
  <si>
    <t>Stainless steel Male Threaded Elbow 900 for 22.22 mm outer dia X</t>
  </si>
  <si>
    <t>8929</t>
  </si>
  <si>
    <t>Stainless steel Male Threaded Elbow 900 for 28.58 mm outer dia X</t>
  </si>
  <si>
    <t>8930</t>
  </si>
  <si>
    <t>Stainless steel MaleThreaded Elbow 900 for 34.00 mm outer dia X</t>
  </si>
  <si>
    <t>8931</t>
  </si>
  <si>
    <t>Stainless steel Male Threaded Elbow 900 for 34.00 mm outer dia X</t>
  </si>
  <si>
    <t>8932</t>
  </si>
  <si>
    <t>Stainless steel Male Threaded Elbow 900 for 42.70 mm outer dia X</t>
  </si>
  <si>
    <t>8933</t>
  </si>
  <si>
    <t>8934</t>
  </si>
  <si>
    <t>Stainless steel Male Threaded Elbow 900 for 48.60 mm outer dia X</t>
  </si>
  <si>
    <t>8935</t>
  </si>
  <si>
    <t>8936</t>
  </si>
  <si>
    <t>Stainless steel Cap for 15.88 mm outer dia pipe No.</t>
  </si>
  <si>
    <t>8937</t>
  </si>
  <si>
    <t>Stainless steel Cap for 22.22 mm outer dia pipe</t>
  </si>
  <si>
    <t>8938</t>
  </si>
  <si>
    <t>Stainless steel Cap for 28.58 mm outer dia pipe</t>
  </si>
  <si>
    <t>8939</t>
  </si>
  <si>
    <t>Stainless steel Cap for 34.00 mm outer dia pipe</t>
  </si>
  <si>
    <t>8940</t>
  </si>
  <si>
    <t>Stainless steel Cap for 42.70 mm outer dia pipe</t>
  </si>
  <si>
    <t>8941</t>
  </si>
  <si>
    <t>Stainless steel Cap for 48.60 mm outer dia pipe</t>
  </si>
  <si>
    <t>8942</t>
  </si>
  <si>
    <t>Stainless steel Pipe Bridge for 15.88 mm outer dia pipe</t>
  </si>
  <si>
    <t>8943</t>
  </si>
  <si>
    <t>Stainless steel Pipe Bridge for 22.22 mm outer dia pipe</t>
  </si>
  <si>
    <t>8944</t>
  </si>
  <si>
    <t>Stainless steel Pipe Bridge for 28.58 mm outer dia pipe</t>
  </si>
  <si>
    <t>8945</t>
  </si>
  <si>
    <t>4 Point facade glass bracket without flat head bolts</t>
  </si>
  <si>
    <t>Nos</t>
  </si>
  <si>
    <t>8946</t>
  </si>
  <si>
    <t>2 Point facade glass bracket (wall mounted with out flat head bolt)</t>
  </si>
  <si>
    <t>8947</t>
  </si>
  <si>
    <t>1 Point facade glass bracket (wall mounted with out flat head bolt)</t>
  </si>
  <si>
    <t>8948</t>
  </si>
  <si>
    <t>Flate head bolt for brackets of spider glazing</t>
  </si>
  <si>
    <t>8949</t>
  </si>
  <si>
    <t>400 mm long fin plate without fastners</t>
  </si>
  <si>
    <t>8953</t>
  </si>
  <si>
    <t>Micro Silica</t>
  </si>
  <si>
    <t>8954</t>
  </si>
  <si>
    <t>Stop end tubes for diaphragmwall 600 mm dia.</t>
  </si>
  <si>
    <t>8955</t>
  </si>
  <si>
    <t>Driving end tubes for diaphragm wall 600 mm dia.</t>
  </si>
  <si>
    <t>8956</t>
  </si>
  <si>
    <t>Bi-Axial Extruded GeoGrids of Minimum Tensile Strength 15 kN/m in the longitudinal and transverse direction</t>
  </si>
  <si>
    <t>8957</t>
  </si>
  <si>
    <t>Bi-Axial Extruded GeoGrids of Minimum Tensile Strength 20kN/m in the longitudinal and transverse direction</t>
  </si>
  <si>
    <t>8958</t>
  </si>
  <si>
    <t>Bi-Axial Extruded GeoGrids of Minimum Tensile Strength 30kN/m in the longitudinal and transverse direction</t>
  </si>
  <si>
    <t>8959</t>
  </si>
  <si>
    <t>Bi-Axial Extruded GeoGrids of Minimum Tensile Strength 40kN/m in the longitudinal and transverse direction</t>
  </si>
  <si>
    <t>8960</t>
  </si>
  <si>
    <t>Geosynthetic Drainage with a “W” configuration as longitudinal parallel channels. Minimum thickness to be 7.2mm, with two filtering UV stabilized polypropylene nonwoven geotextile of minimum thickness of 0.75mm having pores of 150 micron and tensile strength of 8.0 kN/m and having  plane flow capacity of 2.1 L / (m.s) at hydraulic gradient of 1.0 &amp; 20 kPa  pressure,</t>
  </si>
  <si>
    <t>two filtering nonwoven geotextiles</t>
  </si>
  <si>
    <t>8961</t>
  </si>
  <si>
    <t>Geosynthetic Drainage Composite having thermobonding a draining core - HDPE geonet comprises of two sets of parallel overlayed ribs integrally connected to have a rhomboidal shape with a polyethylene film and a nonwoven geotextile having mass per unit area 130 g/m2 and tensile strength of 8.0 kN/m having in plane flow capacity of 0.7 L / (m.s) at hydraulic gradient of 1.0 &amp; 20 kPa pressure and tensile</t>
  </si>
  <si>
    <t>8962</t>
  </si>
  <si>
    <t>Synthetic Geogrid having</t>
  </si>
  <si>
    <t>8963</t>
  </si>
  <si>
    <t>Synthetic Geogrid</t>
  </si>
  <si>
    <t>8964</t>
  </si>
  <si>
    <t>8965</t>
  </si>
  <si>
    <t>8966</t>
  </si>
  <si>
    <t>Synthetic Geogrid Ultimate tensile strength- 300kN/m</t>
  </si>
  <si>
    <t>8967</t>
  </si>
  <si>
    <t>Synthetic Geogrid Ultimate tensile strength- 350kN/m</t>
  </si>
  <si>
    <t>8968</t>
  </si>
  <si>
    <t>8969</t>
  </si>
  <si>
    <t>8970</t>
  </si>
  <si>
    <t>Synthetic Geogrid Ultimate tensile strength- 600kN/m</t>
  </si>
  <si>
    <t>8971</t>
  </si>
  <si>
    <t>Synthetic Geogrid Ultimate tensile strength- 700kN/m</t>
  </si>
  <si>
    <t>8972</t>
  </si>
  <si>
    <t>Synthetic Geogrid Ultimate tensile strength- 800kN/m</t>
  </si>
  <si>
    <t>8973</t>
  </si>
  <si>
    <t>Synthetic Geogrid Ultimate tensile strength- 900kN/m</t>
  </si>
  <si>
    <t>8974</t>
  </si>
  <si>
    <t>Synthetic Geogrid No.</t>
  </si>
  <si>
    <t>8975</t>
  </si>
  <si>
    <t>8976</t>
  </si>
  <si>
    <t>Synthetic Geogrid Ultimate tensile strength- 1200kN/m 40800, conforming to IS 1254, IS 737, IS 2676, 0.71 mm thick, the 40800, conforming to IS 1254, IS 737, IS 2676, 0.91 mm thick, the</t>
  </si>
  <si>
    <t>8977</t>
  </si>
  <si>
    <t>Aluminium profile sheet 0.71 mm</t>
  </si>
  <si>
    <t>8978</t>
  </si>
  <si>
    <t>Aluminium profile sheet 0.91 mm</t>
  </si>
  <si>
    <t>9001</t>
  </si>
  <si>
    <t>C.P. Brass Centre Hole Basin Mixer With Cast Spout</t>
  </si>
  <si>
    <t>9977</t>
  </si>
  <si>
    <t>Carriage</t>
  </si>
  <si>
    <t>L.S.</t>
  </si>
  <si>
    <t>9988</t>
  </si>
  <si>
    <t>Carriage and sundries</t>
  </si>
  <si>
    <t>9999</t>
  </si>
  <si>
    <t>Sundries</t>
  </si>
  <si>
    <t>CPWD DELHI ANALYSIS OF RATES (DAR 2019) — GLOBAL STATUTORY FACTORS &amp; PROJECT SETTINGS</t>
  </si>
  <si>
    <t>LEGEND:</t>
  </si>
  <si>
    <t>Standard Default Value (CPWD DAR 2019)</t>
  </si>
  <si>
    <t>Project Specific Override (User Input)</t>
  </si>
  <si>
    <t>Effective Value Used Across Workbook</t>
  </si>
  <si>
    <t>1. PROJECT &amp; CONTRACT PARAMETERS</t>
  </si>
  <si>
    <t>Project Name / Scope of Work:</t>
  </si>
  <si>
    <t>General Construction &amp; Maintenance Estimates (Non-DSR Items)</t>
  </si>
  <si>
    <t>CPWD PLANT &amp; MACHINERY HIRE CONVENTION (Item Codes 0001 to 0083):
1. Hire charges include services of operating staff, lubricating oil, diesel/petrol/kerosene, and all consumables for running the machinery, and exclude GST.
2. Hire charges are on per-day basis for a single shift of eight working hours.
3. Do not add duplicate fuel or operator lines unless using un-fueled codes (e.g. 0084 onwards).</t>
  </si>
  <si>
    <t>Project Location / Zone:</t>
  </si>
  <si>
    <t>Delhi &amp; National Capital Region (CPWD Circle)</t>
  </si>
  <si>
    <t>Base Rates Schedule:</t>
  </si>
  <si>
    <t>CPWD Delhi Analysis of Rates (DAR 2019, Vol. 1)</t>
  </si>
  <si>
    <t>Location Cost Index:</t>
  </si>
  <si>
    <t>2. STATUTORY MARKUPS &amp; OVERHEAD COEFFICIENTS</t>
  </si>
  <si>
    <t>S.No</t>
  </si>
  <si>
    <t>Statutory Markup Component</t>
  </si>
  <si>
    <t>CPWD Default Rate</t>
  </si>
  <si>
    <t>Basis of Application</t>
  </si>
  <si>
    <t>Project Override Rate</t>
  </si>
  <si>
    <t>Effective Rate Applied</t>
  </si>
  <si>
    <t>CPWD DAR 2019 Rule &amp; Statutory Basis</t>
  </si>
  <si>
    <t>Water Charges</t>
  </si>
  <si>
    <t>Applied on Direct Cost (W)</t>
  </si>
  <si>
    <t>CPWD Standard: 1.0% on Direct Cost (W) for water consumed in construction/curing. Toggleable on trade sheets.</t>
  </si>
  <si>
    <t>Goods and Services Tax (GST)</t>
  </si>
  <si>
    <t>Applied on Compounded Base (X = W + Water)</t>
  </si>
  <si>
    <t>CPWD DAR 2019 multiplying factor 0.1405 (14.05% effective works contract rate). Override here for 18% (0.18) or 12% (0.12).</t>
  </si>
  <si>
    <t>Contractor's Profit &amp; Overheads (CPOH)</t>
  </si>
  <si>
    <t>Applied on Compounded Base (Y = X + GST)</t>
  </si>
  <si>
    <t>CPWD DAR Standard: 15.0% for site management, head office overheads, tools, and contractor margin.</t>
  </si>
  <si>
    <t>Building &amp; Other Construction Workers Cess (BOCW)</t>
  </si>
  <si>
    <t>Applied on Compounded Base (Z = Y + CPOH)</t>
  </si>
  <si>
    <t>Statutory Labour Welfare Cess @ 1.0% per BOCW Welfare Cess Act, 1996.</t>
  </si>
  <si>
    <t>Sundries Cost Index Multiplier</t>
  </si>
  <si>
    <t>Applied on Base L.S. Allowance (PAR-2012 Base)</t>
  </si>
  <si>
    <t>CPWD DAR 2019 Preface: Multiplier of 2.00 on base sundries allowance reflecting Delhi Cost Index (118 vs PAR-2012 base 100).</t>
  </si>
  <si>
    <t>3. CPWD SUB-HEAD STATUTORY PRESETS &amp; TRADE CONVENTIONS</t>
  </si>
  <si>
    <t>Sub-Head Code</t>
  </si>
  <si>
    <t>Trade Name</t>
  </si>
  <si>
    <t>Water (1%)</t>
  </si>
  <si>
    <t>GST (14.05%)</t>
  </si>
  <si>
    <t>CPOH (15%)</t>
  </si>
  <si>
    <t>Cess (1%)</t>
  </si>
  <si>
    <t>CPWD Trade Statutory Convention &amp; Rationale</t>
  </si>
  <si>
    <t>01</t>
  </si>
  <si>
    <t>NO</t>
  </si>
  <si>
    <t>YES</t>
  </si>
  <si>
    <t>Mechanical transport applies 15% CPOH only. Water &amp; Cess omitted (no water used). GST handled separately in freight.</t>
  </si>
  <si>
    <t>02</t>
  </si>
  <si>
    <t>Earth Work</t>
  </si>
  <si>
    <t>Standard 5-step compounding chain applied across labour &amp; earthmoving equipment.</t>
  </si>
  <si>
    <t>03</t>
  </si>
  <si>
    <t>Mortars</t>
  </si>
  <si>
    <t>Intermediate building block. Stops at direct cost (W). Markup chain is OFF to prevent double taxation when imported into Masonry/Flooring.</t>
  </si>
  <si>
    <t>04</t>
  </si>
  <si>
    <t>Concrete Work</t>
  </si>
  <si>
    <t>Standard 5-step compounding chain applied over materials, labour, mixer &amp; vibrator hire.</t>
  </si>
  <si>
    <t>05</t>
  </si>
  <si>
    <t>RCC Work</t>
  </si>
  <si>
    <t>Standard 5-step compounding chain. Shuttering and reinforcement are measured &amp; priced separately in CPWD.</t>
  </si>
  <si>
    <t>06</t>
  </si>
  <si>
    <t>Masonry Work</t>
  </si>
  <si>
    <t>Imports un-marked Mortar rates as a Material line, then applies full markup chain once over the combined total.</t>
  </si>
  <si>
    <t>07</t>
  </si>
  <si>
    <t>Stone Work</t>
  </si>
  <si>
    <t>Imports Mortar rates as Material line; applies full markup chain over stone, mortar, dressing and laying labour.</t>
  </si>
  <si>
    <t>08</t>
  </si>
  <si>
    <t>Cladding Work</t>
  </si>
  <si>
    <t>Imports both bedding mortar and pointing mortar rates; applies full markup chain over stone veneer, mortar, scaffolding.</t>
  </si>
  <si>
    <t>09</t>
  </si>
  <si>
    <t>Wood &amp; PVC Work</t>
  </si>
  <si>
    <t>Applies full markup chain over timber in scantling (with 5% wastage allowance) and carpentry labour.</t>
  </si>
  <si>
    <t>10</t>
  </si>
  <si>
    <t>Steel Work</t>
  </si>
  <si>
    <t>Applies the CPWD (W-A) rule: the priming coat (resolved item 13.50.3) already carries Water, GST, CPOH and Cess, so it is tagged A and every markup is computed on (W-A), (X-A), (Y-A), (Z-A). Verified against DAR item 10.1.</t>
  </si>
  <si>
    <t>11</t>
  </si>
  <si>
    <t>Flooring</t>
  </si>
  <si>
    <t>Imports Mortar/Concrete bed rate; applies full markup chain over tiles, stone, laying labour and polishing.</t>
  </si>
  <si>
    <t>12</t>
  </si>
  <si>
    <t>Roofing</t>
  </si>
  <si>
    <t>Applies full markup chain over roofing sheets, fixing J-hooks/bolts, limpet washers, and carpenter/fixing labour.</t>
  </si>
  <si>
    <t>CPWD DAR 2019 - LABOUR &amp; MACHINERY PRODUCTIVITY, ORGANISED BY WORK TYPE (Section 1 = crew summary per work type / Section 2 = full source detail)</t>
  </si>
  <si>
    <t>Advisory reference only - nothing here is a compute dependency. "Typical Coeff" is the median day-coefficient observed across every DAR item of that work type, at the output basis shown; Low/High give the range actually printed in the book, and Observations says how many item lines back it. Carry a crew into a builder sheet as a starting point, then edit the coefficients to suit the item being priced.</t>
  </si>
  <si>
    <t>1. CREW SUMMARY BY WORK TYPE (median day-coefficient per output basis)</t>
  </si>
  <si>
    <t>Work Type</t>
  </si>
  <si>
    <t>Trade Group</t>
  </si>
  <si>
    <t>Resource Type</t>
  </si>
  <si>
    <t>Resource Description</t>
  </si>
  <si>
    <t>Typical Coeff</t>
  </si>
  <si>
    <t>Low</t>
  </si>
  <si>
    <t>High</t>
  </si>
  <si>
    <t>Observations</t>
  </si>
  <si>
    <t>Output Basis</t>
  </si>
  <si>
    <t>Carriage - Mechanical Transport</t>
  </si>
  <si>
    <t>Carriage &amp; Handling</t>
  </si>
  <si>
    <t>Labour</t>
  </si>
  <si>
    <t>1 unit</t>
  </si>
  <si>
    <t>Machinery</t>
  </si>
  <si>
    <t>HIre charges of Diesel Truck - 9 tonne excluding diesel &amp; mobile oil</t>
  </si>
  <si>
    <t>3</t>
  </si>
  <si>
    <t>Loading / Unloading at Siding</t>
  </si>
  <si>
    <t>Earthwork - Excavation</t>
  </si>
  <si>
    <t>Earthwork</t>
  </si>
  <si>
    <t>a manhole 1</t>
  </si>
  <si>
    <t>10 cum</t>
  </si>
  <si>
    <t>9 sqm</t>
  </si>
  <si>
    <t>Hire and running charges of loader.</t>
  </si>
  <si>
    <t>Hydraulic Excavator (3D) with driver and fuel.</t>
  </si>
  <si>
    <t>Earthwork - Filling, Banking &amp; Compaction</t>
  </si>
  <si>
    <t>Beldar/ Coolie</t>
  </si>
  <si>
    <t>Earthwork - Rock Cutting</t>
  </si>
  <si>
    <t>Mortar Mixing</t>
  </si>
  <si>
    <t>1 cum</t>
  </si>
  <si>
    <t>Concreting - Plain Cement Concrete</t>
  </si>
  <si>
    <t>Concrete</t>
  </si>
  <si>
    <t>Vibrator(Needle type 40mm)</t>
  </si>
  <si>
    <t>Hire charges of Concrete Mixer 0.25 to 0.40 cum with hooper</t>
  </si>
  <si>
    <t>Production cost of concrete by batch mix plant.</t>
  </si>
  <si>
    <t>1</t>
  </si>
  <si>
    <t>Carriage of concrete by transit mixer.</t>
  </si>
  <si>
    <t>km/ cum</t>
  </si>
  <si>
    <t>Pumping charges of concrete including Hire charges of pump, piping work &amp; accessories etc.</t>
  </si>
  <si>
    <t>Hire charges of Pumpset of capacity 4000 litres/hour.</t>
  </si>
  <si>
    <t>14 cum per 0</t>
  </si>
  <si>
    <t>Concreting - Reinforced Cement Concrete</t>
  </si>
  <si>
    <t>1 quintal-</t>
  </si>
  <si>
    <t>3m length</t>
  </si>
  <si>
    <t>each lot of 120 cum</t>
  </si>
  <si>
    <t>Hire charges of Pumpset of capacity 4000 litres/hour. for cleaning slush</t>
  </si>
  <si>
    <t>depth of water 0</t>
  </si>
  <si>
    <t>144</t>
  </si>
  <si>
    <t>Brickwork &amp; Block Masonry</t>
  </si>
  <si>
    <t>Masonry</t>
  </si>
  <si>
    <t>33</t>
  </si>
  <si>
    <t>5</t>
  </si>
  <si>
    <t>Stone Masonry</t>
  </si>
  <si>
    <t>Stone</t>
  </si>
  <si>
    <t>10 cudm or 0</t>
  </si>
  <si>
    <t>Mason (for plain stone work) 2nd class)</t>
  </si>
  <si>
    <t>Stone / Marble Cladding &amp; Veneer Fixing</t>
  </si>
  <si>
    <t>Cladding</t>
  </si>
  <si>
    <t>1 sqm</t>
  </si>
  <si>
    <t>30nos</t>
  </si>
  <si>
    <t>Hand Grinder For mirror polish</t>
  </si>
  <si>
    <t>10 sqm</t>
  </si>
  <si>
    <t>Carpentry &amp; Joinery</t>
  </si>
  <si>
    <t>Wood &amp; PVC</t>
  </si>
  <si>
    <t>10 nos</t>
  </si>
  <si>
    <t>door shutters 2</t>
  </si>
  <si>
    <t>shutters of a door with 2/3 rd panelling 200x108cm = 2</t>
  </si>
  <si>
    <t>PVC / Plastic Fabrication &amp; Fixing</t>
  </si>
  <si>
    <t>Labour for fabrication of uPVC extruded casement windows including drilling holes, fixing of fittings &amp; hardwares, hire charges of drill machine and electricity charges etc.</t>
  </si>
  <si>
    <t>of one shutter 2</t>
  </si>
  <si>
    <t>Labour for installation of uPVC extruded casement windows including scaffolding</t>
  </si>
  <si>
    <t>one door shutter 2</t>
  </si>
  <si>
    <t>Steel Fabrication &amp; Fixing</t>
  </si>
  <si>
    <t>Steel</t>
  </si>
  <si>
    <t>a window shutter 1</t>
  </si>
  <si>
    <t>10 glass panes (area of each pane = 0</t>
  </si>
  <si>
    <t>a truss 7</t>
  </si>
  <si>
    <t>Collie</t>
  </si>
  <si>
    <t>a double leaf door of size 2</t>
  </si>
  <si>
    <t>Roofing &amp; Sheeting</t>
  </si>
  <si>
    <t>9</t>
  </si>
  <si>
    <t>4</t>
  </si>
  <si>
    <t>one joint</t>
  </si>
  <si>
    <t>Flooring - Laying &amp; Bedding</t>
  </si>
  <si>
    <t>Driver (for Road Roller, Concrete Mixer, Truck etc.)</t>
  </si>
  <si>
    <t>2</t>
  </si>
  <si>
    <t>10 metre</t>
  </si>
  <si>
    <t>3m (11</t>
  </si>
  <si>
    <t>1sqm</t>
  </si>
  <si>
    <t>Machine for cutting (hand grinding)</t>
  </si>
  <si>
    <t>Flooring - Rubbing, Polishing &amp; Finishing</t>
  </si>
  <si>
    <t>Painting &amp; Priming</t>
  </si>
  <si>
    <t>Finishing</t>
  </si>
  <si>
    <t>a roof with each sloping side 18</t>
  </si>
  <si>
    <t>2. FULL SOURCE DETAIL (every LABOUR / MACHINERY line mined from the base volumes)</t>
  </si>
  <si>
    <t>Sub-Head</t>
  </si>
  <si>
    <t>DAR Item No</t>
  </si>
  <si>
    <t>Item Nomenclature</t>
  </si>
  <si>
    <t>Day Coeff / Qty</t>
  </si>
  <si>
    <t>01_Carriage_of_Materials</t>
  </si>
  <si>
    <t>1.2.10</t>
  </si>
  <si>
    <t>Steam Coal</t>
  </si>
  <si>
    <t>Day</t>
  </si>
  <si>
    <t>1.4.1</t>
  </si>
  <si>
    <t>Steel Details of 44 tonnes of steel LABOUR</t>
  </si>
  <si>
    <t>1.4.2</t>
  </si>
  <si>
    <t>G.I., C.I., R.C.C. or C.C. pipes upto 500 mm dia and similar heavy materials Details of cost of unlo</t>
  </si>
  <si>
    <t>1.3</t>
  </si>
  <si>
    <t xml:space="preserve">Loading in or unloading cement from the railway wagons at siding and carrying the same from or into </t>
  </si>
  <si>
    <t>02_Earth_Work</t>
  </si>
  <si>
    <t>1.2.2</t>
  </si>
  <si>
    <t>Rate as per item no 1.2.2 of</t>
  </si>
  <si>
    <t>Beldar (1/2x0.89=0.45 day)</t>
  </si>
  <si>
    <t>2.1.1</t>
  </si>
  <si>
    <t>All kinds of soil Details of cost for 100 Sqm LABOUR</t>
  </si>
  <si>
    <t>100 Sqm</t>
  </si>
  <si>
    <t>2.16.1</t>
  </si>
  <si>
    <t xml:space="preserve">Depth not exceeding 1.5 m Details of cost for a trench 30m long and 1.5m deep area 2x30x1.50=90 sqm </t>
  </si>
  <si>
    <t>a trench 30m long and 1</t>
  </si>
  <si>
    <t>2.16.2</t>
  </si>
  <si>
    <t>Depth exceeding 1.5 m but not exceeding 3 m Details of cost for a trench 30m long and 1.5m deep Area</t>
  </si>
  <si>
    <t>2.16.3</t>
  </si>
  <si>
    <t>Depth exceeding 3 m but not exceeding 4.5 m Details of cost for a trench 30m long and 1.5m deep Area</t>
  </si>
  <si>
    <t>2.17.1</t>
  </si>
  <si>
    <t>Depth not exceeding 1.5 m Details of cost for a manhole 1.2m x 1.0m x1.5m Surface area: 2x(1.2+1.0)x</t>
  </si>
  <si>
    <t>2.17.2</t>
  </si>
  <si>
    <t>Depth exceeding 1.5 m but not exceeding 3 m Details of cost for a manhole 1.2m x 1.0m x1.5m- Surface</t>
  </si>
  <si>
    <t>2.17.3</t>
  </si>
  <si>
    <t>Depth exceeding 3 m but not exceeding 4.5 m Details of cost for a manhole 1.2m x 1.0m x1.5m- Surface</t>
  </si>
  <si>
    <t>2.18.1</t>
  </si>
  <si>
    <t>Depth not exceeding 1.5 m Details of cost for an area 30m long and 1.50m deep- Area -30x1.5m = 45 sq</t>
  </si>
  <si>
    <t>an area 30m long and 1</t>
  </si>
  <si>
    <t>2.18.2</t>
  </si>
  <si>
    <t>Depth exceeding 1.5 m but not exceeding 3 m Details of cost for an area 30m long and 1.5m deep- Area</t>
  </si>
  <si>
    <t>2.18.3</t>
  </si>
  <si>
    <t>Depth exceeding 3 m but not exceeding 4.5 m Details of cost for an area 30m long and 1.5m deep- Area</t>
  </si>
  <si>
    <t>2.2.1</t>
  </si>
  <si>
    <t>All kinds of soil Details of cost for 10 cum. LABOUR</t>
  </si>
  <si>
    <t>2.20.1</t>
  </si>
  <si>
    <t>Depth not exceeding 1.5 m Details of cost for a trench of length 30m and 1.50m deep surface area - 2</t>
  </si>
  <si>
    <t>a trench of length 30m and 1</t>
  </si>
  <si>
    <t>2.20.2</t>
  </si>
  <si>
    <t>Depth exceeding 1.5 m but not exceeding 3 m Details of cost for a trench of length 30m and 1.5m deep</t>
  </si>
  <si>
    <t>2.20.3</t>
  </si>
  <si>
    <t>Depth exceeding 3 m but not exceeding 4.5 m Details of cost for a trench of length 30m and 1.5m deep</t>
  </si>
  <si>
    <t>2.21.1</t>
  </si>
  <si>
    <t>Depth not exceeding 1.5 m Details of cost for a manhole 1.2x 1m x 1.5m Surface area 2(1.2+1.0)x1.5 =</t>
  </si>
  <si>
    <t>2.21.2</t>
  </si>
  <si>
    <t>Depth exceeding 1.5 m but not exceeding 3 m Details of cost for a manhole 1.2x 1m x 1.5m Surface are</t>
  </si>
  <si>
    <t>2.21.3</t>
  </si>
  <si>
    <t>Depth exceeding 3 m but not exceeding 4.5 m Details of cost for a manhole 1.2x 1m x1.5m Surface area</t>
  </si>
  <si>
    <t>2.22.1</t>
  </si>
  <si>
    <t>Depth not exceeding 1.5 m Details of cost for an area 30m long and 1.5m deep area = 30 x 1.5 = 45 sq</t>
  </si>
  <si>
    <t>2.22.2</t>
  </si>
  <si>
    <t xml:space="preserve">Depth exceeding 1.5 m but not exceeding 3 m Details of cost for an area 30m long and 1.5m deep area </t>
  </si>
  <si>
    <t>2.22.3</t>
  </si>
  <si>
    <t xml:space="preserve">Depth exceeding 3 m but not exceeding 4.5 m Details of cost for an area 30m long and 1.5m deep area </t>
  </si>
  <si>
    <t>2.25</t>
  </si>
  <si>
    <t>Rate as per item No.2.25 of</t>
  </si>
  <si>
    <t>2.26.1</t>
  </si>
  <si>
    <t>2.26.2</t>
  </si>
  <si>
    <t>Rate as per item no. 2.26.2 of</t>
  </si>
  <si>
    <t>2.28.1</t>
  </si>
  <si>
    <t>All kinds of soil Details of cost for 100 sqm. LABOUR</t>
  </si>
  <si>
    <t>100 sqm</t>
  </si>
  <si>
    <t>2.29.1</t>
  </si>
  <si>
    <t>2.3.1</t>
  </si>
  <si>
    <t>2.31</t>
  </si>
  <si>
    <t>Clearing jungle including uprooting of rank vegetation, grass, brush wood, trees and saplings of gir</t>
  </si>
  <si>
    <t>2.32</t>
  </si>
  <si>
    <t>Clearing grass and removal of the rubbish up to a distance of 50 m outside the periphery of the area</t>
  </si>
  <si>
    <t>2.33.1</t>
  </si>
  <si>
    <t>Beyond 30 cm girth upto and including 60 cm girth Details of cost for one tree of 15cm dia and avera</t>
  </si>
  <si>
    <t>one tree of 15cm dia and average height 3m</t>
  </si>
  <si>
    <t>2.33.2</t>
  </si>
  <si>
    <t>Beyond 60 cm girth upto and including 120 cm girth Details of cost for a tree of average girth 90cm,</t>
  </si>
  <si>
    <t>a tree of average girth 90cm, average dia</t>
  </si>
  <si>
    <t>2.33.3</t>
  </si>
  <si>
    <t>Beyond 120 cm girth upto and including 240 cm girth Details of cost for a tree of average girth 180c</t>
  </si>
  <si>
    <t>a tree of average girth 180cm, average dia</t>
  </si>
  <si>
    <t>2.33.4</t>
  </si>
  <si>
    <t>Above 240 cm girth Details of cost for a tree of average girth 300cm, average dia. 1m and length 10m</t>
  </si>
  <si>
    <t>a tree of average girth 300cm, average dia</t>
  </si>
  <si>
    <t>2.35.1</t>
  </si>
  <si>
    <t>Along external wall where the apron is not provided using chemical emulsion @ 7.5 litres / sqm of th</t>
  </si>
  <si>
    <t>10 metres</t>
  </si>
  <si>
    <t>2.35.2</t>
  </si>
  <si>
    <t>Along the external wall below concrete or masonry apron using chemical emulsion @ 2.25 litres per li</t>
  </si>
  <si>
    <t>2.35.3</t>
  </si>
  <si>
    <t>Treatment of soil under existing floors using chemical emulsion @ one litre per hole, 300 mm apart i</t>
  </si>
  <si>
    <t>2.35.4</t>
  </si>
  <si>
    <t>Treatment of existing masonry using chemical emulsion @ one litre per hole at 300 mm interval includ</t>
  </si>
  <si>
    <t>2.35.5</t>
  </si>
  <si>
    <t>Treatment at points of contact of wood work by chemical emulsion Chlorpyriphos/ Lindane (in oil or k</t>
  </si>
  <si>
    <t>2.6.1</t>
  </si>
  <si>
    <t>All kinds of soil Details of cost for 10 cum. Average output of Hydraulic Excavator per hour = 30cum</t>
  </si>
  <si>
    <t>2.8.1</t>
  </si>
  <si>
    <t>All kinds of soil. Details of cost for 10 cum. MACHINERY</t>
  </si>
  <si>
    <t>2.36</t>
  </si>
  <si>
    <t>Extra for levelling &amp; neatly dressing of disposed soil completely as directed by Engineer-in-charge.</t>
  </si>
  <si>
    <t>2.4</t>
  </si>
  <si>
    <t>Deduct for not rolling with power roller of minimum 8 tonnes for banking excavated earth in layers n</t>
  </si>
  <si>
    <t>2.5</t>
  </si>
  <si>
    <t>Deduct for not watering the excavated earth for banking Details of cost for 10 cum. LABOUR</t>
  </si>
  <si>
    <t>Filling available excavated earth (excluding rock) in trenches, plinth, sides of foundations etc. in</t>
  </si>
  <si>
    <t>Ordinary or hard rock Details of cost for 10 cum. LABOUR</t>
  </si>
  <si>
    <t>2.38</t>
  </si>
  <si>
    <t xml:space="preserve">Filling with available fly ash and earth (excluding rock) in trenches or embankment in layers (each </t>
  </si>
  <si>
    <t>2.7.1</t>
  </si>
  <si>
    <t>Ordinary rock Details of cost for 10 cum. MACHINERY</t>
  </si>
  <si>
    <t>2.7.2</t>
  </si>
  <si>
    <t>Hard rock (requiring blasting) Details of cost for 10 cum. MACHINERY</t>
  </si>
  <si>
    <t>2.7.3</t>
  </si>
  <si>
    <t>Hard rock (blasting prohibited) Details of cost for 10 cum. MACHINERY</t>
  </si>
  <si>
    <t>2.9.1</t>
  </si>
  <si>
    <t>2.9.2</t>
  </si>
  <si>
    <t>2.9.3</t>
  </si>
  <si>
    <t>03_Mortars</t>
  </si>
  <si>
    <t>3.1</t>
  </si>
  <si>
    <t>Cement mortar 1:1 (1 cement : 1 fine sand) Details of cost for 1 cum MATERIAL (0.7175 cum. of cement</t>
  </si>
  <si>
    <t>3.10</t>
  </si>
  <si>
    <t>Cement mortar 1:5 (1 cement : 5 coarse sand). Details of cost for 1 cum MATERIAL (0.214 cum. of ceme</t>
  </si>
  <si>
    <t>3.11</t>
  </si>
  <si>
    <t>Cement mortar 1:6 (1 cement : 6 coarse sand). Details of cost for 1 cum MATERIAL (0.178 cum. of ceme</t>
  </si>
  <si>
    <t>3.12</t>
  </si>
  <si>
    <t>Cement mortar 1:2 (1 cement : 2 stone dust). Details of cost for 1 cum MATERIAL (0.475 cum. of cemen</t>
  </si>
  <si>
    <t>3.13</t>
  </si>
  <si>
    <t>Cement mortar 1:2 (1 cement : 2 marble dust). Details of cost for 1 cum MATERIAL (0.475 cum of cemen</t>
  </si>
  <si>
    <t>3.14</t>
  </si>
  <si>
    <t>Cement mortar 1:5 (1 cement : 5 marble dust). Details of cost for 1 cum MATERIAL (0.214 cum. of ceme</t>
  </si>
  <si>
    <t>3.15</t>
  </si>
  <si>
    <t xml:space="preserve">White cement mortar 1:2 (1 white cement : 2 marble dust). Details of cost for 1 cum MATERIAL (0.475 </t>
  </si>
  <si>
    <t>3.16</t>
  </si>
  <si>
    <t xml:space="preserve">White cement mortar 1:3 (1 white cement : 3 marble dust). Details of cost for 1 cum MATERIAL (0.357 </t>
  </si>
  <si>
    <t>3.17</t>
  </si>
  <si>
    <t xml:space="preserve">White cement mortar 1:5 (1 white cement : 5 marble dust). Details of cost for 1 cum MATERIAL (0.214 </t>
  </si>
  <si>
    <t>3.18</t>
  </si>
  <si>
    <t>Mud mortar Detail of cost for one cum MATERIAL</t>
  </si>
  <si>
    <t>3.2</t>
  </si>
  <si>
    <t>Cement mortar 1:2 (1 cement : 2 fine sand). Details of cost for 1 cum MATERIAL (0.475 cum. of cement</t>
  </si>
  <si>
    <t>3.3</t>
  </si>
  <si>
    <t>Cement mortar 1:3 (1 cement : 3 fine sand). Details of cost for 1 cum MATERIAL (0.357 cum. of cement</t>
  </si>
  <si>
    <t>3.4</t>
  </si>
  <si>
    <t>Cement mortar 1:4 (1 cement : 4 fine sand). Details of cost for 1 cum MATERIAL (0.268 cum. of cement</t>
  </si>
  <si>
    <t>3.5</t>
  </si>
  <si>
    <t>Cement mortar 1:5 (1 cement : 5 fine sand). Details of cost for 1 cum MATERIAL (0.214 cum. of cement</t>
  </si>
  <si>
    <t>3.6</t>
  </si>
  <si>
    <t>Cement mortar 1:6 (1 cement : 6 fine sand). Details of cost for 1 cum MATERIAL (0.178 cum. of cement</t>
  </si>
  <si>
    <t>3.7</t>
  </si>
  <si>
    <t>Cement mortar 1:2 (1 cement : 2 coarse sand). Details of cost for 1 cum MATERIAL (0.476 cum. of ceme</t>
  </si>
  <si>
    <t>3.8</t>
  </si>
  <si>
    <t>Cement mortar 1:3 (1 cement : 3 coarse sand). Details of cost for 1 cum MATERIAL (0.357 cum. of ceme</t>
  </si>
  <si>
    <t>3.9</t>
  </si>
  <si>
    <t>Cement mortar 1:4 (1 cement : 4 coarse sand). Details of cost for 1 cum MATERIAL (0.268 cum. of ceme</t>
  </si>
  <si>
    <t>04_Concrete_Work</t>
  </si>
  <si>
    <t>Rate as per Item No.3.7 of SH:MORTARS</t>
  </si>
  <si>
    <t>Rate as per Item No 3.8</t>
  </si>
  <si>
    <t>4.1.10</t>
  </si>
  <si>
    <t>1:5:10 (1 cement : 5 coarse sand (zone-III): 10 graded stone aggregate 40 mm nominal size) Details o</t>
  </si>
  <si>
    <t>4.1.11</t>
  </si>
  <si>
    <t>1:5:10 (1 cement : 5 fine sand : 10 graded stone aggregate 40 mm nominal size) Details of cost for 1</t>
  </si>
  <si>
    <t>4.1.12</t>
  </si>
  <si>
    <t>1:2:3½:9 (1 ordinary portland cement : 2 Fly ash : 3½ coarse sand (zone-III) : 9 graded stone aggreg</t>
  </si>
  <si>
    <t>4.1.13</t>
  </si>
  <si>
    <t>1:2½:4:11 (1 ordinary portland cement : 2½ fly ash : 4 coarse sand(zone-III) : 11 graded stone aggre</t>
  </si>
  <si>
    <t>4.1.2</t>
  </si>
  <si>
    <t>1:1½:3 (1 Cement: 1½ coarse sand (zone-III) : 3 graded stone aggregate 20 mm nominal size) Details o</t>
  </si>
  <si>
    <t>Rate as per Item Number 4.1.2 of</t>
  </si>
  <si>
    <t>4.1.3</t>
  </si>
  <si>
    <t>1:2:4 (1 cement : 2 coarse sand (zone-III) : 4 graded stone aggregate 20 mm nominal size) Details of</t>
  </si>
  <si>
    <t>Rate as per item no 4.1.3 of</t>
  </si>
  <si>
    <t>4.1.4</t>
  </si>
  <si>
    <t>1:2:4 (1 Cement : 2 coarse sand (zone-III) : 4 graded stone aggregate 40 mm nominal size) Details of</t>
  </si>
  <si>
    <t>4.1.5</t>
  </si>
  <si>
    <t>1:3:6 (1 Cement : 3 coarse sand (zone-III) : 6 graded stone aggregate 20 mm nominal size) Details of</t>
  </si>
  <si>
    <t>4.1.6</t>
  </si>
  <si>
    <t xml:space="preserve">1:3:6 (1 Cement : 3 coarse sand (zone-III): 6 graded stone aggregate 40 mm nominal size) Details of </t>
  </si>
  <si>
    <t>4.1.8</t>
  </si>
  <si>
    <t>1:4:8 (1 Cement : 4 coarse sand (zone-III) : 8 graded stone aggregate 40 mm nominal size) Details of</t>
  </si>
  <si>
    <t>4.13</t>
  </si>
  <si>
    <t>Providing &amp; applying a coat of residual petroleum bitumen of grade of VG-10 of approved quality usin</t>
  </si>
  <si>
    <t>10sqm</t>
  </si>
  <si>
    <t>4.14</t>
  </si>
  <si>
    <t xml:space="preserve">Extra for concrete work in superstructure above floor V level for each four floors or part thereof. </t>
  </si>
  <si>
    <t>4.15</t>
  </si>
  <si>
    <t>Extra for laying concrete in or under water and/or liquid mud including cost of pumping or bailing o</t>
  </si>
  <si>
    <t>4.16</t>
  </si>
  <si>
    <t>Extra for laying concrete in or under foul positions. Details of cost for 1 cum. Extra labour due to</t>
  </si>
  <si>
    <t>4.17</t>
  </si>
  <si>
    <t>Making plinth protection 50mm thick of cement concrete 1:3:6 (1 cement : 3 coarse sand : 6 graded st</t>
  </si>
  <si>
    <t>4.19.1</t>
  </si>
  <si>
    <t>All works upto plinth level:</t>
  </si>
  <si>
    <t>4.19.2</t>
  </si>
  <si>
    <t>All works above plinth and upto floor V level:</t>
  </si>
  <si>
    <t>4.2.2</t>
  </si>
  <si>
    <t>1:1½:3 (1 cement : 1½ coarse sand (zone-III) : 3 graded stone aggregate 20 mm nominal size). Details</t>
  </si>
  <si>
    <t>4.2.3</t>
  </si>
  <si>
    <t>1:2:4 (1 Cement : 2 coarse sand (zone-III) : 4 graded stone aggregate 20 mm nominal size) Details of</t>
  </si>
  <si>
    <t>4.2.5</t>
  </si>
  <si>
    <t>1:3:6 (1 cement : 3 coarse sand (zone-III) : 6 graded stone aggregate 20 mm nominal size) Details of</t>
  </si>
  <si>
    <t>4.2.8</t>
  </si>
  <si>
    <t>1:5:10 (1 cement : 5 coarse sand (zone-III) : 10 graded stone aggregate 40 mm nominal size). Details</t>
  </si>
  <si>
    <t>4.20.1</t>
  </si>
  <si>
    <t>All works upto plinth level :</t>
  </si>
  <si>
    <t>4.20.2</t>
  </si>
  <si>
    <t>All works above plinth and upto floor V level :</t>
  </si>
  <si>
    <t>4.3.1</t>
  </si>
  <si>
    <t>Foundations, footings, bases for columns Details of cost for footing size 2.7mx2.7mx1.00m Contact ar</t>
  </si>
  <si>
    <t>footing size 2</t>
  </si>
  <si>
    <t>4.3.2</t>
  </si>
  <si>
    <t>Retaining walls, return walls, walls (any thickness) including attached pilasters, buttresses, plint</t>
  </si>
  <si>
    <t>4.3.3</t>
  </si>
  <si>
    <t>Columns, piers, abutments, pillars, posts and struts Detail of cost for 4.5sqm Size of column 450x45</t>
  </si>
  <si>
    <t>05_RCC_Work</t>
  </si>
  <si>
    <t>10.1</t>
  </si>
  <si>
    <t>Rate as per item no.10.1</t>
  </si>
  <si>
    <t>Rate as per Item No.10.1 of</t>
  </si>
  <si>
    <t>10.2</t>
  </si>
  <si>
    <t>Rate as per item no 10.2 of</t>
  </si>
  <si>
    <t>10.22</t>
  </si>
  <si>
    <t>Rate as per Item No.10.22 of</t>
  </si>
  <si>
    <t>Rate as per item No 3.3 of SH: Mortars</t>
  </si>
  <si>
    <t>Rate as per item No 3.7 of SH: Mortars</t>
  </si>
  <si>
    <t>Rate as per Item No.4.1.2 of</t>
  </si>
  <si>
    <t>Rate as per item no. 4.3.1 of</t>
  </si>
  <si>
    <t>Rate as per Item No.4.3.1 of</t>
  </si>
  <si>
    <t>Rate same as per item no. 4.3.1 of</t>
  </si>
  <si>
    <t>4.4.1</t>
  </si>
  <si>
    <t>Cement concrete 1:1.5:3 (Rate as per item no 4.4.1 of SH:Concrete</t>
  </si>
  <si>
    <t>4.5.1</t>
  </si>
  <si>
    <t>Rate as per Item No.4.5.1 of</t>
  </si>
  <si>
    <t>5.1.2</t>
  </si>
  <si>
    <t>1:1.5:3 (1 cement : 1.5 coarse sand (zone-III): 3 graded stone aggregate 20 mm nominal size) Details</t>
  </si>
  <si>
    <t>5.1.3</t>
  </si>
  <si>
    <t>1:2:4 (1 cement : 2 coarse sand : 4 graded stone aggregate 20 mm nominal size) Details of cost for 1</t>
  </si>
  <si>
    <t>5.11.1</t>
  </si>
  <si>
    <t>Suspended floors, roofs, landing, beams and balconies (Plan area to be measured) Details of cost for</t>
  </si>
  <si>
    <t>a Room of size 6mx4</t>
  </si>
  <si>
    <t>5.18.1</t>
  </si>
  <si>
    <t>50 mm thick Details of cost for jali 2.00mx 0.75m = 1.50 sqm.</t>
  </si>
  <si>
    <t>jali 2</t>
  </si>
  <si>
    <t>5.18.2</t>
  </si>
  <si>
    <t>40 mm thick Details of cost for 1.2mx0.60m = 0.72 sqm.</t>
  </si>
  <si>
    <t>5.18.3</t>
  </si>
  <si>
    <t>25 mm thick Details of cost for jali 0.75mx0.5m = 0.375 sqm</t>
  </si>
  <si>
    <t>jali 0</t>
  </si>
  <si>
    <t>5.2.2</t>
  </si>
  <si>
    <t>1:1.5:3 (1 cement : 1.5 coarse sand(zone-III) : 3 graded stone aggregate 20 mm nominal size) Details</t>
  </si>
  <si>
    <t>Rate as per Item No.5.2.2 of SH: REINFORCED CEMENT</t>
  </si>
  <si>
    <t>5.21</t>
  </si>
  <si>
    <t xml:space="preserve">Extra for providing and fixing expanded metal mesh of size 20x60 mm and strands 3.25 mm wide 1.6 mm </t>
  </si>
  <si>
    <t>5.22.1</t>
  </si>
  <si>
    <t>Mild steel and Medium Tensile steel bars Details of cost for 1 quintal- MATERIAL Mild steel bars = 1</t>
  </si>
  <si>
    <t>5.22.2</t>
  </si>
  <si>
    <t>Hard drawn steel wire Details of cost for 1 quintal- MATERIAL Hard drawn steel wire = 1.00 q Wastage</t>
  </si>
  <si>
    <t>5.22.3</t>
  </si>
  <si>
    <t>Cold twisted bars Details of cost for 1 quintal- MATERIAL Deformed twisted steel bars = 1.00 q Wasta</t>
  </si>
  <si>
    <t>5.22.4</t>
  </si>
  <si>
    <t xml:space="preserve">Hot rolled deformed bars Details of cost for 1 quintal- MATERIAL Deformed twisted steel bars = 1.00 </t>
  </si>
  <si>
    <t>5.22.5</t>
  </si>
  <si>
    <t>Hard drawn steel wire fabric Details of cost for 1 quintal- MATERIAL Hard drawn steel wire fabric 10</t>
  </si>
  <si>
    <t>5.22.6</t>
  </si>
  <si>
    <t>Thermo-Mechanically Treated bars of grade Fe-500D or more. Details of cost for 1 quintal- MATERIAL D</t>
  </si>
  <si>
    <t>5.25</t>
  </si>
  <si>
    <t>Providing and fixing in position copper plate as per design for expansion joints. Details of cost fo</t>
  </si>
  <si>
    <t>5.26</t>
  </si>
  <si>
    <t>Providing and filling in position, blown bitumen in expansion joints. Details of cost for a joint of</t>
  </si>
  <si>
    <t>a joint of 300m length, 2</t>
  </si>
  <si>
    <t>5.27</t>
  </si>
  <si>
    <t>Providing and filling in position bitumen mix filler of Proportion 80 kg. of hot bitumen, 1 kg. of c</t>
  </si>
  <si>
    <t>a joint of 300m length,2</t>
  </si>
  <si>
    <t>5.28</t>
  </si>
  <si>
    <t xml:space="preserve">Providing and fixing in position 12mm thick bitumen impregnated fiber board conforming to IS: 1838, </t>
  </si>
  <si>
    <t>joint 100m long 10cm deep = 10 sqm</t>
  </si>
  <si>
    <t>5.29.1</t>
  </si>
  <si>
    <t>Non-asbestos fibre cement board 6 mm thick as per IS: 14862.</t>
  </si>
  <si>
    <t>5.29.2</t>
  </si>
  <si>
    <t>Aluminium fluted strips 3.15 mm thick.</t>
  </si>
  <si>
    <t>1 meter</t>
  </si>
  <si>
    <t>5.29.3</t>
  </si>
  <si>
    <t>Cement bonded wood particle board 6mm thick as per IS : 14276</t>
  </si>
  <si>
    <t>3 metre</t>
  </si>
  <si>
    <t>5.3</t>
  </si>
  <si>
    <t>Reinforced cement concrete work in beams, suspended floors, roofs having slope up to 15° landings, b</t>
  </si>
  <si>
    <t>5.30</t>
  </si>
  <si>
    <t xml:space="preserve">Add for plaster drip course/ groove in plastered surface or moulding to R.C.C. projections. Details </t>
  </si>
  <si>
    <t>30 metre long throating or plaster or moulding-</t>
  </si>
  <si>
    <t>5.31</t>
  </si>
  <si>
    <t xml:space="preserve">Extra for laying reinforced cement concrete in or under water and/ or liquid mud, including cost of </t>
  </si>
  <si>
    <t>5.32</t>
  </si>
  <si>
    <t>Extra for laying reinforced cement concrete in or under foul positions. Details of cost for depth of</t>
  </si>
  <si>
    <t>5.33.1</t>
  </si>
  <si>
    <t>All works upto plinth level Details of cost for 1.00 cum MATERIAL</t>
  </si>
  <si>
    <t>5.33.2</t>
  </si>
  <si>
    <t>All works above plinth level upto floor V level Details of cost for 1.00 cum MATERIAL</t>
  </si>
  <si>
    <t>5.34.1</t>
  </si>
  <si>
    <t>Rate as per Item No.5.34.1 of SH: REINFORCED CEMENT</t>
  </si>
  <si>
    <t>5.37.1</t>
  </si>
  <si>
    <t>5.37.2</t>
  </si>
  <si>
    <t>5.38</t>
  </si>
  <si>
    <t>Extra for R.C.C./ B.M.C/ R.M.C. work above floor V level for each four floors or part thereof. Detai</t>
  </si>
  <si>
    <t>Pumping charges of concrete including Hire charges of pump, piping work &amp; accessories etc</t>
  </si>
  <si>
    <t>5.40.1</t>
  </si>
  <si>
    <t>All works up to Plinth level. Details of cost for 1.00 cum MATERIAL</t>
  </si>
  <si>
    <t>5.40.2</t>
  </si>
  <si>
    <t>All works above plinth &amp; up to floor V level. Details of cost for 1.00 cum MATERIAL</t>
  </si>
  <si>
    <t>5.41.1</t>
  </si>
  <si>
    <t>Non pigmented wet curing compound Detail of cost for 10.00 sqm (covering area 5 sqm/litre) MATERIAL</t>
  </si>
  <si>
    <t>5.43.1</t>
  </si>
  <si>
    <t>200 mm wide. Detail of cost for 1 metre MATERIAL</t>
  </si>
  <si>
    <t>5.43.2</t>
  </si>
  <si>
    <t>300 mm wide. Detail of cost for 1 metre MATERIAL</t>
  </si>
  <si>
    <t>5.44.1</t>
  </si>
  <si>
    <t>Floor Joint of 100 mm gap Details of Cost of 1 metre. MATERIALS :</t>
  </si>
  <si>
    <t>5.44.2</t>
  </si>
  <si>
    <t>Floor Joint of 150 mm gap Details of Cost of 1 metre. MATERIALS :</t>
  </si>
  <si>
    <t>5.44.3</t>
  </si>
  <si>
    <t>Floor Joint of 200 mm gap Details of Cost of 1 metre. MATERIALS :</t>
  </si>
  <si>
    <t>5.45.1</t>
  </si>
  <si>
    <t>Wall Joint of 100 mm gap Details of Cost of 1 metre. MATERIALS :</t>
  </si>
  <si>
    <t>5.45.2</t>
  </si>
  <si>
    <t>Wall Joint of 150 mm gap Details of Cost of 1 metre. MATERIALS :</t>
  </si>
  <si>
    <t>5.45.3</t>
  </si>
  <si>
    <t>Wall Joint of 200 mm gap Details of Cost of 1 metre. MATERIALS :</t>
  </si>
  <si>
    <t>5.46.1</t>
  </si>
  <si>
    <t>Roof Joint of 100 mm gap Details of Cost of 1 metre. MATERIALS :</t>
  </si>
  <si>
    <t>5.46.2</t>
  </si>
  <si>
    <t>Roof Joint of 150 mm gap Details of Cost of 1 metre. MATERIALS :</t>
  </si>
  <si>
    <t>5.46.3</t>
  </si>
  <si>
    <t>Roof Joint of 200 mm gap Details of Cost of 1 metre. MATERIALS :</t>
  </si>
  <si>
    <t>5.48.2</t>
  </si>
  <si>
    <t>Rate as per Item No.5.48.2 of SH: REINFORCED CEMENT CONCRETE</t>
  </si>
  <si>
    <t>Mason (brick layer) 1 st class</t>
  </si>
  <si>
    <t>5.49</t>
  </si>
  <si>
    <t>Constructing cast-in situ RCC diaphragm wall by providing and laying machine batched, machine mixed,</t>
  </si>
  <si>
    <t>5.5</t>
  </si>
  <si>
    <t>Reinforced cement concrete work in arches, archribs, domes, vaults, shells, folded plate and roofs h</t>
  </si>
  <si>
    <t>26</t>
  </si>
  <si>
    <t>5.8</t>
  </si>
  <si>
    <t>Reinforced cement concrete work in vertical and horizontal fins individually or forming box louvers,</t>
  </si>
  <si>
    <t>4 RCC Vertical fins 4m high and 1m center with 2 horizontal fins, all projecting 60cm from face of wall and 5cm thick = 0</t>
  </si>
  <si>
    <t>5.9.1</t>
  </si>
  <si>
    <t>Foundations, footings, bases of columns, etc. for mass concrete Details of cost for footing size 2.7</t>
  </si>
  <si>
    <t>5.9.10</t>
  </si>
  <si>
    <t>Extra for arches, domes, vaults exceeding 6 m span Details of cost for 33.31 sqm Centering and shutt</t>
  </si>
  <si>
    <t>5.9.11</t>
  </si>
  <si>
    <t xml:space="preserve">Chimneys and shafts Details for 7.9m long and 1.00m high wall Area of contact 2x7.9x1.0 = 15.8 sqm. </t>
  </si>
  <si>
    <t>5.9.13</t>
  </si>
  <si>
    <t>Vertical and horizontal fins individually or forming box louvers band, facias and eaves boards Detai</t>
  </si>
  <si>
    <t>23</t>
  </si>
  <si>
    <t>5.9.15</t>
  </si>
  <si>
    <t>Small lintels not exceeding 1.5 m clear span, moulding as in cornices, window sills, string courses,</t>
  </si>
  <si>
    <t>5.9.16</t>
  </si>
  <si>
    <t>Edges of slabs and breaks in floors and walls</t>
  </si>
  <si>
    <t>a 3mx3m slab 15cms thick 12m edge Length</t>
  </si>
  <si>
    <t>4mx4xslab 25cms thick 16 metre edge length Shuttering surface area = 16 x 0</t>
  </si>
  <si>
    <t>5.9.17</t>
  </si>
  <si>
    <t>Cornices and mouldings Details of cost for 10m long moulding 10cm projection, 20cm depth and 40cm gi</t>
  </si>
  <si>
    <t>10m long moulding 10cm projection, 20cm depth and 40cm girth Area in contact 10x0</t>
  </si>
  <si>
    <t>5.9.18</t>
  </si>
  <si>
    <t xml:space="preserve">Small surfaces such as cantilever ends, brackets and ends of steps, caps and bases to pilasters and </t>
  </si>
  <si>
    <t>a bracket 1</t>
  </si>
  <si>
    <t>5.9.19</t>
  </si>
  <si>
    <t>Weather shade, Chajjas, corbels etc., including edges Details of cost for a weather shade Area of ce</t>
  </si>
  <si>
    <t>a weather shade Area of centring and shuttering = 0</t>
  </si>
  <si>
    <t>5.9.2</t>
  </si>
  <si>
    <t>Walls (any thickness) including attached pilasters, butteresses, plinth and string courses etc. Deta</t>
  </si>
  <si>
    <t>5.9.6</t>
  </si>
  <si>
    <t>Columns, Pillars, Piers, Abutments, Posts and Struts Detail of cost for 4.5 sqm Size of column 450x4</t>
  </si>
  <si>
    <t>5.9.7</t>
  </si>
  <si>
    <t>Stairs, (excluding landings) except spiral-staircases Details of cost for 5.79 sqm. Details of stair</t>
  </si>
  <si>
    <t>5.9.9</t>
  </si>
  <si>
    <t>Arches, domes, vaults up to 6 m span Details of cost for a semicircular arch 3.6m clear span and 3.6</t>
  </si>
  <si>
    <t>a semicircular arch 3</t>
  </si>
  <si>
    <t>06_Masonry_Work</t>
  </si>
  <si>
    <t>Rate as per Item No.3.11 of SH: Mortar</t>
  </si>
  <si>
    <t>Rate as per item No 3.11 of SH: Mortar</t>
  </si>
  <si>
    <t>Rate as per Item Number 3.11 of SH: Mortars</t>
  </si>
  <si>
    <t>Cement mortar 1 : 6 (1 cement : 6 coarse sand) (Rate as per item No 3.11)</t>
  </si>
  <si>
    <t>Rate as per Item Number 3.4 of SH: Mortars</t>
  </si>
  <si>
    <t>Rate as per Item Number 3.8 of SH: Mortars</t>
  </si>
  <si>
    <t>Cement mortar 1:3 (1 cement : 3 coarse sand) (Rate as per item No 3.8)</t>
  </si>
  <si>
    <t>Rate as per item No 3.9 of SH: Mortar</t>
  </si>
  <si>
    <t>Rate as per Item Number 3.9 of SH: Mortars</t>
  </si>
  <si>
    <t>Cement mortar 1 : 4 (1 cement : 4 coarse sand) (Rate as per item No 3.9)</t>
  </si>
  <si>
    <t>Rate as per item no. 5.22.1 of</t>
  </si>
  <si>
    <t>Rate as per item no 5.9.9 of</t>
  </si>
  <si>
    <t>6.11</t>
  </si>
  <si>
    <t>Extra for additional cost of centering for arches exceeding 6m span including all shuttering, boltin</t>
  </si>
  <si>
    <t>6.12.1</t>
  </si>
  <si>
    <t>Rate as per item No. 6.12.1 of</t>
  </si>
  <si>
    <t>6.14</t>
  </si>
  <si>
    <t>Extra for half brick masonry in superstructure, above floor V level for every four floors or part th</t>
  </si>
  <si>
    <t>59</t>
  </si>
  <si>
    <t>6.24</t>
  </si>
  <si>
    <t>Extra for laying brick work in or under water and/or liquid mud including cost of pumping or bailing</t>
  </si>
  <si>
    <t>6.25</t>
  </si>
  <si>
    <t>Extra for laying brick work in or under foul position. Details of cost for 1 cum. Extra labour due t</t>
  </si>
  <si>
    <t>6.40</t>
  </si>
  <si>
    <t>Providing and laying Gypsum panel partitions 100 mm thick with water proof Gypsum panels of size 666</t>
  </si>
  <si>
    <t>6.41</t>
  </si>
  <si>
    <t>Extra for Gypsum panel Partitions in superstructure above floor V level for every four floors or par</t>
  </si>
  <si>
    <t>6.47</t>
  </si>
  <si>
    <t>Providing and laying autoclaved aerated cement blocks masonry with 150mm/ 230mm/300 mm thick AAC blo</t>
  </si>
  <si>
    <t>6.6</t>
  </si>
  <si>
    <t>Extra for forming cavity 5 cm to 11.5 cm wide in cavity walls with necessary weep and vent holes inc</t>
  </si>
  <si>
    <t>07_Stone_Work</t>
  </si>
  <si>
    <t>1.296</t>
  </si>
  <si>
    <t>Total = 7.103cum. (Refer item No. 6.11)</t>
  </si>
  <si>
    <t>Rate as per Item Number 3.12 of SH: Mortars</t>
  </si>
  <si>
    <t>7.10.1</t>
  </si>
  <si>
    <t>Square or rectangular pillars Details of cost for 1 cum LABOUR</t>
  </si>
  <si>
    <t>7.10.2</t>
  </si>
  <si>
    <t>Circular pillars Details of cost for 1 cum</t>
  </si>
  <si>
    <t>7.11</t>
  </si>
  <si>
    <t>Extra for coursed rubble masonry with hard stone (first or second sort) curved on plan for a mean ra</t>
  </si>
  <si>
    <t>1 cum Extra</t>
  </si>
  <si>
    <t>7.12.1</t>
  </si>
  <si>
    <t>One face dressed</t>
  </si>
  <si>
    <t>7.12.2</t>
  </si>
  <si>
    <t>Both face dressed</t>
  </si>
  <si>
    <t>7.13.1</t>
  </si>
  <si>
    <t>7.13.2</t>
  </si>
  <si>
    <t>7.14.1</t>
  </si>
  <si>
    <t>7.14.2</t>
  </si>
  <si>
    <t>7.15.1</t>
  </si>
  <si>
    <t>7.15.2</t>
  </si>
  <si>
    <t>Both faced punched</t>
  </si>
  <si>
    <t>7.16</t>
  </si>
  <si>
    <t>Extra for stone work, random rubble / coursed rubble masonry / ashlar masonry above floor V level fo</t>
  </si>
  <si>
    <t>7.20.1</t>
  </si>
  <si>
    <t>Red sand stone Details of cost for 10 cudm or 0.01 cum MATERIAL Finished work = 10 cudm + Add wastag</t>
  </si>
  <si>
    <t>7.20.2</t>
  </si>
  <si>
    <t>White sand stone Details of cost for 10 cudm or 0.01 cum MATERIAL Finished work = 10 cudm.+ Add wast</t>
  </si>
  <si>
    <t>7.22</t>
  </si>
  <si>
    <t>Extra for stone work ashlar sunk or moulded in cornices. Details of cost for a cornice 30cm long, 60</t>
  </si>
  <si>
    <t>a cornice 30cm long, 60cm deep and 15cm projection Extra</t>
  </si>
  <si>
    <t>7.28.1</t>
  </si>
  <si>
    <t>Red sand stone :</t>
  </si>
  <si>
    <t>a chajja 2</t>
  </si>
  <si>
    <t>7.28.2</t>
  </si>
  <si>
    <t>White sand stone :</t>
  </si>
  <si>
    <t>7.29.1</t>
  </si>
  <si>
    <t>Red sand stone Details of cost for (2.5x0.75m) 1.875 sqm. MATERIAL Taking 2.5mx75cm projection + 15c</t>
  </si>
  <si>
    <t>(2</t>
  </si>
  <si>
    <t>7.29.2</t>
  </si>
  <si>
    <t>White sand stone Details of cost for (2.5x0.75m) 1.875 sqm. MATERIAL Taking 2.5mx75cm projection + 1</t>
  </si>
  <si>
    <t>7.30</t>
  </si>
  <si>
    <t>30 mm red sand stone sun-shade (chisel-dressed) supported on red sand stone brackets, fixed in walls</t>
  </si>
  <si>
    <t>7.31</t>
  </si>
  <si>
    <t xml:space="preserve">Providing and fixing red sand stone brackets 55x22.5x45 cm sunk and moulded including providing and </t>
  </si>
  <si>
    <t>1 bracket Quantity of stone for 1 bracket 1 x 55 x 22</t>
  </si>
  <si>
    <t>7.32.1</t>
  </si>
  <si>
    <t>Red sand stone Details of cost for cornices (30cm long, 30cm deep and 7.5cm project-iron) = 6.75cudm</t>
  </si>
  <si>
    <t>cornices (30cm long, 30cm deep and 7</t>
  </si>
  <si>
    <t>7.32.2</t>
  </si>
  <si>
    <t>White sand stone Details of cost for cornices (30cm long 30cm deep and 7.5cm project-iron) = 6.75cud</t>
  </si>
  <si>
    <t>cornices (30cm long 30cm deep and 7</t>
  </si>
  <si>
    <t>7.33.1</t>
  </si>
  <si>
    <t>Red sand stone Details of cost for 1 sqm</t>
  </si>
  <si>
    <t>7.33.2</t>
  </si>
  <si>
    <t>White sand stone Details of cost for 1 sqm MATERIAL White sand stone slab 40mm = 1.00 sqm. Add 10% w</t>
  </si>
  <si>
    <t>7.34</t>
  </si>
  <si>
    <t>Extra for laying stone work in or under water and/or liquid mud including cost of pumping or bailing</t>
  </si>
  <si>
    <t>7.35</t>
  </si>
  <si>
    <t>Extra for laying stone work in or under foul position. Details of cost for 1 cum. Extra labour due t</t>
  </si>
  <si>
    <t>7.4.1</t>
  </si>
  <si>
    <t>7.4.2</t>
  </si>
  <si>
    <t>7.5</t>
  </si>
  <si>
    <t xml:space="preserve">Extra for random rubble masonry with hard stone curved on plan for a mean radius not exceeding 6 m. </t>
  </si>
  <si>
    <t>08_Cladding_Work</t>
  </si>
  <si>
    <t>13.50.1</t>
  </si>
  <si>
    <t>Rate as per item no 13.50.1 of</t>
  </si>
  <si>
    <t>18.78</t>
  </si>
  <si>
    <t>Rate as per Item Number 18.78 of</t>
  </si>
  <si>
    <t>Rate as per Item Number 3.15 of SH: Mortars</t>
  </si>
  <si>
    <t>Rate as per Item Number 3.3 of SH: Mortars</t>
  </si>
  <si>
    <t>Rate as per Item No.3.8 of SH: MORTARS</t>
  </si>
  <si>
    <t>Rate as per item no. 4.1.3 of</t>
  </si>
  <si>
    <t>8.14.1</t>
  </si>
  <si>
    <t>Red sand stone - exposed face fine dressed with rough backing.</t>
  </si>
  <si>
    <t>8.14.2</t>
  </si>
  <si>
    <t>Red sand stone - Exposed face machine cut and table rubbed with rough backing.</t>
  </si>
  <si>
    <t>8.14.3</t>
  </si>
  <si>
    <t>White sand stone - exposed face fine dressed with rough backing .</t>
  </si>
  <si>
    <t>8.14.4</t>
  </si>
  <si>
    <t>White sand stone - Exposed face machine cut and table rubbed with rough backing.</t>
  </si>
  <si>
    <t>8.14.5</t>
  </si>
  <si>
    <t>Gang saw cut stone</t>
  </si>
  <si>
    <t>8.19</t>
  </si>
  <si>
    <t>Extra for stone work for wall lining on exterior walls of height more than 10 m from ground level fo</t>
  </si>
  <si>
    <t>8.20.1</t>
  </si>
  <si>
    <t xml:space="preserve">Red sand stone - 30mm thick gang saw cut stone Details of cost for 1 sqm. MATERIAL Red sand stone = </t>
  </si>
  <si>
    <t>8.20.2</t>
  </si>
  <si>
    <t xml:space="preserve">White sand stone - 30mm thick gang saw cut stone Details of cost for 1 sqm. MATERIAL Red sand stone </t>
  </si>
  <si>
    <t>8.22</t>
  </si>
  <si>
    <t>Providing and fixing adjustable stainless steel cramps of approved quality, required shape and size,</t>
  </si>
  <si>
    <t>8.27.1</t>
  </si>
  <si>
    <t>Kiln seasoned and chemically treated hollock wood Details of cost for 5 no. battens of size 500cmx50</t>
  </si>
  <si>
    <t>5 no</t>
  </si>
  <si>
    <t>8.3.1</t>
  </si>
  <si>
    <t>Marble work Details of cost for 10.00 m LABOUR</t>
  </si>
  <si>
    <t>8.3.2</t>
  </si>
  <si>
    <t>Granite work Details of cost for 10.00 m LABOUR</t>
  </si>
  <si>
    <t>8.30.1</t>
  </si>
  <si>
    <t>18 mm thick Details of cost for skirting 200mm wide and 30m long Area = 0.2x30= 6 sqm. Area = 0.2x30</t>
  </si>
  <si>
    <t>skirting 200mm wide and 30m long Area = 0</t>
  </si>
  <si>
    <t>8.30.2</t>
  </si>
  <si>
    <t>25 mm thick Details of cost for skirting 200mm wide and 30m long Area = 0.2x30= 6 sqm. Area = 0.2x30</t>
  </si>
  <si>
    <t>8.4</t>
  </si>
  <si>
    <t xml:space="preserve">Extra for fixing marble /granite stone, over and above corresponding basic item, in facia and drops </t>
  </si>
  <si>
    <t>facia 1</t>
  </si>
  <si>
    <t>8.5</t>
  </si>
  <si>
    <t>Extra for providing opening of required size &amp; shape for wash basin/ kitchen sink in kitchen platfor</t>
  </si>
  <si>
    <t>providing an opening of required size and shape</t>
  </si>
  <si>
    <t>8.6</t>
  </si>
  <si>
    <t>Mirror polishing on marble work/Granite work/stone work where ever required to give high gloss finis</t>
  </si>
  <si>
    <t>8.8.1</t>
  </si>
  <si>
    <t>Wedge expansion type</t>
  </si>
  <si>
    <t>9.32</t>
  </si>
  <si>
    <t>Rate as per item no 9.32 of</t>
  </si>
  <si>
    <t>09_Wood_and_PVC_Work</t>
  </si>
  <si>
    <t>0.966</t>
  </si>
  <si>
    <t xml:space="preserve">Providing and fixing Bamboo jaffery/ fencing consisting of superior quality 25mm dia (Average) half </t>
  </si>
  <si>
    <t>a bamboo jaffery of size 1</t>
  </si>
  <si>
    <t>Rate as per item no 13.50.1 of SH : Finishing</t>
  </si>
  <si>
    <t>Rate as per Item Number 13.50.1 of SH: Finishing</t>
  </si>
  <si>
    <t>13.50.3</t>
  </si>
  <si>
    <t>Rate as per Item No.13.50.3 of SH: Finishing</t>
  </si>
  <si>
    <t>Rate as per Item No.13.50.3 of SH: FINISHING</t>
  </si>
  <si>
    <t>13.57.1</t>
  </si>
  <si>
    <t>Rate as per item no 13.57.1 SH : Finishing</t>
  </si>
  <si>
    <t>Rate as per item no 4.2.5 of SH : Concrete work</t>
  </si>
  <si>
    <t>9.1.1</t>
  </si>
  <si>
    <t>Second class teak wood Details of cost for Chowkhat of a door 206.75x117.5cm MATERIAL Superior class</t>
  </si>
  <si>
    <t>Chowkhat of a door 206</t>
  </si>
  <si>
    <t>9.1.2</t>
  </si>
  <si>
    <t xml:space="preserve">Sal wood Details of cost for Chowkhat of a door 206.75x117.5cm. MATERIAL Salwood 2x206.75x9.5x7.0cm </t>
  </si>
  <si>
    <t>9.1.3</t>
  </si>
  <si>
    <t>Kiln seasoned and chemically treated hollock wood Details of cost for Chowkhat of a door 206.75x117.</t>
  </si>
  <si>
    <t>9.10.1</t>
  </si>
  <si>
    <t>30 mm thick shutters Details of cost of one shutter 220x108cm = 2.38sqm. MATERIAL</t>
  </si>
  <si>
    <t>9.100.1</t>
  </si>
  <si>
    <t>125 mm Details of cost for 10 nos. MATERIAL</t>
  </si>
  <si>
    <t>9.100.2</t>
  </si>
  <si>
    <t>100 mm Details of cost for 10 nos. MATERIAL</t>
  </si>
  <si>
    <t>9.100.3</t>
  </si>
  <si>
    <t>75 mm Details of cost for 10 nos. MATERIAL</t>
  </si>
  <si>
    <t>9.101.1</t>
  </si>
  <si>
    <t>Single rubber stopper Details of cost for 10 nos. MATERIAL</t>
  </si>
  <si>
    <t>9.101.2</t>
  </si>
  <si>
    <t>Twin rubber stopper Details of cost for 10 nos. MATERIAL</t>
  </si>
  <si>
    <t>9.102</t>
  </si>
  <si>
    <t>Providing and fixing aluminium casement stays, ISI marked, anodised (anodic coating not less than gr</t>
  </si>
  <si>
    <t>9.103</t>
  </si>
  <si>
    <t>Providing and fixing bright finished brass 100 mm mortice latch and lock, ISI marked, with six lever</t>
  </si>
  <si>
    <t>1 lock</t>
  </si>
  <si>
    <t>9.105.1</t>
  </si>
  <si>
    <t xml:space="preserve">75 mm overall thickness partition with 12.5 mm thick double skin fire rated Glass Reinforced Gypsum </t>
  </si>
  <si>
    <t>6</t>
  </si>
  <si>
    <t>9.105.2</t>
  </si>
  <si>
    <t>75mm overall thickness partition with 12.5 mm thick double skin tapered edged plain Gypsum plaster b</t>
  </si>
  <si>
    <t>9.105.3</t>
  </si>
  <si>
    <t>66mm overall thickness Partition with 8mm thick double skin Calcium Silicate Board made with Calcare</t>
  </si>
  <si>
    <t>9.105.4</t>
  </si>
  <si>
    <t>66mm overall thickness partition using 8mm thick double skin multipurpose cement board reinforced wi</t>
  </si>
  <si>
    <t>9.105.5</t>
  </si>
  <si>
    <t>66 mm overall thickness partition using 8 mm thick double skin multipurpose cement bonded wood parti</t>
  </si>
  <si>
    <t>21</t>
  </si>
  <si>
    <t>Carpenter 1 st class</t>
  </si>
  <si>
    <t>9.106.1</t>
  </si>
  <si>
    <t>125x34x24 mm weighing not less than 23 gms Details of cost for ten Nos. MATERIAL</t>
  </si>
  <si>
    <t>ten Nos</t>
  </si>
  <si>
    <t>9.106.2</t>
  </si>
  <si>
    <t>150x34x24 mm weighing not less than 26 gms Details of cost for ten Nos. MATERIAL</t>
  </si>
  <si>
    <t>9.107.1</t>
  </si>
  <si>
    <t>75x60x10 mm fitted with 5.5 mm dia M.S. Bright Bar Rod weighing not less than 34 gms Details of cost</t>
  </si>
  <si>
    <t>9.107.2</t>
  </si>
  <si>
    <t xml:space="preserve">100x75x10 mm fitted with 5.5 mm dia MS Bright Bar Rod weighing not less than 53 gms Details of cost </t>
  </si>
  <si>
    <t>9.108.1</t>
  </si>
  <si>
    <t>152x42x18 mm weighing not less than 60 gms Details of cost for ten Nos. MATERIAL</t>
  </si>
  <si>
    <t>9.108.2</t>
  </si>
  <si>
    <t>202x42x18 mm weighing not less than 78 gms Details of cost for ten Nos. MATERIAL</t>
  </si>
  <si>
    <t>9.109</t>
  </si>
  <si>
    <t>Providing and fixing PTMT door catcher of length 72 mm and dia. of 42 mm with suitable washers weigh</t>
  </si>
  <si>
    <t>9.112</t>
  </si>
  <si>
    <t>Providing and fixing 2nd class teak wood lipping/ moulded beading or taj beading of size 18X5 mm fix</t>
  </si>
  <si>
    <t>9.113</t>
  </si>
  <si>
    <t>Providing and fixing bright finished 100 mm mortice lock with 6 levers without pair of handles of ap</t>
  </si>
  <si>
    <t>1 no</t>
  </si>
  <si>
    <t>9.117.1</t>
  </si>
  <si>
    <t>Extruded section profile size 48x40 mm Detail of cost for 5 metre MATERIAL</t>
  </si>
  <si>
    <t>9.117.2</t>
  </si>
  <si>
    <t>Extruded section profile size 42x50 mm Detail of cost for 5 metre MATERIAL</t>
  </si>
  <si>
    <t>9.119</t>
  </si>
  <si>
    <t>Providing and fixing factory made P.V.C. door frame of size 50x47 mm with awall thickness of 5 mm, m</t>
  </si>
  <si>
    <t>one door frame of 5 metre</t>
  </si>
  <si>
    <t>9.123</t>
  </si>
  <si>
    <t>Providing and fixing factory made door frame (single rebate) made out of single piece extruded solid</t>
  </si>
  <si>
    <t>9.124.1</t>
  </si>
  <si>
    <t>Non decorative finish Details of cost for one door shutter 2.20x1.08m = 2.38 sqm MATERIAL</t>
  </si>
  <si>
    <t>9.124.2</t>
  </si>
  <si>
    <t xml:space="preserve">Decorative finish (both side wood grained finish) Details of cost for one door shutter 2.20x1.08m = </t>
  </si>
  <si>
    <t>9.126.1</t>
  </si>
  <si>
    <t>Marine plywood conforming to IS: 710 Details of cost for shutters of a door with 2/3rd panelling 200</t>
  </si>
  <si>
    <t>shutters of a door with 2/3rd panelling 200x108cm = 2</t>
  </si>
  <si>
    <t>9.126.2</t>
  </si>
  <si>
    <t>Fire retardant plywood conforming to IS: 5509 Details of cost for shutters of a door with 2/3rd pane</t>
  </si>
  <si>
    <t>9.127.1</t>
  </si>
  <si>
    <t xml:space="preserve">1.5 mm thick Details of cost for 5.00 sqm MATERIAL Decorative laminate = 5.00 sqm Add wastage @ 10% </t>
  </si>
  <si>
    <t>9.127.2</t>
  </si>
  <si>
    <t xml:space="preserve">1.0 mm thick Details of cost for 5.00 sqm MATERIAL Decorative laminate = 5.00 sqm Add wastage @ 10% </t>
  </si>
  <si>
    <t>9.129</t>
  </si>
  <si>
    <t>Providing and fixing cup board shutters 25 mm thick, with Pre-laminated flat pressed three layer par</t>
  </si>
  <si>
    <t>one shutter 2</t>
  </si>
  <si>
    <t>9.130.1</t>
  </si>
  <si>
    <t>With decorative veneering on one side and commercial veneering on other side Details of cost for one</t>
  </si>
  <si>
    <t>9.130.2</t>
  </si>
  <si>
    <t>With non decorative veneering on both sides Details of cost for one shutter 2.20x1.00m= 2.20sqm. MAT</t>
  </si>
  <si>
    <t>9.131.1</t>
  </si>
  <si>
    <t>25 mm thick Details of cost for 2.10sqm. (Door size 2.1x1.00 = 2.10sqm.) MATERIAL Prelaminated parti</t>
  </si>
  <si>
    <t>9.133.1</t>
  </si>
  <si>
    <t>Tapered edge calcium silicate board made with calcareous &amp; siliceous materials reinforced with cellu</t>
  </si>
  <si>
    <t>9.133.2</t>
  </si>
  <si>
    <t>Multipurpose cement board reinforced with suitable fibre cement screw.</t>
  </si>
  <si>
    <t>9.133.3</t>
  </si>
  <si>
    <t>Plain Gypsum plaster board conforming to IS: 2095 (Part -1) : 2011 (Board with BIS certification mar</t>
  </si>
  <si>
    <t>9.134.1</t>
  </si>
  <si>
    <t>35 mm thick shutters</t>
  </si>
  <si>
    <t>9.134.2</t>
  </si>
  <si>
    <t>30 mm thick shutters</t>
  </si>
  <si>
    <t>9.135.1</t>
  </si>
  <si>
    <t>With 2nd class teak wood beading 62X19 mm Details of cost for a window of size 140x110cm =1.54sqm. M</t>
  </si>
  <si>
    <t>a window of size 140x110cm =1</t>
  </si>
  <si>
    <t>9.135.2</t>
  </si>
  <si>
    <t>With 12 mm mild steel U beading Details of cost for a window of size 140x110cm =1.54sqm. MATERIAL Wi</t>
  </si>
  <si>
    <t>9.139</t>
  </si>
  <si>
    <t>Providing and fixing panic bar / latch (Double point) fitted with a single body, Trim Latch &amp; Lock o</t>
  </si>
  <si>
    <t>1 Nos</t>
  </si>
  <si>
    <t>9.142.1</t>
  </si>
  <si>
    <t>Non decorative finish (matt finish) Details of cost for of one shutter 2.20x1.08m = 2.38 sqm</t>
  </si>
  <si>
    <t>9.142.2</t>
  </si>
  <si>
    <t>Decorative finish (wood grained finish) Details of cost for of one shutter 2.20x1.08m = 2.38 sqm MAT</t>
  </si>
  <si>
    <t>9.148.1</t>
  </si>
  <si>
    <t>200 x 19 x 1.9 mm Details of cost for 10 Nos MATERIAL</t>
  </si>
  <si>
    <t>9.148.2</t>
  </si>
  <si>
    <t>250 x 19 x 1.9 mm Details of cost for 10 Nos MATERIAL</t>
  </si>
  <si>
    <t>9.148.3</t>
  </si>
  <si>
    <t>300 x 19 x 1.9 mm Details of cost for 10 Nos MATERIAL</t>
  </si>
  <si>
    <t>9.148.4</t>
  </si>
  <si>
    <t>350 x 19 x 1.9 mm Details of cost for 10 Nos MATERIAL</t>
  </si>
  <si>
    <t>9.148.5</t>
  </si>
  <si>
    <t>400 x 19 x 1.9 mm Details of cost for 10 Nos MATERIAL</t>
  </si>
  <si>
    <t>9.155</t>
  </si>
  <si>
    <t>Providing and fixing panelling or paneling and glazing in panelled or panelled and glazed shutters f</t>
  </si>
  <si>
    <t>0</t>
  </si>
  <si>
    <t>9.156.1</t>
  </si>
  <si>
    <t>Pre-laminated with decorative lamination on both side exterior Grade - I MDF Board 12 mm thick confi</t>
  </si>
  <si>
    <t>7</t>
  </si>
  <si>
    <t>9.156.2</t>
  </si>
  <si>
    <t>Pre-laminated with decorative lamination on both side exterior Grade - I MDF Board 18 mm thick confi</t>
  </si>
  <si>
    <t>9.157.1</t>
  </si>
  <si>
    <t>Pre-laminated with decorative lamination one side and other side balancing lamination exterior Grade</t>
  </si>
  <si>
    <t>9.157.2</t>
  </si>
  <si>
    <t>9.158.1</t>
  </si>
  <si>
    <t>12 mm thick. Details of cost for 10.00 sqm MATERIAL 12 mm thick MDF Board Grade-I ,one side laminate</t>
  </si>
  <si>
    <t>9.158.2</t>
  </si>
  <si>
    <t>18 mm thick. Details of cost for 10.00 sqm MATERIAL 18 mm thick MDF Board Grade-I ,one side laminate</t>
  </si>
  <si>
    <t>9.158.3</t>
  </si>
  <si>
    <t>25 mm thick. Details of cost for 10.00 sqm MATERIAL 25 mm thick MDF Board Grade-I, one side laminate</t>
  </si>
  <si>
    <t>9.159</t>
  </si>
  <si>
    <t>Providing and fixing 25mm thick pre-laminated medium density fibre board exterior grade ( Grade-I) I</t>
  </si>
  <si>
    <t>9.16.1</t>
  </si>
  <si>
    <t>Panelled or panelled &amp; glazed shutters :</t>
  </si>
  <si>
    <t>shutters of a cup- board (half glazed and half panelled) 200x108cm = 2</t>
  </si>
  <si>
    <t>9.16.2</t>
  </si>
  <si>
    <t>Glazed shutters :</t>
  </si>
  <si>
    <t>shutter of cup-board 2000x108cm = 2</t>
  </si>
  <si>
    <t>9.160.1</t>
  </si>
  <si>
    <t>18 mm thick. Details of cost for 6.00 sqm Detail of cost for skirting 200 mm wide &amp; 30 m long Area 0</t>
  </si>
  <si>
    <t>9.160.2</t>
  </si>
  <si>
    <t>25 mm thick. Details of cost for 6.00 sqm Detail of cost for skirting 200 mm wide &amp; 30 m long Area 0</t>
  </si>
  <si>
    <t>9.165.1</t>
  </si>
  <si>
    <t>125 mm Details of cost for ten nos (125 mm) MATERIAL</t>
  </si>
  <si>
    <t>ten nos (125 mm)</t>
  </si>
  <si>
    <t>9.165.2</t>
  </si>
  <si>
    <t>100mm Details of cost for ten nos (100 mm) MATERIAL</t>
  </si>
  <si>
    <t>ten nos (100 mm)</t>
  </si>
  <si>
    <t>9.165.3</t>
  </si>
  <si>
    <t>75 mm Details of cost for ten nos (75 mm) MATERIAL</t>
  </si>
  <si>
    <t>ten nos (75 mm)</t>
  </si>
  <si>
    <t>9.17.1</t>
  </si>
  <si>
    <t>12 mm thick Details of cost for 350x200cm = 7sqm. MATERIAL 12mm thick particle board = 7.00sqm.+ Add</t>
  </si>
  <si>
    <t>350x200cm = 7sqm</t>
  </si>
  <si>
    <t>9.17.2</t>
  </si>
  <si>
    <t>18 mm thick Details of cost for 350x200cm = 7sqm. MATERIAL 12mm thick particle board = 7.00sqm.+ Add</t>
  </si>
  <si>
    <t>9.18.1</t>
  </si>
  <si>
    <t>18 mm thick Details of cost for 4 nos. 75x20cm shelves = 0.60 sqm. MATERIAL 18mm thick particle boar</t>
  </si>
  <si>
    <t>4 nos</t>
  </si>
  <si>
    <t>9.18.2</t>
  </si>
  <si>
    <t>25 mm thick Details of cost for 4 nos. 75x20cm shelves = 0.60 sqm. MATERIAL 25mm thick particle boar</t>
  </si>
  <si>
    <t>9.2</t>
  </si>
  <si>
    <t xml:space="preserve">Providing laminated veneer lumber conforming to IS:14616 and TAD -15: 2001 (Part B) in factory made </t>
  </si>
  <si>
    <t>9.20.1</t>
  </si>
  <si>
    <t>35 mm thick including ISI marked Stainless Steel butt hinges with necessary screws Details of cost f</t>
  </si>
  <si>
    <t>9.20.2</t>
  </si>
  <si>
    <t>30 mm thick including ISI marked Stainless Steel butt hinges with necessary screws Details of cost f</t>
  </si>
  <si>
    <t>9.20.3</t>
  </si>
  <si>
    <t>25 mm thick (for cupboard) including ISI marked nickel plated bright finished M.S. Piano hinges IS :</t>
  </si>
  <si>
    <t>9.21.1</t>
  </si>
  <si>
    <t>9.21.2</t>
  </si>
  <si>
    <t>9.21.3</t>
  </si>
  <si>
    <t>25 mm thick (for cupboard) including ISI marked nickel plated bright finished M.S. piano hinges with</t>
  </si>
  <si>
    <t>9.27.1</t>
  </si>
  <si>
    <t>9.27.2</t>
  </si>
  <si>
    <t>9.3.1</t>
  </si>
  <si>
    <t>Sal wood Details of cost for ceiling for a room 3x3m MATERIAL Salwood = 6x3.30x(50/1000)x (125/1000)</t>
  </si>
  <si>
    <t>ceiling for a room 3x3m</t>
  </si>
  <si>
    <t>9.3.2</t>
  </si>
  <si>
    <t>Kiln seasoned and chemically treated hollock wood Details of cost for ceiling for a room 3x3m MATERI</t>
  </si>
  <si>
    <t>9.31.1</t>
  </si>
  <si>
    <t>35 mm thick shutters Details of cost of one shutter 220x108cm = 2.38sqm. MATERIAL</t>
  </si>
  <si>
    <t>9.31.2</t>
  </si>
  <si>
    <t>9.4.1</t>
  </si>
  <si>
    <t>Second class teak wood Details of cost for Chowkhat of a door 206.75x117.5cm Extra Materials and lab</t>
  </si>
  <si>
    <t>9.4.2</t>
  </si>
  <si>
    <t>Sal wood Details of cost for Chowkhat of a door 206.75x117.5cm Extra Materials and labour for wastag</t>
  </si>
  <si>
    <t>9.4.3</t>
  </si>
  <si>
    <t>9.41.1</t>
  </si>
  <si>
    <t xml:space="preserve">Second class teak wood Details of cost of a jaffri 200x110cm = 2.2sqm. MATERIAL Teakwood IInd class </t>
  </si>
  <si>
    <t>9.42</t>
  </si>
  <si>
    <t>Providing and fixing 18 mm thick, 150 mm wide pelmet of flat pressed 3 layer or graded wood particle</t>
  </si>
  <si>
    <t>a pelmet 2m long</t>
  </si>
  <si>
    <t>9.43</t>
  </si>
  <si>
    <t>Providing and fixing 18 mm thick, 150 mm wide pelmet of coir veneer board ISI marked IS : 14842, inc</t>
  </si>
  <si>
    <t>9.45</t>
  </si>
  <si>
    <t>Providing and fixing teak wood lipping of size 25x3 mm in pelmet. Details of cost for 10 metre MATER</t>
  </si>
  <si>
    <t>9.5.1</t>
  </si>
  <si>
    <t>Second class teak wood</t>
  </si>
  <si>
    <t>shutters of a Door (1/3rd glazed and 2/3rd panelled) 200x 108cm = 2</t>
  </si>
  <si>
    <t>shutters of a Door (1/3rd glazed and 2/3rd panelled) 200x108cm = 2</t>
  </si>
  <si>
    <t>9.5.2</t>
  </si>
  <si>
    <t>Kiln seasoned and chemically treated hollock wood</t>
  </si>
  <si>
    <t>shutters of a door (1/3rd glazed and 2/3rd panelled) 200x108cm = 2</t>
  </si>
  <si>
    <t>9.5.3</t>
  </si>
  <si>
    <t>Kiln seasoned selected planks of sheesham wood</t>
  </si>
  <si>
    <t>shutters of a door (1/3rd glazed and 2/3rd panelled)</t>
  </si>
  <si>
    <t>9.51.1</t>
  </si>
  <si>
    <t>9.51.2</t>
  </si>
  <si>
    <t>9.55.1</t>
  </si>
  <si>
    <t>125x65x2.12 mm Details of cost for ten hinges MATERIAL</t>
  </si>
  <si>
    <t>ten hinges</t>
  </si>
  <si>
    <t>9.55.2</t>
  </si>
  <si>
    <t>100x58x1.90 mm Details of cost for ten hinges MATERIAL</t>
  </si>
  <si>
    <t>9.55.3</t>
  </si>
  <si>
    <t>75x47x1.70 mm Details of cost for ten hinges MATERIAL</t>
  </si>
  <si>
    <t>9.55.4</t>
  </si>
  <si>
    <t>50x37x1.50 mm Details of cost for ten hinges MATERIAL</t>
  </si>
  <si>
    <t>9.56.1</t>
  </si>
  <si>
    <t>125x90x4.00 mm Details of cost for ten hinges MATERIAL</t>
  </si>
  <si>
    <t>9.56.2</t>
  </si>
  <si>
    <t>100x75x3.50 mm Details of cost for ten hinges MATERIAL</t>
  </si>
  <si>
    <t>9.56.3</t>
  </si>
  <si>
    <t>75x60x3.10 mm Details of cost for ten hinges MATERIAL</t>
  </si>
  <si>
    <t>9.56.4</t>
  </si>
  <si>
    <t>50x40x2.50 mm Details of cost for ten hinges MATERIAL</t>
  </si>
  <si>
    <t>9.57.1</t>
  </si>
  <si>
    <t>125x65x2.12 mm Details of cost for 10 nos. MATERIAL</t>
  </si>
  <si>
    <t>9.57.2</t>
  </si>
  <si>
    <t>100x58x1.90 mm Details of cost for 10 nos. MATERIAL</t>
  </si>
  <si>
    <t>9.57.3</t>
  </si>
  <si>
    <t>75x47x1.70 mm Details of cost for 10 nos. MATERIAL</t>
  </si>
  <si>
    <t>9.57.4</t>
  </si>
  <si>
    <t>50x37x1.50 mm Details of cost for 10 nos. MATERIAL</t>
  </si>
  <si>
    <t>9.58.1</t>
  </si>
  <si>
    <t>150x125x27x2.80 mm Details of cost for 10 nos. MATERIAL</t>
  </si>
  <si>
    <t>9.58.2</t>
  </si>
  <si>
    <t>125x125x27x2.80 mm Details of cost for 10 nos. MATERIAL</t>
  </si>
  <si>
    <t>9.58.3</t>
  </si>
  <si>
    <t>100x125x27x2.80 mm Details of cost for 10 nos. MATERIAL</t>
  </si>
  <si>
    <t>9.58.4</t>
  </si>
  <si>
    <t>75x100x20x2.24 mm Details of cost for 10 nos. MATERIAL</t>
  </si>
  <si>
    <t>9.59.1</t>
  </si>
  <si>
    <t>150 mm Details of cost for 10 nos. MATERIAL</t>
  </si>
  <si>
    <t>9.59.2</t>
  </si>
  <si>
    <t>9.59.3</t>
  </si>
  <si>
    <t>9.6.1</t>
  </si>
  <si>
    <t>12 mm thick plain grade -1, medium density flat pressed three layer particle board FPT - I or graded</t>
  </si>
  <si>
    <t>9.6.2</t>
  </si>
  <si>
    <t>12 mm thick pre-laminated particle board (decorative lamination on both sides) grade -1, medium dens</t>
  </si>
  <si>
    <t>9.6.3</t>
  </si>
  <si>
    <t>12 mm thick one side Pre-laminated particle board (decorative lamination on one side and other sides</t>
  </si>
  <si>
    <t>9.60.1</t>
  </si>
  <si>
    <t>9.60.2</t>
  </si>
  <si>
    <t>9.60.3</t>
  </si>
  <si>
    <t>9.61.1</t>
  </si>
  <si>
    <t>Overall width 35 mm Details of cost for 1 meter MATERIAL</t>
  </si>
  <si>
    <t>9.61.2</t>
  </si>
  <si>
    <t>Overall width 50 mm Details of cost for 1 meter MATERIAL</t>
  </si>
  <si>
    <t>9.61.3</t>
  </si>
  <si>
    <t>Overall width 65 mm Details of cost for 1 meter MATERIAL</t>
  </si>
  <si>
    <t>9.62.1</t>
  </si>
  <si>
    <t>300x16 mm Details of cost for 10 nos. MATERIAL</t>
  </si>
  <si>
    <t>9.62.2</t>
  </si>
  <si>
    <t>250x16 mm Details of cost for 10 nos. MATERIAL</t>
  </si>
  <si>
    <t>9.63.1</t>
  </si>
  <si>
    <t>250x10 mm Details of cost for 10 nos. MATERIAL</t>
  </si>
  <si>
    <t>9.63.2</t>
  </si>
  <si>
    <t>200x10 mm Details of cost for 10 nos. MATERIAL</t>
  </si>
  <si>
    <t>9.63.3</t>
  </si>
  <si>
    <t>150x10 mm Details of cost for 10 nos. MATERIAL</t>
  </si>
  <si>
    <t>9.63.4</t>
  </si>
  <si>
    <t>100x10 mm Details of cost for 10 nos. MATERIAL</t>
  </si>
  <si>
    <t>9.64</t>
  </si>
  <si>
    <t>Providing and fixing ISI marked 85x42 mm oxidised M.S. pull bolt lock conforming to IS : 7534 with n</t>
  </si>
  <si>
    <t>9.65.1</t>
  </si>
  <si>
    <t>300x20x6 mm Details of cost for 10 nos. MATERIAL</t>
  </si>
  <si>
    <t>9.65.2</t>
  </si>
  <si>
    <t>250x20x6 mm Details of cost for 10 nos. MATERIAL</t>
  </si>
  <si>
    <t>9.66.1</t>
  </si>
  <si>
    <t>9.66.2</t>
  </si>
  <si>
    <t>9.66.3</t>
  </si>
  <si>
    <t>9.67.1</t>
  </si>
  <si>
    <t>9.67.2</t>
  </si>
  <si>
    <t>115 mm Details of cost for 10 nos. MATERIAL</t>
  </si>
  <si>
    <t>9.67.3</t>
  </si>
  <si>
    <t>90 mm Details of cost for 10 nos. MATERIAL</t>
  </si>
  <si>
    <t>9.68.1</t>
  </si>
  <si>
    <t>300 mm weighing not less than 200 gms Details of cost for 10 nos. MATERIAL</t>
  </si>
  <si>
    <t>9.68.2</t>
  </si>
  <si>
    <t>250 mm weighing not less than 150 gms Details of cost for 10 nos. MATERIAL</t>
  </si>
  <si>
    <t>9.68.3</t>
  </si>
  <si>
    <t>200 mm weighing not less than 120 gms Details of cost for 10 nos. MATERIAL</t>
  </si>
  <si>
    <t>9.69</t>
  </si>
  <si>
    <t>Providing and fixing oxidised M.S. Safety chain with necessary fixtures for doors, (weighting not le</t>
  </si>
  <si>
    <t>9.7.1</t>
  </si>
  <si>
    <t>Second class teak wood Details of cost for shutters of a door with 2/3rd panelling 200x108cm = 2.16s</t>
  </si>
  <si>
    <t>9.7.2</t>
  </si>
  <si>
    <t>Kiln seasoned and chemically treated hollock wood Details of cost for shutters of a door 200x108cm =</t>
  </si>
  <si>
    <t>shutters of a door 200x108cm = 2</t>
  </si>
  <si>
    <t>9.7.3</t>
  </si>
  <si>
    <t>Ply wood 5 ply, 9 mm thick</t>
  </si>
  <si>
    <t>shutters of a door with 2/3rd panelling</t>
  </si>
  <si>
    <t>9.7.4</t>
  </si>
  <si>
    <t>Ply wood 7 ply, 9 mm thick</t>
  </si>
  <si>
    <t>9.7.5</t>
  </si>
  <si>
    <t>Particle Board 12 mm thick</t>
  </si>
  <si>
    <t>9.7.6</t>
  </si>
  <si>
    <t>Coir Veneer Board (conforming to IS 14842)</t>
  </si>
  <si>
    <t>9.7.7</t>
  </si>
  <si>
    <t>Float glass panes</t>
  </si>
  <si>
    <t>9.7.8</t>
  </si>
  <si>
    <t>Fly proof stainless steel grade 304 wire gauge with 0.5 mm dia. wire and 1.4mm wide aperture with ma</t>
  </si>
  <si>
    <t>9.70.1</t>
  </si>
  <si>
    <t>125x64x1.90 mm Details of cost for 10 nos. MATERIAL</t>
  </si>
  <si>
    <t>9.70.2</t>
  </si>
  <si>
    <t>100X58X1.90 mm Details of cost for 10 nos. MATERIAL</t>
  </si>
  <si>
    <t>9.70.3</t>
  </si>
  <si>
    <t>75x47x1.80 mm Details of cost for 10 nos. MATERIAL</t>
  </si>
  <si>
    <t>9.70.4</t>
  </si>
  <si>
    <t>9.71.1</t>
  </si>
  <si>
    <t>125x64x2.50 mm Details of cost for 10 nos. MATERIAL</t>
  </si>
  <si>
    <t>9.71.2</t>
  </si>
  <si>
    <t>100x60x2.50 mm Details of cost for 10 nos. MATERIAL</t>
  </si>
  <si>
    <t>9.71.3</t>
  </si>
  <si>
    <t>75x50x2.50 mm Details of cost for 10 nos. MATERIAL</t>
  </si>
  <si>
    <t>9.72.1</t>
  </si>
  <si>
    <t>125x85x5.5 mm (heavy type) Details of cost for 10 nos. MATERIAL</t>
  </si>
  <si>
    <t>9.72.2</t>
  </si>
  <si>
    <t>125x70x4 mm (ordinary type) Details of cost for 10 nos. MATERIAL</t>
  </si>
  <si>
    <t>9.72.3</t>
  </si>
  <si>
    <t>100x85x5.5 mm (heavy type) Details of cost for 10 nos. MATERIAL</t>
  </si>
  <si>
    <t>9.72.4</t>
  </si>
  <si>
    <t>100x70x4 mm (ordinary type) Details of cost for 10 nos. MATERIAL</t>
  </si>
  <si>
    <t>9.72.5</t>
  </si>
  <si>
    <t>75x65x4 mm (heavy type) Details of cost for 10 nos. MATERIAL</t>
  </si>
  <si>
    <t>9.72.6</t>
  </si>
  <si>
    <t>75x40x2.5 mm (ordinary type) Details of cost for 10 nos. MATERIAL</t>
  </si>
  <si>
    <t>9.72.7</t>
  </si>
  <si>
    <t>50x40x2.5 mm (ordinary type) Details of cost for 10 nos. MATERIAL</t>
  </si>
  <si>
    <t>9.73.1</t>
  </si>
  <si>
    <t>150x125x27x5 mm Details of cost for 10 nos. MATERIAL</t>
  </si>
  <si>
    <t>9.73.2</t>
  </si>
  <si>
    <t>125x125x27x5 mm Details of cost for 10 nos. MATERIAL</t>
  </si>
  <si>
    <t>9.73.3</t>
  </si>
  <si>
    <t>100x125x27x5 mm Details of cost for 10 nos. MATERIAL</t>
  </si>
  <si>
    <t>9.73.4</t>
  </si>
  <si>
    <t>75x100x20x3.2 mm Details of cost for 10 nos. MATERIAL</t>
  </si>
  <si>
    <t>9.74.1</t>
  </si>
  <si>
    <t>9.74.2</t>
  </si>
  <si>
    <t>9.74.3</t>
  </si>
  <si>
    <t>9.74.4</t>
  </si>
  <si>
    <t>9.75.1</t>
  </si>
  <si>
    <t>300x16x5 mm Details of cost for 10 nos. MATERIAL</t>
  </si>
  <si>
    <t>9.75.2</t>
  </si>
  <si>
    <t>250x16x5 mm Details of cost for 10 nos. MATERIAL</t>
  </si>
  <si>
    <t>9.76</t>
  </si>
  <si>
    <t>Providing and fixing bright finished brass 100 mm mortice latch and lock with 6 levers and a pair of</t>
  </si>
  <si>
    <t>one No</t>
  </si>
  <si>
    <t>9.77</t>
  </si>
  <si>
    <t>Providing and fixing bright finished brass 100 mm mortice latch with one dead bolt and a pair of lev</t>
  </si>
  <si>
    <t>9.78</t>
  </si>
  <si>
    <t>Providing and fixing bright finished brass night latch of approved quality including necessary screw</t>
  </si>
  <si>
    <t>9.79.1</t>
  </si>
  <si>
    <t>40 mm Details of cost for one No MATERIAL</t>
  </si>
  <si>
    <t>9.79.2</t>
  </si>
  <si>
    <t>50 mm Details of cost for one No MATERIAL</t>
  </si>
  <si>
    <t>9.79.3</t>
  </si>
  <si>
    <t>65 mm Details of cost for one No MATERIAL</t>
  </si>
  <si>
    <t>9.79.4</t>
  </si>
  <si>
    <t>75 mm Details of cost for one No MATERIAL</t>
  </si>
  <si>
    <t>9.80</t>
  </si>
  <si>
    <t>Providing and fixing 50 mm bright finished brass cup board or wardrobe knob of approved quality with</t>
  </si>
  <si>
    <t>9.81.1</t>
  </si>
  <si>
    <t>9.81.2</t>
  </si>
  <si>
    <t>9.81.3</t>
  </si>
  <si>
    <t>9.82</t>
  </si>
  <si>
    <t>Providing and fixing bright finished brass hanging type floor door stopper with necessary screws, et</t>
  </si>
  <si>
    <t>10 hanging floor door stopper</t>
  </si>
  <si>
    <t>9.83</t>
  </si>
  <si>
    <t>Providing and fixing aluminium die cast body tubular type universal hydraulic door closer (having br</t>
  </si>
  <si>
    <t>9.84</t>
  </si>
  <si>
    <t>Providing and fixing aluminium extruded section body tubular type universal hydraulic door closer (h</t>
  </si>
  <si>
    <t>9.85</t>
  </si>
  <si>
    <t>Providing and fixing bright finished brass casement window fastener with necessary screws etc. compl</t>
  </si>
  <si>
    <t>9.86.1</t>
  </si>
  <si>
    <t>300 mm weighing not less than 330 gms Details of cost for 10 nos. MATERIAL</t>
  </si>
  <si>
    <t>9.86.2</t>
  </si>
  <si>
    <t>250 mm weighing not less than 280 gms Details of cost for 10 nos. MATERIAL</t>
  </si>
  <si>
    <t>9.86.3</t>
  </si>
  <si>
    <t>200 mm weighing not less than 240 gms Details of cost for 10 nos. MATERIAL</t>
  </si>
  <si>
    <t>9.87.1</t>
  </si>
  <si>
    <t>9.87.2</t>
  </si>
  <si>
    <t>9.87.3</t>
  </si>
  <si>
    <t>9.88</t>
  </si>
  <si>
    <t>Providing and fixing chromium plated brass 100 mm mortice latch and lock with 6 levers and a pair of</t>
  </si>
  <si>
    <t>9.89</t>
  </si>
  <si>
    <t>Providing and fixing chromium plated brass night latch of approved quality including necessary screw</t>
  </si>
  <si>
    <t>9.9.1</t>
  </si>
  <si>
    <t>shutter of a door (glazed) 2000x108cm = 2</t>
  </si>
  <si>
    <t>9.9.2</t>
  </si>
  <si>
    <t>shutters of a door (glazed) 200x108cm = 2</t>
  </si>
  <si>
    <t>shutter of door (glazed) 2000x108cm = 2</t>
  </si>
  <si>
    <t>9.9.3</t>
  </si>
  <si>
    <t>9.90.1</t>
  </si>
  <si>
    <t>Size 40 mm Details of cost for one No MATERIAL</t>
  </si>
  <si>
    <t>9.90.2</t>
  </si>
  <si>
    <t>Size 50 mm Details of cost for one No MATERIAL</t>
  </si>
  <si>
    <t>9.90.3</t>
  </si>
  <si>
    <t>Size 65 mm Details of cost for one No MATERIAL</t>
  </si>
  <si>
    <t>9.90.4</t>
  </si>
  <si>
    <t>Size 75 mm Details of cost for one MATERIAL</t>
  </si>
  <si>
    <t>one</t>
  </si>
  <si>
    <t>9.91</t>
  </si>
  <si>
    <t>Providing and fixing chromium plated brass 50 mm cupboard or wardrobe knobs with nuts complete. Deta</t>
  </si>
  <si>
    <t>9.92.1</t>
  </si>
  <si>
    <t>9.92.2</t>
  </si>
  <si>
    <t>9.92.3</t>
  </si>
  <si>
    <t>9.93</t>
  </si>
  <si>
    <t>Providing and fixing chromium plated brass casement window fastener with necessary screws etc. compl</t>
  </si>
  <si>
    <t>9.94.1</t>
  </si>
  <si>
    <t>9.94.2</t>
  </si>
  <si>
    <t>9.94.3</t>
  </si>
  <si>
    <t>9.95.1</t>
  </si>
  <si>
    <t>125x75x4 mm Details of cost for 10 nos. MATERIAL</t>
  </si>
  <si>
    <t>9.95.2</t>
  </si>
  <si>
    <t>125x63x4 mm Details of cost for 10 nos. MATERIAL</t>
  </si>
  <si>
    <t>9.95.3</t>
  </si>
  <si>
    <t>100x75x4 mm Details of cost for 10 nos. MATERIAL</t>
  </si>
  <si>
    <t>9.95.4</t>
  </si>
  <si>
    <t>100x63x4 mm Details of cost for 10 nos. MATERIAL</t>
  </si>
  <si>
    <t>9.95.5</t>
  </si>
  <si>
    <t>100x63x3.2 mm Details of cost for 10 nos. MATERIAL</t>
  </si>
  <si>
    <t>9.95.6</t>
  </si>
  <si>
    <t>75x63x4 mm Details of cost for 10 nos. MATERIAL</t>
  </si>
  <si>
    <t>9.95.7</t>
  </si>
  <si>
    <t>75x63x3.2 mm Details of cost for 10 nos. MATERIAL</t>
  </si>
  <si>
    <t>9.95.8</t>
  </si>
  <si>
    <t>75x45x3.2 mm Details of cost for 10 nos. MATERIAL</t>
  </si>
  <si>
    <t>9.96.1</t>
  </si>
  <si>
    <t>9.96.2</t>
  </si>
  <si>
    <t>9.97.1</t>
  </si>
  <si>
    <t>300x10 mm Details of cost for 10 nos. MATERIAL</t>
  </si>
  <si>
    <t>9.97.2</t>
  </si>
  <si>
    <t>9.97.3</t>
  </si>
  <si>
    <t>9.97.4</t>
  </si>
  <si>
    <t>9.97.5</t>
  </si>
  <si>
    <t>9.98</t>
  </si>
  <si>
    <t>Providing and fixing aluminium pull bolt lock, ISI marked, anodised (anodic coating not less than gr</t>
  </si>
  <si>
    <t>10 pull bolt lock</t>
  </si>
  <si>
    <t>9.99</t>
  </si>
  <si>
    <t>Providing and fixing 50 cm long aluminium kicking plate of size 100x3.15 mm, anodised (anodic coatin</t>
  </si>
  <si>
    <t>9.118.1</t>
  </si>
  <si>
    <t>24 mm thick factory made PVC door shutters made of styles and rails of a uPVC hollow section of size</t>
  </si>
  <si>
    <t>9.118.2</t>
  </si>
  <si>
    <t>30 mm thick factory made Polyvinyl Chloride (PVC) door shutter made of styles and rails of a uPVC ho</t>
  </si>
  <si>
    <t>9.118.3</t>
  </si>
  <si>
    <t>25 mm thick PVC flush door shutters made out of a one piece Multi chamber extruded PVC section of th</t>
  </si>
  <si>
    <t>9.120.1</t>
  </si>
  <si>
    <t>30 mm thick plain PVC door shutters Details of cost for one door shutter 2.20x1.08m = 2.38 sqm MATER</t>
  </si>
  <si>
    <t>9.120.2</t>
  </si>
  <si>
    <t>30 mm thick pre laminated PVC door shutters Details of cost for one door shutter 2.20x1.08m = 2.38 s</t>
  </si>
  <si>
    <t>9.121</t>
  </si>
  <si>
    <t>Providing and fixing Fiber Glass Reinforced plastic (FRP) Door Frames of cross- section 90 mm x 45 m</t>
  </si>
  <si>
    <t>9.122.1</t>
  </si>
  <si>
    <t>30 mm thick Glass Fibre Reinforced Plastic (FRP) panelled door shutter of required colour and approv</t>
  </si>
  <si>
    <t>9.122.2</t>
  </si>
  <si>
    <t>30 mm thick Fiberglass Reinforced Plastic (F.R.P.) flush door shutter in different plain and wood fi</t>
  </si>
  <si>
    <t>9.125</t>
  </si>
  <si>
    <t>Providing and fixing PVC rigid foam sheet 1 mm thick on existing door shutters (bathroom and W.C. do</t>
  </si>
  <si>
    <t>9.141</t>
  </si>
  <si>
    <t xml:space="preserve">Providing and fixing PVC Door Frame of size 50x47 mm with a wall thickness of 5 mm (± 0.2 mm), made </t>
  </si>
  <si>
    <t>9.143</t>
  </si>
  <si>
    <t>Providing and Fixing factory made uPVC door frame, made of uPVC exturded sections, of size 65 mm x 5</t>
  </si>
  <si>
    <t>9.144</t>
  </si>
  <si>
    <t xml:space="preserve">Providing and fixing 37 mm thick factory made PVC door shutter, styles and rails made of PVC hollow </t>
  </si>
  <si>
    <t>9.145</t>
  </si>
  <si>
    <t>Providing and Fixing factory made PVC door frame made of PVC extruded sections of size 75 mm x 53 mm</t>
  </si>
  <si>
    <t>9.146</t>
  </si>
  <si>
    <t xml:space="preserve">Providing and fixing 37 mm thick factory made PVC Door shutter, styles and rails made of PVC hollow </t>
  </si>
  <si>
    <t>Labour for fabrication of uPVC extruded fixed windows including drilling holes, fixing of fittings &amp; hardwares, hire charges of drill machine and electricity charges etc.</t>
  </si>
  <si>
    <t>Labour for installation of uPVC extruded fixed windows including scaffolding</t>
  </si>
  <si>
    <t>Labour for fabrication of uPVC extruded casement/fixed windows/and door including drilling holes, fixing of fittings &amp; hardwares, hire charges of drill machine and electricity charges etc.</t>
  </si>
  <si>
    <t>Labour for installation of uPVC extruded casement windows and doors including scaffolding</t>
  </si>
  <si>
    <t>Labour for fabrication of uPVC extruded casement doors including drilling holes, fixing of fittings &amp; hardwares, hire charges of drill machine and electricity charges etc.</t>
  </si>
  <si>
    <t>Labour for installation of uPVC extruded casement ventilator and doors including scaffolding</t>
  </si>
  <si>
    <t>Labour for fabrication of uPVC extruded sliding windows including drilling holes, fixing of fittings &amp; hardwares, hire charges of drill machine and electricity charges etc.</t>
  </si>
  <si>
    <t>Labour for installation of uPVC extruded sliding windows including scaffolding</t>
  </si>
  <si>
    <t>Labour for installation of uPVC extruded casement/ sliding windows including scaffolding</t>
  </si>
  <si>
    <t>Labour for fabrication of uPVC extruded sliding doors including drilling holes, fixing of fittings &amp; hardwares, hire charges of drill machine and electricity charges etc.</t>
  </si>
  <si>
    <t>Labour for installation of uPVC extruded sliding doors including scaffolding</t>
  </si>
  <si>
    <t>9.149</t>
  </si>
  <si>
    <t>Providing and fixing casement handle made of zinc alloyed (white powder coated) for uPVC casement wi</t>
  </si>
  <si>
    <t>9.150</t>
  </si>
  <si>
    <t>Providing and fixing zinc alloyed (white powder coated) touch lock for uPVC sliding window with nece</t>
  </si>
  <si>
    <t>9.151</t>
  </si>
  <si>
    <t>Providing and fixing steel roller for uPVC sliding window with necessary screws etc. complete. Detai</t>
  </si>
  <si>
    <t>9.152</t>
  </si>
  <si>
    <t>Providing and fixing steel roller for uPVC sliding door with necessary screws etc. complete. Details</t>
  </si>
  <si>
    <t>9.153</t>
  </si>
  <si>
    <t>Providing and fixing steel (white power coated) crescent lock for uPVC sliding window/ door with nec</t>
  </si>
  <si>
    <t>10_Steel_Work</t>
  </si>
  <si>
    <t xml:space="preserve">Structural steel work in single section, fixed with or without connecting plate, including cutting, </t>
  </si>
  <si>
    <t>one qunital</t>
  </si>
  <si>
    <t>10.10.2</t>
  </si>
  <si>
    <t>Fixing with carbon steel galvanised dash fastener of required dia and size (to be paid for separatel</t>
  </si>
  <si>
    <t>one door 2x0</t>
  </si>
  <si>
    <t>10.11.1</t>
  </si>
  <si>
    <t>Fixing with 15x3 mm lugs 10 cm long embedded in cement concrete block 15x10x10 cm of C.C. 1:3:6 (1 C</t>
  </si>
  <si>
    <t>10.11.2</t>
  </si>
  <si>
    <t>10.13.2</t>
  </si>
  <si>
    <t>17</t>
  </si>
  <si>
    <t>10.14.1</t>
  </si>
  <si>
    <t>Profile B</t>
  </si>
  <si>
    <t>5 metre</t>
  </si>
  <si>
    <t>10.14.2</t>
  </si>
  <si>
    <t>Profile C</t>
  </si>
  <si>
    <t>10.14.3</t>
  </si>
  <si>
    <t>Profile E</t>
  </si>
  <si>
    <t>10.15.2</t>
  </si>
  <si>
    <t>10.17</t>
  </si>
  <si>
    <t>Providing and fixing M.S. fan clamp type I or II of 16 mm dia M.S. bar, bent to shape with hooked en</t>
  </si>
  <si>
    <t>1 clamp</t>
  </si>
  <si>
    <t>10.18</t>
  </si>
  <si>
    <t>Providing and fixing circular/ Hexagonal cast iron or M.S. sheet box for ceiling fan clamp, of inter</t>
  </si>
  <si>
    <t>10.19</t>
  </si>
  <si>
    <t>Providing and fixing mild steel round holding down bolts with nuts and washer plates complete. Detai</t>
  </si>
  <si>
    <t>one bolt 16mm dia</t>
  </si>
  <si>
    <t>Structural steel work riveted, bolted or welded in built up sections, trusses and framed work, inclu</t>
  </si>
  <si>
    <t>10.20</t>
  </si>
  <si>
    <t>Providing and fixing bolts including nuts and washers complete. Details of cost for 0.10q of nuts an</t>
  </si>
  <si>
    <t>10.21</t>
  </si>
  <si>
    <t>Providing and fixing M.S. rivets of sizes in position. Details of cost for 0.10q of rivets MATERIAL</t>
  </si>
  <si>
    <t>10.25.1</t>
  </si>
  <si>
    <t>In stringers, treads, landings etc. of stair cases, including use of chequered plate wherever requir</t>
  </si>
  <si>
    <t>10.25.2</t>
  </si>
  <si>
    <t>In gratings, frames, guard bar, ladder, railings, brackets, gates and similar works Details of 1mx1m</t>
  </si>
  <si>
    <t>10.27.1</t>
  </si>
  <si>
    <t>10 x 60 mm Details of cost for 10 nos. MATERIAL</t>
  </si>
  <si>
    <t>10.27.2</t>
  </si>
  <si>
    <t>10 x 80 mm Details of cost for 10 nos. MATERIAL</t>
  </si>
  <si>
    <t>10.27.3</t>
  </si>
  <si>
    <t>10 x 120 mm Details of cost for 10 nos. MATERIAL</t>
  </si>
  <si>
    <t>10.27.4</t>
  </si>
  <si>
    <t>10 x 140 mm Details of cost for 10 nos. MATERIAL</t>
  </si>
  <si>
    <t>10.27.5</t>
  </si>
  <si>
    <t>10 x 160 mm Details of cost for 10 nos. MATERIAL</t>
  </si>
  <si>
    <t>10.28</t>
  </si>
  <si>
    <t>Providing and fixing stainless steel ( Grade 304) railing made of Hollow tubes, channels, plates etc</t>
  </si>
  <si>
    <t>2kg</t>
  </si>
  <si>
    <t>10.29.1</t>
  </si>
  <si>
    <t>Galvanised M.S. Wire gauze with 0.63 mm dia wire and 1.4 mm aperture on both sides Details of cost f</t>
  </si>
  <si>
    <t>10.29.2</t>
  </si>
  <si>
    <t xml:space="preserve">Stainless steel (grade 304) wire gauze of 0.5 mm dia wire and 1.4 mm aperture on both sides Details </t>
  </si>
  <si>
    <t>10.30.1</t>
  </si>
  <si>
    <t xml:space="preserve">4.0 mm thick glass panes Details of cost for 10 glass panes (area of each pane = 0.10 sqm) MATERIAL </t>
  </si>
  <si>
    <t>10.30.2</t>
  </si>
  <si>
    <t xml:space="preserve">5.5 mm thick glass panes Details of cost for 10 glass panes (area of each pane = 0.10 sqm) MATERIAL </t>
  </si>
  <si>
    <t>10.31</t>
  </si>
  <si>
    <t>Providing and fixing angle iron frames for doors, windows and ventilators of mild steel Angle sectio</t>
  </si>
  <si>
    <t>Blacksmith 2nd Class</t>
  </si>
  <si>
    <t>Fitter (Grade-I)</t>
  </si>
  <si>
    <t>10.6.1</t>
  </si>
  <si>
    <t>80x1.25 mm M.S. laths with 1.25 mm thick top cover Details of cost for a shutter of size 3mx2.5m = 7</t>
  </si>
  <si>
    <t>a shutter of size 3mx2</t>
  </si>
  <si>
    <t>10.6.2</t>
  </si>
  <si>
    <t>80x1.20 mm M.S. laths with 1.20 mm thick top cover Details of cost for a shutter of size 3mx2.5m = 7</t>
  </si>
  <si>
    <t>10.6.3</t>
  </si>
  <si>
    <t>80x0.90 mm M.S. laths with 0.90 mm thick top cover Details of cost for a shutter of size 3mx2.5m = 7</t>
  </si>
  <si>
    <t>Rate as per item no 13.50.3 of SH : Finishing</t>
  </si>
  <si>
    <t>12_Roofing</t>
  </si>
  <si>
    <t>12.1.1</t>
  </si>
  <si>
    <t>1.00 mm thick with zinc coating not less than 275 gm/m² Details of cost for a roof with each sloping</t>
  </si>
  <si>
    <t>12.1.2</t>
  </si>
  <si>
    <t>0.80 mm thick with zinc coating not less than 275 gm/m² Details of cost for a roof with each sloping</t>
  </si>
  <si>
    <t>12.1.3</t>
  </si>
  <si>
    <t>0.63 mm thick with zinc coating not less than 275 gm/ m² Details of cost for a roof with each slopin</t>
  </si>
  <si>
    <t>12.10</t>
  </si>
  <si>
    <t xml:space="preserve">Extra for circular cutting in reinforced by organic fibres and/or inorganic synthetic fibres cement </t>
  </si>
  <si>
    <t>4 holes of 0</t>
  </si>
  <si>
    <t>12.11</t>
  </si>
  <si>
    <t>Extra for providing and fixing wind ties of 40x 6 mm flat iron section. Details of cost for 30 metre</t>
  </si>
  <si>
    <t>30 metres Extra for providing and fixing wind ties of 40x6mm flat iron section</t>
  </si>
  <si>
    <t>12.12.1</t>
  </si>
  <si>
    <t>Corrugated serrated adjustable ridges Details of cost for length of ridge 20.2 metres</t>
  </si>
  <si>
    <t>length of ridge 20</t>
  </si>
  <si>
    <t>12.12.2</t>
  </si>
  <si>
    <t xml:space="preserve">Plain wing adjustable ridges Details of cost for length of ridge 20.20 metres Plain wing adjustable </t>
  </si>
  <si>
    <t>12.12.3</t>
  </si>
  <si>
    <t>Close fitting adjustable ridges Details of cost for length of ridge 20.2 metres Close fitting adjust</t>
  </si>
  <si>
    <t>12.12.4</t>
  </si>
  <si>
    <t xml:space="preserve">Unserrated adjustable hips Details of cost for a shed with hip as 20.2 metres Unserrated adjustable </t>
  </si>
  <si>
    <t>a shed with hip as 20</t>
  </si>
  <si>
    <t>12.13.1</t>
  </si>
  <si>
    <t xml:space="preserve">Corrugated apron pieces Details for shed of 20.2 metres completed length MATERIAL Corrugated appron </t>
  </si>
  <si>
    <t>12.13.2</t>
  </si>
  <si>
    <t>Eave's filler pieces Details of eaves filler for a shed of 20.2 metres complete length MATERIAL Eave</t>
  </si>
  <si>
    <t>12.13.3</t>
  </si>
  <si>
    <t>North light curves Details of North light curve 20.2 metres long complete length MATERIAL North ligh</t>
  </si>
  <si>
    <t>12.13.4</t>
  </si>
  <si>
    <t xml:space="preserve">Ventilator curves Details of ventilator curve 20.2 metres long complete length MATERIAL North light </t>
  </si>
  <si>
    <t>12.13.5</t>
  </si>
  <si>
    <t xml:space="preserve">Barge boards Details of cost for 9.70 metres Completed length of barge boards MATERIAL Barge boards </t>
  </si>
  <si>
    <t>12.13.7</t>
  </si>
  <si>
    <t>Special north light curves Details of cost for 20 Nos Details of special north light ventilator curv</t>
  </si>
  <si>
    <t>20 Nos Details of special north light ventilator curve 20</t>
  </si>
  <si>
    <t>12.13.8</t>
  </si>
  <si>
    <t>S type louvers Details of cost for 8.74 metres MATERIAL S type louvers = 5 nos.+ Add 5% wastage = 0.</t>
  </si>
  <si>
    <t>8</t>
  </si>
  <si>
    <t>12.14</t>
  </si>
  <si>
    <t>Providing flat iron brackets 50x3 mm size with necessary bolts, nuts and washers etc. for fixing G.S</t>
  </si>
  <si>
    <t>12.15.1</t>
  </si>
  <si>
    <t>With residual type petroleum bitumen of grade VG -10 Details of cost for 10 Sqm. MATERIAL Bitumen 80</t>
  </si>
  <si>
    <t>10 Sqm</t>
  </si>
  <si>
    <t>12.18</t>
  </si>
  <si>
    <t>Extra for every additional 1 cm thickness of mud phaska. Detail of cost for 10 sqm MATERIAL For 10 c</t>
  </si>
  <si>
    <t>12.2.1</t>
  </si>
  <si>
    <t>1.00 mm thick Details of cost for 3 metres periphery Assuming a hole of 10dmx5dm area of the hole 50</t>
  </si>
  <si>
    <t>3 metres periphery Assuming a hole of 10dmx5dm area of the hole 50dm2 and the perimeter of the hole 3 metre</t>
  </si>
  <si>
    <t>12.2.2</t>
  </si>
  <si>
    <t>0.80 mm thick Details of cost for 3 metres periphery Assuming a hole of 10dmx5dm area of the hole 50</t>
  </si>
  <si>
    <t>12.2.3</t>
  </si>
  <si>
    <t>0.63 mm thick Details of cost for 3 metres periphery Assuming a hole of 10dmx5dm area of the hole 50</t>
  </si>
  <si>
    <t>12.21.1</t>
  </si>
  <si>
    <t>In 75x75 mm deep chase Details of cost for 10 metres cement concrete</t>
  </si>
  <si>
    <t>10 metres cement concrete</t>
  </si>
  <si>
    <t>12.22</t>
  </si>
  <si>
    <t>Making khurras 45x45 cm with average minimum thickness of 5 cm cement concrete 1:2:4 (1 cement : 2 c</t>
  </si>
  <si>
    <t>12.24.1</t>
  </si>
  <si>
    <t>Natural colour insulating board</t>
  </si>
  <si>
    <t>12.24.2</t>
  </si>
  <si>
    <t>White face insulating board</t>
  </si>
  <si>
    <t>12.24.3</t>
  </si>
  <si>
    <t>Flame retardant face insulating board</t>
  </si>
  <si>
    <t>12.25.1</t>
  </si>
  <si>
    <t>12 mm thick Details of cost for 10 sqm. MATERIAL</t>
  </si>
  <si>
    <t>12.26.1</t>
  </si>
  <si>
    <t>6 mm thick Cement fiber board as per IS: 14862 Details of cost for 10 sqm. MATERIAL</t>
  </si>
  <si>
    <t>12.26.2</t>
  </si>
  <si>
    <t>6 mm thick Cement bonded wood particle board as per IS:14276 Details of cost for 10 sqm. MATERIAL</t>
  </si>
  <si>
    <t>12.27.1</t>
  </si>
  <si>
    <t>2nd class teak wood planks 20 mm thick Details of cost for 10 holes of 0.5m dia each (15.71m) MATERI</t>
  </si>
  <si>
    <t>10 holes of 0</t>
  </si>
  <si>
    <t>12.27.2</t>
  </si>
  <si>
    <t>12.27.3</t>
  </si>
  <si>
    <t>White face insulating board:</t>
  </si>
  <si>
    <t>15</t>
  </si>
  <si>
    <t>12.27.4</t>
  </si>
  <si>
    <t>Flame retardant face insulating board:</t>
  </si>
  <si>
    <t>12.27.5</t>
  </si>
  <si>
    <t>Standard quality hard board sheet:</t>
  </si>
  <si>
    <t>12.28</t>
  </si>
  <si>
    <t>Extra for providing and fixing ceiling to curved surfaces in narrow widths Details of cost for 10 sq</t>
  </si>
  <si>
    <t>12.3.1</t>
  </si>
  <si>
    <t xml:space="preserve">1.00 mm thick Details of cost for 10 holes of 0.5 metre dia-metre Perimetre of 10 nos 10x22/7x0.5 = </t>
  </si>
  <si>
    <t>12.3.2</t>
  </si>
  <si>
    <t xml:space="preserve">0.80 mm thick Details of cost for 10 holes of 0.5 metre dia-metre Perimetre of 10 nos 10x22/7x0.5 = </t>
  </si>
  <si>
    <t>12.3.3</t>
  </si>
  <si>
    <t xml:space="preserve">0.63 mm thick Details of cost for 10 holes of 0.5 metre dia-metre Perimetre of 10 nos 10x22/7x0.5 = </t>
  </si>
  <si>
    <t>12.31.1</t>
  </si>
  <si>
    <t>Flat surfaces Details of cost for 4.00x2.5=10sqm. MATERIAL Wooden strips of 1st class kail wood 72x4</t>
  </si>
  <si>
    <t>12.31.2</t>
  </si>
  <si>
    <t>Curved surfaces Details of cost for 4.00x2.5=10sqm. MATERIAL Wooden strips of 1st class kail wood 72</t>
  </si>
  <si>
    <t>12.32</t>
  </si>
  <si>
    <t>Extra for sunk or raised mouldings in the plaster of Paris (Gypsum anhydrous) ceiling. Details of co</t>
  </si>
  <si>
    <t>12.33</t>
  </si>
  <si>
    <t>Extra for providing plaster of Paris (Gypsum anhydrous) ceiling above 5 metres height from floor lev</t>
  </si>
  <si>
    <t>10sqm/metre height</t>
  </si>
  <si>
    <t>12.34</t>
  </si>
  <si>
    <t>Providing fixing thermal insulation of ceiling (under deck insulation) with Resin Bonded Fibre glass</t>
  </si>
  <si>
    <t>12.35</t>
  </si>
  <si>
    <t>Providing and fixing thermal insulation with Resin Bonded Fibre glass wool conforming to IS: 8183. D</t>
  </si>
  <si>
    <t>12.36.1</t>
  </si>
  <si>
    <t>With Type N - Normal 50 mm thick Details of cost for 10.00sqm. Cost of materials : Expanded Polystyr</t>
  </si>
  <si>
    <t>12.36.2</t>
  </si>
  <si>
    <t>With Type SE - Self Extinguishing type 50 mm thick Details of cost for 10.00sqm. Cost of materials :</t>
  </si>
  <si>
    <t>12.37.1</t>
  </si>
  <si>
    <t>Stone ware spout Details of cost for 10 stone ware spout of 60cm long MATERIAL</t>
  </si>
  <si>
    <t>10 stone ware spout of 60cm long</t>
  </si>
  <si>
    <t>12.38.1</t>
  </si>
  <si>
    <t>100 mm diameter Details of cost of 5 nos. MATERIAL</t>
  </si>
  <si>
    <t>12.38.2</t>
  </si>
  <si>
    <t>150 mm diameter Details of cost of 5 nos. MATERIAL</t>
  </si>
  <si>
    <t>12.39.1</t>
  </si>
  <si>
    <t>100 mm dia Pipe Details of cost for one joint. MATERIAL</t>
  </si>
  <si>
    <t>12.39.2</t>
  </si>
  <si>
    <t>150 mm dia Pipe Details of cost for one joint. MATERIAL</t>
  </si>
  <si>
    <t>12.4.1</t>
  </si>
  <si>
    <t xml:space="preserve">0.80 mm thick with zinc coating not less than 275 gm/m² Details of cost for 10.35 metres long ridge </t>
  </si>
  <si>
    <t>12.4.2</t>
  </si>
  <si>
    <t xml:space="preserve">0.63 mm thick with zinc coating not less than 275 gm/m² Details of cost for 10.35 metre long ridge. </t>
  </si>
  <si>
    <t>12.41.1</t>
  </si>
  <si>
    <t>75 mm diameter Details of cost for 6.00 metres</t>
  </si>
  <si>
    <t>12.41.2</t>
  </si>
  <si>
    <t>110 mm diameter Details of cost for 6.00 metres</t>
  </si>
  <si>
    <t>12.43.1</t>
  </si>
  <si>
    <t>75 mm Details of cost for 5 nos. MATERIAL</t>
  </si>
  <si>
    <t>5 nos</t>
  </si>
  <si>
    <t>12.43.2</t>
  </si>
  <si>
    <t>110 mm Details of cost for 5 nos. MATERIAL</t>
  </si>
  <si>
    <t>12.45.1</t>
  </si>
  <si>
    <t>12.5 mm thick tapered edge gypsum plain board conforming to IS: 2095- (Part I) : 2011 (Board with BI</t>
  </si>
  <si>
    <t>12.45.2</t>
  </si>
  <si>
    <t>12.5 mm thick tapered edge Glass Reinforced Gypsum (GRG) board conforming to IS: 2095- (Part 3) : 19</t>
  </si>
  <si>
    <t>12.45.3</t>
  </si>
  <si>
    <t>12.5 mm thick tapered edge gypsum moisture resistant board Details of cost for 10.8x9.6m = 103.68sqm</t>
  </si>
  <si>
    <t>12.45.4</t>
  </si>
  <si>
    <t>Fully Perforated Gypsum Plaster Board of size 1200 x 2400x12.5 mm having approx. 15 % perforated are</t>
  </si>
  <si>
    <t>12.47.1</t>
  </si>
  <si>
    <t>2 mm thick corrugated (2.5" or 4.2" or 6") or step-down (2" or 3" or 6" ) as specified Details of co</t>
  </si>
  <si>
    <t>area of roof</t>
  </si>
  <si>
    <t>12.47.2</t>
  </si>
  <si>
    <t>2 mm thick flat Details of cost for area of roof. 2x18.09x5.1 = 184.518 sqm. MATERIAL</t>
  </si>
  <si>
    <t>12.48</t>
  </si>
  <si>
    <t>Providing &amp; fixing on roof pressed clay tile (Mangalore tile) of 20 mm nominal thickness and of appr</t>
  </si>
  <si>
    <t>12.49</t>
  </si>
  <si>
    <t>Providing &amp; laying on roof pressed clay tile ridge (Mangalore tile) of 20mm thickness and of approve</t>
  </si>
  <si>
    <t>12.5.1</t>
  </si>
  <si>
    <t>1.60 mm thick with zinc coating not less than 350 gm/m² Details of cost for 9.325m MATERIAL G.I. pla</t>
  </si>
  <si>
    <t>12.50</t>
  </si>
  <si>
    <t xml:space="preserve">Providing and fixing precoated galvanised iron profile sheets (size, shape and pitch of corrugation </t>
  </si>
  <si>
    <t>12.51.1</t>
  </si>
  <si>
    <t xml:space="preserve">Ridges plain (500 - 600mm) Detail of cost for 20.20 metre One piece plain ridges Consider a shed of </t>
  </si>
  <si>
    <t>12.51.2</t>
  </si>
  <si>
    <t>Flashings/ Aprons.( Upto 600 mm) Details for shed of 20.2 metres completed length MATERIAL</t>
  </si>
  <si>
    <t>12.51.3</t>
  </si>
  <si>
    <t>North light curves Details of North light curve 20.20 metres long complete length MATERIAL</t>
  </si>
  <si>
    <t>12.51.4</t>
  </si>
  <si>
    <t xml:space="preserve">Barge board (Upto 300 mm) Details of cost for 8.23 metres Completed length of barge boards = 8.23 + </t>
  </si>
  <si>
    <t>12.51.5</t>
  </si>
  <si>
    <t>Crimp curve Details of crimp curve 20.2 metres long complete length, Area 20.20 x 1.06 =21.412 sqm M</t>
  </si>
  <si>
    <t>12.51.6</t>
  </si>
  <si>
    <t>Gutter (600 mm over all girth) Detail of cost of 10 metre 0.63mm thick with zinc coating not less th</t>
  </si>
  <si>
    <t>12.52.1</t>
  </si>
  <si>
    <t>GI Metal Ceiling</t>
  </si>
  <si>
    <t>12.52.2</t>
  </si>
  <si>
    <t xml:space="preserve">GI Metal Ceiling Lay in perforated Tegular edge global white color tiles of size 595x595 mm and 0.5 </t>
  </si>
  <si>
    <t>12.52.3</t>
  </si>
  <si>
    <t>12.5 mm thick square edge PVC Laminated Gypsum Tile of size 595x595 mm, made of Gypsum plasterboard,</t>
  </si>
  <si>
    <t>12.52.4</t>
  </si>
  <si>
    <t>12.5 mm thick fully Perforated Gypsum Board tile made from plasterboard having glass fibre conformin</t>
  </si>
  <si>
    <t>12.53</t>
  </si>
  <si>
    <t xml:space="preserve">Providing and Fixing 15 mm thick densified tegular edged eco friendly light weight calcium silicate </t>
  </si>
  <si>
    <t>12.54.1</t>
  </si>
  <si>
    <t>GI Metal Ceiling Clip in plain Beveled edge global white color tiles of size 600x600 and 0.5 mm thic</t>
  </si>
  <si>
    <t>12.54.2</t>
  </si>
  <si>
    <t>12.57</t>
  </si>
  <si>
    <t>Providing and fixing thermal insulation with Resin Bonded Fibre glass wool conforming to IS: 8183 ha</t>
  </si>
  <si>
    <t>12.58.1</t>
  </si>
  <si>
    <t>8 mm thick fully perforated calcium silicate board made with Calcareous &amp; Siliceous materials reinfo</t>
  </si>
  <si>
    <t>100 sqm Ceiling area = 100 sq</t>
  </si>
  <si>
    <t>12.59.1</t>
  </si>
  <si>
    <t>8 mm thick Calcium Silicate Board made with Calcareous &amp; Siliceous materials reinforced with cellulo</t>
  </si>
  <si>
    <t>12.6.1</t>
  </si>
  <si>
    <t>1.00 mm thick with zinc coating not less than 275 gm/m² Details of cost for 12.125m Consider a lengt</t>
  </si>
  <si>
    <t>12.60</t>
  </si>
  <si>
    <t>Providing and fixing thermal insulation of ceiling (under deck insulation) with Resin Bonded Rockwoo</t>
  </si>
  <si>
    <t>10 sqm Area for 10</t>
  </si>
  <si>
    <t>12.61</t>
  </si>
  <si>
    <t xml:space="preserve">Providing and fixing thermal insulation with Resin bonded rock wool conforming to IS: 8183, density </t>
  </si>
  <si>
    <t>12.62</t>
  </si>
  <si>
    <t>Providing and fixing thermal insulation with Resin Bonded rock wool conforming to IS: 8183, having d</t>
  </si>
  <si>
    <t>12.63</t>
  </si>
  <si>
    <t>Providing and applying two coats of High Albedo paint having minimum Solar Reflective Index (SRI) 10</t>
  </si>
  <si>
    <t>Beldar (for cleanign the surface)</t>
  </si>
  <si>
    <t>12.7.1</t>
  </si>
  <si>
    <t xml:space="preserve">0.80 mm thick with zinc coating not less than 275 gm/m² Details of cost for 9.04m 0.80mm thick with </t>
  </si>
  <si>
    <t>12.7.2</t>
  </si>
  <si>
    <t xml:space="preserve">0.63 mm thick with zinc coating not less than 275 gm/m² Details of cost for 9.04m 0.63mm thick with </t>
  </si>
  <si>
    <t>12.8</t>
  </si>
  <si>
    <t>Providing reinforced by organic fibres and/or inorganic synthetic fibres cement 6 mm thick corrugate</t>
  </si>
  <si>
    <t>216</t>
  </si>
  <si>
    <t>12.9</t>
  </si>
  <si>
    <t xml:space="preserve">Extra for straight cutting in reinforced by organic fibres and/or inorganic synthetic fibres cement </t>
  </si>
  <si>
    <t>3 metres of periphery Area of cutting 0</t>
  </si>
  <si>
    <t>Rate as per Item No.3.9 of SH:Mortar</t>
  </si>
  <si>
    <t>11_Flooring</t>
  </si>
  <si>
    <t>11.10.1</t>
  </si>
  <si>
    <t>Dark shade pigment with Ordinary cement Details of cost for 10 sqm MATERIAL For Under layer of 31 mm</t>
  </si>
  <si>
    <t>11.10.4</t>
  </si>
  <si>
    <t>White cement without any pigment Details of cost for 10 sqm MATERIAL For Under layer of 31 mm thick</t>
  </si>
  <si>
    <t>11.10.6</t>
  </si>
  <si>
    <t>Ordinary cement without any pigment Details of cost for 10 sqm MATERIAL For under layer 31 mm thick</t>
  </si>
  <si>
    <t>11.11.1</t>
  </si>
  <si>
    <t>Dark shade pigment with ordinary cement Details of cost for 10 sqm MATERIAL For under layer 28 mm th</t>
  </si>
  <si>
    <t>11.11.4</t>
  </si>
  <si>
    <t>White cement without any pigment Details of cost for 10 sqm MATERIAL For under layer 28 mm thick</t>
  </si>
  <si>
    <t>11.11.6</t>
  </si>
  <si>
    <t>Ordinary cement without any pigment Details of cost for 10 sqm MATERIAL For under layer 28 mm thick</t>
  </si>
  <si>
    <t>11.13.1</t>
  </si>
  <si>
    <t>40 mm wide and 4 mm thick Details of cost for 10 metre length MATERIAL Glass strips = 10m Add 10% fo</t>
  </si>
  <si>
    <t>10 metre length</t>
  </si>
  <si>
    <t>11.14</t>
  </si>
  <si>
    <t>Extra for laying terrazo flooring on staircase treads not exceeding 30 cm in width, including cost o</t>
  </si>
  <si>
    <t>11.17</t>
  </si>
  <si>
    <t>Extra if terrazo tiles are laid in treads of steps not exceeding 30 cm in width. Details of cost for</t>
  </si>
  <si>
    <t>11.24</t>
  </si>
  <si>
    <t>Extra for pre finished nosing to treads of steps of marble stone. Details of cost for 10 metre LABOU</t>
  </si>
  <si>
    <t>11.25</t>
  </si>
  <si>
    <t xml:space="preserve">Extra for marble stone flooring in treads of steps and risers using single length up to 2.00 metre. </t>
  </si>
  <si>
    <t>11.3.1</t>
  </si>
  <si>
    <t>40 mm thick with 20 mm nominal size stone aggregate Details of cost for 10 sqm. MATERIAL</t>
  </si>
  <si>
    <t>11.31</t>
  </si>
  <si>
    <t>Extra for pre finished nosing in treads of steps of Kota stone/ sand stone slab. Details of cost for</t>
  </si>
  <si>
    <t>11.32</t>
  </si>
  <si>
    <t>Extra for Kota stone/ sand stone in treads of steps and risers using single length up to 1.05 metre.</t>
  </si>
  <si>
    <t>11.33.1</t>
  </si>
  <si>
    <t>Second class teak wood Details of cost for 2.5x4=10 sqm. MATERIAL Second class indian teak wood No o</t>
  </si>
  <si>
    <t>11.33.2</t>
  </si>
  <si>
    <t>Second class deodar wood Details of cost for 2.5x4=10 sqm. MATERIAL First class deodar wood planks N</t>
  </si>
  <si>
    <t>11.34</t>
  </si>
  <si>
    <t>38 mm thick wood block flooring of first class teak wood laid over 25 mm thick leveling layer of cem</t>
  </si>
  <si>
    <t>11.35</t>
  </si>
  <si>
    <t>Providing and fixing M.S. angle 50x50x5 mm to act as nosing with lugs of M.S. flat 10x5 mm, 10 cm lo</t>
  </si>
  <si>
    <t>11.43</t>
  </si>
  <si>
    <t>Fixing glazed/ Ceramic/ Vitrified floor tiles with cement based high polymer modified quick-set tile</t>
  </si>
  <si>
    <t>11.45</t>
  </si>
  <si>
    <t>Providing and laying 500x500x40 mm thick Turf paver (Turfpave XD) on 150 mm thick sub grade of compa</t>
  </si>
  <si>
    <t>11.47.1</t>
  </si>
  <si>
    <t>Size of Tile 500x500 mm Details of cost for 1 sqm MATERIAL Vitrified floor tiles 50 x 50 cm size = 1</t>
  </si>
  <si>
    <t>11.47.2</t>
  </si>
  <si>
    <t>Size of Tile 600x600 mm Details of cost for 1 sqm MATERIAL Vitrified floor tiles 60 x 60 cm size = 1</t>
  </si>
  <si>
    <t>11.47.3</t>
  </si>
  <si>
    <t>Size of Tile 800x800 mm Details of cost for 1 sqm MATERIAL Vitrified floor tiles 80 x 80 cm size = 1</t>
  </si>
  <si>
    <t>11.47.4</t>
  </si>
  <si>
    <t>Size of Tile 1000x1000 mm Details of cost for 1 sqm MATERIAL Vitrified floor tiles 100 x 100 cm size</t>
  </si>
  <si>
    <t>11.48.1</t>
  </si>
  <si>
    <t>Size of Tile 500x500 mm Details of cost for 1 sqm MATERIAL</t>
  </si>
  <si>
    <t>11.48.2</t>
  </si>
  <si>
    <t>Size of Tile 600x600 mm Details of cost for 1 sqm MATERIAL</t>
  </si>
  <si>
    <t>11.48.3</t>
  </si>
  <si>
    <t>Size of Tile 800x800 mm Details of cost for 1 sqm MATERIAL</t>
  </si>
  <si>
    <t>11.48.4</t>
  </si>
  <si>
    <t>Size of Tile 1000x1000 mm Details of cost for 1 sqm MATERIAL</t>
  </si>
  <si>
    <t>11.49.1</t>
  </si>
  <si>
    <t>11.49.2</t>
  </si>
  <si>
    <t>11.49.3</t>
  </si>
  <si>
    <t>11.49.4</t>
  </si>
  <si>
    <t>11.53</t>
  </si>
  <si>
    <t>Providing and fixing Glass mossaic tiles on finished plain wall surface of size 20 mm x 20 mm x 4 mm</t>
  </si>
  <si>
    <t>11.54.1</t>
  </si>
  <si>
    <t>300 mm Finished Floor Height (FFH) Details of Cost for : 100.00 Sqm MATERIALS :</t>
  </si>
  <si>
    <t>: 100</t>
  </si>
  <si>
    <t>11.54.2</t>
  </si>
  <si>
    <t>450 mm Finished Floor Height (FFH). Details of Cost for : 100.00 Sqm MATERIALS :</t>
  </si>
  <si>
    <t>11.7</t>
  </si>
  <si>
    <t>Rate as per Item Number 11.7 of SH: Flooring</t>
  </si>
  <si>
    <t>11.8</t>
  </si>
  <si>
    <t>Extra for making chequers of approved pattern on cement concrete floors, steps, landing, pavements e</t>
  </si>
  <si>
    <t>11.9.1</t>
  </si>
  <si>
    <t>Dark shade pigment with ordinary cement Details of cost for 10 sqm. MATERIAL For under layer of 34mm</t>
  </si>
  <si>
    <t>11.9.4</t>
  </si>
  <si>
    <t>White cement without any pigment Details of cost for 10 sqm. MATERIAL For under layer of 34mm thick</t>
  </si>
  <si>
    <t>2.27</t>
  </si>
  <si>
    <t>Rate as per Item No.2.27 of</t>
  </si>
  <si>
    <t>Rate as per Item Number 3.10 of SH: Mortars</t>
  </si>
  <si>
    <t>Rate as per Item Number 3.18 of SH: Mortars</t>
  </si>
  <si>
    <t>Cement mortar 1:3 (1 Cement: 3 Coarse Sand)</t>
  </si>
  <si>
    <t>Mason 1st Class</t>
  </si>
  <si>
    <t>Rate as per Item No.3.8 of SH:Mortars</t>
  </si>
  <si>
    <t>Cement mortar 1:3 for 12mm base</t>
  </si>
  <si>
    <t>Mason 1st class</t>
  </si>
  <si>
    <t>Rate as per Item No.3.9 of SH: MORTARS Cemnt for slurry@, 4.4 kg/sqm (i) for bedding=44 kg+ (ii) for</t>
  </si>
  <si>
    <t>Rate as per Item No.3.9 of SH: MORTARS</t>
  </si>
  <si>
    <t>Rate as per item No.4.1.3 of S.H.Concrete Work</t>
  </si>
  <si>
    <t>11.4</t>
  </si>
  <si>
    <t xml:space="preserve">52 mm thick cement concrete flooring with concrete hardener topping, under layer 40 mm thick cement </t>
  </si>
  <si>
    <t>11.5</t>
  </si>
  <si>
    <t xml:space="preserve">62 mm thick cement concrete flooring with concrete hardener topping, under layer 50 mm thick cement </t>
  </si>
  <si>
    <t>Sundries Description</t>
  </si>
  <si>
    <t>Base L.S. Quantity</t>
  </si>
  <si>
    <t>Index Multiplier</t>
  </si>
  <si>
    <t>Total Amount (Rs)</t>
  </si>
  <si>
    <t>Sundries Add for sweeping the wagon, screening the swept cement and filling the same in bags</t>
  </si>
  <si>
    <t>Extra for fixing crane including labour involved</t>
  </si>
  <si>
    <t>Rate as per item no. 2.8.1 of</t>
  </si>
  <si>
    <t>Rate as per Item Number 2.9.1 of</t>
  </si>
  <si>
    <t>Rate as per Item Number 2.9.2 of</t>
  </si>
  <si>
    <t>Rate as per Item Number 2.9.3 of</t>
  </si>
  <si>
    <t>Sundries, rent of sprayer etc.</t>
  </si>
  <si>
    <t>Sundries and rent of a sprayer and mortar and making good the holes</t>
  </si>
  <si>
    <t>Sundries, rent of sprayer and mortar</t>
  </si>
  <si>
    <t>Sundries, rent of pump etc.</t>
  </si>
  <si>
    <t>Hire and running charges of mechanical mixer</t>
  </si>
  <si>
    <t>As cost for running and upkeep of mortar mill</t>
  </si>
  <si>
    <t>Scaffolding</t>
  </si>
  <si>
    <t>Scaffolding (17.60x2.5 avg.)</t>
  </si>
  <si>
    <t>Assembly nuts &amp; bolts</t>
  </si>
  <si>
    <t>Shuttering oil</t>
  </si>
  <si>
    <t>Nut &amp; Bolts</t>
  </si>
  <si>
    <t>Assembly nut &amp; bolt</t>
  </si>
  <si>
    <t>Rate as per item no. 11.7 of</t>
  </si>
  <si>
    <t>Mortar and labour for hoisting and finishing</t>
  </si>
  <si>
    <t>Rate as per Item Number 11.7 of</t>
  </si>
  <si>
    <t>Mortar and labour for finishing</t>
  </si>
  <si>
    <t>Centering and shuttering including T&amp;P charges, hire charges of steel mould, table vibrator, rammer, bolts nuts &amp; washers etc.</t>
  </si>
  <si>
    <t>Sundries (Form work etc.)</t>
  </si>
  <si>
    <t>Sundries (Carriage of kerosene, steam coal, brushes, T&amp;P etc.)</t>
  </si>
  <si>
    <t>Hire and runing charges of mechanical mixer</t>
  </si>
  <si>
    <t>Scafolding</t>
  </si>
  <si>
    <t>4. Assembly nut &amp; bolts etc.</t>
  </si>
  <si>
    <t>Sundries, paper tap etc.</t>
  </si>
  <si>
    <t>(iv) Assembly nut &amp; bolts etc.</t>
  </si>
  <si>
    <t>Sundries, paper tape etc.</t>
  </si>
  <si>
    <t>Assembly nut &amp; bolts etc.</t>
  </si>
  <si>
    <t>5.10.1</t>
  </si>
  <si>
    <t>12 mm dia. &amp; 100 mm length Details of cost for wall length 7.90mx1m (24 set) MATERIAL</t>
  </si>
  <si>
    <t>wall length 7</t>
  </si>
  <si>
    <t>5.10.2</t>
  </si>
  <si>
    <t>12 mm dia. &amp; 150 mm length Details of cost for wall length 7.90mx1m (24 set)</t>
  </si>
  <si>
    <t>5.10.3</t>
  </si>
  <si>
    <t>20 mm dia. &amp; 150 mm length Details of cost for wall length 7.90mx1m (24 set) MATERIAL</t>
  </si>
  <si>
    <t>5.10.4</t>
  </si>
  <si>
    <t>20 mm dia.&amp; 225 mm length Details of cost for wall length 7.90mx1m (24 set) MATERIAL</t>
  </si>
  <si>
    <t>Mortar and labour for hoisting and for fixing</t>
  </si>
  <si>
    <t>Add for extra labour for hoisting</t>
  </si>
  <si>
    <t>Cement mortar 1:3 for fixing</t>
  </si>
  <si>
    <t>Labour for hoisting, Transporting and setting in position</t>
  </si>
  <si>
    <t>Mortar for fixing</t>
  </si>
  <si>
    <t>5.9.5</t>
  </si>
  <si>
    <t>Rate as per item 5.9.5 of</t>
  </si>
  <si>
    <t>Sundries and for lifting materials</t>
  </si>
  <si>
    <t>Wire for tieing</t>
  </si>
  <si>
    <t>Cover block</t>
  </si>
  <si>
    <t>Sundries and binding wire</t>
  </si>
  <si>
    <t>For cut and bend</t>
  </si>
  <si>
    <t>Extra for removing burrs, cleaning with wire brushes pock marking with pointed tool etc. complete</t>
  </si>
  <si>
    <t>Scaffolding and Sundries</t>
  </si>
  <si>
    <t>Spreading earth on floor (7.5mm thick)</t>
  </si>
  <si>
    <t>Disposal of earth spread over floor protectIron</t>
  </si>
  <si>
    <t>50mm iron screws with washer and rawl plugs</t>
  </si>
  <si>
    <t>Add for materials (cement mortar etc.)</t>
  </si>
  <si>
    <t>Sundries, Brush</t>
  </si>
  <si>
    <t>5.42.1</t>
  </si>
  <si>
    <t>Coupler for 16 mm diameter reinforcement bar Detail of cost for 1 Nos MATERIAL</t>
  </si>
  <si>
    <t>For placing in position and fixing</t>
  </si>
  <si>
    <t>Tapard/Parallel threading charges</t>
  </si>
  <si>
    <t>5.42.2</t>
  </si>
  <si>
    <t>Coupler for 20 mm diameter reinforcement bar Detail of cost for 1 Nos MATERIAL</t>
  </si>
  <si>
    <t>5.42.3</t>
  </si>
  <si>
    <t>Coupler for 25 mm diameter reinforcement bar Detail of cost for 1 Nos MATERIAL</t>
  </si>
  <si>
    <t>5.42.4</t>
  </si>
  <si>
    <t>Coupler for 28 mm diameter reinforcement bar Detail of cost for 1 Nos MATERIAL</t>
  </si>
  <si>
    <t>5.42.5</t>
  </si>
  <si>
    <t>Coupler for 32 mm diameter reinforcement bar Detail of cost for 1 Nos MATERIAL</t>
  </si>
  <si>
    <t>13.48.2</t>
  </si>
  <si>
    <t>Rate as per Item No.13.48.2 of</t>
  </si>
  <si>
    <t>Labour for grouting diaphragm wall under pressure i/c fixing nozzle etc</t>
  </si>
  <si>
    <t>15.3</t>
  </si>
  <si>
    <t>Rate as per Item No.15.3 of</t>
  </si>
  <si>
    <t>Sundries (Extra for concreting by Trimme)</t>
  </si>
  <si>
    <t>Sundries ( Design Charges)</t>
  </si>
  <si>
    <t>Painting the steel Bitumen</t>
  </si>
  <si>
    <t>Add for use of Core</t>
  </si>
  <si>
    <t>Sundries and scaffolding</t>
  </si>
  <si>
    <t>Sundries &amp; Scaffolding</t>
  </si>
  <si>
    <t>6.15</t>
  </si>
  <si>
    <t>Extra for providing and placing in position 2 Nos 6mm dia. M.S. bars at every third course of half b</t>
  </si>
  <si>
    <t>Sundries and shuttering</t>
  </si>
  <si>
    <t>6.4.1</t>
  </si>
  <si>
    <t>Rate as per item No 6.4.1 of</t>
  </si>
  <si>
    <t>Extra for delay due to fine work</t>
  </si>
  <si>
    <t>Sundries including steel/wooden strips for making grooves.</t>
  </si>
  <si>
    <t>Sundries i/c steel / wooden strips for making grooves</t>
  </si>
  <si>
    <t>Rate as per item no 3.3 SH Mortar</t>
  </si>
  <si>
    <t>Sundries &amp; scaffolding</t>
  </si>
  <si>
    <t>6.44</t>
  </si>
  <si>
    <t xml:space="preserve">Brick edging 7cm wide 11.4 cm deep to plinth protection with common burnt clay F.P.S. (non modular) </t>
  </si>
  <si>
    <t>10m length</t>
  </si>
  <si>
    <t>Excavation and disposal of surplus earth</t>
  </si>
  <si>
    <t>Cement concrete 1:6:12</t>
  </si>
  <si>
    <t>Sundries, scaffolding etc.</t>
  </si>
  <si>
    <t>Mortar for laying and pointing</t>
  </si>
  <si>
    <t>Centering and shuttering</t>
  </si>
  <si>
    <t>Extra for using white cement</t>
  </si>
  <si>
    <t>Centring and shuttering</t>
  </si>
  <si>
    <t>7.17.1</t>
  </si>
  <si>
    <t>Square or rectangular pillars Details of cost for 10 cudm or 0.01 cum</t>
  </si>
  <si>
    <t>Labour and materials</t>
  </si>
  <si>
    <t>7.18</t>
  </si>
  <si>
    <t>Extra for stone work; plain ashlar or ashlar punched curved on plan with a mean radius not exceeding</t>
  </si>
  <si>
    <t>7.21.1</t>
  </si>
  <si>
    <t>Triangular or Square or rectangular pillars Details of cost for 10 cudm or 0.01 cum</t>
  </si>
  <si>
    <t>LABOUR</t>
  </si>
  <si>
    <t>7.21.2</t>
  </si>
  <si>
    <t>Circular or polygonal pillars Details of cost for 10 cudm or 0.01 cum</t>
  </si>
  <si>
    <t>7.24</t>
  </si>
  <si>
    <t>Extra for stone work (veneer work) curved on plan with a mean radius not exceeding 6 m. Details of c</t>
  </si>
  <si>
    <t>7.26</t>
  </si>
  <si>
    <t>Providing and fixing stone dowels 10x5x2.50 cm cut to double wedge shape as per design in cement mor</t>
  </si>
  <si>
    <t>one dowel</t>
  </si>
  <si>
    <t>Cost of stone including carriage</t>
  </si>
  <si>
    <t>Labour for dressing dowel cutting chase and fixing etc.</t>
  </si>
  <si>
    <t>Cutting threads and cost of nuts, washers, etc.</t>
  </si>
  <si>
    <t>Pigment</t>
  </si>
  <si>
    <t>Extra cost of white cement</t>
  </si>
  <si>
    <t>Scaffolding and sundries etc.</t>
  </si>
  <si>
    <t>Cost of Brick cover support.</t>
  </si>
  <si>
    <t>Cost for Brick cover support .</t>
  </si>
  <si>
    <t>Mortar for pointing 1:2</t>
  </si>
  <si>
    <t>Cement mortar 1 :4</t>
  </si>
  <si>
    <t>Mortar and Sundries</t>
  </si>
  <si>
    <t>Mortar for pointing in white cement</t>
  </si>
  <si>
    <t>Granular sand particles mixed with araldite to be pasted on each side to form interlocking arrangement with cement plaster</t>
  </si>
  <si>
    <t>Moulding and edge polishing</t>
  </si>
  <si>
    <t>Sundries apoxy resin &amp; cutting machine etc.</t>
  </si>
  <si>
    <t>Sundries Blades &amp; Polished etc.</t>
  </si>
  <si>
    <t>Scaffolding, expoxy</t>
  </si>
  <si>
    <t>Sundries grease, mop grinding stones etc.</t>
  </si>
  <si>
    <t>Rate as per Item Number 3.7 of SH: Mortars</t>
  </si>
  <si>
    <t>Labour for fixing in position</t>
  </si>
  <si>
    <t>Hire and running charges for hand drill machine Sundries, drilling bit scaffolding etc.</t>
  </si>
  <si>
    <t>Mortar for pointing</t>
  </si>
  <si>
    <t>Sundries etc.</t>
  </si>
  <si>
    <t>8.10.1</t>
  </si>
  <si>
    <t xml:space="preserve">White Agaria Marble Stone Details of cost for one No or 0.375 sqm. MATERIAL Agaria Marble Stone 1 X </t>
  </si>
  <si>
    <t>one No or 0</t>
  </si>
  <si>
    <t>Cement concrete 1:2:4 for filling</t>
  </si>
  <si>
    <t>Labour for fixing, edge rounding and final polishing .</t>
  </si>
  <si>
    <t>8.10.2</t>
  </si>
  <si>
    <t>Granite Stone of approved shade Details of cost for one No or 0.375sqm. MATERIAL Granite Stone 1x0.7</t>
  </si>
  <si>
    <t>Cement concrete 1:2:4 for fixing</t>
  </si>
  <si>
    <t>8.16</t>
  </si>
  <si>
    <t>Providing and fixing copper pins 7.5 cm long 6 mm diameter for securing adjacent stones in stone wal</t>
  </si>
  <si>
    <t>one copper pin</t>
  </si>
  <si>
    <t>Labour for making pin in to required shape and size, cutting chases in stone and fixing in position</t>
  </si>
  <si>
    <t>Sundries including hire charges of hand cut machine etc.</t>
  </si>
  <si>
    <t>White cement and pigment for pointing</t>
  </si>
  <si>
    <t>Sundries and scaffolding brushes etc.</t>
  </si>
  <si>
    <t>Cement mortar for pointing.</t>
  </si>
  <si>
    <t>Fixing including weather sealant and removing</t>
  </si>
  <si>
    <t>Silicon gun/ pump etc.</t>
  </si>
  <si>
    <t>13.52.1</t>
  </si>
  <si>
    <t>Rate as per Item no. 13.52.1 of</t>
  </si>
  <si>
    <t>For labour scaffocaling etc</t>
  </si>
  <si>
    <t>Scaffolding, hire charges of drill machine etc.</t>
  </si>
  <si>
    <t>8.24.1</t>
  </si>
  <si>
    <t>25 mm long Details of cost of 10 nos. MATERIAL</t>
  </si>
  <si>
    <t>Labour for drilling holes and making good etc.</t>
  </si>
  <si>
    <t>8.24.2</t>
  </si>
  <si>
    <t>32 mm long Details of cost of 10 nos. MATERIAL</t>
  </si>
  <si>
    <t>8.24.3</t>
  </si>
  <si>
    <t>40 mm long Details of cost of 10 nos. MATERIAL</t>
  </si>
  <si>
    <t>8.24.4</t>
  </si>
  <si>
    <t>50 mm long Details of cost of 10 nos. MATERIAL</t>
  </si>
  <si>
    <t>Sundries &amp; screws etc.</t>
  </si>
  <si>
    <t>8.26.1</t>
  </si>
  <si>
    <t>12 mm thick Details of cost for 10 sqm. MATERIAL Particle board (three layer medium density) 12mm th</t>
  </si>
  <si>
    <t>Sundries and screws</t>
  </si>
  <si>
    <t>8.26.2</t>
  </si>
  <si>
    <t>18 mm thick Details of cost for 10 sqm. MATERIAL Particle board (three layer medium density) 18 mm t</t>
  </si>
  <si>
    <t>8.26.3</t>
  </si>
  <si>
    <t>25 mm thick Details of cost for 10 sqm. MATERIAL Particle board (three layer medium density) 25 mm t</t>
  </si>
  <si>
    <t>Sundries and screws etc</t>
  </si>
  <si>
    <t>Labour for drilling holes, steel tape, sundries etc.</t>
  </si>
  <si>
    <t>20mm nails without head for fixing ply</t>
  </si>
  <si>
    <t>Labour for drilling holes</t>
  </si>
  <si>
    <t>Sundries (Screws, sand paper)</t>
  </si>
  <si>
    <t>Sundries including carriage of cement etc</t>
  </si>
  <si>
    <t>8.32</t>
  </si>
  <si>
    <t>Designing, fabricating, testing, installing and fixing in position Curtain Wall with Aluminium Compo</t>
  </si>
  <si>
    <t>Sundries (For Fabrication)</t>
  </si>
  <si>
    <t>Sundries (For Installation)</t>
  </si>
  <si>
    <t>Sundries (Scaffolding / Loading / Unloading)</t>
  </si>
  <si>
    <t>Sundries (Transporation)</t>
  </si>
  <si>
    <t>Sundries (Designing charges etc.)</t>
  </si>
  <si>
    <t>Chemical treatment</t>
  </si>
  <si>
    <t>Sundries screws etc.</t>
  </si>
  <si>
    <t>Labour &amp; sundries</t>
  </si>
  <si>
    <t>(iii) Chemical treatment</t>
  </si>
  <si>
    <t>Sundries, Painting edges &amp; Screws</t>
  </si>
  <si>
    <t>M.S. flat 25x3mm and 10cm long over brackets</t>
  </si>
  <si>
    <t>9.46.1</t>
  </si>
  <si>
    <t>12 mm dia Details of cost for 2m long MATERIAL</t>
  </si>
  <si>
    <t>2m long</t>
  </si>
  <si>
    <t>C.P. brass screws</t>
  </si>
  <si>
    <t>9.46.2</t>
  </si>
  <si>
    <t>20 mm dia Details of cost for 2m long MATERIAL</t>
  </si>
  <si>
    <t>9.46.3</t>
  </si>
  <si>
    <t>25 mm dia Details of cost for 2m long MATERIAL</t>
  </si>
  <si>
    <t>9.47.1</t>
  </si>
  <si>
    <t>20 mm dia (heavy type) Details of cost for 2m long MATERIAL</t>
  </si>
  <si>
    <t>Screws</t>
  </si>
  <si>
    <t>CARRIAGE</t>
  </si>
  <si>
    <t>Labour including fixing rawl plug</t>
  </si>
  <si>
    <t>9.47.2</t>
  </si>
  <si>
    <t>25 mm dia (heavy type) Details of cost for 2m long MATERIAL</t>
  </si>
  <si>
    <t>9.48.1</t>
  </si>
  <si>
    <t>Fixed to steel windows by welding Details of cost for 18.54 kg Grill size 90x120cm = 1.08sqm. MATERI</t>
  </si>
  <si>
    <t>18</t>
  </si>
  <si>
    <t>Welding charges</t>
  </si>
  <si>
    <t>9.48.2</t>
  </si>
  <si>
    <t>Fixed to openings /wooden frames with rawl plugs screws etc. Details of cost for 18.54 kg Grill size</t>
  </si>
  <si>
    <t>Fixing of rawl plugs</t>
  </si>
  <si>
    <t>Bolts and nuts</t>
  </si>
  <si>
    <t>Carriage of materials &amp; sundries</t>
  </si>
  <si>
    <t>Sundries (screws, carriage etc.)</t>
  </si>
  <si>
    <t>Sundries &amp; screws</t>
  </si>
  <si>
    <t>Sundries including carriage of materials</t>
  </si>
  <si>
    <t>9.104</t>
  </si>
  <si>
    <t>Providing and fixing aluminium tee channels (heavy duty) with rollers &amp; stop end in pelmets as curta</t>
  </si>
  <si>
    <t>Sundries carriage</t>
  </si>
  <si>
    <t>Sundries scaffolding</t>
  </si>
  <si>
    <t>Nails and wire</t>
  </si>
  <si>
    <t>Sundries( screws, carriage etc)</t>
  </si>
  <si>
    <t>9.114.1</t>
  </si>
  <si>
    <t>Triple strip vertical type Details of cost for 1 no. MATERIAL</t>
  </si>
  <si>
    <t>Sundries including screws and fixing charges.</t>
  </si>
  <si>
    <t>9.114.2</t>
  </si>
  <si>
    <t>Double strip (horizontal type) Details of cost for 1 no. MATERIAL</t>
  </si>
  <si>
    <t>9.115</t>
  </si>
  <si>
    <t>Providing and fixing powder coated telescopic drawer channels 300 mm long with necessary screws etc.</t>
  </si>
  <si>
    <t>10 sets</t>
  </si>
  <si>
    <t>9.116</t>
  </si>
  <si>
    <t>Providing and fixing sliding arrangement in racks/ cupboards/cabinets shutter by with stainless stee</t>
  </si>
  <si>
    <t>1 No</t>
  </si>
  <si>
    <t>Labour for fixing</t>
  </si>
  <si>
    <t>Rubber adhesive</t>
  </si>
  <si>
    <t>Adhesive</t>
  </si>
  <si>
    <t>Sundries i/c nails etc.</t>
  </si>
  <si>
    <t>9.128</t>
  </si>
  <si>
    <t>Providing and fixing factory made Fiberglass Reinforced plastics (F.R.P.) chajja 4 mm thick of requi</t>
  </si>
  <si>
    <t>fixing charges including sundries.</t>
  </si>
  <si>
    <t>Sundries and screws etc.</t>
  </si>
  <si>
    <t>9.132</t>
  </si>
  <si>
    <t>Providing and fixing aluminum U beading of required size to Pre-laminated/flush door shutter, includ</t>
  </si>
  <si>
    <t>1kg</t>
  </si>
  <si>
    <t>Anodized 15 micron</t>
  </si>
  <si>
    <t>Sundries including screws, fixing, carriage etc.</t>
  </si>
  <si>
    <t>Jointing compound</t>
  </si>
  <si>
    <t>Sundries i/c rawl plug, scaffolfing etc.</t>
  </si>
  <si>
    <t>Sundries i/c rawl plug. Scaffolding etc.</t>
  </si>
  <si>
    <t>Carriage of materials</t>
  </si>
  <si>
    <t>9.136</t>
  </si>
  <si>
    <t>Providing and fixing fire resistant door frame of section 143 x 57 mm having built in rebate made ou</t>
  </si>
  <si>
    <t>3300/2750mm Door (9</t>
  </si>
  <si>
    <t>Sundries and carriage</t>
  </si>
  <si>
    <t>9.137</t>
  </si>
  <si>
    <t>Providing and fixing 50 mm thick glazed fire resistant door shutters of 60 minutes fire rating confo</t>
  </si>
  <si>
    <t>Sundries &amp; Carriage</t>
  </si>
  <si>
    <t>9.138</t>
  </si>
  <si>
    <t>Providing and fixing glazing in fire resistant door shutters, fixed panels &amp; partitions etc., with G</t>
  </si>
  <si>
    <t>For fixing in position all complete</t>
  </si>
  <si>
    <t>Sundries and carriage &amp; Calcium Silicate Blocks</t>
  </si>
  <si>
    <t>Sundries (screws and carriage)</t>
  </si>
  <si>
    <t>Sundries, plastic packers, plastic caps, SS screws and carriage of material</t>
  </si>
  <si>
    <t>Sundries(Screws)</t>
  </si>
  <si>
    <t>Sundries (Carriage of MDF board)</t>
  </si>
  <si>
    <t>Sundries (Labour for drilling hole)</t>
  </si>
  <si>
    <t>Sundries ( screws and sand paper)</t>
  </si>
  <si>
    <t>Sundries and carriage ( Fasteners, sims, Hole Plugs etc)</t>
  </si>
  <si>
    <t>9.162</t>
  </si>
  <si>
    <t>Providing and fixing 60 mm thick glazed fire resistant door shutters of 120 min Fire Rating confirmi</t>
  </si>
  <si>
    <t>9.163</t>
  </si>
  <si>
    <t>Providing and fixing non load bearing fixed frame for fire resistant glazed Partition for 120 minute</t>
  </si>
  <si>
    <t>9.164</t>
  </si>
  <si>
    <t>Glazing portion 2</t>
  </si>
  <si>
    <t>Carriage of material</t>
  </si>
  <si>
    <t>Rate as per Item Number 13.50.3 of SH:Finishing</t>
  </si>
  <si>
    <t>10.3</t>
  </si>
  <si>
    <t>Providing and fixing in position collapsible steel shutters with vertical channels 20x10x2 mm and br</t>
  </si>
  <si>
    <t>a gate 2</t>
  </si>
  <si>
    <t>Cost of rivets fixing hooks and washers</t>
  </si>
  <si>
    <t>Cost of locking arrangements and handles</t>
  </si>
  <si>
    <t>10.4</t>
  </si>
  <si>
    <t>Providing and fixing 1 mm thick M.S. sheet sliding-shutters, with frame and diagonal braces of 40x40</t>
  </si>
  <si>
    <t>one double leaf door size 2</t>
  </si>
  <si>
    <t>(iv) Pully guide blocks including drilling holes</t>
  </si>
  <si>
    <t>(vi) Handles and locking arrangements</t>
  </si>
  <si>
    <t>(vii) Bolts and rivets</t>
  </si>
  <si>
    <t>(viii)Cement concrete</t>
  </si>
  <si>
    <t>10.5.1</t>
  </si>
  <si>
    <t>Using M.S. angels 40x40x6 mm for diagonal braces Details of cost for a double leaf door of size 2.4m</t>
  </si>
  <si>
    <t>Locking arrangements and handles</t>
  </si>
  <si>
    <t>Rivets</t>
  </si>
  <si>
    <t>10.5.2</t>
  </si>
  <si>
    <t>Using flats 30x6mm for diagonal braces and central cross piece Details of cost for a double leaf doo</t>
  </si>
  <si>
    <t>10.7</t>
  </si>
  <si>
    <t>Providing and fixing ball bearing for rolling shutters. Details of cost for 1 No.</t>
  </si>
  <si>
    <t>10.8.1</t>
  </si>
  <si>
    <t>Exceeding 10.00 sqm and upto 16.80 sqm in the area Details of cost for one sqm.</t>
  </si>
  <si>
    <t>one sqm</t>
  </si>
  <si>
    <t>10.8.2</t>
  </si>
  <si>
    <t>Exceeding 16.80 sqm in area Details of cost for one sqm.</t>
  </si>
  <si>
    <t>Sundries for carriage of material</t>
  </si>
  <si>
    <t>Sundries for Carriage of material</t>
  </si>
  <si>
    <t>Hire charges of drill machine, scaffolding and sundries</t>
  </si>
  <si>
    <t>10.12</t>
  </si>
  <si>
    <t>Extra for providing and fixing steel beading of size 10 x 10 x 1.6 mm (box type), approved shape and</t>
  </si>
  <si>
    <t>Applying priming coat</t>
  </si>
  <si>
    <t>Fixing charges</t>
  </si>
  <si>
    <t>For screws and nuts and bolts</t>
  </si>
  <si>
    <t>For applying steel primer</t>
  </si>
  <si>
    <t>Screws, nuts and bolts</t>
  </si>
  <si>
    <t>Deduct sundries for not providing adjustable lugs</t>
  </si>
  <si>
    <t>Sundries for not providing adjustable lugs(-)</t>
  </si>
  <si>
    <t>Sundries for not providing adjustable lugs (-)</t>
  </si>
  <si>
    <t>Sundries (Carriage, fixing and painting etc.)</t>
  </si>
  <si>
    <t>Welding by gas or electric plant including transportation of plant at site etc. complete. Details of</t>
  </si>
  <si>
    <t>one cm</t>
  </si>
  <si>
    <t>Welding of stainless steel section</t>
  </si>
  <si>
    <t>Curvaturing, grinding, finishing, buffing</t>
  </si>
  <si>
    <t>Sundries for making good wall and floors</t>
  </si>
  <si>
    <t>Sundries, putty, glazing clips, scaffolding etc.</t>
  </si>
  <si>
    <t>Chequered plate etc.</t>
  </si>
  <si>
    <t>Rate as per item no 11.9.1 of SH: Flooring</t>
  </si>
  <si>
    <t>Deduct for carriage of pigment</t>
  </si>
  <si>
    <t>Deduct for Carriage of pigment</t>
  </si>
  <si>
    <t>Sundries including carborandum etc.</t>
  </si>
  <si>
    <t>Sundries including carborandum stone etc.</t>
  </si>
  <si>
    <t>Sundries including carborandum stone and polishing powder etc.</t>
  </si>
  <si>
    <t>Labour and sundries</t>
  </si>
  <si>
    <t>Mortar for pointing in acid/alkali resistant cement</t>
  </si>
  <si>
    <t>Sundries including carriage of cement etc.</t>
  </si>
  <si>
    <t>Mortar for pointing in acid proof cement</t>
  </si>
  <si>
    <t>Sundries and carriage of cement etc.</t>
  </si>
  <si>
    <t>Sundries for glue etc.</t>
  </si>
  <si>
    <t>Sundries such as fuel, kerosene oil, sand paper etc.</t>
  </si>
  <si>
    <t>Carriage of Tiles</t>
  </si>
  <si>
    <t>Sundries includding carriage of Cement etc</t>
  </si>
  <si>
    <t>Sundries i/c carriage of cement etc.</t>
  </si>
  <si>
    <t>Sundries including carriage of quick set polymer etc.</t>
  </si>
  <si>
    <t>Sundries 26.91-0.16=26.75</t>
  </si>
  <si>
    <t>Sundries including carriage</t>
  </si>
  <si>
    <t>11.50</t>
  </si>
  <si>
    <t xml:space="preserve">Deduct for not grouting the joints with white cement and matching pigment in the items of fixing of </t>
  </si>
  <si>
    <t>Mortar for pointing in white cement with matching pigment</t>
  </si>
  <si>
    <t>carriage of marble slab</t>
  </si>
  <si>
    <t>Sundries including carriage of adhesive etc.</t>
  </si>
  <si>
    <t>Mortar for pointing in white cement (11.22)</t>
  </si>
  <si>
    <t>Brushes, sand papers i/c sundries</t>
  </si>
  <si>
    <t>Brushes and Sandpapers</t>
  </si>
  <si>
    <t>The eaves filler pieces are to be fixed with the same hooks as the sheets</t>
  </si>
  <si>
    <t>12.13.6</t>
  </si>
  <si>
    <t>Ridge finials Details of a pair of ridge final MATERIAL Ride final = pair Add 5% wastage = 0.05pair.</t>
  </si>
  <si>
    <t>Carriage, sundries, fixing charges including providing and fixing, seam bolts and nuts, with G.I. and bitumen washers</t>
  </si>
  <si>
    <t>Sundries (Brushes and T and P)</t>
  </si>
  <si>
    <t>Mud mortar for gobri leaping</t>
  </si>
  <si>
    <t>Labour for leaping and carring to roof</t>
  </si>
  <si>
    <t>Hire and running charge of mechanical mixer</t>
  </si>
  <si>
    <t>Rounding of edges and making outlet</t>
  </si>
  <si>
    <t>Nails</t>
  </si>
  <si>
    <t>Sundries including GI wire 20 SWG and Virgin polythene bags 200 gram</t>
  </si>
  <si>
    <t>GI chiken mesh 12.5mm x 24 SWG</t>
  </si>
  <si>
    <t>Mortar</t>
  </si>
  <si>
    <t>Hire charges of machine etc.</t>
  </si>
  <si>
    <t>Kerosene oil fuel and sundries</t>
  </si>
  <si>
    <t>Adhesive, and sundries etc.</t>
  </si>
  <si>
    <t>Scaffolding etc.</t>
  </si>
  <si>
    <t>12.42.1</t>
  </si>
  <si>
    <t>Coupler</t>
  </si>
  <si>
    <t>1 coupler</t>
  </si>
  <si>
    <t>12.42.2</t>
  </si>
  <si>
    <t>Single pushfit Coupler</t>
  </si>
  <si>
    <t>12.42.5</t>
  </si>
  <si>
    <t>Bend 87.5°</t>
  </si>
  <si>
    <t>1 bend</t>
  </si>
  <si>
    <t>12.42.6</t>
  </si>
  <si>
    <t>Shoe (Plain)</t>
  </si>
  <si>
    <t>1 shoe</t>
  </si>
  <si>
    <t>Sundries cement mortar 1:4 (1Cement : 4 Coarse sand)</t>
  </si>
  <si>
    <t>Sundries like rawl plug scaffolding etc</t>
  </si>
  <si>
    <t>Sundries i.e. scaffolding etc.</t>
  </si>
  <si>
    <t>scaffolding etc.</t>
  </si>
  <si>
    <t>12.56</t>
  </si>
  <si>
    <t>Providing and laying roof insulation with 40 mm thick impervious sprayed, closed cell free Rigid Pol</t>
  </si>
  <si>
    <t>Polymerized mastic for all joints</t>
  </si>
  <si>
    <t>Cement</t>
  </si>
  <si>
    <t>Graded stone</t>
  </si>
  <si>
    <t>Sand</t>
  </si>
  <si>
    <t>For PU spray</t>
  </si>
  <si>
    <t>For cement screed with Polythene sheet</t>
  </si>
  <si>
    <t>Sundries including GL wire 20 SWg and Virgin polythene bags 200 gram</t>
  </si>
  <si>
    <t>Sundries (screws and washers)</t>
  </si>
  <si>
    <t>Sundries i.e scaffolding etc.</t>
  </si>
  <si>
    <t>Sundries i.e rawl plug, scaffolding etc.</t>
  </si>
  <si>
    <t>Sundries including GI wire 20 SWG and polythene bags 200gms</t>
  </si>
  <si>
    <t>Sundries including GI wire 20 SWG and Virgin polythene bags 200 gram and Carriage</t>
  </si>
  <si>
    <t>Sundries (screws &amp; washers)</t>
  </si>
  <si>
    <t>Sundries (Brushes &amp; T&amp;P etc.</t>
  </si>
  <si>
    <t>CPWD DAR 2019 - RESOLVED CROSS-VOLUME ITEMS (Vol.2 items re-derived from WB1 data only)</t>
  </si>
  <si>
    <t>User Input (Editable)</t>
  </si>
  <si>
    <t>Auto Lookup from Rates_Master</t>
  </si>
  <si>
    <t>Calculated</t>
  </si>
  <si>
    <t>Resolved Rate</t>
  </si>
  <si>
    <t>CPWD Rule / Note</t>
  </si>
  <si>
    <t>Vol.1 builder sheets 08, 09 and 10 need four items printed in Vol.2. Each is re-derived here line-by-line from this workbook's own Rates_Master catalogue and computed to a final rate, so WB1 never needs Vol.2 open. Consuming sheets reference the RESULT (see summary below), and tag that line "A" so it is excluded from their own markup chain per the CPWD (W-A) convention.</t>
  </si>
  <si>
    <t>1. RESOLVED RATE SUMMARY (referenced by the consuming builder sheets)</t>
  </si>
  <si>
    <t>Item No</t>
  </si>
  <si>
    <t>Source Sub-Head</t>
  </si>
  <si>
    <t>Nomenclature</t>
  </si>
  <si>
    <t>Basis</t>
  </si>
  <si>
    <t>DAR 2019 Printed Rate</t>
  </si>
  <si>
    <t>Resolved Rate (live)</t>
  </si>
  <si>
    <t>Defined Name</t>
  </si>
  <si>
    <t>Consumed By</t>
  </si>
  <si>
    <t>04 Concrete Work (Vol.1)</t>
  </si>
  <si>
    <t>Providing and laying in position cement concrete of specified grade excluding the cost of centering and shuttering - 1:3:6 (1 cement : 3 coarse sand (zone-III) : 6 graded stone aggregate 20 mm nominal size)</t>
  </si>
  <si>
    <t>XV_4_2_5</t>
  </si>
  <si>
    <t>Feeds resolved item 18.78 below (not a Vol.2 item - re-derived here so 18.78 is self-contained)</t>
  </si>
  <si>
    <t>13 Finishing (Vol.2)</t>
  </si>
  <si>
    <t>Applying priming coat with ready mixed pink or Grey primer of approved brand and manufacture on wood work (hard and soft wood)</t>
  </si>
  <si>
    <t>XV_13_50_1</t>
  </si>
  <si>
    <t>09_Wood_and_PVC_Work (primer on wood work)</t>
  </si>
  <si>
    <t>Applying priming coat with ready mixed red oxide zinc chromate primer of approved brand and manufacture on steel / iron work</t>
  </si>
  <si>
    <t>XV_13_50_3</t>
  </si>
  <si>
    <t>10_Steel_Work (priming coat), 09_Wood_and_PVC_Work (steel fittings)</t>
  </si>
  <si>
    <t>Painting with oil type wood preservative of approved brand and manufacture - new work (two or more coats)</t>
  </si>
  <si>
    <t>XV_13_57_1</t>
  </si>
  <si>
    <t>09_Wood_and_PVC_Work (preservative treatment on timber)</t>
  </si>
  <si>
    <t>18 Water Supply (Vol.2)</t>
  </si>
  <si>
    <t>Making chases up to 7.5 x 7.5 cm in walls including making good and finishing the same with cement concrete 1:3:6</t>
  </si>
  <si>
    <t>XV_18_78</t>
  </si>
  <si>
    <t>08_Cladding_Work (chase cutting for concealed fixings / services)</t>
  </si>
  <si>
    <t>2. FULL LINE-BY-LINE BREAKDOWNS (every rate traced to Rates_Master)</t>
  </si>
  <si>
    <t>ITEM 4.2.5  -  04 Concrete Work (Vol.1)  -  Providing and laying in position cement concrete of specified grade excluding the cost of centering and shuttering - 1:3:6 (1 cement : 3 coarse sand (zone-III) : 6 graded stone aggregate 20 mm nominal size)</t>
  </si>
  <si>
    <t>Basis:</t>
  </si>
  <si>
    <t>Consumed by:</t>
  </si>
  <si>
    <t>Line</t>
  </si>
  <si>
    <t>Code / Source</t>
  </si>
  <si>
    <t>Quantity / Coeff</t>
  </si>
  <si>
    <t>Amount (Rs)</t>
  </si>
  <si>
    <t>Source Reference / Remarks</t>
  </si>
  <si>
    <t>Markup Tag</t>
  </si>
  <si>
    <t>Stone Aggregate (single size) 20 mm nominal size</t>
  </si>
  <si>
    <t>Stone Aggregate (single size) 10 mm nominal size</t>
  </si>
  <si>
    <t>Portland Cement (0.15674 cum = 0.22 tonne)</t>
  </si>
  <si>
    <t>Hire charges of Concrete Mixer 0.25 to 0.40 cum with hopper</t>
  </si>
  <si>
    <t>Vibrator (needle type 40 mm)</t>
  </si>
  <si>
    <t>Coolie - extra labour lifting material upto floor V level (0.75 x 2.5 = 1.88)</t>
  </si>
  <si>
    <t>Scaffolding (17.60 x 2.5 avg.)</t>
  </si>
  <si>
    <t>Base L.S. allowance x Cost Index Multiplier (Global_Factors)</t>
  </si>
  <si>
    <t>TOTAL DIRECT COST "W" (all lines above):</t>
  </si>
  <si>
    <t>Book value of W for item 4.2.5 = Rs 5,998.05</t>
  </si>
  <si>
    <t>Less "A" - imported lines already carrying statutory markups:</t>
  </si>
  <si>
    <t>CPWD convention: markups are computed on (W-A), (X-A), (Y-A), (Z-A). A line tagged "A" is an imported rate that already includes Water, GST, CPOH and Cess.</t>
  </si>
  <si>
    <t>X1</t>
  </si>
  <si>
    <t>Add Water Charges on (W - A)</t>
  </si>
  <si>
    <t>CPWD: 1% water charges, computed on the direct cost net of A-tagged imports.</t>
  </si>
  <si>
    <t>X</t>
  </si>
  <si>
    <t>-</t>
  </si>
  <si>
    <t>Subtotal "X" (W + Water Charges)</t>
  </si>
  <si>
    <t>Running compounded subtotal</t>
  </si>
  <si>
    <t>Y1</t>
  </si>
  <si>
    <t>Add GST on (X - A)</t>
  </si>
  <si>
    <t>CPWD DAR 2019 works contract multiplying factor 0.1405, net of A.</t>
  </si>
  <si>
    <t>Y</t>
  </si>
  <si>
    <t>Subtotal "Y" (X + GST)</t>
  </si>
  <si>
    <t>Z1</t>
  </si>
  <si>
    <t>Add Contractor Profit &amp; Overheads on (Y - A)</t>
  </si>
  <si>
    <t>Standard 15% CPOH, net of A.</t>
  </si>
  <si>
    <t>Z</t>
  </si>
  <si>
    <t>Subtotal "Z" (Y + CPOH)</t>
  </si>
  <si>
    <t>Z2</t>
  </si>
  <si>
    <t>Add BOCW Welfare Cess on (Z - A)</t>
  </si>
  <si>
    <t>Statutory 1% BOCW Welfare Cess, net of A.</t>
  </si>
  <si>
    <t>Cost of 1.00 cum:</t>
  </si>
  <si>
    <t>RESOLVED RATE per 1.00 cum  (SAY):</t>
  </si>
  <si>
    <t>CPWD DAR 2019 printed Say rate for this item = Rs 8,025.00 per cum. Rounded with MROUND(x, 0.05) because CPWD quotes every Say rate to the nearest 5 paise. Any difference means a Rates_Master rate has been edited away from the 2019 base.</t>
  </si>
  <si>
    <t>ITEM 13.50.1  -  13 Finishing (Vol.2)  -  Applying priming coat with ready mixed pink or Grey primer of approved brand and manufacture on wood work (hard and soft wood)</t>
  </si>
  <si>
    <t>Putty</t>
  </si>
  <si>
    <t>Brushes, sand paper etc.</t>
  </si>
  <si>
    <t>Book value of W for item 13.50.1 = Rs 426.48</t>
  </si>
  <si>
    <t>Cost of 10.00 sqm:</t>
  </si>
  <si>
    <t>RESOLVED RATE per 1.00 sqm  (SAY):</t>
  </si>
  <si>
    <t>CPWD DAR 2019 printed Say rate for this item = Rs 57.05 per sqm. Rounded with MROUND(x, 0.05) because CPWD quotes every Say rate to the nearest 5 paise. Any difference means a Rates_Master rate has been edited away from the 2019 base.</t>
  </si>
  <si>
    <t>ITEM 13.50.3  -  13 Finishing (Vol.2)  -  Applying priming coat with ready mixed red oxide zinc chromate primer of approved brand and manufacture on steel / iron work</t>
  </si>
  <si>
    <t>Red oxide zinc chromate primer</t>
  </si>
  <si>
    <t>Brushes, sand paper including sundries</t>
  </si>
  <si>
    <t>Book value of W for item 13.50.3 = Rs 378.90</t>
  </si>
  <si>
    <t>CPWD DAR 2019 printed Say rate for this item = Rs 50.70 per sqm. Rounded with MROUND(x, 0.05) because CPWD quotes every Say rate to the nearest 5 paise. Any difference means a Rates_Master rate has been edited away from the 2019 base.</t>
  </si>
  <si>
    <t>ITEM 13.57.1  -  13 Finishing (Vol.2)  -  Painting with oil type wood preservative of approved brand and manufacture - new work (two or more coats)</t>
  </si>
  <si>
    <t>Brushes etc.</t>
  </si>
  <si>
    <t>Book value of W for item 13.57.1 = Rs 332.71</t>
  </si>
  <si>
    <t>CPWD DAR 2019 printed Say rate for this item = Rs 44.50 per sqm. Rounded with MROUND(x, 0.05) because CPWD quotes every Say rate to the nearest 5 paise. Any difference means a Rates_Master rate has been edited away from the 2019 base.</t>
  </si>
  <si>
    <t>ITEM 18.78  -  18 Water Supply (Vol.2)  -  Making chases up to 7.5 x 7.5 cm in walls including making good and finishing the same with cement concrete 1:3:6</t>
  </si>
  <si>
    <t>Rate as per resolved item no. 4.2.5 above</t>
  </si>
  <si>
    <t>Cement concrete 1:3:6 - 0.075 x 0.075 x 10 m = 0.05625 cum, less 33% for pipe = 0.03769 cum, say 0.04 cum. Rate resolved above.</t>
  </si>
  <si>
    <t>A</t>
  </si>
  <si>
    <t>Book value of W for item 18.78 = Rs 1,233.25</t>
  </si>
  <si>
    <t>Cost of 10.00 metre:</t>
  </si>
  <si>
    <t>RESOLVED RATE per 1.00 metre  (SAY):</t>
  </si>
  <si>
    <t>CPWD DAR 2019 printed Say rate for this item = Rs 154.15 per metre. Rounded with MROUND(x, 0.05) because CPWD quotes every Say rate to the nearest 5 paise. Any difference means a Rates_Master rate has been edited away from the 2019 base.</t>
  </si>
  <si>
    <t>CPWD DAR 2019 — SUB-HEAD 01: CARRIAGE OF MATERIALS (ANALYTICAL SIMULATOR &amp; BENCHMARKS)</t>
  </si>
  <si>
    <t>INPUT - you type it</t>
  </si>
  <si>
    <t>OVERRIDE - optional</t>
  </si>
  <si>
    <t>LOOKUP - fetched</t>
  </si>
  <si>
    <t>DERIVED - calculated</t>
  </si>
  <si>
    <t>RESULT - subtotal</t>
  </si>
  <si>
    <t>SAY - final rate</t>
  </si>
  <si>
    <t>CPWD rule / note</t>
  </si>
  <si>
    <t>Not editable</t>
  </si>
  <si>
    <t>CPWD DAR Sub-head 01: Dynamic Mechanical Carriage Simulator based on Data Sheet No. 1 (Notes 1 to 5). Supports custom lead (L), truck speed (S), turnaround time (T), and payload capacities (C). Evaluates trips N, km done, dynamic fuel consumption, and net unit rates with 15% CPOH.</t>
  </si>
  <si>
    <t>HOW TO USE THIS SHEET  (read this before typing anything)</t>
  </si>
  <si>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</si>
  <si>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</si>
  <si>
    <t>QUICK RATE LOOKUP  -  READ A READY-MADE CPWD RATE OFF TABLE 1.1. Pick a material and type a lead: the rate below is the one the DAR 2019 already publishes. For anything the book covers you can stop here - the rest of this sheet is only needed when you are pricing something the book does NOT cover.</t>
  </si>
  <si>
    <t>Parameter</t>
  </si>
  <si>
    <t>Value</t>
  </si>
  <si>
    <t>Cell Role</t>
  </si>
  <si>
    <t>Where this value comes from, and the CPWD DAR 2019 basis for it</t>
  </si>
  <si>
    <t>Material to be carried</t>
  </si>
  <si>
    <t>R.C.C. / C.I. / steel pipes 1000, 1100 &amp; 1200 mm dia</t>
  </si>
  <si>
    <t>INPUT</t>
  </si>
  <si>
    <t>Pick any of the 37 materials the DAR tabulates in Table 1.1 (section 5B below).</t>
  </si>
  <si>
    <t>Lead distance</t>
  </si>
  <si>
    <t>km</t>
  </si>
  <si>
    <t>One-way haul distance. Any value from 1 km upwards - the book covers up to 30 km directly and beyond that by its per-km band rate.</t>
  </si>
  <si>
    <t>Table 1.1 row matched</t>
  </si>
  <si>
    <t>row</t>
  </si>
  <si>
    <t>DERIVED</t>
  </si>
  <si>
    <t>Which row of Table 1.1 your material is on.</t>
  </si>
  <si>
    <t>Rate is per</t>
  </si>
  <si>
    <t>LOOKUP</t>
  </si>
  <si>
    <t>The DAR schedule unit for this material - the rate below is per ONE of these.</t>
  </si>
  <si>
    <t>Which part of the table applies</t>
  </si>
  <si>
    <t>The DAR prints exact rates for 1, 2, 3, 4 and 5 km (Table 1.1 columns G to K). Past 5 km it stops printing whole rates and instead gives a PER-KILOMETRE adder for three bands: column L for &gt;5-10 km, column M for &gt;10-20 km, column N for &gt;20 km. This row says which of those four cases your lead falls into.</t>
  </si>
  <si>
    <t>Base rate taken from the table</t>
  </si>
  <si>
    <t>Rs</t>
  </si>
  <si>
    <t>The printed rate the calculation starts from: the 1-5 km column itself, or the 5 km / 10 km / 20 km rate that the relevant band builds on.</t>
  </si>
  <si>
    <t>Kilometres beyond the base</t>
  </si>
  <si>
    <t>How far past the base rate's lead you are travelling. Zero for leads up to 5 km, because those rates are printed outright.</t>
  </si>
  <si>
    <t>Per-km rate for that band</t>
  </si>
  <si>
    <t>Rs per km</t>
  </si>
  <si>
    <t>Straight out of Table 1.1 column L, M or N depending on the band. This is exactly what those three columns are FOR - they are adders, not rates in their own right.</t>
  </si>
  <si>
    <t>Add for the extra distance</t>
  </si>
  <si>
    <t>Kilometres beyond the base x the per-km rate for the band.</t>
  </si>
  <si>
    <t>CPWD PUBLISHED CARRIAGE RATE</t>
  </si>
  <si>
    <t>SAY</t>
  </si>
  <si>
    <t>Base rate + the extra for distance. This is the DAR 2019 rate for this material at this lead, including 15% CP&amp;OH, per the unit shown three rows up. You can put this straight into an estimate.</t>
  </si>
  <si>
    <t>How that number was reached</t>
  </si>
  <si>
    <t>PANEL 1 - SCOPE &amp; SPECIFICATION  (what is being moved, and under what contract scope)</t>
  </si>
  <si>
    <t>Custom item code</t>
  </si>
  <si>
    <t>1.1.CUSTOM</t>
  </si>
  <si>
    <t>Your reference for this analysis. Pick a DAR item number from the dropdown to base it on a printed item, or type your own code for a genuinely non-DSR item.</t>
  </si>
  <si>
    <t>Material commodity</t>
  </si>
  <si>
    <t>DRIVES COST. Sets the truck payload, the net payable quantity and the billing unit, all looked up from Table 1.1 below. Choose from the dropdown so the lookups resolve.</t>
  </si>
  <si>
    <t>Handling scope</t>
  </si>
  <si>
    <t>including loading, transporting, unloading and stacking</t>
  </si>
  <si>
    <t>DRIVES COST. Sets the Beldar gang on the resource schedule below: 6 for full turnkey handling, 5 without stacking, 3 when machine-loaded, 3.75 at a railway siding, 0 for pure haulage. See the scope table at the bottom of this sheet.</t>
  </si>
  <si>
    <t>Lift condition</t>
  </si>
  <si>
    <t>for all lifts</t>
  </si>
  <si>
    <t>NOMENCLATURE ONLY. The DAR quotes one carriage rate whatever the lift, so this changes the wording of the item and nothing in the cost.</t>
  </si>
  <si>
    <t>Municipal gate / tipping fee</t>
  </si>
  <si>
    <t>Rs per billing unit</t>
  </si>
  <si>
    <t>USER-SUPPLIED COST. The DAR carries no tipping or gate fee anywhere in Sub-Head 01, so there is no figure to look up. It is added AFTER the markup chain and is therefore NOT subject to the 15% CPOH - it is a reimbursable disbursement, not contractor cost.</t>
  </si>
  <si>
    <t>Nomenclature override</t>
  </si>
  <si>
    <t>OVERRIDE</t>
  </si>
  <si>
    <t>Leave blank and the item description below writes itself from your Panel 1 choices. Type here only when you want to word the item yourself.</t>
  </si>
  <si>
    <t>Assembled item nomenclature</t>
  </si>
  <si>
    <t>PANEL 2 - ROUTE &amp; TRIP DYNAMICS  (how far, how fast, how many trips a shift)</t>
  </si>
  <si>
    <t>Lead distance (L)</t>
  </si>
  <si>
    <t>DRIVES COST. One-way haul distance. Everything below - speed, trips, fuel - follows from it.</t>
  </si>
  <si>
    <t>Benchmark average speed at this lead</t>
  </si>
  <si>
    <t>km/h</t>
  </si>
  <si>
    <t>Read off CPWD Data Sheet No. 1 (section 5A below) for the lead above: 16 km/h at 1 km rising to 31 km/h at 30 km. Beyond 30 km the last tabulated row is used.</t>
  </si>
  <si>
    <t>Speed override</t>
  </si>
  <si>
    <t>Leave blank to use the Data Sheet 1 benchmark above. Fill it in only when site conditions genuinely differ, and record why - departing from the benchmark is what makes a rate non-DSR.</t>
  </si>
  <si>
    <t>Effective average speed (S)</t>
  </si>
  <si>
    <t>The override if you gave one, otherwise the benchmark. This is the S used in the trips formula.</t>
  </si>
  <si>
    <t>Turnaround time (T)</t>
  </si>
  <si>
    <t>hours per trip</t>
  </si>
  <si>
    <t>Loading plus unloading plus waiting per round trip. CPWD Data Sheet 1 uses 1.00 hour.</t>
  </si>
  <si>
    <t>Operational mode</t>
  </si>
  <si>
    <t>STANDARD (DAYTIME)</t>
  </si>
  <si>
    <t>Urban restricted hours means heavy vehicles may only run off-peak, which caps the trips achievable in a shift. Selecting it does not change the cost by itself - enter the capped trip count in the override on the next row. DAR item 1.1.18 is the worked example: 3.00 trips instead of the 4.10 the formula gives at 10 km.</t>
  </si>
  <si>
    <t>Trip count basis</t>
  </si>
  <si>
    <t>CPWD FRACTIONAL (Data Sheet 1 basis)</t>
  </si>
  <si>
    <t>CPWD FRACTIONAL is the book's own basis and the default. Data Sheet No. 1 quotes trips as decimals throughout - 7.11 at 1 km, 4.10 at 10 km, 2.73 at 30 km - because N is a productivity RATE per 8-hour shift, not a count of trips on one particular day; the truck is hired by the day and the cost is spread over the average output. WHOLE TRIPS rounds down to an integer, which is defensible when a real site or regulatory constraint caps the trips, but it does NOT reproduce the printed DAR rates - flooring 7.11 to 7 at 1 km raises the lime/moorum rate from Rs 104.94 to Rs 106.52. Where the DAR itself fixes a whole trip count (item 1.1.18 uses exactly 3.00 under urban restricted hours) it does so as an explicit cap, not as a rounding rule - use the Trips override below for that.</t>
  </si>
  <si>
    <t>Trips override</t>
  </si>
  <si>
    <t>trips per shift</t>
  </si>
  <si>
    <t>Leave blank to use the calculated trips below. Fill it in to force a trip count - this is how a restricted-hours item is priced. It is honoured in any mode.</t>
  </si>
  <si>
    <t>Daily trips achieved (N)</t>
  </si>
  <si>
    <t>N = 8 / ((2L / S) + T) - an 8-hour shift divided by one round trip. The Trips override wins if it is filled; otherwise the Trip count basis decides whether the result keeps its decimals (CPWD) or is rounded down to a whole trip.</t>
  </si>
  <si>
    <t>Distance / fuel basis</t>
  </si>
  <si>
    <t>DIRECT ROUTE (2NL + 6)</t>
  </si>
  <si>
    <t>DIRECT ROUTE computes km/day = 2NL + 6, the 6 km being the depot run - this reproduces every row of Data Sheet 1. CPWD PRO-RATA instead takes the Data Sheet 1 km/day for your lead and scales it by (your trips / the benchmark trips at that lead); that is how DAR item 1.1.18 derives 64.40 km from the 10 km row.</t>
  </si>
  <si>
    <t>Distance travelled per shift</t>
  </si>
  <si>
    <t>Follows the basis selected above.</t>
  </si>
  <si>
    <t>Diesel consumed per shift</t>
  </si>
  <si>
    <t>litres</t>
  </si>
  <si>
    <t>CPWD Note 3: distance travelled / 5.0 km per litre.</t>
  </si>
  <si>
    <t>Mobil oil consumed per shift</t>
  </si>
  <si>
    <t>CPWD Note 4: distance travelled / 140.0 km per litre.</t>
  </si>
  <si>
    <t>PANEL 3 - PAYLOAD &amp; BILLING BASIS  (how much is actually paid for per trip)</t>
  </si>
  <si>
    <t>Table 1.1 row for this material</t>
  </si>
  <si>
    <t>row index</t>
  </si>
  <si>
    <t>Which row of Table 1.1 (section 5B) the material commodity matches. Everything below, and the published DAR rate in Section 2, reads that row. Shows #N/A if the material is not one of the book's - use the overrides in that case.</t>
  </si>
  <si>
    <t>Gross truck payload per trip</t>
  </si>
  <si>
    <t>per Table 1.1</t>
  </si>
  <si>
    <t>What physically goes on the truck, from Table 1.1 below. Shown for information only - it is NOT what the rate is divided by.</t>
  </si>
  <si>
    <t>Net payable quantity per trip</t>
  </si>
  <si>
    <t>THIS is the divisor CPWD uses. Loose materials are paid on a reduced quantity: earth less 20%, excavated rock less 50%, soling stone less 15%, 40 mm aggregate and manure less 8%. Using the gross payload instead understates the rate by that percentage.</t>
  </si>
  <si>
    <t>Payable quantity override</t>
  </si>
  <si>
    <t>Leave blank to use the net payable quantity above. Fill it in for a material that is not in Table 1.1, or when a site measurement justifies a different figure.</t>
  </si>
  <si>
    <t>Effective payable quantity per trip</t>
  </si>
  <si>
    <t>The override if given, otherwise the net payable quantity.</t>
  </si>
  <si>
    <t>Schedule billing unit</t>
  </si>
  <si>
    <t>The unit the DAR bills this material in, from Table 1.1. Bulk materials in cum, cement and steel in tonne, bricks per 1000 Nos, pipes per 100 m.</t>
  </si>
  <si>
    <t>Schedule unit scale factor</t>
  </si>
  <si>
    <t>multiplier</t>
  </si>
  <si>
    <t>The rate is first derived per single unit (per cum, per metre, per brick) and then multiplied by this factor to reach the schedule unit: 1000 for "1000 Nos", 100 for "100 m", otherwise 1.</t>
  </si>
  <si>
    <t>Total payable output per shift</t>
  </si>
  <si>
    <t>RESULT</t>
  </si>
  <si>
    <t>Trips x effective payable quantity. This is what the shift cost is divided by.</t>
  </si>
  <si>
    <t>AUDIT STATUS:</t>
  </si>
  <si>
    <t>Trips:</t>
  </si>
  <si>
    <t>Payable output:</t>
  </si>
  <si>
    <t>Direct cost:</t>
  </si>
  <si>
    <t>SECTION 1 - MECHANICAL TRANSPORT RESOURCE SCHEDULE FOR ONE 8-HOUR SHIFT  (truck hire + labour gang + fuel)</t>
  </si>
  <si>
    <t>Resource / Fuel Description</t>
  </si>
  <si>
    <t>Source Reference / CPWD Note</t>
  </si>
  <si>
    <t>CPWD Note 5: hire of a 9-tonne diesel truck for one 8-hour shift, excluding diesel and mobil oil (those are the two rows below).</t>
  </si>
  <si>
    <t>Gang size follows the Handling Scope you chose in Panel 1: 6 turnkey / 5 no stacking / 3 machine-loaded / 3.75 railway siding / 0 haulage only. See section 5D below.</t>
  </si>
  <si>
    <t>CPWD Note 3: litres from Panel 2 (distance / 5.0 km per litre).</t>
  </si>
  <si>
    <t>CPWD Note 4: litres from Panel 2 (distance / 140.0 km per litre).</t>
  </si>
  <si>
    <t>Direct operating cost of one 8-hour shift, W (Rs):</t>
  </si>
  <si>
    <t>Compare against the "Total Shift Cost" column of Data Sheet 1 below for the same lead - they should agree.</t>
  </si>
  <si>
    <t>Direct operating cost per round trip (Rs):</t>
  </si>
  <si>
    <t>W divided by the trips in Panel 2.</t>
  </si>
  <si>
    <t>SECTION 2 - STATUTORY MARKUPS &amp; RATE DERIVATION  (CPWD carriage convention: 15% CPOH only)</t>
  </si>
  <si>
    <t>Step</t>
  </si>
  <si>
    <t>Description / Stage</t>
  </si>
  <si>
    <t>Apply? (YES/NO)</t>
  </si>
  <si>
    <t>Basis Applied</t>
  </si>
  <si>
    <t>Base Amount (Rs)</t>
  </si>
  <si>
    <t>Factor / %</t>
  </si>
  <si>
    <t>CPWD Statutory Rule &amp; Guidance Note</t>
  </si>
  <si>
    <t>W</t>
  </si>
  <si>
    <t>Direct operating cost of the shift (truck + labour + fuel)</t>
  </si>
  <si>
    <t>Direct sum</t>
  </si>
  <si>
    <t>Carried straight down from Section 1.</t>
  </si>
  <si>
    <t>Add Water Charges</t>
  </si>
  <si>
    <t>On W</t>
  </si>
  <si>
    <t>CPWD RULE: switched off for carriage - no water is consumed in haulage. DAR item 1.1.18 goes straight from TOTAL to "Add 15% CPOH".</t>
  </si>
  <si>
    <t>Subtotal X (W + Water)</t>
  </si>
  <si>
    <t>W + Water</t>
  </si>
  <si>
    <t>Running subtotal.</t>
  </si>
  <si>
    <t>Add GST on works contract</t>
  </si>
  <si>
    <t>On X</t>
  </si>
  <si>
    <t>CPWD RULE: the printed DAR carriage rates exclude GST. Leave NO to stay comparable with the book; switch to YES only for a tender that requires it.</t>
  </si>
  <si>
    <t>Subtotal Y (X + GST)</t>
  </si>
  <si>
    <t>X + GST</t>
  </si>
  <si>
    <t>Base for contractor profit and overheads.</t>
  </si>
  <si>
    <t>Add Contractor Profit &amp; Overheads (15% CPOH)</t>
  </si>
  <si>
    <t>On Y</t>
  </si>
  <si>
    <t>CPWD RULE: 15% CPOH is applied to every carriage item without exception.</t>
  </si>
  <si>
    <t>Subtotal Z (Y + CPOH)</t>
  </si>
  <si>
    <t>Y + CPOH</t>
  </si>
  <si>
    <t>Named the same way as on the other eleven builder sheets.</t>
  </si>
  <si>
    <t>Add BOCW Welfare Cess</t>
  </si>
  <si>
    <t>On Z</t>
  </si>
  <si>
    <t>CPWD RULE: excluded from the printed base rates. Switch to YES only if your circle requires it on carriage.</t>
  </si>
  <si>
    <t>Total</t>
  </si>
  <si>
    <t>Total cost of one 8-hour shift with overheads</t>
  </si>
  <si>
    <t>Z + Cess</t>
  </si>
  <si>
    <t>The full shift cost that the payable output is divided into.</t>
  </si>
  <si>
    <t>Cost per round trip with overheads</t>
  </si>
  <si>
    <t>Total / N</t>
  </si>
  <si>
    <t>For comparison with the "Cost per Trip" column of Data Sheet 1.</t>
  </si>
  <si>
    <t>Rate per single payable unit, plus gate fee</t>
  </si>
  <si>
    <t>Total / payable output</t>
  </si>
  <si>
    <t>Per cum / per tonne / per metre / per brick. Divided by the NET payable output from Panel 3, not by the gross truck payload. The gate fee is added here, after CPOH.</t>
  </si>
  <si>
    <t>Analysed rate per schedule unit</t>
  </si>
  <si>
    <t>x scale factor</t>
  </si>
  <si>
    <t>Multiplied up to the DAR schedule unit - x1000 for "1000 Nos", x100 for "100 m", x1 otherwise. This unrounded figure is what the Table 1.1 base rates below are quoted at.</t>
  </si>
  <si>
    <t>DAR published rate at this lead (Table 1.1 ladder)</t>
  </si>
  <si>
    <t>Book ladder</t>
  </si>
  <si>
    <t>THE BOOK'S OWN ANSWER for this material and lead, read from the Table 1.1 ladder in section 5B. Up to 5 km it is the printed column for the next tabulated kilometre; beyond that it is the 5 km rate plus the printed per-km band rates, which is how the DAR itself extends a carriage rate. Blank if the material is not one of the book's.</t>
  </si>
  <si>
    <t>Simulator vs published rate</t>
  </si>
  <si>
    <t>Variance</t>
  </si>
  <si>
    <t>A small difference here is NORMAL and is not an error. The book prints exact rates only at 1, 2, 3, 4, 5, 10, 20 and 30 km; between those anchors its ladder interpolates linearly from the per-km band rates, while this sheet computes the exact figure for your actual lead from Data Sheet 1. The two agree to the paisa at every anchor lead and diverge by up to about 1% mid-band - at 15 km, for example, by 1.09%. A variance beyond 2% is flagged in the audit bar and does mean something to check: a speed or payload override, a whole-trip basis, a non-standard handling scope, or a gate fee - any of which is a legitimate reason to depart from the book, but should be a deliberate one.</t>
  </si>
  <si>
    <t>CPWD OFFICIAL "SAY" RATE FOR THIS CARRIAGE ITEM</t>
  </si>
  <si>
    <t>MROUND to Rs 0.05</t>
  </si>
  <si>
    <t>The rate to quote in a BOQ or estimate. Rounded to the nearest 5 paise - see the note below.</t>
  </si>
  <si>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</si>
  <si>
    <t>SECTION 3 - HEADING 1.2: MANUAL LABOUR CARRIAGE  (lead under 0.50 km, 50 m to 500 m)</t>
  </si>
  <si>
    <t>CPWD DAR 2019 Heading 1.2 gang norms: Category A (lime, moorum, rubbish, earth, sand, aggregate, bricks) = 7.67 Beldars for the first 50 m plus 1.67 extra coolies for every additional 50 m. Category B (stone blocks, pipes, cement, steel, timber, bitumen) = 9.20 Beldars for the first 50 m plus 1.35 extra Beldars per additional 50 m. Every rupee figure below is derived from these gang sizes and the live day wage in Rates_Master, so a wage revision flows through automatically.</t>
  </si>
  <si>
    <t>Material commodity (Table 1.2)</t>
  </si>
  <si>
    <t>R.C.C. / steel cylinder / R.C. / C.I. / unreinforced cement pipes 100 mm dia</t>
  </si>
  <si>
    <t>DRIVES COST. Pick from the dropdown - the payable quantity and billing unit in the two rows below are looked up from Table 1.2 (section 5C) for whichever material you choose here. If your material is not in Table 1.2 leave this blank and type the quantity and unit directly in rows B109 and B110.</t>
  </si>
  <si>
    <t>Manual item code</t>
  </si>
  <si>
    <t>1.2.CUSTOM</t>
  </si>
  <si>
    <t>Your reference for the manual-carriage analysis.</t>
  </si>
  <si>
    <t>Material category</t>
  </si>
  <si>
    <t>Category B (Heavy / Pipes / Steel)</t>
  </si>
  <si>
    <t>DRIVES COST. Selects the gang norms quoted in the banner above.</t>
  </si>
  <si>
    <t>metres</t>
  </si>
  <si>
    <t>DRIVES COST. The first 50 m is the base gang; every further 50 m adds labour.</t>
  </si>
  <si>
    <t>Additional 50 m steps (M)</t>
  </si>
  <si>
    <t>steps</t>
  </si>
  <si>
    <t>MAX(0, (lead - 50) / 50). A part step counts as a full step in CPWD practice.</t>
  </si>
  <si>
    <t>Gang for the first 50 m</t>
  </si>
  <si>
    <t>labour days</t>
  </si>
  <si>
    <t>CPWD Heading 1.2 norm for the selected category.</t>
  </si>
  <si>
    <t>Extra gang per additional 50 m</t>
  </si>
  <si>
    <t>Labour day wage</t>
  </si>
  <si>
    <t>Rs per day</t>
  </si>
  <si>
    <t>Live rate for Beldar / Coolie (code 0114) from Rates_Master. Both grades are on the same day rate in DAR 2019.</t>
  </si>
  <si>
    <t>Labour cost, first 50 m</t>
  </si>
  <si>
    <t>Base gang x day wage.</t>
  </si>
  <si>
    <t>Labour cost, additional lead</t>
  </si>
  <si>
    <t>Steps x extra gang x day wage.</t>
  </si>
  <si>
    <t>Total labour cost for the shift</t>
  </si>
  <si>
    <t>First 50 m plus additional lead.</t>
  </si>
  <si>
    <t>Add Contractor Profit &amp; Overheads</t>
  </si>
  <si>
    <t>Taken from Factor_CPOH on Global_Factors, so a project override reaches this engine too.</t>
  </si>
  <si>
    <t>Total 8-hour cost with CPOH</t>
  </si>
  <si>
    <t>Compare with the "Base Cost 1st 50m" column of Table 1.2 below.</t>
  </si>
  <si>
    <t>Net payable quantity per 8-hour day</t>
  </si>
  <si>
    <t>per billing unit</t>
  </si>
  <si>
    <t>Looked up from Table 1.2 (section 5C) column D for the material chosen two rows above. Already NET of looseness (earth is 28 cum, not the 35 cum physically shifted). If the material picker is blank, type the quantity here directly.</t>
  </si>
  <si>
    <t>Billing unit</t>
  </si>
  <si>
    <t>Looked up from Table 1.2 (section 5C) column E for the material chosen above. Override by typing here if your material is not in Table 1.2.</t>
  </si>
  <si>
    <t>x1000 for "1000 Nos", x100 for "100 m", otherwise x1 - the same rule as Panel 3.</t>
  </si>
  <si>
    <t>Total cost / payable quantity x scale factor. This unrounded figure is what Table 1.2 below is quoted at.</t>
  </si>
  <si>
    <t>CPWD OFFICIAL "SAY" RATE (manual carriage)</t>
  </si>
  <si>
    <t>Rounded to the nearest 5 paise per CPWD practice - see the note in Section 2.</t>
  </si>
  <si>
    <t>SECTION 4 - RAILWAY SIDING WAGON HANDLING SIMULATOR  (CPWD DAR Items 1.3, 1.4.1, 1.4.2 &amp; 1.4.3)</t>
  </si>
  <si>
    <t>Simulate loading or unloading railway wagons at sidings and godown transit (PDF pages 83-84). Labour days are derived from Indian Railways demurrage free-time windows and gang sizes. Wage rates and sundries live-link to Rates_Master; CPOH live-links to Global_Factors.</t>
  </si>
  <si>
    <t>DAR Railway Handling Item</t>
  </si>
  <si>
    <t>1.3 Cement (bags) incl sweeping &amp; godown stacking</t>
  </si>
  <si>
    <t>Pick any of the 4 railway wagon handling operations defined in CPWD DAR (Table 5E below).</t>
  </si>
  <si>
    <t>DAR Item Code</t>
  </si>
  <si>
    <t>Extracted CPWD item code (1.3, 1.4.1, 1.4.2, or 1.4.3).</t>
  </si>
  <si>
    <t>Material specification &amp; handling scope</t>
  </si>
  <si>
    <t>Official CPWD nomenclature and operational scope from Table 5E below.</t>
  </si>
  <si>
    <t>Standard railway wagon type</t>
  </si>
  <si>
    <t>Indian Railways wagon classification (CRT covered, BRH bogie flat, KC open flat).</t>
  </si>
  <si>
    <t>Standard wagon payload (W)</t>
  </si>
  <si>
    <t>Standard freight wagon carrying capacity per DAR benchmark (23 t cement, 44 t steel, 14 t pipes).</t>
  </si>
  <si>
    <t>Custom wagon payload override</t>
  </si>
  <si>
    <t>Type your own wagon or rake tonnage here (e.g. 55 t for modern BOXN wagon). Leave blank for DAR standard.</t>
  </si>
  <si>
    <t>Effective wagon payload</t>
  </si>
  <si>
    <t>Payload used for rate division: custom override if typed, otherwise the DAR standard wagon capacity.</t>
  </si>
  <si>
    <t>Unloading gang size (G)</t>
  </si>
  <si>
    <t>men</t>
  </si>
  <si>
    <t>Number of Beldars in the siding gang (e.g. 6 men for cement, 16 men for steel rods, 2 for rolling pipes).</t>
  </si>
  <si>
    <t>Demurrage-free time window (H)</t>
  </si>
  <si>
    <t>hours</t>
  </si>
  <si>
    <t>Indian Railways free-time unloading window (5.0 h cement, 5.33 h steel, 8.0 h pipes, 6.5 h crane hook).</t>
  </si>
  <si>
    <t>Labour days required = (G x H) / 8</t>
  </si>
  <si>
    <t>Beldar days</t>
  </si>
  <si>
    <t>Total shift days = Gang x Hours / 8. Evaluates to 3.75 (cement), 10.66 (steel), 2.00 (pipes), 3.25 (crane).</t>
  </si>
  <si>
    <t>Handling productivity = W / Beldar days</t>
  </si>
  <si>
    <t>tonne / Beldar-day</t>
  </si>
  <si>
    <t>Material output per Beldar per 8-hour shift. Pipes: 7.0 t/bd; Cement: 6.13 t/bd; Steel: 4.13 t/bd.</t>
  </si>
  <si>
    <t>Labour day wage (Code 0114 Beldar)</t>
  </si>
  <si>
    <t>Live wage rate for Beldar from Rates_Master code 0114.</t>
  </si>
  <si>
    <t>Total labour cost for wagon</t>
  </si>
  <si>
    <t>Beldar days x Beldar wage rate.</t>
  </si>
  <si>
    <t>Crane fixing extra baseline (Code 9999)</t>
  </si>
  <si>
    <t>Extra charge for crane hire &amp; rigging (Item 1.4.3: 91.15 L.S.).</t>
  </si>
  <si>
    <t>Sundries &amp; consumables baseline (Code 9999)</t>
  </si>
  <si>
    <t>Brooms, sieves, twine, chocks, wedges, packing dunnage (Item 1.3: 2.62, 1.4.2: 3.10, 1.4.3: 7.40).</t>
  </si>
  <si>
    <t>Schedule rate for Sundries (Code 9999)</t>
  </si>
  <si>
    <t>Rs per L.S.</t>
  </si>
  <si>
    <t>Standard unit rate for Code 9999 from Rates_Master (Rs 2.00 in DAR 2019).</t>
  </si>
  <si>
    <t>Total equipment &amp; sundries cost</t>
  </si>
  <si>
    <t>(Crane base + Sundries base) x Code 9999 unit rate.</t>
  </si>
  <si>
    <t>Prime cost subtotal for wagon ("Y")</t>
  </si>
  <si>
    <t>Direct cost before statutory markups: Labour cost + Equipment/Sundries cost.</t>
  </si>
  <si>
    <t>Add Contractor Profit &amp; Overheads (15%)</t>
  </si>
  <si>
    <t>Taken from Factor_CPOH on Global_Factors, so any project markup override cascades here.</t>
  </si>
  <si>
    <t>Total cost for unloading full wagon</t>
  </si>
  <si>
    <t>Total cost for the entire wagon payload: Prime cost Y + CPOH.</t>
  </si>
  <si>
    <t>Analysed rate per tonne</t>
  </si>
  <si>
    <t>Rs per tonne</t>
  </si>
  <si>
    <t>Total wagon cost / effective payload.</t>
  </si>
  <si>
    <t>CPWD OFFICIAL "SAY" RATE (railway wagon)</t>
  </si>
  <si>
    <t>Rounded to the nearest 5 paise per official CPWD practice.</t>
  </si>
  <si>
    <t>CPWD DAR published rate benchmark</t>
  </si>
  <si>
    <t>Ground truth published rate from CPWD DAR 2019 PDF page 83-84.</t>
  </si>
  <si>
    <t>Simulator vs published rate variance</t>
  </si>
  <si>
    <t>Must be exactly 0.00, confirming 100% agreement with CPWD published schedule rates.</t>
  </si>
  <si>
    <t>SECTION 5 - GROUND-TRUTH REFERENCE TABLES (CPWD DAR 2019 SUB-HEAD 01), transcribed from printed pages 67-75. These are source data - the panels above read from them.</t>
  </si>
  <si>
    <t>5A. CPWD DATA SHEET NO. 1 - mechanical transport benchmark, 1 km to 30 km, all 14 printed columns. Panel 2 looks up the speed, trips and km/day for your lead here.</t>
  </si>
  <si>
    <t>1 Lead (L) km</t>
  </si>
  <si>
    <t>2 Avg speed (S) km/h</t>
  </si>
  <si>
    <t>3 Trips N/day</t>
  </si>
  <si>
    <t>4 Km done/day</t>
  </si>
  <si>
    <t>5 Diesel litres</t>
  </si>
  <si>
    <t>6 Cost of diesel (Rs)</t>
  </si>
  <si>
    <t>7 Mobil oil litres</t>
  </si>
  <si>
    <t>8 Cost of mobil oil (Rs)</t>
  </si>
  <si>
    <t>9 Cost of 6 Beldars (Rs)</t>
  </si>
  <si>
    <t>10 Truck hire (Rs)</t>
  </si>
  <si>
    <t>11 Total cost (Rs)</t>
  </si>
  <si>
    <t>12 Cost per trip (Rs)</t>
  </si>
  <si>
    <t>13 Increase per km (Rs)</t>
  </si>
  <si>
    <t>14 Avg cost per addl km (Rs)</t>
  </si>
  <si>
    <t>WHAT THIS TABLE IS AND HOW TO READ IT.  It costs out ONE 8-hour truck shift at each lead from 1 to 30 km. It is not a rate table - it has no material in it - it is the cost of running the truck for a day, which the rate tables then divide by how much that truck can carry.  HOW IT IS BUILT: N (col 3) = 8 / ((2L/S) + 1). Km per day (col 4) = 2NL + 6, the 6 km being the depot run. Diesel (col 5) = km / 5.0 litres, Mobil oil (col 7) = km / 140.0 litres. Cols 6, 8, 9 and 10 price those against Rates_Master codes 1235, 5001, 0114 and 0084. Col 11 is their sum - the shift cost - and col 12 divides it by the trips.  THE TWO COLUMNS PEOPLE ASK ABOUT:  Column M (13) "Increase per km" is simply how much col 11 rose over the previous kilometre - a diagnostic showing the cost curve flattening as lead grows, nothing reads from it.  Column N (14) "Avg cost per addl km" is the working one: it averages that increase over each band (beyond 5, beyond 10, beyond 20 km) and is where Table 1.1 columns L, M and N come from. Blank for the first 5 km because those leads are priced outright rather than by increment.  Section 1 of this sheet reproduces this table line for line, which is why its W should equal the shift cost in col 11 for the same lead.</t>
  </si>
  <si>
    <t>5B. TABLE 1.1 - MECHANICAL TRANSPORT RATE LADDER (CPWD DAR 2019, printed pages 69-70). Net payable quantity is the divisor CPWD uses; the eight rate columns are the book's own published rates per schedule unit including 15% CP&amp;OH.</t>
  </si>
  <si>
    <t>DAR item</t>
  </si>
  <si>
    <t>Material / Specification</t>
  </si>
  <si>
    <t>Capacity per trip</t>
  </si>
  <si>
    <t>Net payable qty</t>
  </si>
  <si>
    <t>Schedule unit</t>
  </si>
  <si>
    <t>Looseness deduction</t>
  </si>
  <si>
    <t>Rate 1 km</t>
  </si>
  <si>
    <t>Rate 2 km</t>
  </si>
  <si>
    <t>Rate 3 km</t>
  </si>
  <si>
    <t>Rate 4 km</t>
  </si>
  <si>
    <t>Rate 5 km</t>
  </si>
  <si>
    <t>&gt;5-10 km per km</t>
  </si>
  <si>
    <t>&gt;10-20 km per km</t>
  </si>
  <si>
    <t>&gt;20 km per addl km</t>
  </si>
  <si>
    <t>1.1.1</t>
  </si>
  <si>
    <t>Lime, moorum, building rubbish</t>
  </si>
  <si>
    <t>Nil - full capacity payable</t>
  </si>
  <si>
    <t>1.1.2</t>
  </si>
  <si>
    <t>Earth</t>
  </si>
  <si>
    <t>20% deduction for looseness (8.00 -&gt; 6.40 cum)</t>
  </si>
  <si>
    <t>1.1.3</t>
  </si>
  <si>
    <t>Manure or sludge</t>
  </si>
  <si>
    <t>8% deduction for looseness (8.00 -&gt; 7.36 cum)</t>
  </si>
  <si>
    <t>1.1.4</t>
  </si>
  <si>
    <t>Excavated rock</t>
  </si>
  <si>
    <t>50% deduction for voids / looseness (8.00 -&gt; 4.00 cum)</t>
  </si>
  <si>
    <t>1.1.5</t>
  </si>
  <si>
    <t>Sand, stone aggregate below 40 mm nominal size</t>
  </si>
  <si>
    <t>1.1.6</t>
  </si>
  <si>
    <t>Stone aggregate 40 mm nominal size and above</t>
  </si>
  <si>
    <t>8% deduction for voids in coarse aggregate (8.00 -&gt; 7.36 cum)</t>
  </si>
  <si>
    <t>1.1.7</t>
  </si>
  <si>
    <t>Soling stone</t>
  </si>
  <si>
    <t>15% deduction for stack voids (8.00 -&gt; 6.80 cum)</t>
  </si>
  <si>
    <t>1.1.8</t>
  </si>
  <si>
    <t>Bricks</t>
  </si>
  <si>
    <t>1.1.9</t>
  </si>
  <si>
    <t>Brick Tiles</t>
  </si>
  <si>
    <t>1.1.10</t>
  </si>
  <si>
    <t>Cement, stone blocks, G.I., C.I., A.C. &amp; C.C. pipes below 100 mm dia and other heavy materials</t>
  </si>
  <si>
    <t>1.1.11</t>
  </si>
  <si>
    <t>1.1.12</t>
  </si>
  <si>
    <t>Timber</t>
  </si>
  <si>
    <t>1.1.13</t>
  </si>
  <si>
    <t>Tar, bitumen</t>
  </si>
  <si>
    <t>1.1.14</t>
  </si>
  <si>
    <t>Solvent, diesel</t>
  </si>
  <si>
    <t>qtl</t>
  </si>
  <si>
    <t>1.1.15</t>
  </si>
  <si>
    <t>Steam coal</t>
  </si>
  <si>
    <t>1.1.16.1</t>
  </si>
  <si>
    <t>S.W. pipe 100 mm dia</t>
  </si>
  <si>
    <t>100 m</t>
  </si>
  <si>
    <t>1.1.16.2</t>
  </si>
  <si>
    <t>S.W. pipe 150 mm dia</t>
  </si>
  <si>
    <t>1.1.16.3</t>
  </si>
  <si>
    <t>S.W. pipe 200 mm dia</t>
  </si>
  <si>
    <t>1.1.16.5</t>
  </si>
  <si>
    <t>S.W. pipe 250 mm dia</t>
  </si>
  <si>
    <t>1.1.16.6</t>
  </si>
  <si>
    <t>S.W. pipe 300 mm dia</t>
  </si>
  <si>
    <t>1.1.16.7</t>
  </si>
  <si>
    <t>S.W. pipe 350 mm dia</t>
  </si>
  <si>
    <t>1.1.16.8</t>
  </si>
  <si>
    <t>S.W. pipe 400 mm dia</t>
  </si>
  <si>
    <t>1.1.16.9</t>
  </si>
  <si>
    <t>S.W. pipe 450 mm dia</t>
  </si>
  <si>
    <t>1.1.16.10</t>
  </si>
  <si>
    <t>S.W. pipe 500 mm dia</t>
  </si>
  <si>
    <t>1.1.16.11</t>
  </si>
  <si>
    <t>S.W. pipe 600 mm dia</t>
  </si>
  <si>
    <t>1.1.17.1</t>
  </si>
  <si>
    <t>R.C.C. / A.C. / steel cylinder / S.C.I. / C.I. / unreinforced cement pipes 100 mm dia</t>
  </si>
  <si>
    <t>1.1.17.2</t>
  </si>
  <si>
    <t>R.C.C. etc. pipes 125 mm dia</t>
  </si>
  <si>
    <t>1.1.17.3</t>
  </si>
  <si>
    <t>R.C.C. etc. pipes 150 mm dia</t>
  </si>
  <si>
    <t>1.1.17.4</t>
  </si>
  <si>
    <t>R.C.C. etc. pipes 200 mm dia</t>
  </si>
  <si>
    <t>1.1.17.5</t>
  </si>
  <si>
    <t>R.C.C. etc. pipes 250 mm dia</t>
  </si>
  <si>
    <t>1.1.17.6</t>
  </si>
  <si>
    <t>R.C.C. etc. pipes 300 mm dia</t>
  </si>
  <si>
    <t>1.1.17.7</t>
  </si>
  <si>
    <t>R.C.C. etc. pipes 350 mm dia</t>
  </si>
  <si>
    <t>1.1.17.8</t>
  </si>
  <si>
    <t>R.C.C. etc. pipes 400 mm dia</t>
  </si>
  <si>
    <t>1.1.17.9</t>
  </si>
  <si>
    <t>R.C.C. etc. pipes 450 mm &amp; 500 mm dia</t>
  </si>
  <si>
    <t>1.1.17.10</t>
  </si>
  <si>
    <t>R.C.C. etc. pipes 600, 700, 750 &amp; 800 mm dia</t>
  </si>
  <si>
    <t>1.1.17.11</t>
  </si>
  <si>
    <t>R.C.C. etc. pipes 900 mm dia</t>
  </si>
  <si>
    <t>1.1.17.12</t>
  </si>
  <si>
    <t>WHAT THIS TABLE IS AND HOW TO READ IT.  THIS IS THE READY-MADE RATE TABLE - for anything listed here you do not need to calculate at all, you read the rate off. The Quick Rate Lookup at the top of the sheet does exactly that, and shows its working.  COLUMNS C AND D: capacity is what physically goes on the truck; NET PAYABLE is what CPWD actually pays for, after deducting for looseness - earth is carried 8 cum at a time but paid as 6.40. Every rate in this table is the shift cost divided by the NET figure, which is why earth costs more per cum than sand.  COLUMNS G TO K are finished rates per schedule unit including 15% CP&amp;OH, for leads of exactly 1, 2, 3, 4 and 5 km. Read one and use it.  COLUMNS L, M AND N ARE NOT RATES - they are per-kilometre ADDERS for longer leads. Past 5 km the book stops printing whole rates and gives you an increment instead: for a lead between 5 and 10 km take the 5 km rate (col K) and add column L for each km past 5; between 10 and 20 km build up to the 10 km rate and add column M per km past 10; beyond 20 km add column N per km past 20.  WORKED EXAMPLE, bricks at 12 km: 5 km rate 430.57 (col K) + 5 x 32.43 (col L) = 592.72 at 10 km, then + 2 x 26.95 (col M) = Rs 646.62 per 1000 bricks.  The Quick Rate Lookup does this for you - change the lead there and watch the band, the base and the adder change.</t>
  </si>
  <si>
    <t>5C. TABLE 1.2 - MANUAL LABOUR CARRIAGE, LEAD UNDER 0.50 km (CPWD DAR 2019, printed pages 72-74). Category A gangs 7.67 Beldars + 1.67 coolies per extra 50 m; Category B gangs 9.20 Beldars + 1.35 Beldars per extra 50 m.</t>
  </si>
  <si>
    <t>Capacity per day</t>
  </si>
  <si>
    <t>Gang category</t>
  </si>
  <si>
    <t>Cost per 8-hr day incl. CP&amp;OH (Rs)</t>
  </si>
  <si>
    <t>Rate for 1st 50 m (Rs)</t>
  </si>
  <si>
    <t>Rate per addl 50 m (Rs)</t>
  </si>
  <si>
    <t>1.2.1</t>
  </si>
  <si>
    <t>Category A</t>
  </si>
  <si>
    <t>1.2.3</t>
  </si>
  <si>
    <t>1.2.4</t>
  </si>
  <si>
    <t>1.2.5</t>
  </si>
  <si>
    <t>1.2.6</t>
  </si>
  <si>
    <t>1.2.7</t>
  </si>
  <si>
    <t>1.2.8</t>
  </si>
  <si>
    <t>1.2.9</t>
  </si>
  <si>
    <t>1.2.11</t>
  </si>
  <si>
    <t>Stone blocks, G.I., C.I., stainless steel pipes below 100 mm dia and other heavy material</t>
  </si>
  <si>
    <t>Category B</t>
  </si>
  <si>
    <t>1.2.12</t>
  </si>
  <si>
    <t>1.2.13</t>
  </si>
  <si>
    <t>1.2.14</t>
  </si>
  <si>
    <t>1.2.15</t>
  </si>
  <si>
    <t>Tar, bitumen etc.</t>
  </si>
  <si>
    <t>1.2.16.1</t>
  </si>
  <si>
    <t>1.2.16.2</t>
  </si>
  <si>
    <t>1.2.16.3</t>
  </si>
  <si>
    <t>1.2.16.5</t>
  </si>
  <si>
    <t>1.2.16.6</t>
  </si>
  <si>
    <t>1.2.16.7</t>
  </si>
  <si>
    <t>1.2.16.8</t>
  </si>
  <si>
    <t>1.2.16.9</t>
  </si>
  <si>
    <t>1.2.16.10</t>
  </si>
  <si>
    <t>1.2.16.11</t>
  </si>
  <si>
    <t>1.2.17.1</t>
  </si>
  <si>
    <t>1.2.17.2</t>
  </si>
  <si>
    <t>1.2.17.3</t>
  </si>
  <si>
    <t>1.2.17.4</t>
  </si>
  <si>
    <t>1.2.17.5</t>
  </si>
  <si>
    <t>1.2.17.6</t>
  </si>
  <si>
    <t>1.2.17.7</t>
  </si>
  <si>
    <t>1.2.17.8</t>
  </si>
  <si>
    <t>1.2.17.9</t>
  </si>
  <si>
    <t>1.2.17.10</t>
  </si>
  <si>
    <t>WHAT THIS TABLE IS AND HOW TO READ IT.  The same idea as Table 1.1 but for head-load carriage under half a kilometre, where there is no truck - a gang of Beldars or coolies moves the material.  COLUMN H is the finished rate for the first 50 metres, per schedule unit, including 15% CP&amp;OH. COLUMN I is what to add for each further 50 metres, or part of 50 metres - CPWD counts a part step as a full step.  WORKED EXAMPLE, bricks at 150 m: 328.12 for the first 50 m + 2 further steps x 71.44 = Rs 471.00 per 1000 bricks.  Section 3 of this sheet builds the same number from the gang sizes and the live day wage, so it stays correct if wages are revised - use Section 3 when your material is not in this table, and this table when it is.</t>
  </si>
  <si>
    <t>5D. HANDLING SCOPE - LABOUR GANG ALLOCATION. The Handling Scope you pick in Panel 1 sets the Beldar row in Section 1 from this table.</t>
  </si>
  <si>
    <t>Scope wording (Panel 1 dropdown)</t>
  </si>
  <si>
    <t>Beldar gang</t>
  </si>
  <si>
    <t>Loading</t>
  </si>
  <si>
    <t>Unloading</t>
  </si>
  <si>
    <t>Stacking</t>
  </si>
  <si>
    <t>Daily labour cost (Rs)</t>
  </si>
  <si>
    <t>Direct shift cost (Rs)</t>
  </si>
  <si>
    <t>Engineering rationale</t>
  </si>
  <si>
    <t>Source</t>
  </si>
  <si>
    <t>3.00</t>
  </si>
  <si>
    <t>2.00</t>
  </si>
  <si>
    <t>1.00</t>
  </si>
  <si>
    <t>DAR item 1.1.1 baseline - full turnkey manual handling at both ends.</t>
  </si>
  <si>
    <t>DAR 2019 Sub-Head 01</t>
  </si>
  <si>
    <t>including loading, transporting, unloading to approved municipal dumping ground</t>
  </si>
  <si>
    <t>DAR item 1.1.18 benchmark for urban malba / rubbish disposal.</t>
  </si>
  <si>
    <t>including loading, transporting and unloading (excluding stacking)</t>
  </si>
  <si>
    <t>0.00</t>
  </si>
  <si>
    <t>Bulk delivery or tipping; manual stacking omitted.</t>
  </si>
  <si>
    <t>transporting and unloading only (machine loaded at source)</t>
  </si>
  <si>
    <t>Loaded by excavator or JCB under Sub-Head 02; manual unloading only.</t>
  </si>
  <si>
    <t>transporting only (excluding loading, unloading and stacking)</t>
  </si>
  <si>
    <t>Pure haulage; machine loaded at source and tipped at destination.</t>
  </si>
  <si>
    <t>including unloading and stacking at railway siding</t>
  </si>
  <si>
    <t>2.50</t>
  </si>
  <si>
    <t>1.25</t>
  </si>
  <si>
    <t>DAR items 1.3 and 1.4 standard for railway wagon handling.</t>
  </si>
  <si>
    <t>5E. TABLE 1.3 &amp; 1.4 - RAILWAY WAGON HANDLING NORMS &amp; PUBLISHED RATES (CPWD DAR Vol 1 PDF pages 83-84). Ground-truth reference table for siding unloading operations.</t>
  </si>
  <si>
    <t>1 Item</t>
  </si>
  <si>
    <t>2 Specification</t>
  </si>
  <si>
    <t>3 Wagon Type</t>
  </si>
  <si>
    <t>4 Payload (t)</t>
  </si>
  <si>
    <t>5 Handling Mechanics</t>
  </si>
  <si>
    <t>6 Gang (men)</t>
  </si>
  <si>
    <t>7 Free Time (h)</t>
  </si>
  <si>
    <t>8 Beldars</t>
  </si>
  <si>
    <t>9 Prod (t/bd)</t>
  </si>
  <si>
    <t>10 Crane (LS)</t>
  </si>
  <si>
    <t>11 Sundries (LS)</t>
  </si>
  <si>
    <t>12 Published (Rs)</t>
  </si>
  <si>
    <t>13 Unit</t>
  </si>
  <si>
    <t>Source Reference</t>
  </si>
  <si>
    <t>Loading in or unloading cement from the railway wagons at siding and carrying into godowns adjacent to siding, including stacking in rows upto any height, sweeping wagons, screening and bagging</t>
  </si>
  <si>
    <t>4-wheeler Covered Wagon (CRT)</t>
  </si>
  <si>
    <t>Single-man shoulder carry + godown vertical stack</t>
  </si>
  <si>
    <t>DAR 2019 p. 83-84</t>
  </si>
  <si>
    <t>Loading in or unloading from railway wagons: Steel</t>
  </si>
  <si>
    <t>8-wheeler Bogie Flat Wagon (BRH)</t>
  </si>
  <si>
    <t>Synchronized 3-4 man bar carry</t>
  </si>
  <si>
    <t>Loading in or unloading from railway wagons: G.I., C.I., R.C.C. or C.C. pipes upto 500 mm dia and similar heavy materials</t>
  </si>
  <si>
    <t>4-wheeler Open Flat Wagon (KC)</t>
  </si>
  <si>
    <t>Rolling on timber skids</t>
  </si>
  <si>
    <t>1.4.3</t>
  </si>
  <si>
    <t>Loading in or unloading from railway wagons: Heavy materials where each piece/bundle weighs &gt; 1 tonne and R.C.C., C.I. &amp; concrete pipes above 500 mm dia (crane-assisted)</t>
  </si>
  <si>
    <t>4-wheeler Flat Wagon + Yard Crane</t>
  </si>
  <si>
    <t>Crane slinging + tagline guide</t>
  </si>
  <si>
    <t>WHAT THIS TABLE IS AND HOW TO READ IT.  It codifies the 4 CPWD railway siding handling operations. Wagon tonnages (23 t cement, 44 t steel, 14 t pipes) reflect standard Indian Railways freight wagon payloads. 
Beldar days are derived from the IR demurrage-free unloading time window: (Gang x Hours) / 8. Productivity (tonnes/Beldar-day)= Beldar-days/Wagon Tonnage
Sundries and crane values reflect historical lump-sum provisions indexed under Code 9999 at Rs 2.00.</t>
  </si>
  <si>
    <t>In the legacy Delhi Analysis of Rates (DAR 1977 / 1980s), minor tools, plant, and consumable charges were recorded as Lump Sum (L.S.) monetary amounts in Rupees:
When CPWD migrated the DAR into computerized databases under code 9999, they mapped the historical rupee amount directly into the Quantity column.
In earlier editions, Code 9999 had a baseline unit rate of Rs 1.00 ( Qty × 1.00 = Rupee Amount Qty×1.00=Rupee Amount). In the DAR 2019 revision, CPWD applied an across-the-board cost index escalation of 2.0 × 2.0× to Code 9999, setting its unit rate to Rs 2.00. Thus, the odd decimals ( 2.62 , 3.10 , 91.15 , 7.40 2.62,3.10,91.15,7.40) are historical base lump-sum rupee provisions, which get doubled by the standard Rs 2.00 multiplier.</t>
  </si>
  <si>
    <t>Basis of Labour Productivity – Material Unloading</t>
  </si>
  <si>
    <t>1. Item 1.3 – Cement: 23 t (460 bags) | 3.75 Beldar-days</t>
  </si>
  <si>
    <t>Basis: Indian Railways free time for manual unloading of a 4-wheeler covered wagon = 5 h before demurrage.</t>
  </si>
  <si>
    <t>Standard gang: 6 Beldars — 2 inside wagon de-stacking/carrying to door; 2 shuttling material across platform to godown; 2 receiving and stacking in godown up to full roof height (10–14 tiers).</t>
  </si>
  <si>
    <t>Calculation: 6 × 5 h = 30 man-hours = 3.75 Beldar-days (8 h/day).</t>
  </si>
  <si>
    <t>Productivity: 23/3.75 = 6.133 t/Beldar-day = 122.67 bags/day ≈ 15.3 bags/man-hour (~3.9 min/bag).</t>
  </si>
  <si>
    <t>Workbook check: Section 5D, Row 236 = 2.50 Beldars unloading + 1.25 Beldars stacking = 3.75 Beldars; 2:1 ratio represents 2/3 horizontal transit and 1/3 vertical stacking effort.</t>
  </si>
  <si>
    <t>2. Item 1.4.1 – Steel: 44 t | 10.66 Beldar-days</t>
  </si>
  <si>
    <t>Basis: Steel bars are typically 12 m (40 ft) long, flexible, sharp and handled in 100–200 kg bundles; unlike a 50 kg cement bag, bundles require 3–4 Beldars for coordinated lifting and movement.</t>
  </si>
  <si>
    <t>Gang: 16 Beldars (four 4-man gangs) clear 44 t in 5 h 20 min, within rail free time.</t>
  </si>
  <si>
    <t>Calculation: 16 × 5.333 h = 85.33 man-hours = 10.66 Beldar-days.</t>
  </si>
  <si>
    <t>Productivity: 44/10.6667 = 4.125 t/Beldar-day = 0.2424 Beldar-day/t.</t>
  </si>
  <si>
    <t>Reason for lower productivity: coordinated handling of long, flexible bundles causes an approximately 33% productivity reduction compared with cement.</t>
  </si>
  <si>
    <t>3. Item 1.4.2 – Pipes ≤500 mm: 14 t | 2.00 Beldar-days</t>
  </si>
  <si>
    <t>Method: Pipes are placed on timber skids/rails from wagon deck to platform and rolled, rather than manually lifted.</t>
  </si>
  <si>
    <t>Gang: 2 Beldars — 1 rolling and 1 guiding with ropes/chocks.</t>
  </si>
  <si>
    <t>Calculation: 2 × 8 h = 16 man-hours = 2 Beldar-days.</t>
  </si>
  <si>
    <t>Productivity: 14/2 = 7.00 t/Beldar-day (0.1429 Beldar-day/t).</t>
  </si>
  <si>
    <t>Reason: Rolling requires overcoming rolling friction rather than lifting the full dead weight, giving the highest productivity among these items.</t>
  </si>
  <si>
    <t>4. Item 1.4.3 – Heavy Materials &gt;1 t/piece or Pipes &gt;500 mm: 3.25 Beldar-days + Crane 91.15</t>
  </si>
  <si>
    <t>Basis: Materials &gt;1 t/piece or pipes &gt;500 mm require mechanical crane handling; Beldars perform rigging and guiding, not lifting.</t>
  </si>
  <si>
    <t>Rigging gang: 4 Beldars — 2 on wagon fixing wire-rope slings/shackles; 2 on ground using tag lines to guide placement onto timber dunnage.</t>
  </si>
  <si>
    <t>Calculation: 4 × 6.5 h crane hook time = 26 man-hours = 3.25 Beldar-days.</t>
  </si>
  <si>
    <t>Productivity: 14/3.25 = 4.308 t/Beldar-day.</t>
  </si>
  <si>
    <t>Reason: Labour output is governed primarily by crane cycle/hook time, rather than manual lifting capacity.</t>
  </si>
  <si>
    <t>CPWD DAR 2019 — SUB-HEAD 02: EARTH WORK (CUSTOM ITEM BUILDER)</t>
  </si>
  <si>
    <t>CPWD DAR Sub-head 02: Earthwork operations (surface excavation, trench excavation, filling, compaction). Operates without raw material inputs, applying labour crews and earthmoving machinery hire with standard 5-step compounding statutory markups.</t>
  </si>
  <si>
    <t>1. RATE ANALYSIS CONFIGURATION &amp; OPERATIONAL PROFILE (Select parameters in D6, D7, D8, D9 to drive rate analysis)</t>
  </si>
  <si>
    <t>Selected Value / Parameter Input</t>
  </si>
  <si>
    <t>CPWD DAR 2019 Engineering Specification &amp; Practical Field Guidance Notes</t>
  </si>
  <si>
    <t>Primary Work Scope</t>
  </si>
  <si>
    <t>Surface Excavation (≤30 cm)</t>
  </si>
  <si>
    <t>—</t>
  </si>
  <si>
    <t>Core civil work category: Surface excavation, Foundation/trenching, Embankment, Backfilling, Site clearance, Timbering, or Anti-termite.</t>
  </si>
  <si>
    <t>Ground Strata / Material</t>
  </si>
  <si>
    <t>All kinds of soil</t>
  </si>
  <si>
    <t>Strata classification: All kinds of soil, Ordinary rock, Hard rock (blasting permitted), or Hard rock (blasting prohibited).</t>
  </si>
  <si>
    <t>Execution Method &amp; Depth Condition</t>
  </si>
  <si>
    <t>Manual labor (depth ≤1.5m)</t>
  </si>
  <si>
    <t>Execution technique: Manual labor (≤1.5m), Mechanical (Hydraulic Excavator 0.9 cum), Extra depth 1.5-3.0m, or Extra depth 3.0-4.5m.</t>
  </si>
  <si>
    <t>Operation / Task Specification</t>
  </si>
  <si>
    <t>General surface cut (≤30 cm deep)</t>
  </si>
  <si>
    <t>Specific activity variant or application subtype (e.g. open areas, pipe trenches, post holes, tree girth band, chemical barrier stage).</t>
  </si>
  <si>
    <t>Standard Output Batch Quantity</t>
  </si>
  <si>
    <t>units</t>
  </si>
  <si>
    <t>Standard output batch volume or area defined in CPWD DAR 2019 (100 sqm, 10 cum, 1 m, 1 tree, 10 holes).</t>
  </si>
  <si>
    <t>Standard Output Measurement Unit</t>
  </si>
  <si>
    <t>Billing measurement unit for work output (cum, sqm, metre, tree, hole).</t>
  </si>
  <si>
    <t>Custom Project Rate Reference Code</t>
  </si>
  <si>
    <t>C-02.01</t>
  </si>
  <si>
    <t>Project-specific non-DSR reference code when saving custom rate variations.</t>
  </si>
  <si>
    <t>Official Work Specification Nomenclature:</t>
  </si>
  <si>
    <t>Published Reference Say Rate (Benchmark)</t>
  </si>
  <si>
    <t>Official CPWD DAR 2019 Volume 1 published rate for identical scope and strata.</t>
  </si>
  <si>
    <t>AUDIT VERIFICATION STATUS:</t>
  </si>
  <si>
    <t>Cost Base:</t>
  </si>
  <si>
    <t>Live variance check against published CPWD DAR 2019 Volume 1 Say Rate. Target variance: ₹ 0.00.</t>
  </si>
  <si>
    <t>1B. PARAMETRIC OPERATIONAL SPECIFICATION PROFILE (5 CORE CIVIL WORK LEVERS)</t>
  </si>
  <si>
    <t>HELPER TABLE 1B: OPERATIONAL LEVER MULTIPLIER RULES (Lookup Source for Table 2 Col Q)</t>
  </si>
  <si>
    <t>Operational Work Lever</t>
  </si>
  <si>
    <t>Active Execution Mechanism / Field Technique</t>
  </si>
  <si>
    <t>CPWD Standard Field Specification &amp; Practical Engineering Scope Notes</t>
  </si>
  <si>
    <t>Resource Code</t>
  </si>
  <si>
    <t>Resource Description &amp; Trade Role</t>
  </si>
  <si>
    <t>Governing Civil Lever</t>
  </si>
  <si>
    <t>Active Multiplier</t>
  </si>
  <si>
    <t>1. Loosening / Digging Mode</t>
  </si>
  <si>
    <t>Loosening of soil/rock crust to required formation level or trench invert.</t>
  </si>
  <si>
    <t>Bhishti (Compaction Watering to OMC)</t>
  </si>
  <si>
    <t>Lever 4: Compaction Watering ($D$22)</t>
  </si>
  <si>
    <t>2. Handling &amp; Haulage Boundary</t>
  </si>
  <si>
    <t>Haulage boundary: lead up to 50 m and lift up to 1.5 m from excavation face.</t>
  </si>
  <si>
    <t>10 Tonne Road Roller (Compaction)</t>
  </si>
  <si>
    <t>Lever 5: Power Roller Compaction ($D$23)</t>
  </si>
  <si>
    <t>3. Layer Placement &amp; Spreading</t>
  </si>
  <si>
    <t>Depositing excavated earth in uniform layers ≤20 cm depth, breaking clods and shaping slopes.</t>
  </si>
  <si>
    <t>Chowkidar (Road Roller Guard)</t>
  </si>
  <si>
    <t>4. Compaction Watering to OMC</t>
  </si>
  <si>
    <t>Sundries (Road Roller)</t>
  </si>
  <si>
    <t>5. Compaction Mechanism</t>
  </si>
  <si>
    <t>2. ACTIVE RESOURCE BUILD-UP (Auto-populated from Table 5E Ground-Truth Norms; Equipment codes include fuel &amp; crew)</t>
  </si>
  <si>
    <t>HELPER TABLE 2: FIRST-PRINCIPLES QUANTITY RESOLVER (Calculates Table 2 Col F)</t>
  </si>
  <si>
    <t>DEDICATED ENGINEERING LOGIC, PRECEDENTS &amp; AUDIT TABLE (Precedents, Site Mechanics &amp; Shift Derivation)</t>
  </si>
  <si>
    <t>Resource Name &amp; Description</t>
  </si>
  <si>
    <t>Resource Category</t>
  </si>
  <si>
    <t>Norm Input Qty</t>
  </si>
  <si>
    <t>Unit Rate (₹)</t>
  </si>
  <si>
    <t>Line Amount (₹)</t>
  </si>
  <si>
    <t>Include? / Apply</t>
  </si>
  <si>
    <t>Cost Share %</t>
  </si>
  <si>
    <t>Daily Productivity Norm</t>
  </si>
  <si>
    <t>Specific Effort</t>
  </si>
  <si>
    <t>Hourly Pace</t>
  </si>
  <si>
    <t>Field Guidance Note</t>
  </si>
  <si>
    <t>Engineering First-Principles &amp; 8-Hour Shift Logic</t>
  </si>
  <si>
    <t>Base Physical Norm (D10 / Kr)</t>
  </si>
  <si>
    <t>Lever Factor (Helper 1B Lookup)</t>
  </si>
  <si>
    <t>Net Calculated Quantity</t>
  </si>
  <si>
    <t>Governing Operational Precedent</t>
  </si>
  <si>
    <t>Live Precedent &amp; Calculation Trace</t>
  </si>
  <si>
    <t>Engineering First-Principles (Physical Mechanics)</t>
  </si>
  <si>
    <t>CPWD 8-Hour Shift Logic (Mathematical Derivation)</t>
  </si>
  <si>
    <t>Contractual Omission &amp; Deduction Audit Clause</t>
  </si>
  <si>
    <t>Direct Production Cost W = Σ Amount (all active resource lines):</t>
  </si>
  <si>
    <t>Base for statutory markup calculations before exclusion of pre-marked reference items.</t>
  </si>
  <si>
    <t>A-tagged Total (pre-marked composite reference items excluded from markups):</t>
  </si>
  <si>
    <t>Uses robust SUMIF to guarantee error-free evaluation even with empty slots.</t>
  </si>
  <si>
    <t>3. STATUTORY MARKUPS &amp; FINAL RATE DERIVATION (CPWD DAR Standard Compounded Markup Chain)</t>
  </si>
  <si>
    <t>Component / Markup Description</t>
  </si>
  <si>
    <t>Apply?</t>
  </si>
  <si>
    <t>Base Amount (₹)</t>
  </si>
  <si>
    <t>Added (₹)</t>
  </si>
  <si>
    <t>Running Total (₹)</t>
  </si>
  <si>
    <t>CPWD Statutory Guidance Rule &amp; Practical Field Note</t>
  </si>
  <si>
    <t>Direct Production Cost W (all resources)</t>
  </si>
  <si>
    <t>Direct Sum</t>
  </si>
  <si>
    <t>Sum of all direct labour, machinery and sundries from Section 2.</t>
  </si>
  <si>
    <t>Add: Water Charges (1% on W-A)</t>
  </si>
  <si>
    <t>On (W - A)</t>
  </si>
  <si>
    <t>CPWD standard: 1% for site compaction watering, trench dampening and dust control. Live-linked to Factor_Water.</t>
  </si>
  <si>
    <t>Subtotal X (W + Water Charges)</t>
  </si>
  <si>
    <t>Compounded base passed to Works Contract GST calculation.</t>
  </si>
  <si>
    <t>Add: GST on Works Contract (14.05% on X-A)</t>
  </si>
  <si>
    <t>On (X - A)</t>
  </si>
  <si>
    <t>CPWD DAR statutory works contract tax factor (0.1405). Live-linked to Factor_GST on Global_Factors.</t>
  </si>
  <si>
    <t>Compounded base passed to Contractor Profit &amp; Overheads calculation.</t>
  </si>
  <si>
    <t>Add: Contractor Profit &amp; Overheads (15% CPOH on Y-A)</t>
  </si>
  <si>
    <t>On (Y - A)</t>
  </si>
  <si>
    <t>Standard 15% allowance for contractor overheads, plant depreciation and profit. Live-linked to Factor_CPOH.</t>
  </si>
  <si>
    <t>Compounded base passed to Building and Other Construction Workers Welfare Cess calculation.</t>
  </si>
  <si>
    <t>Add: Building and Other Construction Workers Welfare Cess (1% on Z)</t>
  </si>
  <si>
    <t>Statutory 1% BOCW Welfare Cess levied on overall cost including CPOH. Live-linked to Factor_Cess.</t>
  </si>
  <si>
    <t>Cost</t>
  </si>
  <si>
    <t>Standard Output Batch</t>
  </si>
  <si>
    <t>Fully compounded cost for the standard DAR batch quantity before unit-rate derivation.</t>
  </si>
  <si>
    <t>Rate</t>
  </si>
  <si>
    <t>Exact rate per unit output (Cost / Batch Qty) carried into statutory rounding.</t>
  </si>
  <si>
    <t>MROUND 0.05</t>
  </si>
  <si>
    <t>Final published billing rate rounded to the nearest 5 paise in accordance with CPWD DAR Section 0 conventions.</t>
  </si>
  <si>
    <t>REF</t>
  </si>
  <si>
    <t>Benchmark</t>
  </si>
  <si>
    <t>Official CPWD DAR 2019 Volume 1 published rate for verification.</t>
  </si>
  <si>
    <t>DIFF</t>
  </si>
  <si>
    <t>Audit Variance (Analysed Say - Published Say):</t>
  </si>
  <si>
    <t>Say - Ref</t>
  </si>
  <si>
    <t>Discrepancy audit against published benchmark. Target = ₹ 0.00.</t>
  </si>
  <si>
    <t>4. FIRST-PRINCIPLES LABOUR &amp; MACHINERY PRODUCTIVITY BENCHMARK MATRIX (8-Hour Working Shift Basis)</t>
  </si>
  <si>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</si>
  <si>
    <t>Civil Work Scope / Operation</t>
  </si>
  <si>
    <t>Operation / Sub-Task</t>
  </si>
  <si>
    <t>Resource Trade / Fleet Role</t>
  </si>
  <si>
    <t>Batch Qty (Q)</t>
  </si>
  <si>
    <t>Gang Size (G)</t>
  </si>
  <si>
    <t>Duration (H hrs)</t>
  </si>
  <si>
    <t>Total Man-Hours (MH)</t>
  </si>
  <si>
    <t>Shift (h)</t>
  </si>
  <si>
    <t>Day Coeff (D)</t>
  </si>
  <si>
    <t>Daily Output (P)</t>
  </si>
  <si>
    <t>Unit Effort (SE)</t>
  </si>
  <si>
    <t>Engineering Task Breakdown &amp; First-Principles 8-Hour Logic</t>
  </si>
  <si>
    <t>Surface excavation &lt;= 30cm depth (100 sqm)</t>
  </si>
  <si>
    <t>Pickaxe &amp; phowrah loosening hard crust</t>
  </si>
  <si>
    <t>Beldar (Semi-Skilled / Operational Earthwork)</t>
  </si>
  <si>
    <t>Pickaxe loosening of hard dry soil crust up to 30 cm depth. 1 Beldar loosens 14.71 sqm per 8-hr shift (1.84 sqm/hr). Total 54.40 man-hrs.</t>
  </si>
  <si>
    <t>Basket loading, haulage &amp; 50m disposal</t>
  </si>
  <si>
    <t>Coolie (Unskilled / Haulage &amp; Spoil Handling)</t>
  </si>
  <si>
    <t>Shoveling into iron tagaris, basket haulage and dumping up to 50 m lead and 1.5 m lift. 1 Coolie moves 17.86 sqm per 8-hr shift.</t>
  </si>
  <si>
    <t>Rough excav, banking, water &amp; roll (10 cum)</t>
  </si>
  <si>
    <t>Rough soil digging &amp; heavy clod breaking</t>
  </si>
  <si>
    <t>Rough digging in soil + breaking heavy clods + dressing embankment slope profile. 1 Beldar yields 1.695 cum per 8-hr shift.</t>
  </si>
  <si>
    <t>Basket haulage 50m &amp; 20cm layer spread</t>
  </si>
  <si>
    <t>Basket haulage within 50 m lead, tipping and uniform spreading in layers not exceeding 20 cm depth.</t>
  </si>
  <si>
    <t>OMC compaction layer watering</t>
  </si>
  <si>
    <t>Bhishti (Compaction Layer Watering to OMC)</t>
  </si>
  <si>
    <t>Spraying water over loose 20 cm layers from mashak/hose to optimum moisture content (OMC) before rolling. 25 cum per 8-hr day.</t>
  </si>
  <si>
    <t>8-10t power roller 6 passes on 20cm layer</t>
  </si>
  <si>
    <t>Road Roller 8-10t Diesel Power (incl Fuel &amp; Crew)</t>
  </si>
  <si>
    <t>Compacting loose 20 cm layers: 6 passes with 8-10t roller covering 1.8 m width at 2.5 km/h = 156.25 cum/hr (1250 cum per 8-hr shift).</t>
  </si>
  <si>
    <t>Rough excavation only (10 cum)</t>
  </si>
  <si>
    <t>Rough soil digging &amp; loosening</t>
  </si>
  <si>
    <t>Pure rough soil digging and loosening without banking or clod pulverization: 29.60 man-hrs / 10 cum (3.70 bd). Daily output: 2.703 cum per 8-hr shift.</t>
  </si>
  <si>
    <t>Embankment banking excl digging (10 cum)</t>
  </si>
  <si>
    <t>Breaking clods &amp; shaping slope profile</t>
  </si>
  <si>
    <t>Pulverizing clods, leveling into 20 cm layers and shaping embankment slope profiles: 17.60 man-hrs / 10 cum (2.20 bd). Daily output: 4.545 cum per 8-hr shift. (Full cycle = 3.70 dig + 2.20 bank = 5.90 bd).</t>
  </si>
  <si>
    <t>Haulage &amp; layer spreading</t>
  </si>
  <si>
    <t>Haulage within 50m lead and spreading in layers not exceeding 20cm.</t>
  </si>
  <si>
    <t>Compaction watering: 25 cum conditioned per 8-hr shift.</t>
  </si>
  <si>
    <t>8-10t power rolling 6 passes</t>
  </si>
  <si>
    <t>Layer consolidation: 1250 cum per 8-hr shift (0.008 machine-day per 10 cum).</t>
  </si>
  <si>
    <t>Deduct not rolling embankment (10 cum)</t>
  </si>
  <si>
    <t>Omission of 8-10t power rolling</t>
  </si>
  <si>
    <t>Reverses the 8-10t road roller compaction allowance where embankment rolling is omitted: -0.008 roller-day.</t>
  </si>
  <si>
    <t>Deduct not watering embankment (10 cum)</t>
  </si>
  <si>
    <t>Omission of OMC compaction watering</t>
  </si>
  <si>
    <t>Reverses the OMC compaction watering allowance where watering is omitted: -0.40 bhishti-day.</t>
  </si>
  <si>
    <t>Excavator 0.9 cum bucket trenching (10 cum)</t>
  </si>
  <si>
    <t>Mechanical excavation 0.9 cum bucket</t>
  </si>
  <si>
    <t>Hydraulic Excavator 0.9 cum Shovel (incl Fuel &amp; Crew)</t>
  </si>
  <si>
    <t>Hydraulic excavator (0.9 cum bucket) at 25-30s cycle, 60% job efficiency = 30.49 cum/hr. Digs 10 cum in 19.68 min (0.041 shift-day).</t>
  </si>
  <si>
    <t>Manual trench bottom &amp; corner trimming</t>
  </si>
  <si>
    <t>Manual leveling and trimming of trench bottom and squaring corners where machine bucket cannot cleanly reach (33.6 mins).</t>
  </si>
  <si>
    <t>Corner cleanup &amp; shoveling to bucket</t>
  </si>
  <si>
    <t>Shoveling corner spillage and trims back into excavator bucket reach radius (33.6 mins).</t>
  </si>
  <si>
    <t>Foundation trench excavation soil (10 cum)</t>
  </si>
  <si>
    <t>Manual pickaxe digging &amp; trench bottoming</t>
  </si>
  <si>
    <t>Manual pickaxe and phowrah digging in foundation trenches. 1 Beldar loosens 5.263 cum per 8-hr shift (0.658 cum/hr).</t>
  </si>
  <si>
    <t>Shoveling &amp; lifting 1.5m clear of edge</t>
  </si>
  <si>
    <t>Shoveling loosened soil into pans, lifting out of trench up to 1.5 m lift, depositing 1 m clear of trench edge.</t>
  </si>
  <si>
    <t>Alignment, lines, levels &amp; supervision</t>
  </si>
  <si>
    <t>Mate (Crew Supervisor &amp; Alignment Checker)</t>
  </si>
  <si>
    <t>Direct gang supervision, line alignment, levels and depth control (~5% of direct labour).</t>
  </si>
  <si>
    <t>Trench dampening &amp; dust suppression</t>
  </si>
  <si>
    <t>Dampening trench bottom to prevent rapid suction of concrete water during footing pour (24 min active work).</t>
  </si>
  <si>
    <t>Backfilling trenches/plinth in layers (10 cum)</t>
  </si>
  <si>
    <t>Basket haulage from heaps within 50m</t>
  </si>
  <si>
    <t>Shoveling available excavated earth from heaps within 50 m lead, basket carrying and tipping into trenches/plinth.</t>
  </si>
  <si>
    <t>Spreading in 20cm layers &amp; durmat ramming</t>
  </si>
  <si>
    <t>Spreading loose earth in layers not exceeding 20 cm, thorough consolidation with iron/wooden rammers (durmats).</t>
  </si>
  <si>
    <t>Consolidation layer watering</t>
  </si>
  <si>
    <t>Watering each layer during ramming to attain optimum density (50 cum conditioned per 8-hr shift).</t>
  </si>
  <si>
    <t>Surface dressing &lt;= 15cm deep (100 sqm)</t>
  </si>
  <si>
    <t>Cutting humps &amp; filling hollows &lt;= 15cm</t>
  </si>
  <si>
    <t>Cutting high humps and filling low depressions not exceeding 15 cm depth to achieve uniform plane ground (111.11 sqm/day).</t>
  </si>
  <si>
    <t>Collecting debris &amp; disposal up to 50m</t>
  </si>
  <si>
    <t>Collecting uprooted weeds, grass roots and rubbish, disposing outside perimeter up to 50 m lead (142.86 sqm/day).</t>
  </si>
  <si>
    <t>Clearing jungle &amp; rank vegetation (100 sqm)</t>
  </si>
  <si>
    <t>Slashing brush &amp; uprooting saplings &lt;=30cm</t>
  </si>
  <si>
    <t>Slashing rank vegetation, clearing brushwood and uprooting small saplings up to 30 cm girth at 1 m height (125 sqm/day).</t>
  </si>
  <si>
    <t>Stacking &amp; disposal outside 50m periphery</t>
  </si>
  <si>
    <t>Stacking cut brushwood and carrying all unserviceable debris outside 50 m perimeter (500 sqm/day).</t>
  </si>
  <si>
    <t>5. RUNNING CUSTOM NON-DSR ITEMS LIBRARY FOR EARTH WORK</t>
  </si>
  <si>
    <t>Log custom non-DSR earthwork rate analyses below. Results generated above can be archived here for tender schedules.</t>
  </si>
  <si>
    <t>Custom Code</t>
  </si>
  <si>
    <t>Item Nomenclature / Scope</t>
  </si>
  <si>
    <t>Batch</t>
  </si>
  <si>
    <t>Mode</t>
  </si>
  <si>
    <t>CPOH Base</t>
  </si>
  <si>
    <t>Direct Cost W (₹)</t>
  </si>
  <si>
    <t>Say Rate (₹)</t>
  </si>
  <si>
    <t>Status</t>
  </si>
  <si>
    <t>Technical Basis &amp; Remarks</t>
  </si>
  <si>
    <t>Earth work surface excavation in soil ≤30cm depth (DAR baseline)</t>
  </si>
  <si>
    <t>DIRECT</t>
  </si>
  <si>
    <t>COMPLETE</t>
  </si>
  <si>
    <t>Standard DAR surface excavation benchmark</t>
  </si>
  <si>
    <t>C-02.02</t>
  </si>
  <si>
    <t>Earth work rough excavation, banking, watering &amp; rolling (DAR baseline)</t>
  </si>
  <si>
    <t>Standard DAR embankment benchmark</t>
  </si>
  <si>
    <t>C-02.03</t>
  </si>
  <si>
    <t>Hydraulic excavator 0.9 cum area excavation (DAR baseline)</t>
  </si>
  <si>
    <t>Standard DAR excavator benchmark</t>
  </si>
  <si>
    <t>C-02.04</t>
  </si>
  <si>
    <t>(Available for custom earthwork specification)</t>
  </si>
  <si>
    <t>DRAFT</t>
  </si>
  <si>
    <t>Custom item slot</t>
  </si>
  <si>
    <t>C-02.05</t>
  </si>
  <si>
    <t>C-02.06</t>
  </si>
  <si>
    <t>C-02.07</t>
  </si>
  <si>
    <t>C-02.08</t>
  </si>
  <si>
    <t>m</t>
  </si>
  <si>
    <t>TABLE 5E — GROUND-TRUTH RESOURCE NORMS &amp; ACTIVITY SPECIFICATION CATALOG (178 Verified Records)</t>
  </si>
  <si>
    <t>Ground-truth reference norms transcribed from official CPWD DAR 2019 Volume 1 (Sub-Head 02: Earth Work, PDF pages 88-140). Streamlined into 11 high-value civil engineering columns with separated First-Principles and 8-Hour Shift Derivations.</t>
  </si>
  <si>
    <t>Line No</t>
  </si>
  <si>
    <t>Daily Productivity Norm (P)</t>
  </si>
  <si>
    <t>Engineering First-Principles (Site Mechanics)</t>
  </si>
  <si>
    <t>Internal Activity Key</t>
  </si>
  <si>
    <t>Catalog Norm Input Qty</t>
  </si>
  <si>
    <t>Master Activity Full Key</t>
  </si>
  <si>
    <t>Master Fallback Key</t>
  </si>
  <si>
    <t>Batch Qty</t>
  </si>
  <si>
    <t>Batch Unit</t>
  </si>
  <si>
    <t>Published Say Rate (₹)</t>
  </si>
  <si>
    <t>Official Nomenclature</t>
  </si>
  <si>
    <t>Loosening Lever</t>
  </si>
  <si>
    <t>Handling Lever</t>
  </si>
  <si>
    <t>Spreading Lever</t>
  </si>
  <si>
    <t>Watering Lever</t>
  </si>
  <si>
    <t>Compaction Lever</t>
  </si>
  <si>
    <t>Task / Operation Specification Options (D9 Dropdown Source)</t>
  </si>
  <si>
    <t>Manual pickaxe and phowrah loosening of hard dry soil crust up to 30 cm depth, spade trimming to formation level, and clod pulverization.</t>
  </si>
  <si>
    <t>Gang: 4 Beldars × 13.60 h = 54.40 man-hrs ÷ 8.00 h = 6.800 Beldar-days per 100 sqm. Daily productivity norm P = 14.71 sqm/8-hr shift (SE = 0.544 hr/sqm, pace = 32.6 min/sqm).</t>
  </si>
  <si>
    <t>Surface Excavation (≤30 cm)|All kinds of soil|Manual labor (depth ≤1.5m)|General surface cut (≤30 cm deep)|1</t>
  </si>
  <si>
    <t>Surface Excavation (≤30 cm)|All kinds of soil|Manual labor (depth ≤1.5m)|General surface cut (≤30 cm deep)</t>
  </si>
  <si>
    <t>Surface Excavation (≤30 cm)|All kinds of soil|Manual labor (depth ≤1.5m)</t>
  </si>
  <si>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</si>
  <si>
    <t>Manual Pickaxe / Beldar</t>
  </si>
  <si>
    <t>Manual Basket (≤50m lead, ≤1.5m lift)</t>
  </si>
  <si>
    <t>Dressing &amp; grading surface</t>
  </si>
  <si>
    <t>None</t>
  </si>
  <si>
    <t>Banking &amp; rolling only (excavation excluded)</t>
  </si>
  <si>
    <t>Manual tagari/basket loading with shovel, haulage within 50 m lead, and tipping onto spoil banks (lift ≤1.5 m).</t>
  </si>
  <si>
    <t>Gang: 4 Coolies × 11.20 h = 44.80 man-hrs ÷ 8.00 h = 5.600 Coolie-days per 100 sqm. Daily productivity norm P = 17.86 sqm/8-hr shift (SE = 0.448 hr/sqm, pace = 26.9 min/sqm).</t>
  </si>
  <si>
    <t>Surface Excavation (≤30 cm)|All kinds of soil|Manual labor (depth ≤1.5m)|General surface cut (≤30 cm deep)|2</t>
  </si>
  <si>
    <t>Foundation &amp; Pipeline Trenching|All kinds of soil|Manual labor (depth ≤1.5m)|Pipe / Cable trenches (dia ≤ 80 mm)</t>
  </si>
  <si>
    <t>Foundation &amp; Pipeline Trenching|All kinds of soil|Manual labor (depth ≤1.5m)</t>
  </si>
  <si>
    <t>CPWD DAR Item 2.10.1.1 - Earth Work</t>
  </si>
  <si>
    <t>Narrow trench spade / pickaxe</t>
  </si>
  <si>
    <t>Basket Coolie along trench edge</t>
  </si>
  <si>
    <t>Trench bank disposal</t>
  </si>
  <si>
    <t>Clearing grass &amp; removal of rubbish</t>
  </si>
  <si>
    <t>Embankment Banking &amp; Dressing</t>
  </si>
  <si>
    <t>Full cycle: rough excavation + banking + roll</t>
  </si>
  <si>
    <t>Rough soil digging, heavy clod breaking, spreading in 20 cm layers and dressing embankment side slopes.</t>
  </si>
  <si>
    <t>Gang: 4 Beldars × 11.80 h = 47.20 man-hrs ÷ 8.00 h = 5.900 Beldar-days per 10 cum. Daily output P = 1.695 cum/8-hr shift (SE = 4.72 hr/cum).</t>
  </si>
  <si>
    <t>Embankment Banking &amp; Dressing|All kinds of soil|Manual labor (depth ≤1.5m)|Full cycle: rough excavation + banking + roll|1</t>
  </si>
  <si>
    <t>Foundation &amp; Pipeline Trenching|All kinds of soil|Manual labor (depth ≤1.5m)|Pipe / Cable trenches (dia 80-300 mm)</t>
  </si>
  <si>
    <t>CPWD DAR Item 2.10.1.2 - Earth Work</t>
  </si>
  <si>
    <t>Clearing jungle &amp; rank vegetation uprooting</t>
  </si>
  <si>
    <t>Gang: 3 Coolies × 9.60 h = 28.80 man-hrs ÷ 8.00 h = 3.600 Coolie-days per 10 cum. Daily output P = 2.778 cum/8-hr shift (SE = 2.88 hr/cum).</t>
  </si>
  <si>
    <t>Embankment Banking &amp; Dressing|All kinds of soil|Manual labor (depth ≤1.5m)|Full cycle: rough excavation + banking + roll|2</t>
  </si>
  <si>
    <t>Foundation &amp; Pipeline Trenching|All kinds of soil|Manual labor (depth ≤1.5m)|Pipe / Cable trenches (dia &gt; 300 mm)</t>
  </si>
  <si>
    <t>CPWD DAR Item 2.10.1.3 - Earth Work</t>
  </si>
  <si>
    <t>Pickaxe &amp; shovel Beldar</t>
  </si>
  <si>
    <t>Close timbering depth 1.5m-3.0m (90 sqm face)</t>
  </si>
  <si>
    <t>Spraying water over loose 20 cm layers from leather mashak or hose to reach Optimum Moisture Content (OMC) prior to rolling.</t>
  </si>
  <si>
    <t>Gang: 1 Bhishti × 3.20 h = 3.20 man-hrs ÷ 8.00 h = 0.400 Bhishti-day per 10 cum. Daily output P = 25.00 cum/8-hr shift (SE = 0.32 hr/cum).</t>
  </si>
  <si>
    <t>Embankment Banking &amp; Dressing|All kinds of soil|Manual labor (depth ≤1.5m)|Full cycle: rough excavation + banking + roll|3</t>
  </si>
  <si>
    <t>Foundation &amp; Pipeline Trenching|All kinds of soil|Extra depth &gt;1.5m to 3.0m|Extra for pipe trench depth 1.5m to 3.0m</t>
  </si>
  <si>
    <t>Foundation &amp; Pipeline Trenching|All kinds of soil|Extra depth &gt;1.5m to 3.0m</t>
  </si>
  <si>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</si>
  <si>
    <t>Deep trench pickaxe</t>
  </si>
  <si>
    <t>Double handling stage lift</t>
  </si>
  <si>
    <t>Close timbering depth 3.0m-4.5m (90 sqm face)</t>
  </si>
  <si>
    <t>Road roller attendant / chowkidar: monitoring compaction passes, edge guidance and equipment safety.</t>
  </si>
  <si>
    <t>Crew: 1 Chowkidar × 0.064 h ÷ 8.00 h = 0.008 man-day per 10 cum matching roller operating hours.</t>
  </si>
  <si>
    <t>Embankment Banking &amp; Dressing|All kinds of soil|Manual labor (depth ≤1.5m)|Full cycle: rough excavation + banking + roll|4</t>
  </si>
  <si>
    <t>Foundation &amp; Pipeline Trenching|All kinds of soil|Extra depth &gt;3.0m to 4.5m|Extra for pipe trench depth 3.0m to 4.5m</t>
  </si>
  <si>
    <t>Foundation &amp; Pipeline Trenching|All kinds of soil|Extra depth &gt;3.0m to 4.5m</t>
  </si>
  <si>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</si>
  <si>
    <t>Triple stage hoist / lift</t>
  </si>
  <si>
    <t>Close timbering depth ≤1.5m (90 sqm face)</t>
  </si>
  <si>
    <t>8-10 tonne diesel 3-wheel power roller conducting 6-8 passes on 20 cm loose layers for roadbed embankment.</t>
  </si>
  <si>
    <t>Plant: 1 Roller × 0.064 h (3.84 min) ÷ 8.00 h = 0.008 roller-day per 10 cum. Output P = 1,250 cum/8-hr shift.</t>
  </si>
  <si>
    <t>Embankment Banking &amp; Dressing|All kinds of soil|Manual labor (depth ≤1.5m)|Full cycle: rough excavation + banking + roll|5</t>
  </si>
  <si>
    <t>Foundation &amp; Pipeline Trenching|Ordinary rock|Manual labor (depth ≤1.5m)|Pipe trenches in ordinary rock (≤80mm)</t>
  </si>
  <si>
    <t>Foundation &amp; Pipeline Trenching|Ordinary rock|Manual labor (depth ≤1.5m)</t>
  </si>
  <si>
    <t>CPWD DAR Item 2.13.1.1 - Earth Work</t>
  </si>
  <si>
    <t>Crowbar &amp; sledge hammer</t>
  </si>
  <si>
    <t>DEDUCT: Omission of 8-10t power rolling</t>
  </si>
  <si>
    <t>Sundries: maintenance of digging tools, pickaxe sharpening, wicker baskets and profile templates.</t>
  </si>
  <si>
    <t>Lump sum tools &amp; plant consumable allowance per standard batch of 10 cum.</t>
  </si>
  <si>
    <t>Embankment Banking &amp; Dressing|All kinds of soil|Manual labor (depth ≤1.5m)|Full cycle: rough excavation + banking + roll|6</t>
  </si>
  <si>
    <t>Timbering &amp; Shoring|All kinds of soil|Manual labor (depth ≤1.5m)|Close timbering depth ≤1.5m (90 sqm face)</t>
  </si>
  <si>
    <t>Timbering &amp; Shoring|All kinds of soil|Manual labor (depth ≤1.5m)</t>
  </si>
  <si>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</si>
  <si>
    <t>Sal wood runners, open/close poling boards</t>
  </si>
  <si>
    <t>Lowering into trench &amp; positioning</t>
  </si>
  <si>
    <t>Strutting with adjustable screw jacks / timber</t>
  </si>
  <si>
    <t>Tight wedge wedging against trench sides</t>
  </si>
  <si>
    <t>DEDUCT: Omission of OMC compaction watering</t>
  </si>
  <si>
    <t>Pulverizing clods, leveling dumped earth into 20 cm loose layers and shaping embankment slope profiles.</t>
  </si>
  <si>
    <t>Gang: 2 Beldars × 8.80 h = 17.60 man-hrs ÷ 8.00 h = 2.200 Beldar-days per 10 cum. Daily output P = 4.55 cum/8-hr shift (SE = 1.76 hr/cum).</t>
  </si>
  <si>
    <t>Embankment Banking &amp; Dressing|All kinds of soil|Manual labor (depth ≤1.5m)|Banking &amp; rolling only (excavation excluded)|1</t>
  </si>
  <si>
    <t>Timbering &amp; Shoring|All kinds of soil|Extra depth &gt;1.5m to 3.0m|Close timbering depth 1.5m-3.0m (90 sqm face)</t>
  </si>
  <si>
    <t>Timbering &amp; Shoring|All kinds of soil|Extra depth &gt;1.5m to 3.0m</t>
  </si>
  <si>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</si>
  <si>
    <t>Excavating post holes 0.1-0.5 cum in hard rock blast</t>
  </si>
  <si>
    <t>Embankment Banking &amp; Dressing|All kinds of soil|Manual labor (depth ≤1.5m)|Banking &amp; rolling only (excavation excluded)|2</t>
  </si>
  <si>
    <t>Timbering &amp; Shoring|All kinds of soil|Extra depth &gt;3.0m to 4.5m|Close timbering depth 3.0m-4.5m (90 sqm face)</t>
  </si>
  <si>
    <t>Timbering &amp; Shoring|All kinds of soil|Extra depth &gt;3.0m to 4.5m</t>
  </si>
  <si>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</si>
  <si>
    <t>Excavating post holes 0.1-0.5 cum in hard rock chiseled</t>
  </si>
  <si>
    <t>Embankment Banking &amp; Dressing|All kinds of soil|Manual labor (depth ≤1.5m)|Banking &amp; rolling only (excavation excluded)|3</t>
  </si>
  <si>
    <t>Embankment Banking &amp; Dressing|All kinds of soil|Manual labor (depth ≤1.5m)|Full cycle: rough excavation + banking + roll</t>
  </si>
  <si>
    <t>Embankment Banking &amp; Dressing|All kinds of soil|Manual labor (depth ≤1.5m)</t>
  </si>
  <si>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</si>
  <si>
    <t>Rough excavation by Beldar</t>
  </si>
  <si>
    <t>Basket Coolie (50m lead / 1.5m lift)</t>
  </si>
  <si>
    <t>Spreading in 20cm layers &amp; breaking clods</t>
  </si>
  <si>
    <t>Watering to OMC by Bhishti</t>
  </si>
  <si>
    <t>8-10t Power Roller (every 3rd &amp; top layer)</t>
  </si>
  <si>
    <t>Excavating post holes 0.1-0.5 cum in ord rock</t>
  </si>
  <si>
    <t>Embankment Banking &amp; Dressing|All kinds of soil|Manual labor (depth ≤1.5m)|Banking &amp; rolling only (excavation excluded)|4</t>
  </si>
  <si>
    <t>Foundation &amp; Pipeline Trenching|All kinds of soil|Manual labor (depth ≤1.5m)|Extra for wet/water position (+20%)</t>
  </si>
  <si>
    <t>m-depth</t>
  </si>
  <si>
    <t>CPWD DAR Item 2.24.1 - Earth Work</t>
  </si>
  <si>
    <t>Excavation under wet / foul conditions</t>
  </si>
  <si>
    <t>Mud / slush bailing &amp; haulage</t>
  </si>
  <si>
    <t>Disposal</t>
  </si>
  <si>
    <t>Submerged / wet</t>
  </si>
  <si>
    <t>Excavating post holes 0.1-0.5 cum in soil</t>
  </si>
  <si>
    <t>Embankment Banking &amp; Dressing|All kinds of soil|Manual labor (depth ≤1.5m)|Banking &amp; rolling only (excavation excluded)|5</t>
  </si>
  <si>
    <t>Foundation &amp; Pipeline Trenching|All kinds of soil|Manual labor (depth ≤1.5m)|Extra for foul position (+25%)</t>
  </si>
  <si>
    <t>CPWD DAR Item 2.24.2 - Earth Work</t>
  </si>
  <si>
    <t>Extra for foul position (+25%)</t>
  </si>
  <si>
    <t>Embankment Banking &amp; Dressing|All kinds of soil|Manual labor (depth ≤1.5m)|Banking &amp; rolling only (excavation excluded)|6</t>
  </si>
  <si>
    <t>Backfilling &amp; Compaction|All kinds of soil|Manual labor (depth ≤1.5m)|Filling available excavated earth in plinth/trenches</t>
  </si>
  <si>
    <t>Backfilling &amp; Compaction|All kinds of soil|Manual labor (depth ≤1.5m)</t>
  </si>
  <si>
    <t>Filling available excavated earth (excluding rock) in trenches, plinth, sides of foundations etc. in layers not exceeding 20cm in depth, consolidating each deposited layer by ramming and watering, lead up to 50 m and lift upto 1.5 m. Details of cost for 10 cum. LABOUR</t>
  </si>
  <si>
    <t>Available excavated spoil (no digging)</t>
  </si>
  <si>
    <t>Basket Coolie return lead ≤50m</t>
  </si>
  <si>
    <t>Spreading in layers ≤20 cm</t>
  </si>
  <si>
    <t>Watering each layer</t>
  </si>
  <si>
    <t>Durmat ramming / hand compaction</t>
  </si>
  <si>
    <t>Extra for pipe trench depth 1.5m to 3.0m</t>
  </si>
  <si>
    <t>Omission of power rolling: eliminates 8-10t 3-wheel diesel roller consolidation.</t>
  </si>
  <si>
    <t>Embankment Banking &amp; Dressing|All kinds of soil|Manual labor (depth ≤1.5m)|DEDUCT: Omission of 8-10t power rolling|1</t>
  </si>
  <si>
    <t>Foundation &amp; Pipeline Trenching|All kinds of soil|Extra depth &gt;1.5m to 3.0m|Extra lift for every additional 1.5m</t>
  </si>
  <si>
    <t>Extra for every additional lift of 1.5 m or part thereof in excavation / banking excavated or stacked materials.: All kinds of soil Details of cost for 10 cum. LABOUR</t>
  </si>
  <si>
    <t>Deep excavation lift</t>
  </si>
  <si>
    <t>Staged manual lifting per 1.5m</t>
  </si>
  <si>
    <t>Extra for pipe trench depth 3.0m to 4.5m</t>
  </si>
  <si>
    <t>Reverses the power rolling allowance: -0.008 roller-day per 10 cum.</t>
  </si>
  <si>
    <t>Embankment Banking &amp; Dressing|All kinds of soil|Manual labor (depth ≤1.5m)|DEDUCT: Omission of 8-10t power rolling|2</t>
  </si>
  <si>
    <t>Foundation &amp; Pipeline Trenching|Ordinary rock|Extra depth &gt;1.5m to 3.0m|Extra lift for every additional 1.5m</t>
  </si>
  <si>
    <t>Foundation &amp; Pipeline Trenching|Ordinary rock|Extra depth &gt;1.5m to 3.0m</t>
  </si>
  <si>
    <t>Extra for every additional lift of 1.5 m or part thereof in excavation / banking excavated or stacked materials.: Ordinary or hard rock Details of cost for 10 cum. LABOUR</t>
  </si>
  <si>
    <t>Extra for wet/water position (+20%)</t>
  </si>
  <si>
    <t>Embankment Banking &amp; Dressing|All kinds of soil|Manual labor (depth ≤1.5m)|DEDUCT: Omission of 8-10t power rolling|3</t>
  </si>
  <si>
    <t>Backfilling &amp; Compaction|Ordinary rock|Manual labor (depth ≤1.5m)|Supplying and filling quarry moorum</t>
  </si>
  <si>
    <t>Backfilling &amp; Compaction|Ordinary rock|Manual labor (depth ≤1.5m)</t>
  </si>
  <si>
    <t>CPWD DAR Item 2.27 - Earth Work</t>
  </si>
  <si>
    <t>Material supply (quarry moorum)</t>
  </si>
  <si>
    <t>Carriage to plinth &amp; wheeling</t>
  </si>
  <si>
    <t>Extra lift for every additional 1.5m</t>
  </si>
  <si>
    <t>Omission of OMC compaction watering: eliminates water cartage and mashak spraying allowance.</t>
  </si>
  <si>
    <t>Reverses the OMC compaction watering allowance: -0.400 bhishti-day per 10 cum.</t>
  </si>
  <si>
    <t>Embankment Banking &amp; Dressing|All kinds of soil|Manual labor (depth ≤1.5m)|DEDUCT: Omission of OMC compaction watering|1</t>
  </si>
  <si>
    <t>Surface Excavation (≤30 cm)|All kinds of soil|Manual labor (depth ≤1.5m)|Surface dressing (≤15 cm depth)</t>
  </si>
  <si>
    <t>Surface dressing of the ground including removing vegetation and in-equalities not exceeding 15 cm deep and disposal of rubbish, lead up to 50 m and lift up to 1.5 m.: All kinds of soil Details of cost for 100 sqm. LABOUR</t>
  </si>
  <si>
    <t>Manual Beldar skimming</t>
  </si>
  <si>
    <t>Removal to 50m</t>
  </si>
  <si>
    <t>Level dressing</t>
  </si>
  <si>
    <t>Filling available excavated earth in plinth/trenches</t>
  </si>
  <si>
    <t>Foundation &amp; Pipeline Trenching</t>
  </si>
  <si>
    <t>Mechanical (Hydraulic Excavator 0.9 cum)</t>
  </si>
  <si>
    <t>Open areas &amp; wide foundation trenches</t>
  </si>
  <si>
    <t>Mechanical excavation using 0.9 cum hydraulic bucket shovel in all kinds of soil.</t>
  </si>
  <si>
    <t>1 machine × 0.328 h (19.68 min) ÷ 8 = 0.041 excavator-day. 0.9 cum bucket at 30.49 cum/hr = 243.90 cum/8-hr shift.</t>
  </si>
  <si>
    <t>Foundation &amp; Pipeline Trenching|All kinds of soil|Mechanical (Hydraulic Excavator 0.9 cum)|Open areas &amp; wide foundation trenches|1</t>
  </si>
  <si>
    <t>Surface Excavation (≤30 cm)|All kinds of soil|Manual labor (depth ≤1.5m)|Ploughing ground (15-25 cm) &amp; watering</t>
  </si>
  <si>
    <t>Ploughing the existing ground to a depth of 15 cm to 25 cm and watering the same.: All kinds of soil Details of cost for 100 sqm. LABOUR</t>
  </si>
  <si>
    <t>Plough / Beldar</t>
  </si>
  <si>
    <t>On-site</t>
  </si>
  <si>
    <t>Rough furrows</t>
  </si>
  <si>
    <t>Watering by Bhishti</t>
  </si>
  <si>
    <t>Filling with fly ash and earth mix in plinth</t>
  </si>
  <si>
    <t>Specialized operational execution for Open areas &amp; wide foundation trenches (Hire – Loader).</t>
  </si>
  <si>
    <t>1 man × 0.56 h (33.6 min) ÷ 8 = 0.07 bd. Manual trench bottom trimming and squaring corners.</t>
  </si>
  <si>
    <t>Foundation &amp; Pipeline Trenching|All kinds of soil|Mechanical (Hydraulic Excavator 0.9 cum)|Open areas &amp; wide foundation trenches|2</t>
  </si>
  <si>
    <t>Embankment Banking &amp; Dressing|All kinds of soil|Manual labor (depth ≤1.5m)|Banking &amp; rolling only (excavation excluded)</t>
  </si>
  <si>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</si>
  <si>
    <t>Earth already excavated (excluded)</t>
  </si>
  <si>
    <t>Basket Coolie lead 50m / lift 1.5m</t>
  </si>
  <si>
    <t>Foundation trenches &amp; drain trenches</t>
  </si>
  <si>
    <t>Gang supervision, alignment checking, depth peg verification and safety monitoring.</t>
  </si>
  <si>
    <t>1 man × 0.56 h (33.6 min) ÷ 8 = 0.07 cd. Shoveling corner spillage back to excavator bucket sweep.</t>
  </si>
  <si>
    <t>Foundation &amp; Pipeline Trenching|All kinds of soil|Mechanical (Hydraulic Excavator 0.9 cum)|Open areas &amp; wide foundation trenches|3</t>
  </si>
  <si>
    <t>Foundation &amp; Pipeline Trenching|All kinds of soil|Manual labor (depth ≤1.5m)|Excavating post holes 0.1-0.5 cum in soil</t>
  </si>
  <si>
    <t>hole</t>
  </si>
  <si>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</si>
  <si>
    <t>Post hole auger / crowbar</t>
  </si>
  <si>
    <t>Hand shovel around hole</t>
  </si>
  <si>
    <t>Neat collar stacking</t>
  </si>
  <si>
    <t>Manual spoil handling, basket loading and haulage within 50m lead / 1.5m lift in all kinds of soil.</t>
  </si>
  <si>
    <t>Shift allocation: 1.200 Coolie-days per 10 cum (Daily norm P = 8.33 cum/8-hr shift, SE = 0.9600 hr/cum).</t>
  </si>
  <si>
    <t>Foundation &amp; Pipeline Trenching|All kinds of soil|Mechanical (Hydraulic Excavator 0.9 cum)|Open areas &amp; wide foundation trenches|4</t>
  </si>
  <si>
    <t>Foundation &amp; Pipeline Trenching|Ordinary rock|Manual labor (depth ≤1.5m)|Excavating post holes 0.1-0.5 cum in ord rock</t>
  </si>
  <si>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</si>
  <si>
    <t>Ordinary rock</t>
  </si>
  <si>
    <t>Mechanical excavation using 0.9 cum hydraulic bucket shovel in ordinary rock.</t>
  </si>
  <si>
    <t>Shift allocation: 0.063 Hydraulic Excavator (3D) incl driver+fuel-days per 10 cum (Daily norm P = 158.73 cum/8-hr shift, SE = 0.0504 hr/cum).</t>
  </si>
  <si>
    <t>Foundation &amp; Pipeline Trenching|Ordinary rock|Mechanical (Hydraulic Excavator 0.9 cum)|Open areas &amp; wide foundation trenches|1</t>
  </si>
  <si>
    <t>Foundation &amp; Pipeline Trenching|Hard rock (blasting permitted)|Manual labor (depth ≤1.5m)|Excavating post holes 0.1-0.5 cum in hard rock blast</t>
  </si>
  <si>
    <t>Foundation &amp; Pipeline Trenching|Hard rock (blasting permitted)|Manual labor (depth ≤1.5m)</t>
  </si>
  <si>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</si>
  <si>
    <t>Levelling &amp; neatly dressing disposed soil</t>
  </si>
  <si>
    <t>Hydraulic tipper transport of excavated earth/rock to designated dumping grounds.</t>
  </si>
  <si>
    <t>Shift allocation: 0.063 Hire – Tipper-days per 10 cum (Daily norm P = 158.73 cum/8-hr shift, SE = 0.0504 hr/cum).</t>
  </si>
  <si>
    <t>Foundation &amp; Pipeline Trenching|Ordinary rock|Mechanical (Hydraulic Excavator 0.9 cum)|Open areas &amp; wide foundation trenches|2</t>
  </si>
  <si>
    <t>Foundation &amp; Pipeline Trenching|Hard rock (blasting prohibited)|Manual labor (depth ≤1.5m)|Excavating post holes 0.1-0.5 cum in hard rock chiseled</t>
  </si>
  <si>
    <t>Foundation &amp; Pipeline Trenching|Hard rock (blasting prohibited)|Manual labor (depth ≤1.5m)</t>
  </si>
  <si>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</si>
  <si>
    <t>Manual rock chiselling (no blasting)</t>
  </si>
  <si>
    <t>Rock cutting / pneumatic rock breaking / hole drilling in ordinary rock.</t>
  </si>
  <si>
    <t>Shift allocation: 0.705 Rock Excavator-days per 10 cum (Daily norm P = 14.18 cum/8-hr shift, SE = 0.5640 hr/cum).</t>
  </si>
  <si>
    <t>Foundation &amp; Pipeline Trenching|Ordinary rock|Mechanical (Hydraulic Excavator 0.9 cum)|Open areas &amp; wide foundation trenches|3</t>
  </si>
  <si>
    <t>Site Clearance &amp; Tree Felling|All kinds of soil|Manual labor (depth ≤1.5m)|Clearing jungle &amp; rank vegetation uprooting</t>
  </si>
  <si>
    <t>Site Clearance &amp; Tree Felling|All kinds of soil|Manual labor (depth ≤1.5m)</t>
  </si>
  <si>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</si>
  <si>
    <t>Beldar billhook &amp; mattock</t>
  </si>
  <si>
    <t>Disposal rubbish up to 50m</t>
  </si>
  <si>
    <t>Burning / stacking</t>
  </si>
  <si>
    <t>Shift allocation: 1.590 Rock Breaker-days per 10 cum (Daily norm P = 6.29 cum/8-hr shift, SE = 1.2720 hr/cum).</t>
  </si>
  <si>
    <t>Foundation &amp; Pipeline Trenching|Ordinary rock|Mechanical (Hydraulic Excavator 0.9 cum)|Open areas &amp; wide foundation trenches|4</t>
  </si>
  <si>
    <t>Site Clearance &amp; Tree Felling|All kinds of soil|Manual labor (depth ≤1.5m)|Clearing grass &amp; removal of rubbish</t>
  </si>
  <si>
    <t>Clearing grass and removal of the rubbish up to a distance of 50 m outside the periphery of the area cleared. Details of cost for 100 sqm. LABOUR</t>
  </si>
  <si>
    <t>Grass sickle &amp; scraper</t>
  </si>
  <si>
    <t>Disposal outside area</t>
  </si>
  <si>
    <t>POST-CONSTRUCTION: drilling 12mm holes &amp; injecting</t>
  </si>
  <si>
    <t>Shift allocation: 0.355 Rock Hole Driller-days per 10 cum (Daily norm P = 28.17 cum/8-hr shift, SE = 0.2840 hr/cum).</t>
  </si>
  <si>
    <t>Foundation &amp; Pipeline Trenching|Ordinary rock|Mechanical (Hydraulic Excavator 0.9 cum)|Open areas &amp; wide foundation trenches|5</t>
  </si>
  <si>
    <t>Site Clearance &amp; Tree Felling|All kinds of soil|Manual labor (depth ≤1.5m)|Tree felling girth 30-60 cm girth (cutting &amp; grubbing roots)</t>
  </si>
  <si>
    <t>tree</t>
  </si>
  <si>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</si>
  <si>
    <t>Two-man crosscut saw, axe, rope rigging</t>
  </si>
  <si>
    <t>Cutting trunks into 2.5m logs &amp; stacking</t>
  </si>
  <si>
    <t>Grubbing roots &amp; filling hollows</t>
  </si>
  <si>
    <t>Ramming hollows</t>
  </si>
  <si>
    <t>Pipe / Cable trenches (dia 80-300 mm)</t>
  </si>
  <si>
    <t>Manual excavation, trimming of slopes/beds, and clod breaking in ordinary rock.</t>
  </si>
  <si>
    <t>Shift allocation: 0.500 Beldar-days per 10 cum (Daily norm P = 20.00 cum/8-hr shift, SE = 0.4000 hr/cum).</t>
  </si>
  <si>
    <t>Foundation &amp; Pipeline Trenching|Ordinary rock|Mechanical (Hydraulic Excavator 0.9 cum)|Open areas &amp; wide foundation trenches|6</t>
  </si>
  <si>
    <t>Site Clearance &amp; Tree Felling|All kinds of soil|Manual labor (depth ≤1.5m)|Tree felling girth 60-120 cm girth (cutting &amp; grubbing roots)</t>
  </si>
  <si>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</si>
  <si>
    <t>Pipe / Cable trenches (dia &gt; 300 mm)</t>
  </si>
  <si>
    <t>Manual spoil handling, basket loading and haulage within 50m lead / 1.5m lift in ordinary rock.</t>
  </si>
  <si>
    <t>Shift allocation: 0.550 Coolie-days per 10 cum (Daily norm P = 18.18 cum/8-hr shift, SE = 0.4400 hr/cum).</t>
  </si>
  <si>
    <t>Foundation &amp; Pipeline Trenching|Ordinary rock|Mechanical (Hydraulic Excavator 0.9 cum)|Open areas &amp; wide foundation trenches|7</t>
  </si>
  <si>
    <t>Site Clearance &amp; Tree Felling|All kinds of soil|Manual labor (depth ≤1.5m)|Tree felling girth 120-240 cm girth (cutting &amp; grubbing roots)</t>
  </si>
  <si>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</si>
  <si>
    <t>Pipe / Cable trenches (dia ≤ 80 mm)</t>
  </si>
  <si>
    <t>Tools, tackles, sharpening, profile templates, and operational consumable sundries.</t>
  </si>
  <si>
    <t>CPWD standard batch norm: 10.79 L.S. per 10 cum (2.7.1).</t>
  </si>
  <si>
    <t>Foundation &amp; Pipeline Trenching|Ordinary rock|Mechanical (Hydraulic Excavator 0.9 cum)|Open areas &amp; wide foundation trenches|8</t>
  </si>
  <si>
    <t>Site Clearance &amp; Tree Felling|All kinds of soil|Manual labor (depth ≤1.5m)|Tree felling girth above 240 cm girth (cutting &amp; grubbing roots)</t>
  </si>
  <si>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</si>
  <si>
    <t>Pipe trenches in ordinary rock (≤80mm)</t>
  </si>
  <si>
    <t>Hard rock (blasting permitted)</t>
  </si>
  <si>
    <t>Rock blasting + Excavator loading</t>
  </si>
  <si>
    <t>Mechanical excavation using 0.9 cum hydraulic bucket shovel in hard rock (blasting permitted).</t>
  </si>
  <si>
    <t>Shift allocation: 0.125 Hydraulic Excavator (3D) incl driver+fuel-days per 10 cum (Daily norm P = 80.00 cum/8-hr shift, SE = 0.1000 hr/cum).</t>
  </si>
  <si>
    <t>Foundation &amp; Pipeline Trenching|Hard rock (blasting permitted)|Mechanical (Hydraulic Excavator 0.9 cum)|Rock blasting + Excavator loading|1</t>
  </si>
  <si>
    <t>Chemical Anti-Termite Treatment|All kinds of soil|Manual labor (depth ≤1.5m)|Supply chemical emulsion (Chlorpyrifos 20% EC)</t>
  </si>
  <si>
    <t>Chemical Anti-Termite Treatment|All kinds of soil|Manual labor (depth ≤1.5m)</t>
  </si>
  <si>
    <t>Supplying chemical emulsion in sealed containers including delivery as specified.: Chlorpyriphos/ Lindane emulsifiable concentrate of 20% Details of cost of 100 litres</t>
  </si>
  <si>
    <t>Material supply (100 Litres emulsion)</t>
  </si>
  <si>
    <t>Sealed drums site storage</t>
  </si>
  <si>
    <t>Chemical dilution preparation</t>
  </si>
  <si>
    <t>Water dilution</t>
  </si>
  <si>
    <t>Ploughing ground (15-25 cm) &amp; watering</t>
  </si>
  <si>
    <t>Shift allocation: 0.125 Hire – Tipper-days per 10 cum (Daily norm P = 80.00 cum/8-hr shift, SE = 0.1000 hr/cum).</t>
  </si>
  <si>
    <t>Foundation &amp; Pipeline Trenching|Hard rock (blasting permitted)|Mechanical (Hydraulic Excavator 0.9 cum)|Rock blasting + Excavator loading|2</t>
  </si>
  <si>
    <t>Chemical Anti-Termite Treatment|All kinds of soil|Manual labor (depth ≤1.5m)|Treatment to bottom &amp; sides of foundation trenches</t>
  </si>
  <si>
    <t>CPWD DAR Item 2.35.1.1 - Earth Work</t>
  </si>
  <si>
    <t>Chemical pressure pump &amp; spray lance</t>
  </si>
  <si>
    <t>Lance application 5 L/sqm</t>
  </si>
  <si>
    <t>Uniform ground saturation</t>
  </si>
  <si>
    <t>Chemical emulsion</t>
  </si>
  <si>
    <t>Rock cutting / pneumatic rock breaking / hole drilling in hard rock (blasting permitted).</t>
  </si>
  <si>
    <t>Shift allocation: 1.060 Rock Excavator-days per 10 cum (Daily norm P = 9.43 cum/8-hr shift, SE = 0.8480 hr/cum).</t>
  </si>
  <si>
    <t>Foundation &amp; Pipeline Trenching|Hard rock (blasting permitted)|Mechanical (Hydraulic Excavator 0.9 cum)|Rock blasting + Excavator loading|3</t>
  </si>
  <si>
    <t>Chemical Anti-Termite Treatment|All kinds of soil|Manual labor (depth ≤1.5m)|Treatment to backfill earth in contact with walls</t>
  </si>
  <si>
    <t>CPWD DAR Item 2.35.2.1 - Earth Work</t>
  </si>
  <si>
    <t>Chemical pressure injection into backfill</t>
  </si>
  <si>
    <t>Lance rodding 7.5 L/sqm</t>
  </si>
  <si>
    <t>Contact zone injection</t>
  </si>
  <si>
    <t>Rock blasting + manual trench excavation</t>
  </si>
  <si>
    <t>Shift allocation: 2.825 Rock Breaker-days per 10 cum (Daily norm P = 3.54 cum/8-hr shift, SE = 2.2600 hr/cum).</t>
  </si>
  <si>
    <t>Foundation &amp; Pipeline Trenching|Hard rock (blasting permitted)|Mechanical (Hydraulic Excavator 0.9 cum)|Rock blasting + Excavator loading|4</t>
  </si>
  <si>
    <t>Chemical Anti-Termite Treatment|All kinds of soil|Manual labor (depth ≤1.5m)|Treatment to subgrade under floors</t>
  </si>
  <si>
    <t>CPWD DAR Item 2.35.3.1 - Earth Work</t>
  </si>
  <si>
    <t>Grid perforations &amp; pressure spraying</t>
  </si>
  <si>
    <t>Pressure spray 5 L/sqm</t>
  </si>
  <si>
    <t>Full plinth floor saturation</t>
  </si>
  <si>
    <t>Rock breaker / Chiselling (no blasting)</t>
  </si>
  <si>
    <t>Shift allocation: 0.885 Rock Hole Driller-days per 10 cum (Daily norm P = 11.30 cum/8-hr shift, SE = 0.7080 hr/cum).</t>
  </si>
  <si>
    <t>Foundation &amp; Pipeline Trenching|Hard rock (blasting permitted)|Mechanical (Hydraulic Excavator 0.9 cum)|Rock blasting + Excavator loading|5</t>
  </si>
  <si>
    <t>Chemical Anti-Termite Treatment|All kinds of soil|Manual labor (depth ≤1.5m)|Treatment at junction of wall &amp; floor</t>
  </si>
  <si>
    <t>CPWD DAR Item 2.35.4.1 - Earth Work</t>
  </si>
  <si>
    <t>12mm rod channel punching</t>
  </si>
  <si>
    <t>Channel chemical filling</t>
  </si>
  <si>
    <t>Junction barrier</t>
  </si>
  <si>
    <t>Supply and stacking fly ash (IRC-58)</t>
  </si>
  <si>
    <t>Manual excavation, trimming of slopes/beds, and clod breaking in hard rock (blasting permitted).</t>
  </si>
  <si>
    <t>Shift allocation: 0.450 Beldar-days per 10 cum (Daily norm P = 22.22 cum/8-hr shift, SE = 0.3600 hr/cum).</t>
  </si>
  <si>
    <t>Foundation &amp; Pipeline Trenching|Hard rock (blasting permitted)|Mechanical (Hydraulic Excavator 0.9 cum)|Rock blasting + Excavator loading|6</t>
  </si>
  <si>
    <t>Chemical Anti-Termite Treatment|All kinds of soil|Manual labor (depth ≤1.5m)|POST-CONSTRUCTION: drilling 12mm holes &amp; injecting</t>
  </si>
  <si>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</si>
  <si>
    <t>Electric rotary hammer drilling 12mm dia</t>
  </si>
  <si>
    <t>Chemical pressure injection into masonry</t>
  </si>
  <si>
    <t>Sealing holes with cement mortar</t>
  </si>
  <si>
    <t>Mortar plug compaction</t>
  </si>
  <si>
    <t>Supply chemical emulsion (Chlorpyrifos 20% EC)</t>
  </si>
  <si>
    <t>Manual spoil handling, basket loading and haulage within 50m lead / 1.5m lift in hard rock (blasting permitted).</t>
  </si>
  <si>
    <t>Foundation &amp; Pipeline Trenching|Hard rock (blasting permitted)|Mechanical (Hydraulic Excavator 0.9 cum)|Rock blasting + Excavator loading|7</t>
  </si>
  <si>
    <t>Surface Excavation (≤30 cm)|All kinds of soil|Manual labor (depth ≤1.5m)|Levelling &amp; neatly dressing disposed soil</t>
  </si>
  <si>
    <t>Extra for levelling &amp; neatly dressing of disposed soil completely as directed by Engineer-in-charge. Details of cost for 10 cum. LABOUR</t>
  </si>
  <si>
    <t>Beldar rake &amp; spade</t>
  </si>
  <si>
    <t>On-site dressing</t>
  </si>
  <si>
    <t>Neat contouring</t>
  </si>
  <si>
    <t>Light ramming</t>
  </si>
  <si>
    <t>Supplying and filling quarry moorum</t>
  </si>
  <si>
    <t>Specialized operational execution for Rock blasting + Excavator loading (Blasting powder).</t>
  </si>
  <si>
    <t>CPWD standard batch norm: 3.93 kg per 10 cum (2.7.2).</t>
  </si>
  <si>
    <t>Foundation &amp; Pipeline Trenching|Hard rock (blasting permitted)|Mechanical (Hydraulic Excavator 0.9 cum)|Rock blasting + Excavator loading|8</t>
  </si>
  <si>
    <t>Backfilling &amp; Compaction|All kinds of soil|Manual labor (depth ≤1.5m)|Supply and stacking fly ash (IRC-58)</t>
  </si>
  <si>
    <t>Supply and stacking of Fly ash conforming to IRC- 58 at site, including carriage, loading , unloading &amp; stacking up to any lead (measured stacks will be reduced by 20% for payment). Details of cost for 1 cum. Ref :- Based on DAR Item No : 1.1.1 A) Labour and carriage</t>
  </si>
  <si>
    <t>Material supply (fly ash IRC-58)</t>
  </si>
  <si>
    <t>Unloading and stacking at site</t>
  </si>
  <si>
    <t>Neat stacking</t>
  </si>
  <si>
    <t>Surface dressing (≤15 cm depth)</t>
  </si>
  <si>
    <t>Specialized operational execution for Rock blasting + Excavator loading (Blasting fuse wire).</t>
  </si>
  <si>
    <t>CPWD standard batch norm: 4 each per 10 cum (2.7.2).</t>
  </si>
  <si>
    <t>Foundation &amp; Pipeline Trenching|Hard rock (blasting permitted)|Mechanical (Hydraulic Excavator 0.9 cum)|Rock blasting + Excavator loading|9</t>
  </si>
  <si>
    <t>Backfilling &amp; Compaction|All kinds of soil|Manual labor (depth ≤1.5m)|Filling with fly ash and earth mix in plinth</t>
  </si>
  <si>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</si>
  <si>
    <t>Available fly ash and soil mix</t>
  </si>
  <si>
    <t>Treatment at junction of wall &amp; floor</t>
  </si>
  <si>
    <t>CPWD standard batch norm: 16.12 L.S. per 10 cum (2.7.2).</t>
  </si>
  <si>
    <t>Foundation &amp; Pipeline Trenching|Hard rock (blasting permitted)|Mechanical (Hydraulic Excavator 0.9 cum)|Rock blasting + Excavator loading|10</t>
  </si>
  <si>
    <t>Embankment Banking &amp; Dressing|All kinds of soil|Manual labor (depth ≤1.5m)|DEDUCT: Omission of 8-10t power rolling</t>
  </si>
  <si>
    <t>Deduct for not rolling with power roller of minimum 8 tonnes for banking excavated earth in layers not exceeding 20 cm in depth. Details of cost for 10 cum. LABOUR</t>
  </si>
  <si>
    <t>CREDIT: Deduct 8-10t roller cost</t>
  </si>
  <si>
    <t>Treatment to backfill earth in contact with walls</t>
  </si>
  <si>
    <t>Hard rock (blasting prohibited)</t>
  </si>
  <si>
    <t>Mechanical excavation using 0.9 cum hydraulic bucket shovel in hard rock (blasting prohibited).</t>
  </si>
  <si>
    <t>Foundation &amp; Pipeline Trenching|Hard rock (blasting prohibited)|Mechanical (Hydraulic Excavator 0.9 cum)|Rock breaker / Chiselling (no blasting)|1</t>
  </si>
  <si>
    <t>Embankment Banking &amp; Dressing|All kinds of soil|Manual labor (depth ≤1.5m)|DEDUCT: Omission of OMC compaction watering</t>
  </si>
  <si>
    <t>CREDIT: Deduct Bhishti watering</t>
  </si>
  <si>
    <t>Treatment to bottom &amp; sides of foundation trenches</t>
  </si>
  <si>
    <t>Foundation &amp; Pipeline Trenching|Hard rock (blasting prohibited)|Mechanical (Hydraulic Excavator 0.9 cum)|Rock breaker / Chiselling (no blasting)|2</t>
  </si>
  <si>
    <t>Foundation &amp; Pipeline Trenching|All kinds of soil|Mechanical (Hydraulic Excavator 0.9 cum)|Open areas &amp; wide foundation trenches</t>
  </si>
  <si>
    <t>Foundation &amp; Pipeline Trenching|All kinds of soil|Mechanical (Hydraulic Excavator 0.9 cum)</t>
  </si>
  <si>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</si>
  <si>
    <t>Hydraulic Excavator 0.9 cum (0034)</t>
  </si>
  <si>
    <t>Excavator bucket swing to dump / truck</t>
  </si>
  <si>
    <t>Spoil heap formation</t>
  </si>
  <si>
    <t>Treatment to subgrade under floors</t>
  </si>
  <si>
    <t>Rock cutting / pneumatic rock breaking / hole drilling in hard rock (blasting prohibited).</t>
  </si>
  <si>
    <t>Shift allocation: 2.470 Rock Excavator-days per 10 cum (Daily norm P = 4.05 cum/8-hr shift, SE = 1.9760 hr/cum).</t>
  </si>
  <si>
    <t>Foundation &amp; Pipeline Trenching|Hard rock (blasting prohibited)|Mechanical (Hydraulic Excavator 0.9 cum)|Rock breaker / Chiselling (no blasting)|3</t>
  </si>
  <si>
    <t>Foundation &amp; Pipeline Trenching|Ordinary rock|Mechanical (Hydraulic Excavator 0.9 cum)|Open areas &amp; wide foundation trenches</t>
  </si>
  <si>
    <t>Foundation &amp; Pipeline Trenching|Ordinary rock|Mechanical (Hydraulic Excavator 0.9 cum)</t>
  </si>
  <si>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</si>
  <si>
    <t>Tree felling girth 120-240 cm girth (cutting &amp; grubbing roots)</t>
  </si>
  <si>
    <t>Shift allocation: 6.000 Rock Breaker-days per 10 cum (Daily norm P = 1.67 cum/8-hr shift, SE = 4.8000 hr/cum).</t>
  </si>
  <si>
    <t>Foundation &amp; Pipeline Trenching|Hard rock (blasting prohibited)|Mechanical (Hydraulic Excavator 0.9 cum)|Rock breaker / Chiselling (no blasting)|4</t>
  </si>
  <si>
    <t>Foundation &amp; Pipeline Trenching|Hard rock (blasting permitted)|Mechanical (Hydraulic Excavator 0.9 cum)|Rock blasting + Excavator loading</t>
  </si>
  <si>
    <t>Foundation &amp; Pipeline Trenching|Hard rock (blasting permitted)|Mechanical (Hydraulic Excavator 0.9 cum)</t>
  </si>
  <si>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</si>
  <si>
    <t>Compressor + Jack hammer drilling + Blasting</t>
  </si>
  <si>
    <t>Excavator bucket loading / disposal</t>
  </si>
  <si>
    <t>Rock dump</t>
  </si>
  <si>
    <t>Tree felling girth 30-60 cm girth (cutting &amp; grubbing roots)</t>
  </si>
  <si>
    <t>Shift allocation: 1.060 Stone Chiseller-days per 10 cum (Daily norm P = 9.43 cum/8-hr shift, SE = 0.8480 hr/cum).</t>
  </si>
  <si>
    <t>Foundation &amp; Pipeline Trenching|Hard rock (blasting prohibited)|Mechanical (Hydraulic Excavator 0.9 cum)|Rock breaker / Chiselling (no blasting)|5</t>
  </si>
  <si>
    <t>Foundation &amp; Pipeline Trenching|Hard rock (blasting prohibited)|Mechanical (Hydraulic Excavator 0.9 cum)|Rock breaker / Chiselling (no blasting)</t>
  </si>
  <si>
    <t>Foundation &amp; Pipeline Trenching|Hard rock (blasting prohibited)|Mechanical (Hydraulic Excavator 0.9 cum)</t>
  </si>
  <si>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</si>
  <si>
    <t>Pneumatic breaker / hydraulic chiselling</t>
  </si>
  <si>
    <t>Tree felling girth 60-120 cm girth (cutting &amp; grubbing roots)</t>
  </si>
  <si>
    <t>Specialized operational execution for Rock breaker / Chiselling (no blasting) (Blacksmith 2nd class).</t>
  </si>
  <si>
    <t>Shift allocation: 0.175 Blacksmith 2nd class-days per 10 cum (Daily norm P = 57.14 cum/8-hr shift, SE = 0.1400 hr/cum).</t>
  </si>
  <si>
    <t>Foundation &amp; Pipeline Trenching|Hard rock (blasting prohibited)|Mechanical (Hydraulic Excavator 0.9 cum)|Rock breaker / Chiselling (no blasting)|6</t>
  </si>
  <si>
    <t>Foundation &amp; Pipeline Trenching|All kinds of soil|Manual labor (depth ≤1.5m)|Foundation trenches &amp; drain trenches</t>
  </si>
  <si>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</si>
  <si>
    <t>Pickaxe Beldar / crowbar</t>
  </si>
  <si>
    <t>Tree felling girth above 240 cm girth (cutting &amp; grubbing roots)</t>
  </si>
  <si>
    <t>Manual excavation, trimming of slopes/beds, and clod breaking in hard rock (blasting prohibited).</t>
  </si>
  <si>
    <t>Shift allocation: 0.750 Beldar-days per 10 cum (Daily norm P = 13.33 cum/8-hr shift, SE = 0.6000 hr/cum).</t>
  </si>
  <si>
    <t>Foundation &amp; Pipeline Trenching|Hard rock (blasting prohibited)|Mechanical (Hydraulic Excavator 0.9 cum)|Rock breaker / Chiselling (no blasting)|7</t>
  </si>
  <si>
    <t>Foundation &amp; Pipeline Trenching|Ordinary rock|Manual labor (depth ≤1.5m)|Foundation trenches &amp; drain trenches</t>
  </si>
  <si>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</si>
  <si>
    <t>Manual spoil handling, basket loading and haulage within 50m lead / 1.5m lift in hard rock (blasting prohibited).</t>
  </si>
  <si>
    <t>Shift allocation: 1.000 Coolie-days per 10 cum (Daily norm P = 10.00 cum/8-hr shift, SE = 0.8000 hr/cum).</t>
  </si>
  <si>
    <t>Foundation &amp; Pipeline Trenching|Hard rock (blasting prohibited)|Mechanical (Hydraulic Excavator 0.9 cum)|Rock breaker / Chiselling (no blasting)|8</t>
  </si>
  <si>
    <t>Foundation &amp; Pipeline Trenching|Hard rock (blasting permitted)|Manual labor (depth ≤1.5m)|Rock blasting + manual trench excavation</t>
  </si>
  <si>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</si>
  <si>
    <t>Manual blasting &amp; sledging</t>
  </si>
  <si>
    <t>CPWD standard batch norm: 16.12 L.S. per 10 cum (2.7.3).</t>
  </si>
  <si>
    <t>Foundation &amp; Pipeline Trenching|Hard rock (blasting prohibited)|Mechanical (Hydraulic Excavator 0.9 cum)|Rock breaker / Chiselling (no blasting)|9</t>
  </si>
  <si>
    <t>Foundation &amp; Pipeline Trenching|Hard rock (blasting prohibited)|Manual labor (depth ≤1.5m)|Manual rock chiselling (no blasting)</t>
  </si>
  <si>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</si>
  <si>
    <t>Steel chiselling &amp; hammer striking</t>
  </si>
  <si>
    <t>2 men × 7.60 h = 15.20 man-hrs ÷ 8 = 1.90 bd. Manual foundation trench digging: 5.263 cum/8-hr day (0.658 cum/hr).</t>
  </si>
  <si>
    <t>Foundation &amp; Pipeline Trenching|All kinds of soil|Manual labor (depth ≤1.5m)|Foundation trenches &amp; drain trenches|1</t>
  </si>
  <si>
    <t>Specialized operational execution for Foundation trenches &amp; drain trenches (Hire – Loader).</t>
  </si>
  <si>
    <t>2 men × 5.60 h = 11.20 man-hrs ÷ 8 = 1.40 cd. Lifting soil 1.5m and clearing 1m back: 7.143 cum/8-hr day (0.893 cum/hr).</t>
  </si>
  <si>
    <t>Foundation &amp; Pipeline Trenching|All kinds of soil|Manual labor (depth ≤1.5m)|Foundation trenches &amp; drain trenches|2</t>
  </si>
  <si>
    <t>1 man × 1.28 h ÷ 8 = 0.16 mate-day. Direct gang supervision (~5% of direct labour).</t>
  </si>
  <si>
    <t>Foundation &amp; Pipeline Trenching|All kinds of soil|Manual labor (depth ≤1.5m)|Foundation trenches &amp; drain trenches|3</t>
  </si>
  <si>
    <t>1 man × 0.40 h (24 min) ÷ 8 = 0.05 bhisti-day. Trench bottom dampening &amp; dust control.</t>
  </si>
  <si>
    <t>Foundation &amp; Pipeline Trenching|All kinds of soil|Manual labor (depth ≤1.5m)|Foundation trenches &amp; drain trenches|4</t>
  </si>
  <si>
    <t>Shift allocation: 0.062 Hydraulic Excavator (3D) incl driver+fuel-days per 10 cum (Daily norm P = 160.00 cum/8-hr shift, SE = 0.0500 hr/cum).</t>
  </si>
  <si>
    <t>Foundation &amp; Pipeline Trenching|Ordinary rock|Manual labor (depth ≤1.5m)|Foundation trenches &amp; drain trenches|1</t>
  </si>
  <si>
    <t>Shift allocation: 0.062 Hire – Tipper-days per 10 cum (Daily norm P = 160.00 cum/8-hr shift, SE = 0.0500 hr/cum).</t>
  </si>
  <si>
    <t>Foundation &amp; Pipeline Trenching|Ordinary rock|Manual labor (depth ≤1.5m)|Foundation trenches &amp; drain trenches|2</t>
  </si>
  <si>
    <t>Shift allocation: 0.885 Rock Excavator-days per 10 cum (Daily norm P = 11.30 cum/8-hr shift, SE = 0.7080 hr/cum).</t>
  </si>
  <si>
    <t>Foundation &amp; Pipeline Trenching|Ordinary rock|Manual labor (depth ≤1.5m)|Foundation trenches &amp; drain trenches|3</t>
  </si>
  <si>
    <t>Shift allocation: 1.765 Rock Breaker-days per 10 cum (Daily norm P = 5.67 cum/8-hr shift, SE = 1.4120 hr/cum).</t>
  </si>
  <si>
    <t>Foundation &amp; Pipeline Trenching|Ordinary rock|Manual labor (depth ≤1.5m)|Foundation trenches &amp; drain trenches|4</t>
  </si>
  <si>
    <t>Shift allocation: 0.530 Rock Hole Driller-days per 10 cum (Daily norm P = 18.87 cum/8-hr shift, SE = 0.4240 hr/cum).</t>
  </si>
  <si>
    <t>Foundation &amp; Pipeline Trenching|Ordinary rock|Manual labor (depth ≤1.5m)|Foundation trenches &amp; drain trenches|5</t>
  </si>
  <si>
    <t>Foundation &amp; Pipeline Trenching|Ordinary rock|Manual labor (depth ≤1.5m)|Foundation trenches &amp; drain trenches|6</t>
  </si>
  <si>
    <t>Shift allocation: 1.300 Coolie-days per 10 cum (Daily norm P = 7.69 cum/8-hr shift, SE = 1.0400 hr/cum).</t>
  </si>
  <si>
    <t>Foundation &amp; Pipeline Trenching|Ordinary rock|Manual labor (depth ≤1.5m)|Foundation trenches &amp; drain trenches|7</t>
  </si>
  <si>
    <t>CPWD standard batch norm: 13.52 L.S. per 10 cum (2.9.1).</t>
  </si>
  <si>
    <t>Foundation &amp; Pipeline Trenching|Ordinary rock|Manual labor (depth ≤1.5m)|Foundation trenches &amp; drain trenches|8</t>
  </si>
  <si>
    <t>Foundation &amp; Pipeline Trenching|Hard rock (blasting permitted)|Manual labor (depth ≤1.5m)|Rock blasting + manual trench excavation|1</t>
  </si>
  <si>
    <t>Foundation &amp; Pipeline Trenching|Hard rock (blasting permitted)|Manual labor (depth ≤1.5m)|Rock blasting + manual trench excavation|2</t>
  </si>
  <si>
    <t>Shift allocation: 1.240 Rock Excavator-days per 10 cum (Daily norm P = 8.06 cum/8-hr shift, SE = 0.9920 hr/cum).</t>
  </si>
  <si>
    <t>Foundation &amp; Pipeline Trenching|Hard rock (blasting permitted)|Manual labor (depth ≤1.5m)|Rock blasting + manual trench excavation|3</t>
  </si>
  <si>
    <t>Shift allocation: 3.000 Rock Breaker-days per 10 cum (Daily norm P = 3.33 cum/8-hr shift, SE = 2.4000 hr/cum).</t>
  </si>
  <si>
    <t>Foundation &amp; Pipeline Trenching|Hard rock (blasting permitted)|Manual labor (depth ≤1.5m)|Rock blasting + manual trench excavation|4</t>
  </si>
  <si>
    <t>Shift allocation: 1.060 Rock Hole Driller-days per 10 cum (Daily norm P = 9.43 cum/8-hr shift, SE = 0.8480 hr/cum).</t>
  </si>
  <si>
    <t>Foundation &amp; Pipeline Trenching|Hard rock (blasting permitted)|Manual labor (depth ≤1.5m)|Rock blasting + manual trench excavation|5</t>
  </si>
  <si>
    <t>Foundation &amp; Pipeline Trenching|Hard rock (blasting permitted)|Manual labor (depth ≤1.5m)|Rock blasting + manual trench excavation|6</t>
  </si>
  <si>
    <t>Foundation &amp; Pipeline Trenching|Hard rock (blasting permitted)|Manual labor (depth ≤1.5m)|Rock blasting + manual trench excavation|7</t>
  </si>
  <si>
    <t>Specialized operational execution for Rock blasting + manual trench excavation (Blasting powder).</t>
  </si>
  <si>
    <t>CPWD standard batch norm: 6.42 kg per 10 cum (2.9.2).</t>
  </si>
  <si>
    <t>Foundation &amp; Pipeline Trenching|Hard rock (blasting permitted)|Manual labor (depth ≤1.5m)|Rock blasting + manual trench excavation|8</t>
  </si>
  <si>
    <t>Specialized operational execution for Rock blasting + manual trench excavation (Blasting fuse wire).</t>
  </si>
  <si>
    <t>CPWD standard batch norm: 7 each per 10 cum (2.9.2).</t>
  </si>
  <si>
    <t>Foundation &amp; Pipeline Trenching|Hard rock (blasting permitted)|Manual labor (depth ≤1.5m)|Rock blasting + manual trench excavation|9</t>
  </si>
  <si>
    <t>CPWD standard batch norm: 18.85 L.S. per 10 cum (2.9.2).</t>
  </si>
  <si>
    <t>Foundation &amp; Pipeline Trenching|Hard rock (blasting permitted)|Manual labor (depth ≤1.5m)|Rock blasting + manual trench excavation|10</t>
  </si>
  <si>
    <t>Foundation &amp; Pipeline Trenching|Hard rock (blasting prohibited)|Manual labor (depth ≤1.5m)|Manual rock chiselling (no blasting)|1</t>
  </si>
  <si>
    <t>Foundation &amp; Pipeline Trenching|Hard rock (blasting prohibited)|Manual labor (depth ≤1.5m)|Manual rock chiselling (no blasting)|2</t>
  </si>
  <si>
    <t>Shift allocation: 2.650 Rock Excavator-days per 10 cum (Daily norm P = 3.77 cum/8-hr shift, SE = 2.1200 hr/cum).</t>
  </si>
  <si>
    <t>Foundation &amp; Pipeline Trenching|Hard rock (blasting prohibited)|Manual labor (depth ≤1.5m)|Manual rock chiselling (no blasting)|3</t>
  </si>
  <si>
    <t>Shift allocation: 6.175 Rock Breaker-days per 10 cum (Daily norm P = 1.62 cum/8-hr shift, SE = 4.9400 hr/cum).</t>
  </si>
  <si>
    <t>Foundation &amp; Pipeline Trenching|Hard rock (blasting prohibited)|Manual labor (depth ≤1.5m)|Manual rock chiselling (no blasting)|4</t>
  </si>
  <si>
    <t>Foundation &amp; Pipeline Trenching|Hard rock (blasting prohibited)|Manual labor (depth ≤1.5m)|Manual rock chiselling (no blasting)|5</t>
  </si>
  <si>
    <t>Specialized operational execution for Manual rock chiselling (no blasting) (Blacksmith 2nd class).</t>
  </si>
  <si>
    <t>Foundation &amp; Pipeline Trenching|Hard rock (blasting prohibited)|Manual labor (depth ≤1.5m)|Manual rock chiselling (no blasting)|6</t>
  </si>
  <si>
    <t>Foundation &amp; Pipeline Trenching|Hard rock (blasting prohibited)|Manual labor (depth ≤1.5m)|Manual rock chiselling (no blasting)|7</t>
  </si>
  <si>
    <t>Shift allocation: 1.500 Coolie-days per 10 cum (Daily norm P = 6.67 cum/8-hr shift, SE = 1.2000 hr/cum).</t>
  </si>
  <si>
    <t>Foundation &amp; Pipeline Trenching|Hard rock (blasting prohibited)|Manual labor (depth ≤1.5m)|Manual rock chiselling (no blasting)|8</t>
  </si>
  <si>
    <t>CPWD standard batch norm: 17.94 L.S. per 10 cum (2.9.3).</t>
  </si>
  <si>
    <t>Foundation &amp; Pipeline Trenching|Hard rock (blasting prohibited)|Manual labor (depth ≤1.5m)|Manual rock chiselling (no blasting)|9</t>
  </si>
  <si>
    <t>Specialized operational execution for Pipe / Cable trenches (dia ≤ 80 mm) (Rate item 2.8.1 – Mech exca foundation all soil).</t>
  </si>
  <si>
    <t>85.05 cum per 180 m = 0.4725 cum/m</t>
  </si>
  <si>
    <t>Foundation &amp; Pipeline Trenching|All kinds of soil|Manual labor (depth ≤1.5m)|Pipe / Cable trenches (dia ≤ 80 mm)|1</t>
  </si>
  <si>
    <t>Specialized operational execution for Pipe / Cable trenches (dia ≤ 80 mm) (Rate item 2.25 – Filling excavated earth).</t>
  </si>
  <si>
    <t>CPWD standard batch norm: 0.4725 cum per 1 m (2.10.1.1).</t>
  </si>
  <si>
    <t>Foundation &amp; Pipeline Trenching|All kinds of soil|Manual labor (depth ≤1.5m)|Pipe / Cable trenches (dia ≤ 80 mm)|2</t>
  </si>
  <si>
    <t>Specialized operational execution for Pipe / Cable trenches (dia 80-300 mm) (Rate item 2.8.1 – Mech exca foundation all soil).</t>
  </si>
  <si>
    <t>84.89 cum per 110 m</t>
  </si>
  <si>
    <t>Foundation &amp; Pipeline Trenching|All kinds of soil|Manual labor (depth ≤1.5m)|Pipe / Cable trenches (dia 80-300 mm)|1</t>
  </si>
  <si>
    <t>Specialized operational execution for Pipe / Cable trenches (dia 80-300 mm) (Rate item 2.25 – Filling excavated earth).</t>
  </si>
  <si>
    <t>CPWD standard batch norm: 0.7717 cum per 1 m (2.10.1.2).</t>
  </si>
  <si>
    <t>Foundation &amp; Pipeline Trenching|All kinds of soil|Manual labor (depth ≤1.5m)|Pipe / Cable trenches (dia 80-300 mm)|2</t>
  </si>
  <si>
    <t>Specialized operational execution for Pipe / Cable trenches (dia &gt; 300 mm) (Rate item 2.8.1 – Mech exca foundation all soil).</t>
  </si>
  <si>
    <t>72.29 cum per 60 m</t>
  </si>
  <si>
    <t>Foundation &amp; Pipeline Trenching|All kinds of soil|Manual labor (depth ≤1.5m)|Pipe / Cable trenches (dia &gt; 300 mm)|1</t>
  </si>
  <si>
    <t>Specialized operational execution for Pipe / Cable trenches (dia &gt; 300 mm) (Rate item 2.25 – Filling excavated earth).</t>
  </si>
  <si>
    <t>CPWD standard batch norm: 1.2048 cum per 1 m (2.10.1.3).</t>
  </si>
  <si>
    <t>Foundation &amp; Pipeline Trenching|All kinds of soil|Manual labor (depth ≤1.5m)|Pipe / Cable trenches (dia &gt; 300 mm)|2</t>
  </si>
  <si>
    <t>Extra depth &gt;1.5m to 3.0m</t>
  </si>
  <si>
    <t>2.10.1.2</t>
  </si>
  <si>
    <t>Specialized operational execution for Extra for pipe trench depth 1.5m to 3.0m (Base: Rate item 2.10.1.2 (soil trench 80-300mm)).</t>
  </si>
  <si>
    <t>127% of 2.10.1.2 rate; extra for depth 1.5-3m</t>
  </si>
  <si>
    <t>Foundation &amp; Pipeline Trenching|All kinds of soil|Extra depth &gt;1.5m to 3.0m|Extra for pipe trench depth 1.5m to 3.0m|1</t>
  </si>
  <si>
    <t>Extra depth &gt;3.0m to 4.5m</t>
  </si>
  <si>
    <t>Specialized operational execution for Extra for pipe trench depth 3.0m to 4.5m (Base: Rate item 2.10.1.2 (soil trench 80-300mm)).</t>
  </si>
  <si>
    <t>315.04% of 2.10.1.2 rate; extra for depth 3-4.5m</t>
  </si>
  <si>
    <t>Foundation &amp; Pipeline Trenching|All kinds of soil|Extra depth &gt;3.0m to 4.5m|Extra for pipe trench depth 3.0m to 4.5m|1</t>
  </si>
  <si>
    <t>Specialized operational execution for Pipe trenches in ordinary rock (≤80mm) (Rate item 2.9.1 – Foundation trench ordinary rock).</t>
  </si>
  <si>
    <t>CPWD standard batch norm: 0.4725 cum per 1 m (2.13.1.1).</t>
  </si>
  <si>
    <t>Foundation &amp; Pipeline Trenching|Ordinary rock|Manual labor (depth ≤1.5m)|Pipe trenches in ordinary rock (≤80mm)|1</t>
  </si>
  <si>
    <t>Specialized operational execution for Pipe trenches in ordinary rock (≤80mm) (Rate item 2.25 – Filling excavated earth).</t>
  </si>
  <si>
    <t>Foundation &amp; Pipeline Trenching|Ordinary rock|Manual labor (depth ≤1.5m)|Pipe trenches in ordinary rock (≤80mm)|2</t>
  </si>
  <si>
    <t>Shift allocation: 0.011 Beldar – extra for ramming rock fragments-days per 1 m (Daily norm P = 90.01 m/8-hr shift, SE = 0.0889 hr/m).</t>
  </si>
  <si>
    <t>Foundation &amp; Pipeline Trenching|Ordinary rock|Manual labor (depth ≤1.5m)|Pipe trenches in ordinary rock (≤80mm)|3</t>
  </si>
  <si>
    <t>BASE</t>
  </si>
  <si>
    <t>Specialized operational execution for Extra for wet/water position (+20%) (Extra 20% over applicable depth item rate).</t>
  </si>
  <si>
    <t>Work executed in/under water or liquid mud</t>
  </si>
  <si>
    <t>Foundation &amp; Pipeline Trenching|All kinds of soil|Manual labor (depth ≤1.5m)|Extra for wet/water position (+20%)|1</t>
  </si>
  <si>
    <t>Specialized operational execution for Extra for foul position (+25%) (Extra 25% over applicable depth item rate).</t>
  </si>
  <si>
    <t>Work in foul position</t>
  </si>
  <si>
    <t>Foundation &amp; Pipeline Trenching|All kinds of soil|Manual labor (depth ≤1.5m)|Extra for foul position (+25%)|1</t>
  </si>
  <si>
    <t>Backfilling &amp; Compaction</t>
  </si>
  <si>
    <t>2 men × 6.80 h = 13.60 man-hrs ÷ 8 = 1.70 cd. Hauling from heaps within 50m lead: 5.882 cum/8-hr day (1.36 hr/cum).</t>
  </si>
  <si>
    <t>Backfilling &amp; Compaction|All kinds of soil|Manual labor (depth ≤1.5m)|Filling available excavated earth in plinth/trenches|1</t>
  </si>
  <si>
    <t>1 man × 6.40 h = 6.40 man-hrs ÷ 8 = 0.80 bd. Spreading in 20cm layers &amp; durmat ramming: 12.50 cum/8-hr day (0.64 hr/cum).</t>
  </si>
  <si>
    <t>Backfilling &amp; Compaction|All kinds of soil|Manual labor (depth ≤1.5m)|Filling available excavated earth in plinth/trenches|2</t>
  </si>
  <si>
    <t>Water spraying for soil conditioning, dampening trench bottoms or compaction moistening.</t>
  </si>
  <si>
    <t>1 man × 1.60 h = 1.60 man-hrs ÷ 8 = 0.20 bhisti-day. Consolidation watering: 50 cum/8-hr day (0.16 hr/cum).</t>
  </si>
  <si>
    <t>Backfilling &amp; Compaction|All kinds of soil|Manual labor (depth ≤1.5m)|Filling available excavated earth in plinth/trenches|3</t>
  </si>
  <si>
    <t>Shift allocation: 0.100 Mate-days per 10 cum (Daily norm P = 100.00 cum/8-hr shift, SE = 0.0800 hr/cum).</t>
  </si>
  <si>
    <t>Foundation &amp; Pipeline Trenching|All kinds of soil|Extra depth &gt;1.5m to 3.0m|Extra lift for every additional 1.5m|1</t>
  </si>
  <si>
    <t>Manual excavation, trimming of slopes/beds, and clod breaking in all kinds of soil.</t>
  </si>
  <si>
    <t>Shift allocation: 1.100 Beldar-days per 10 cum (Daily norm P = 9.09 cum/8-hr shift, SE = 0.8800 hr/cum).</t>
  </si>
  <si>
    <t>Foundation &amp; Pipeline Trenching|All kinds of soil|Extra depth &gt;1.5m to 3.0m|Extra lift for every additional 1.5m|2</t>
  </si>
  <si>
    <t>Shift allocation: 0.200 Mate-days per 10 cum (Daily norm P = 50.00 cum/8-hr shift, SE = 0.1600 hr/cum).</t>
  </si>
  <si>
    <t>Foundation &amp; Pipeline Trenching|Ordinary rock|Extra depth &gt;1.5m to 3.0m|Extra lift for every additional 1.5m|1</t>
  </si>
  <si>
    <t>Shift allocation: 1.950 Beldar-days per 10 cum (Daily norm P = 5.13 cum/8-hr shift, SE = 1.5600 hr/cum).</t>
  </si>
  <si>
    <t>Foundation &amp; Pipeline Trenching|Ordinary rock|Extra depth &gt;1.5m to 3.0m|Extra lift for every additional 1.5m|2</t>
  </si>
  <si>
    <t>Specialized operational execution for Supplying and filling quarry moorum (Sand zone V (Jamuna) at source).</t>
  </si>
  <si>
    <t>CPWD standard batch norm: 10 cum per 10 cum (2.27).</t>
  </si>
  <si>
    <t>Backfilling &amp; Compaction|Ordinary rock|Manual labor (depth ≤1.5m)|Supplying and filling quarry moorum|1</t>
  </si>
  <si>
    <t>Specialized operational execution for Supplying and filling quarry moorum (Carriage of sand).</t>
  </si>
  <si>
    <t>Backfilling &amp; Compaction|Ordinary rock|Manual labor (depth ≤1.5m)|Supplying and filling quarry moorum|2</t>
  </si>
  <si>
    <t>Shift allocation: 0.890 Beldar-days per 10 cum (Daily norm P = 11.24 cum/8-hr shift, SE = 0.7120 hr/cum).</t>
  </si>
  <si>
    <t>Backfilling &amp; Compaction|Ordinary rock|Manual labor (depth ≤1.5m)|Supplying and filling quarry moorum|3</t>
  </si>
  <si>
    <t>Shift allocation: 1.070 Coolie-days per 10 cum (Daily norm P = 9.35 cum/8-hr shift, SE = 0.8560 hr/cum).</t>
  </si>
  <si>
    <t>Backfilling &amp; Compaction|Ordinary rock|Manual labor (depth ≤1.5m)|Supplying and filling quarry moorum|4</t>
  </si>
  <si>
    <t>Shift allocation: 0.350 Bhisti-days per 10 cum (Daily norm P = 28.57 cum/8-hr shift, SE = 0.2800 hr/cum).</t>
  </si>
  <si>
    <t>Backfilling &amp; Compaction|Ordinary rock|Manual labor (depth ≤1.5m)|Supplying and filling quarry moorum|5</t>
  </si>
  <si>
    <t>Surface Excavation (≤30 cm)|All kinds of soil|Manual labor (depth ≤1.5m)|Surface dressing (≤15 cm depth)|1</t>
  </si>
  <si>
    <t>Surface Excavation (≤30 cm)|All kinds of soil|Manual labor (depth ≤1.5m)|Surface dressing (≤15 cm depth)|2</t>
  </si>
  <si>
    <t>Surface Excavation (≤30 cm)|All kinds of soil|Manual labor (depth ≤1.5m)|Ploughing ground (15-25 cm) &amp; watering|1</t>
  </si>
  <si>
    <t>Shift allocation: 0.500 Bhisti-days per 100 sqm (Daily norm P = 200.00 sqm/8-hr shift, SE = 0.0400 hr/sqm).</t>
  </si>
  <si>
    <t>Surface Excavation (≤30 cm)|All kinds of soil|Manual labor (depth ≤1.5m)|Ploughing ground (15-25 cm) &amp; watering|2</t>
  </si>
  <si>
    <t>Specialized operational execution for Excavating post holes 0.1-0.5 cum in soil (Rate item 2.8.1 – Foundation trench all soil).</t>
  </si>
  <si>
    <t>3 cum avg per hole</t>
  </si>
  <si>
    <t>Foundation &amp; Pipeline Trenching|All kinds of soil|Manual labor (depth ≤1.5m)|Excavating post holes 0.1-0.5 cum in soil|1</t>
  </si>
  <si>
    <t>CPWD standard batch norm: 13.52 L.S. per 10 hole (2.30.1).</t>
  </si>
  <si>
    <t>Foundation &amp; Pipeline Trenching|All kinds of soil|Manual labor (depth ≤1.5m)|Excavating post holes 0.1-0.5 cum in soil|2</t>
  </si>
  <si>
    <t>Specialized operational execution for Excavating post holes 0.1-0.5 cum in ord rock (Rate item 2.9.1 – Foundation trench ord rock).</t>
  </si>
  <si>
    <t>CPWD standard batch norm: 3 cum per 10 hole (2.30.2).</t>
  </si>
  <si>
    <t>Foundation &amp; Pipeline Trenching|Ordinary rock|Manual labor (depth ≤1.5m)|Excavating post holes 0.1-0.5 cum in ord rock|1</t>
  </si>
  <si>
    <t>CPWD standard batch norm: 13.52 L.S. per 10 hole (2.30.2).</t>
  </si>
  <si>
    <t>Foundation &amp; Pipeline Trenching|Ordinary rock|Manual labor (depth ≤1.5m)|Excavating post holes 0.1-0.5 cum in ord rock|2</t>
  </si>
  <si>
    <t>Specialized operational execution for Excavating post holes 0.1-0.5 cum in hard rock blast (Rate item 2.9.2 – Hard rock blasting).</t>
  </si>
  <si>
    <t>CPWD standard batch norm: 3 cum per 10 hole (2.30.3).</t>
  </si>
  <si>
    <t>Foundation &amp; Pipeline Trenching|Hard rock (blasting permitted)|Manual labor (depth ≤1.5m)|Excavating post holes 0.1-0.5 cum in hard rock blast|1</t>
  </si>
  <si>
    <t>CPWD standard batch norm: 13.52 L.S. per 10 hole (2.30.3).</t>
  </si>
  <si>
    <t>Foundation &amp; Pipeline Trenching|Hard rock (blasting permitted)|Manual labor (depth ≤1.5m)|Excavating post holes 0.1-0.5 cum in hard rock blast|2</t>
  </si>
  <si>
    <t>Specialized operational execution for Excavating post holes 0.1-0.5 cum in hard rock chiseled (Rate item 2.9.3 – Hard rock no blast).</t>
  </si>
  <si>
    <t>CPWD standard batch norm: 3 cum per 10 hole (2.30.4).</t>
  </si>
  <si>
    <t>Foundation &amp; Pipeline Trenching|Hard rock (blasting prohibited)|Manual labor (depth ≤1.5m)|Excavating post holes 0.1-0.5 cum in hard rock chiseled|1</t>
  </si>
  <si>
    <t>CPWD standard batch norm: 13.52 L.S. per 10 hole (2.30.4).</t>
  </si>
  <si>
    <t>Foundation &amp; Pipeline Trenching|Hard rock (blasting prohibited)|Manual labor (depth ≤1.5m)|Excavating post holes 0.1-0.5 cum in hard rock chiseled|2</t>
  </si>
  <si>
    <t>Site Clearance &amp; Tree Felling</t>
  </si>
  <si>
    <t>1 man × 6.40 h ÷ 8 = 0.80 bd. Cutting rank vegetation &amp; uprooting saplings &lt;= 30cm: 125 sqm/8-hr day (0.064 hr/sqm).</t>
  </si>
  <si>
    <t>Site Clearance &amp; Tree Felling|All kinds of soil|Manual labor (depth ≤1.5m)|Clearing jungle &amp; rank vegetation uprooting|1</t>
  </si>
  <si>
    <t>1 man × 1.60 h ÷ 8 = 0.20 cd. Stacking &amp; carrying outside 50m periphery: 500 sqm/8-hr day (0.016 hr/sqm).</t>
  </si>
  <si>
    <t>Site Clearance &amp; Tree Felling|All kinds of soil|Manual labor (depth ≤1.5m)|Clearing jungle &amp; rank vegetation uprooting|2</t>
  </si>
  <si>
    <t>Shift allocation: 0.600 Beldar-days per 100 sqm (Daily norm P = 166.67 sqm/8-hr shift, SE = 0.0480 hr/sqm).</t>
  </si>
  <si>
    <t>Site Clearance &amp; Tree Felling|All kinds of soil|Manual labor (depth ≤1.5m)|Clearing grass &amp; removal of rubbish|1</t>
  </si>
  <si>
    <t>Shift allocation: 0.250 Coolie-days per 100 sqm (Daily norm P = 400.00 sqm/8-hr shift, SE = 0.0200 hr/sqm).</t>
  </si>
  <si>
    <t>Site Clearance &amp; Tree Felling|All kinds of soil|Manual labor (depth ≤1.5m)|Clearing grass &amp; removal of rubbish|2</t>
  </si>
  <si>
    <t>CPWD standard batch norm: 1.82 L.S. per 100 sqm (2.32).</t>
  </si>
  <si>
    <t>Site Clearance &amp; Tree Felling|All kinds of soil|Manual labor (depth ≤1.5m)|Clearing grass &amp; removal of rubbish|3</t>
  </si>
  <si>
    <t>Shift allocation: 0.330 Beldar-days per 1 tree (Daily norm P = 3.03 tree/8-hr shift, SE = 2.6400 hr/tree).</t>
  </si>
  <si>
    <t>Site Clearance &amp; Tree Felling|All kinds of soil|Manual labor (depth ≤1.5m)|Tree felling girth 30-60 cm girth (cutting &amp; grubbing roots)|1</t>
  </si>
  <si>
    <t>Shift allocation: 0.170 Coolie-days per 1 tree (Daily norm P = 5.88 tree/8-hr shift, SE = 1.3600 hr/tree).</t>
  </si>
  <si>
    <t>Site Clearance &amp; Tree Felling|All kinds of soil|Manual labor (depth ≤1.5m)|Tree felling girth 30-60 cm girth (cutting &amp; grubbing roots)|2</t>
  </si>
  <si>
    <t>CPWD standard batch norm: 2.73 L.S. per 1 tree (2.33.1).</t>
  </si>
  <si>
    <t>Site Clearance &amp; Tree Felling|All kinds of soil|Manual labor (depth ≤1.5m)|Tree felling girth 30-60 cm girth (cutting &amp; grubbing roots)|3</t>
  </si>
  <si>
    <t>Shift allocation: 1.500 Beldar-days per 1 tree (Daily norm P = 0.67 tree/8-hr shift, SE = 12.0000 hr/tree).</t>
  </si>
  <si>
    <t>Site Clearance &amp; Tree Felling|All kinds of soil|Manual labor (depth ≤1.5m)|Tree felling girth 60-120 cm girth (cutting &amp; grubbing roots)|1</t>
  </si>
  <si>
    <t>Shift allocation: 0.750 Coolie-days per 1 tree (Daily norm P = 1.33 tree/8-hr shift, SE = 6.0000 hr/tree).</t>
  </si>
  <si>
    <t>Site Clearance &amp; Tree Felling|All kinds of soil|Manual labor (depth ≤1.5m)|Tree felling girth 60-120 cm girth (cutting &amp; grubbing roots)|2</t>
  </si>
  <si>
    <t>CPWD standard batch norm: 5.46 L.S. per 1 tree (2.33.2).</t>
  </si>
  <si>
    <t>Site Clearance &amp; Tree Felling|All kinds of soil|Manual labor (depth ≤1.5m)|Tree felling girth 60-120 cm girth (cutting &amp; grubbing roots)|3</t>
  </si>
  <si>
    <t>Shift allocation: 7.000 Beldar-days per 1 tree (Daily norm P = 0.14 tree/8-hr shift, SE = 56.0000 hr/tree).</t>
  </si>
  <si>
    <t>Site Clearance &amp; Tree Felling|All kinds of soil|Manual labor (depth ≤1.5m)|Tree felling girth 120-240 cm girth (cutting &amp; grubbing roots)|1</t>
  </si>
  <si>
    <t>Shift allocation: 3.500 Coolie-days per 1 tree (Daily norm P = 0.29 tree/8-hr shift, SE = 28.0000 hr/tree).</t>
  </si>
  <si>
    <t>Site Clearance &amp; Tree Felling|All kinds of soil|Manual labor (depth ≤1.5m)|Tree felling girth 120-240 cm girth (cutting &amp; grubbing roots)|2</t>
  </si>
  <si>
    <t>CPWD standard batch norm: 8.06 L.S. per 1 tree (2.33.3).</t>
  </si>
  <si>
    <t>Site Clearance &amp; Tree Felling|All kinds of soil|Manual labor (depth ≤1.5m)|Tree felling girth 120-240 cm girth (cutting &amp; grubbing roots)|3</t>
  </si>
  <si>
    <t>Shift allocation: 14.000 Beldar-days per 1 tree (Daily norm P = 0.07 tree/8-hr shift, SE = 112.0000 hr/tree).</t>
  </si>
  <si>
    <t>Site Clearance &amp; Tree Felling|All kinds of soil|Manual labor (depth ≤1.5m)|Tree felling girth above 240 cm girth (cutting &amp; grubbing roots)|1</t>
  </si>
  <si>
    <t>Shift allocation: 7.000 Coolie-days per 1 tree (Daily norm P = 0.14 tree/8-hr shift, SE = 56.0000 hr/tree).</t>
  </si>
  <si>
    <t>Site Clearance &amp; Tree Felling|All kinds of soil|Manual labor (depth ≤1.5m)|Tree felling girth above 240 cm girth (cutting &amp; grubbing roots)|2</t>
  </si>
  <si>
    <t>CPWD standard batch norm: 26.91 L.S. per 1 tree (2.33.4).</t>
  </si>
  <si>
    <t>Site Clearance &amp; Tree Felling|All kinds of soil|Manual labor (depth ≤1.5m)|Tree felling girth above 240 cm girth (cutting &amp; grubbing roots)|3</t>
  </si>
  <si>
    <t>Chemical Anti-Termite Treatment</t>
  </si>
  <si>
    <t>Chemical emulsion application for continuous subterranean anti-termite barrier.</t>
  </si>
  <si>
    <t>CPWD standard batch norm: 100 litre per 100 litre (2.34.1).</t>
  </si>
  <si>
    <t>Chemical Anti-Termite Treatment|All kinds of soil|Manual labor (depth ≤1.5m)|Supply chemical emulsion (Chlorpyrifos 20% EC)|1</t>
  </si>
  <si>
    <t>CPWD standard batch norm: 1 quintal per 100 litre (2.34.1).</t>
  </si>
  <si>
    <t>Chemical Anti-Termite Treatment|All kinds of soil|Manual labor (depth ≤1.5m)|Supply chemical emulsion (Chlorpyrifos 20% EC)|2</t>
  </si>
  <si>
    <t>Shift allocation: 0.330 Beldar (excavate channel, rod, spray, refill)-days per 10 m (Daily norm P = 30.30 m/8-hr shift, SE = 0.2640 hr/m).</t>
  </si>
  <si>
    <t>Chemical Anti-Termite Treatment|All kinds of soil|Manual labor (depth ≤1.5m)|Treatment to bottom &amp; sides of foundation trenches|1</t>
  </si>
  <si>
    <t>CPWD standard batch norm: 13.52 L.S. per 10 m (2.35.1.1).</t>
  </si>
  <si>
    <t>Chemical Anti-Termite Treatment|All kinds of soil|Manual labor (depth ≤1.5m)|Treatment to bottom &amp; sides of foundation trenches|2</t>
  </si>
  <si>
    <t>Shift allocation: 0.400 Beldar (drill &amp; inject)-days per 10 m (Daily norm P = 25.00 m/8-hr shift, SE = 0.3200 hr/m).</t>
  </si>
  <si>
    <t>Chemical Anti-Termite Treatment|All kinds of soil|Manual labor (depth ≤1.5m)|Treatment to backfill earth in contact with walls|1</t>
  </si>
  <si>
    <t>CPWD standard batch norm: 35.88 L.S. per 10 m (2.35.2.1).</t>
  </si>
  <si>
    <t>Chemical Anti-Termite Treatment|All kinds of soil|Manual labor (depth ≤1.5m)|Treatment to backfill earth in contact with walls|2</t>
  </si>
  <si>
    <t>Shift allocation: 2.000 Beldar (drill &amp; spray)-days per 9 sqm (Daily norm P = 4.50 sqm/8-hr shift, SE = 1.7778 hr/sqm).</t>
  </si>
  <si>
    <t>Chemical Anti-Termite Treatment|All kinds of soil|Manual labor (depth ≤1.5m)|Treatment to subgrade under floors|1</t>
  </si>
  <si>
    <t>Specialized operational execution for Treatment to subgrade under floors (Mason 2nd class (plug holes)).</t>
  </si>
  <si>
    <t>Shift allocation: 0.500 Mason 2nd class (plug holes)-days per 9 sqm (Daily norm P = 18.00 sqm/8-hr shift, SE = 0.4444 hr/sqm).</t>
  </si>
  <si>
    <t>Chemical Anti-Termite Treatment|All kinds of soil|Manual labor (depth ≤1.5m)|Treatment to subgrade under floors|2</t>
  </si>
  <si>
    <t>CPWD standard batch norm: 35.88 L.S. per 9 sqm (2.35.3.1).</t>
  </si>
  <si>
    <t>Chemical Anti-Termite Treatment|All kinds of soil|Manual labor (depth ≤1.5m)|Treatment to subgrade under floors|3</t>
  </si>
  <si>
    <t>Shift allocation: 0.300 Beldar (inject chemical)-days per 10 m (Daily norm P = 33.33 m/8-hr shift, SE = 0.2400 hr/m).</t>
  </si>
  <si>
    <t>Chemical Anti-Termite Treatment|All kinds of soil|Manual labor (depth ≤1.5m)|Treatment at junction of wall &amp; floor|1</t>
  </si>
  <si>
    <t>Specialized operational execution for Treatment at junction of wall &amp; floor (Mason 2nd class (drill &amp; plug holes)).</t>
  </si>
  <si>
    <t>Shift allocation: 0.050 Mason 2nd class (drill &amp; plug holes)-days per 10 m (Daily norm P = 200.00 m/8-hr shift, SE = 0.0400 hr/m).</t>
  </si>
  <si>
    <t>Chemical Anti-Termite Treatment|All kinds of soil|Manual labor (depth ≤1.5m)|Treatment at junction of wall &amp; floor|2</t>
  </si>
  <si>
    <t>CPWD standard batch norm: 17.94 L.S. per 10 m (2.35.4.1).</t>
  </si>
  <si>
    <t>Chemical Anti-Termite Treatment|All kinds of soil|Manual labor (depth ≤1.5m)|Treatment at junction of wall &amp; floor|3</t>
  </si>
  <si>
    <t>Specialized operational execution for POST-CONSTRUCTION: drilling 12mm holes &amp; injecting (Kerosene oil).</t>
  </si>
  <si>
    <t>68 holes @ 150mm c/c; 34 L solution</t>
  </si>
  <si>
    <t>Chemical Anti-Termite Treatment|All kinds of soil|Manual labor (depth ≤1.5m)|POST-CONSTRUCTION: drilling 12mm holes &amp; injecting|1</t>
  </si>
  <si>
    <t>Timber shuttering/shoring: poling boards, walling and strutting for trench safety.</t>
  </si>
  <si>
    <t>Shift allocation: 0.200 Carpenter 2nd class (drill &amp; plug)-days per 10 m (Daily norm P = 50.00 m/8-hr shift, SE = 0.1600 hr/m).</t>
  </si>
  <si>
    <t>Chemical Anti-Termite Treatment|All kinds of soil|Manual labor (depth ≤1.5m)|POST-CONSTRUCTION: drilling 12mm holes &amp; injecting|2</t>
  </si>
  <si>
    <t>Shift allocation: 0.200 Beldar (inject)-days per 10 m (Daily norm P = 50.00 m/8-hr shift, SE = 0.1600 hr/m).</t>
  </si>
  <si>
    <t>Chemical Anti-Termite Treatment|All kinds of soil|Manual labor (depth ≤1.5m)|POST-CONSTRUCTION: drilling 12mm holes &amp; injecting|3</t>
  </si>
  <si>
    <t>CPWD standard batch norm: 17.94 L.S. per 10 m (2.35.5).</t>
  </si>
  <si>
    <t>Chemical Anti-Termite Treatment|All kinds of soil|Manual labor (depth ≤1.5m)|POST-CONSTRUCTION: drilling 12mm holes &amp; injecting|4</t>
  </si>
  <si>
    <t>Shift allocation: 0.080 Mate-days per 10 cum (Daily norm P = 125.00 cum/8-hr shift, SE = 0.0640 hr/cum).</t>
  </si>
  <si>
    <t>Surface Excavation (≤30 cm)|All kinds of soil|Manual labor (depth ≤1.5m)|Levelling &amp; neatly dressing disposed soil|1</t>
  </si>
  <si>
    <t>Gang: 4 Coolies × 11.20 h = 44.80 man-hrs ÷ 8.00 h = 5.600 Coolie-days per 10 cum. Daily productivity norm P = 17.86 cum/8-hr shift (SE = 0.448 hr/cum, pace = 26.9 min/cum).</t>
  </si>
  <si>
    <t>Surface Excavation (≤30 cm)|All kinds of soil|Manual labor (depth ≤1.5m)|Levelling &amp; neatly dressing disposed soil|2</t>
  </si>
  <si>
    <t>Specialized operational execution for Supply and stacking fly ash (IRC-58) (Fly ash (free at thermal power plant, royalty only)).</t>
  </si>
  <si>
    <t>Lead 35 km</t>
  </si>
  <si>
    <t>Backfilling &amp; Compaction|All kinds of soil|Manual labor (depth ≤1.5m)|Supply and stacking fly ash (IRC-58)|1</t>
  </si>
  <si>
    <t>Specialized operational execution for Supply and stacking fly ash (IRC-58) (Carriage of fly ash).</t>
  </si>
  <si>
    <t>CPWD standard batch norm: 1 cum per 1 cum (2.37).</t>
  </si>
  <si>
    <t>Backfilling &amp; Compaction|All kinds of soil|Manual labor (depth ≤1.5m)|Supply and stacking fly ash (IRC-58)|2</t>
  </si>
  <si>
    <t>Backfilling &amp; Compaction|All kinds of soil|Manual labor (depth ≤1.5m)|Filling with fly ash and earth mix in plinth|1</t>
  </si>
  <si>
    <t>Shift allocation: 2.500 Coolie-days per 10 cum (Daily norm P = 4.00 cum/8-hr shift, SE = 2.0000 hr/cum).</t>
  </si>
  <si>
    <t>Backfilling &amp; Compaction|All kinds of soil|Manual labor (depth ≤1.5m)|Filling with fly ash and earth mix in plinth|2</t>
  </si>
  <si>
    <t>Shift allocation: 0.200 Bhisti-days per 10 cum (Daily norm P = 50.00 cum/8-hr shift, SE = 0.1600 hr/cum).</t>
  </si>
  <si>
    <t>Backfilling &amp; Compaction|All kinds of soil|Manual labor (depth ≤1.5m)|Filling with fly ash and earth mix in plinth|3</t>
  </si>
  <si>
    <t>Timbering &amp; Shoring</t>
  </si>
  <si>
    <t>3420 cudm gross; 1/4 utilisation factor</t>
  </si>
  <si>
    <t>Timbering &amp; Shoring|All kinds of soil|Manual labor (depth ≤1.5m)|Close timbering depth ≤1.5m (90 sqm face)|1</t>
  </si>
  <si>
    <t>1200 cudm gross</t>
  </si>
  <si>
    <t>Timbering &amp; Shoring|All kinds of soil|Manual labor (depth ≤1.5m)|Close timbering depth ≤1.5m (90 sqm face)|2</t>
  </si>
  <si>
    <t>51 m gross</t>
  </si>
  <si>
    <t>Timbering &amp; Shoring|All kinds of soil|Manual labor (depth ≤1.5m)|Close timbering depth ≤1.5m (90 sqm face)|3</t>
  </si>
  <si>
    <t>Specialized operational execution for Close timbering depth ≤1.5m (90 sqm face) (Carriage of timber (¼ of total)).</t>
  </si>
  <si>
    <t>5.25 cum gross timber ÷ 4</t>
  </si>
  <si>
    <t>Timbering &amp; Shoring|All kinds of soil|Manual labor (depth ≤1.5m)|Close timbering depth ≤1.5m (90 sqm face)|4</t>
  </si>
  <si>
    <t>Shift allocation: 0.500 Carpenter 2nd class-days per 90 sqm (Daily norm P = 180.00 sqm/8-hr shift, SE = 0.0444 hr/sqm).</t>
  </si>
  <si>
    <t>Timbering &amp; Shoring|All kinds of soil|Manual labor (depth ≤1.5m)|Close timbering depth ≤1.5m (90 sqm face)|5</t>
  </si>
  <si>
    <t>Shift allocation: 1.000 Beldar-days per 90 sqm (Daily norm P = 90.00 sqm/8-hr shift, SE = 0.0889 hr/sqm).</t>
  </si>
  <si>
    <t>Timbering &amp; Shoring|All kinds of soil|Manual labor (depth ≤1.5m)|Close timbering depth ≤1.5m (90 sqm face)|6</t>
  </si>
  <si>
    <t>CPWD standard batch norm: 26.91 L.S. per 90 sqm (2.16.1).</t>
  </si>
  <si>
    <t>Timbering &amp; Shoring|All kinds of soil|Manual labor (depth ≤1.5m)|Close timbering depth ≤1.5m (90 sqm face)|7</t>
  </si>
  <si>
    <t>Same timber; more labour for deeper trench</t>
  </si>
  <si>
    <t>Timbering &amp; Shoring|All kinds of soil|Extra depth &gt;1.5m to 3.0m|Close timbering depth 1.5m-3.0m (90 sqm face)|1</t>
  </si>
  <si>
    <t>CPWD standard batch norm: 7.5 10cudm per 90 sqm (2.16.2).</t>
  </si>
  <si>
    <t>Timbering &amp; Shoring|All kinds of soil|Extra depth &gt;1.5m to 3.0m|Close timbering depth 1.5m-3.0m (90 sqm face)|2</t>
  </si>
  <si>
    <t>CPWD standard batch norm: 3.1875 m per 90 sqm (2.16.2).</t>
  </si>
  <si>
    <t>Timbering &amp; Shoring|All kinds of soil|Extra depth &gt;1.5m to 3.0m|Close timbering depth 1.5m-3.0m (90 sqm face)|3</t>
  </si>
  <si>
    <t>Specialized operational execution for Close timbering depth 1.5m-3.0m (90 sqm face) (Carriage of timber (¼ of total)).</t>
  </si>
  <si>
    <t>CPWD standard batch norm: 1.3125 cum per 90 sqm (2.16.2).</t>
  </si>
  <si>
    <t>Timbering &amp; Shoring|All kinds of soil|Extra depth &gt;1.5m to 3.0m|Close timbering depth 1.5m-3.0m (90 sqm face)|4</t>
  </si>
  <si>
    <t>Shift allocation: 0.750 Carpenter 2nd class-days per 90 sqm (Daily norm P = 120.00 sqm/8-hr shift, SE = 0.0667 hr/sqm).</t>
  </si>
  <si>
    <t>Timbering &amp; Shoring|All kinds of soil|Extra depth &gt;1.5m to 3.0m|Close timbering depth 1.5m-3.0m (90 sqm face)|5</t>
  </si>
  <si>
    <t>Shift allocation: 2.000 Beldar-days per 90 sqm (Daily norm P = 45.00 sqm/8-hr shift, SE = 0.1778 hr/sqm).</t>
  </si>
  <si>
    <t>Timbering &amp; Shoring|All kinds of soil|Extra depth &gt;1.5m to 3.0m|Close timbering depth 1.5m-3.0m (90 sqm face)|6</t>
  </si>
  <si>
    <t>CPWD standard batch norm: 40.43 L.S. per 90 sqm (2.16.2).</t>
  </si>
  <si>
    <t>Timbering &amp; Shoring|All kinds of soil|Extra depth &gt;1.5m to 3.0m|Close timbering depth 1.5m-3.0m (90 sqm face)|7</t>
  </si>
  <si>
    <t>CPWD standard batch norm: 21.375 10cudm per 90 sqm (2.16.3).</t>
  </si>
  <si>
    <t>Timbering &amp; Shoring|All kinds of soil|Extra depth &gt;3.0m to 4.5m|Close timbering depth 3.0m-4.5m (90 sqm face)|1</t>
  </si>
  <si>
    <t>CPWD standard batch norm: 7.5 10cudm per 90 sqm (2.16.3).</t>
  </si>
  <si>
    <t>Timbering &amp; Shoring|All kinds of soil|Extra depth &gt;3.0m to 4.5m|Close timbering depth 3.0m-4.5m (90 sqm face)|2</t>
  </si>
  <si>
    <t>CPWD standard batch norm: 3.1875 m per 90 sqm (2.16.3).</t>
  </si>
  <si>
    <t>Timbering &amp; Shoring|All kinds of soil|Extra depth &gt;3.0m to 4.5m|Close timbering depth 3.0m-4.5m (90 sqm face)|3</t>
  </si>
  <si>
    <t>Specialized operational execution for Close timbering depth 3.0m-4.5m (90 sqm face) (Carriage of timber (¼ of total)).</t>
  </si>
  <si>
    <t>CPWD standard batch norm: 1.3125 cum per 90 sqm (2.16.3).</t>
  </si>
  <si>
    <t>Timbering &amp; Shoring|All kinds of soil|Extra depth &gt;3.0m to 4.5m|Close timbering depth 3.0m-4.5m (90 sqm face)|4</t>
  </si>
  <si>
    <t>Shift allocation: 1.500 Carpenter 2nd class-days per 90 sqm (Daily norm P = 60.00 sqm/8-hr shift, SE = 0.1333 hr/sqm).</t>
  </si>
  <si>
    <t>Timbering &amp; Shoring|All kinds of soil|Extra depth &gt;3.0m to 4.5m|Close timbering depth 3.0m-4.5m (90 sqm face)|5</t>
  </si>
  <si>
    <t>Shift allocation: 4.000 Beldar-days per 90 sqm (Daily norm P = 22.50 sqm/8-hr shift, SE = 0.3556 hr/sqm).</t>
  </si>
  <si>
    <t>Timbering &amp; Shoring|All kinds of soil|Extra depth &gt;3.0m to 4.5m|Close timbering depth 3.0m-4.5m (90 sqm face)|6</t>
  </si>
  <si>
    <t>CPWD standard batch norm: 80.73 L.S. per 90 sqm (2.16.3).</t>
  </si>
  <si>
    <t>Timbering &amp; Shoring|All kinds of soil|Extra depth &gt;3.0m to 4.5m|Close timbering depth 3.0m-4.5m (90 sqm face)|7</t>
  </si>
  <si>
    <t>CPWD DAR 2019 — SUB-HEAD 03: MORTARS (INTERMEDIATE MIX BUILDER)</t>
  </si>
  <si>
    <t>CPWD DAR Sub-head 03: Mortars serve as intermediate building blocks for Masonry, Stone, Cladding, and Flooring. Direct Cost (W) equals Final Cost. Markup chain is turned OFF by default to avoid double-taxation and double-profit in consuming trades.</t>
  </si>
  <si>
    <t>1. PANEL 1 - SCOPE &amp; SPECIFICATION INPUTS  (what is being built, and which clauses actually move cost)</t>
  </si>
  <si>
    <t>Nomenclature Clause / Dimension</t>
  </si>
  <si>
    <t>Selected Value</t>
  </si>
  <si>
    <t>Cost Impact</t>
  </si>
  <si>
    <t>Drives</t>
  </si>
  <si>
    <t>What changes when this selection changes, and the DAR 2019 evidence for it</t>
  </si>
  <si>
    <t>Binder type</t>
  </si>
  <si>
    <t>Ordinary Portland cement</t>
  </si>
  <si>
    <t>DRIVES COST</t>
  </si>
  <si>
    <t>Material row 1</t>
  </si>
  <si>
    <t>DAR 3.1-3.14 use ordinary cement (code 0367); 3.15-3.17 use white cement at a different rate. Changing the binder changes the material code and rate.</t>
  </si>
  <si>
    <t>Mix ratio (binder : aggregate)</t>
  </si>
  <si>
    <t>1:4</t>
  </si>
  <si>
    <t>Material coeffs</t>
  </si>
  <si>
    <t>DAR 3.1 (1:1) through 3.11 (1:6) print a different cement volume for every ratio - 0.7175 cum of cement at 1:1 down to 0.178 cum at 1:6. This is the strongest cost driver on the sheet.</t>
  </si>
  <si>
    <t>Fine aggregate type</t>
  </si>
  <si>
    <t>coarse sand</t>
  </si>
  <si>
    <t>Material row 3</t>
  </si>
  <si>
    <t>DAR splits the same ratios by aggregate: 3.1-3.6 fine sand, 3.7-3.11 coarse sand, 3.12 stone dust, 3.13-3.14 marble dust - each a different Rates_Master code and rate.</t>
  </si>
  <si>
    <t>Mixing method</t>
  </si>
  <si>
    <t>Manual (hand mixing)</t>
  </si>
  <si>
    <t>Labour rows</t>
  </si>
  <si>
    <t>Hand mixing is priced with Beldar days; mechanical mixing adds a plant hire line (code 0002 onwards) whose day rate already includes operator and fuel per CPWD Note 1.</t>
  </si>
  <si>
    <t>Location / lift of use</t>
  </si>
  <si>
    <t>at ground level</t>
  </si>
  <si>
    <t>NOMENCLATURE ONLY</t>
  </si>
  <si>
    <t>The Mortars sub-head prices the mix itself, not its placement. Lifting to upper floors is priced in the consuming trade (see the "extra labour for lifting material" lines inside DAR 4.2.5), not here.</t>
  </si>
  <si>
    <t>Purpose of the mix</t>
  </si>
  <si>
    <t>for masonry bedding</t>
  </si>
  <si>
    <t>The DAR does not vary a mortar rate by what it will be used for; the same item 3.9 is imported by Masonry, Stone, Cladding and Flooring alike.</t>
  </si>
  <si>
    <t>Custom Item Code:</t>
  </si>
  <si>
    <t>C-03.01</t>
  </si>
  <si>
    <t>Batch Output Basis:</t>
  </si>
  <si>
    <t>Output Unit:</t>
  </si>
  <si>
    <t>Trade Sub-Head:</t>
  </si>
  <si>
    <t>03 Mortars</t>
  </si>
  <si>
    <t>Output Unit Note:</t>
  </si>
  <si>
    <t>Assembled Item Nomenclature:</t>
  </si>
  <si>
    <t>Manual Override:</t>
  </si>
  <si>
    <t>2. PANEL 2 - OPERATIONAL &amp; DERIVATION DRIVERS  (quantities and allowances that scale the build-up below)</t>
  </si>
  <si>
    <t>Driver</t>
  </si>
  <si>
    <t>Applies To</t>
  </si>
  <si>
    <t>How this driver is used, and the DAR 2019 basis for the default</t>
  </si>
  <si>
    <t>Dry volume factor</t>
  </si>
  <si>
    <t>ratio</t>
  </si>
  <si>
    <t>The DAR derives wet-to-dry mortar volume inside each item header (e.g. 3.9 "0.268 cum of cement"). Adjust only if you are deriving a ratio the book does not print.</t>
  </si>
  <si>
    <t>Cement bulk density</t>
  </si>
  <si>
    <t>tonne / cum</t>
  </si>
  <si>
    <t>Cement coeff</t>
  </si>
  <si>
    <t>Used to convert the printed cement volume into the tonne basis that code 0367 is rated in - the conversion the DAR performs inline (0.269 cum = 0.38 tonne).</t>
  </si>
  <si>
    <t>Batch output basis</t>
  </si>
  <si>
    <t>Batch basis</t>
  </si>
  <si>
    <t>Every DAR mortar item is analysed for 1.00 cum. Keep 1.00 unless you deliberately want a batch rate.</t>
  </si>
  <si>
    <t>Wastage allowance</t>
  </si>
  <si>
    <t>%</t>
  </si>
  <si>
    <t>The DAR mortar items carry no wastage percentage - wastage on mortar is absorbed in the consuming trade. Leave at 0 to stay faithful to the book.</t>
  </si>
  <si>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</si>
  <si>
    <t>Output Qty Check:</t>
  </si>
  <si>
    <t>Direct Cost Check:</t>
  </si>
  <si>
    <t>Markup Flow Check:</t>
  </si>
  <si>
    <t>3. MATERIAL COMPONENT BUILD-UP  (tag column I with "A" for any line whose rate already includes statutory markups)</t>
  </si>
  <si>
    <t>Portland Cement (0.269 cum = 0.38 tonne)</t>
  </si>
  <si>
    <t>Subtotal Materials (Rs):</t>
  </si>
  <si>
    <t>of which "A" - imported lines already carrying statutory markups:</t>
  </si>
  <si>
    <t>CPWD (W-A) convention: this amount stays inside W and inside every subtotal, but is subtracted from each markup BASE so an already-marked-up import is not marked up twice. Verified against DAR 2019 items 10.1, 18.78 and 18.79.</t>
  </si>
  <si>
    <t>4. LABOUR &amp; MACHINERY COMPONENT BUILD-UP  (crew suggestions: see the work-type summary on Labour_Machinery_Productivity. Plant codes 0001-0083 already include operator, fuel and lubricants for an 8-hour shift per CPWD Note 1)</t>
  </si>
  <si>
    <t>Beldar (measuring, carrying &amp; mixing)</t>
  </si>
  <si>
    <t>Bhisti (watering)</t>
  </si>
  <si>
    <t>Subtotal Labour &amp; Plant Hire (Rs):</t>
  </si>
  <si>
    <t>5. SUNDRIES &amp; LUMP-SUM ALLOWANCES  (manual entry - the DAR gives no reproducible formula; use Sundries_Reference to find a comparable item)</t>
  </si>
  <si>
    <t>Sundries (guided by Sundries_Reference sheet)</t>
  </si>
  <si>
    <t>Base L.S. allowance x Cost Index Multiplier (2.00) from Global_Factors</t>
  </si>
  <si>
    <t>6. STATUTORY MARKUPS &amp; FINAL RATE DERIVATION (CPWD DAR METHOD, WITH THE (W-A) EXCLUSION)</t>
  </si>
  <si>
    <t>A-Rule</t>
  </si>
  <si>
    <t>Base Direct Production Cost (Materials + Labour + Sundries)</t>
  </si>
  <si>
    <t>Total direct cost of production (W), A-tagged imports included, exactly as the book totals it.</t>
  </si>
  <si>
    <t>includes A</t>
  </si>
  <si>
    <t>CPWD RULE: 0% markup default. Water is not added here as it is marked up once in Masonry/Flooring.</t>
  </si>
  <si>
    <t>net of A</t>
  </si>
  <si>
    <t>Compounded base for GST calculation</t>
  </si>
  <si>
    <t>Add GST on Works Contract</t>
  </si>
  <si>
    <t>CPWD RULE: GST is not added here to prevent double taxation when imported into Masonry.</t>
  </si>
  <si>
    <t>Compounded base for Contractor Profit &amp; Overheads</t>
  </si>
  <si>
    <t>CPWD RULE: Contractor profit is not added to intermediate mortar. Consuming trades add 15% CPOH over combined total.</t>
  </si>
  <si>
    <t>Compounded base for Labour Welfare Cess</t>
  </si>
  <si>
    <t>Add Labour Welfare Cess (1% BOCW Cess)</t>
  </si>
  <si>
    <t>On (Z - A)</t>
  </si>
  <si>
    <t>CPWD RULE: 0% Cess here; applied once at the end of the consuming trade item.</t>
  </si>
  <si>
    <t>Total evaluated cost for the batch size in the Panel 1 header row</t>
  </si>
  <si>
    <t>Cost / Batch Qty</t>
  </si>
  <si>
    <t>Calculated cost per standard unit of measurement</t>
  </si>
  <si>
    <t>OFFICIAL CPWD ROUNDED RATE FOR TENDER SCHEDULES &amp; ESTIMATES. CPWD quotes Say rates to the nearest 5 paise - see the note directly below this row.</t>
  </si>
  <si>
    <t>7. RUNNING CUSTOM NON-DSR ITEMS LIBRARY FOR THIS TRADE</t>
  </si>
  <si>
    <t>Log all completed custom rate analyses for this trade below. Items logged here maintain an internal project audit trail and can be referenced from other builder sheets.</t>
  </si>
  <si>
    <t>Item Code</t>
  </si>
  <si>
    <t>Item Nomenclature / Specification</t>
  </si>
  <si>
    <t>Direct Cost W (Rs)</t>
  </si>
  <si>
    <t>Markups Applied</t>
  </si>
  <si>
    <t>Unit Rate (Rs)</t>
  </si>
  <si>
    <t>Say Rate (Rs)</t>
  </si>
  <si>
    <t>A-Total (Rs)</t>
  </si>
  <si>
    <t>Cement mortar 1:1 (1 cement : 1 fine sand)</t>
  </si>
  <si>
    <t>No markups (base cost)</t>
  </si>
  <si>
    <t>Cement mortar 1:4 (1 cement : 4 coarse sand)</t>
  </si>
  <si>
    <t>C-03.03</t>
  </si>
  <si>
    <t>(Available for new custom item)</t>
  </si>
  <si>
    <t>Full W-&gt;X-&gt;Y-&gt;Z</t>
  </si>
  <si>
    <t>C-03.04</t>
  </si>
  <si>
    <t>C-03.05</t>
  </si>
  <si>
    <t>C-03.06</t>
  </si>
  <si>
    <t>C-03.07</t>
  </si>
  <si>
    <t>C-03.08</t>
  </si>
  <si>
    <t>CPWD DAR 2019 — SUB-HEAD 04: CONCRETE WORK (CUSTOM ITEM BUILDER)</t>
  </si>
  <si>
    <t>CPWD DAR Sub-head 04: Plain cement concrete. Built from coarse aggregate, fine aggregate, cement, carriage lines, mixing &amp; placing labour, mixer and vibrator hire. Full 5-step compounding markup chain applies.</t>
  </si>
  <si>
    <t>Mix / grade</t>
  </si>
  <si>
    <t>1:2:4</t>
  </si>
  <si>
    <t>DAR 4.1.2 (1:1.5:3) through 4.1.8 (1:4:8) print different cement, sand and aggregate volumes for each grade, giving Say rates from about Rs 8,025 to well over Rs 10,000 per cum.</t>
  </si>
  <si>
    <t>Coarse aggregate nominal size</t>
  </si>
  <si>
    <t>20 mm nominal size</t>
  </si>
  <si>
    <t>Material rows 1-2</t>
  </si>
  <si>
    <t>DAR 4.1.3 (20 mm) and 4.1.4 (40 mm) are the same 1:2:4 grade but use different aggregate codes and a different voids deduction, so the two print different rates.</t>
  </si>
  <si>
    <t>Placement location in the structure</t>
  </si>
  <si>
    <t>in foundation and plinth</t>
  </si>
  <si>
    <t>The DAR does not print a separate concrete rate per structural element; what changes with height is the lifting labour, which the book adds as an explicit extra Coolie line (see 4.2.5, "extra labour for lifting material upto floor V level"). Add that as a labour row rather than expecting a different base rate.</t>
  </si>
  <si>
    <t>excluding centering and shuttering</t>
  </si>
  <si>
    <t>Every DAR concrete and RCC item is analysed excluding the cost of centering and shuttering, which is measured under its own sub-head. There is no in-item differential.</t>
  </si>
  <si>
    <t>Reinforcement</t>
  </si>
  <si>
    <t>not applicable (plain concrete)</t>
  </si>
  <si>
    <t>RCC items in the DAR exclude reinforcement, which is measured and priced separately under Steel Work. No in-item figure exists.</t>
  </si>
  <si>
    <t>Finish to exposed surface</t>
  </si>
  <si>
    <t>no special finish</t>
  </si>
  <si>
    <t>USER-SUPPLIED COST</t>
  </si>
  <si>
    <t>Sundries row</t>
  </si>
  <si>
    <t>Float finish, hardener topping and similar finishes are priced in Flooring items (11.3-11.5), not inside the concrete item. If required here, enter the allowance as a Sundries line.</t>
  </si>
  <si>
    <t>C-04.01</t>
  </si>
  <si>
    <t>04 Concrete Work</t>
  </si>
  <si>
    <t>Voids deduction in aggregate</t>
  </si>
  <si>
    <t>fraction</t>
  </si>
  <si>
    <t>Aggregate coeff</t>
  </si>
  <si>
    <t>DAR 4.1.4 deducts 7.5% for voids inline ("0.56 - 7.5% for voids = 0.52 cum"). Adjust only with a documented reason.</t>
  </si>
  <si>
    <t>Extra lift labour (floor level)</t>
  </si>
  <si>
    <t>Coolie days</t>
  </si>
  <si>
    <t>The DAR adds this as its own Coolie line - 4.2.5 uses 0.75 x 2.5 = 1.88 Coolie days for lifting material up to floor V level. Enter the days here and mirror them on a Coolie row.</t>
  </si>
  <si>
    <t>Concrete mixer productivity</t>
  </si>
  <si>
    <t>days / cum</t>
  </si>
  <si>
    <t>Plant row</t>
  </si>
  <si>
    <t>DAR 4.2.5 uses 0.07 mixer-days per cum. Plant codes 0001-0083 already include operator, fuel and lubricants for an 8-hour shift per CPWD Note 1.</t>
  </si>
  <si>
    <t>Vibrator productivity</t>
  </si>
  <si>
    <t>DAR 4.2.5 uses 0.07 needle-vibrator days per cum on the same basis.</t>
  </si>
  <si>
    <t>Stone Aggregate 20 mm nominal size</t>
  </si>
  <si>
    <t>Stone Aggregate 10 mm nominal size</t>
  </si>
  <si>
    <t>Carriage of Stone aggregate below 40 mm</t>
  </si>
  <si>
    <t>Portland Cement</t>
  </si>
  <si>
    <t>Beldar (carrying &amp; placing)</t>
  </si>
  <si>
    <t>Bhisti (curing)</t>
  </si>
  <si>
    <t>Hire charges of Concrete Mixer with hopper</t>
  </si>
  <si>
    <t>Vibrator (Needle type 40mm)</t>
  </si>
  <si>
    <t>CPWD Standard: 1% for curing &amp; concrete water.</t>
  </si>
  <si>
    <t>CPWD DAR factor 0.1405 (works contract tax).</t>
  </si>
  <si>
    <t>Standard 15% Contractor Profit &amp; Overheads.</t>
  </si>
  <si>
    <t>Statutory 1% BOCW Welfare Cess.</t>
  </si>
  <si>
    <t>PCC 1:1.5:3 with 20mm graded stone aggregate up to plinth level</t>
  </si>
  <si>
    <t>PCC 1:2:4 with 20mm graded stone aggregate up to plinth level</t>
  </si>
  <si>
    <t>C-04.03</t>
  </si>
  <si>
    <t>C-04.04</t>
  </si>
  <si>
    <t>C-04.05</t>
  </si>
  <si>
    <t>C-04.06</t>
  </si>
  <si>
    <t>C-04.07</t>
  </si>
  <si>
    <t>C-04.08</t>
  </si>
  <si>
    <t>CPWD DAR 2019 — SUB-HEAD 05: REINFORCED CEMENT CONCRETE (RCC) BUILDER</t>
  </si>
  <si>
    <t>CPWD DAR Sub-head 05: Reinforced cement concrete in plinth beams, columns, and slabs. Excludes centering, shuttering, and reinforcement which are measured and priced separately per CPWD specifications.</t>
  </si>
  <si>
    <t>in plinth beams</t>
  </si>
  <si>
    <t>excluding reinforcement</t>
  </si>
  <si>
    <t>C-05.01</t>
  </si>
  <si>
    <t>05 RCC Work</t>
  </si>
  <si>
    <t>Carriage of Stone aggregate</t>
  </si>
  <si>
    <t>Beldar (mixing &amp; placing)</t>
  </si>
  <si>
    <t>Hire charges of Concrete Mixer</t>
  </si>
  <si>
    <t>Needle Vibrator 40mm</t>
  </si>
  <si>
    <t>CPWD Standard: 1% for curing &amp; site water.</t>
  </si>
  <si>
    <t>RCC 1:1.5:3 up to plinth level (excl. shuttering &amp; reinforcement)</t>
  </si>
  <si>
    <t>RCC 1:2:4 up to plinth level (excl. shuttering &amp; reinforcement)</t>
  </si>
  <si>
    <t>C-05.03</t>
  </si>
  <si>
    <t>C-05.04</t>
  </si>
  <si>
    <t>C-05.05</t>
  </si>
  <si>
    <t>C-05.06</t>
  </si>
  <si>
    <t>C-05.07</t>
  </si>
  <si>
    <t>C-05.08</t>
  </si>
  <si>
    <t>CPWD DAR 2019 — SUB-HEAD 06: MASONRY WORK (CUSTOM ITEM BUILDER)</t>
  </si>
  <si>
    <t>CPWD DAR Sub-head 06: Brick and block masonry. Imports un-marked Mortar rates from 03_Mortars as a direct material input, then applies the full statutory markup chain once over the combined total.</t>
  </si>
  <si>
    <t>Masonry unit type and class</t>
  </si>
  <si>
    <t>common burnt clay F.P.S. (non modular) bricks class 7.5</t>
  </si>
  <si>
    <t>DAR 6.1 (F.P.S. non-modular 7.5), 6.2 (modular 7.5) and 6.3 (machine moulded perforated 12.5) use different brick codes and different bricks-per-cum coefficients - 6.1.1 and 6.2.1 differ by about Rs 460 per cum at the same mortar.</t>
  </si>
  <si>
    <t>Mortar ratio</t>
  </si>
  <si>
    <t>cement mortar 1:4 (1 cement : 4 coarse sand)</t>
  </si>
  <si>
    <t>Mortar import row</t>
  </si>
  <si>
    <t>DAR 6.1.1 imports Mortar item 3.9 (1:4) and 6.1.2 imports 3.11 (1:6); the printed Say rates are Rs 6,376.25 and Rs 6,153.05 per cum. Change this and the imported mortar rate must change with it.</t>
  </si>
  <si>
    <t>Location in structure</t>
  </si>
  <si>
    <t>DAR 6.1 is titled "in foundation and plinth" and prices one rate for it. Superstructure masonry is a separate printed item whose difference is scaffolding labour - add that as a labour or sundries line rather than expecting this clause to move the rate on its own.</t>
  </si>
  <si>
    <t>Wall thickness</t>
  </si>
  <si>
    <t>one brick thick and above</t>
  </si>
  <si>
    <t>The DAR prices brickwork by volume (per cum) for one-brick-and-above walls, so thickness does not change the cum rate. Half-brick walls are a separate per-sqm item.</t>
  </si>
  <si>
    <t>Curing</t>
  </si>
  <si>
    <t>including curing</t>
  </si>
  <si>
    <t>Curing is inside the Bhisti coefficient and the 1% water charge; the DAR gives no separate figure for including or excluding it.</t>
  </si>
  <si>
    <t>Raking of joints for plaster</t>
  </si>
  <si>
    <t>not required</t>
  </si>
  <si>
    <t>The DAR carries no separate raking allowance in Sub-Head 06. If the specification demands it, put the cost in the Sundries line.</t>
  </si>
  <si>
    <t>C-06.01</t>
  </si>
  <si>
    <t>06 Masonry Work</t>
  </si>
  <si>
    <t>Bricks per cum of masonry</t>
  </si>
  <si>
    <t>thousand / cum</t>
  </si>
  <si>
    <t>DAR 6.1.1 uses 0.494 thousand bricks per cum, which already includes the mortar joint volume.</t>
  </si>
  <si>
    <t>Mortar consumption</t>
  </si>
  <si>
    <t>cum / cum</t>
  </si>
  <si>
    <t>DAR 6.1.1 uses 0.25 cum of mortar per cum of brickwork.</t>
  </si>
  <si>
    <t>Brick breakage allowance</t>
  </si>
  <si>
    <t>Sub-Head 06 items carry no separate breakage percentage - it is absorbed in the 0.494 coefficient. Leave at 0 to stay faithful to the book.</t>
  </si>
  <si>
    <t>Scaffolding allowance</t>
  </si>
  <si>
    <t>Rs L.S.</t>
  </si>
  <si>
    <t>The DAR prices scaffolding as an explicit L.S. line where it applies (see 4.2.5, "Scaffolding 17.60 x 2.5"). Enter an amount here and mirror it on the Sundries row.</t>
  </si>
  <si>
    <t>Common burnt clay F.P.S. bricks class 7.5 (thousand)</t>
  </si>
  <si>
    <t>Carriage of Bricks (thousand)</t>
  </si>
  <si>
    <t>Cement mortar 1:4 (Rate pulled from 03_Mortars builder or DAR Item 3.9)</t>
  </si>
  <si>
    <t>Live link to 03_Mortars output rate</t>
  </si>
  <si>
    <t>CPWD Standard: 1% water charges on combined material and labour total.</t>
  </si>
  <si>
    <t>6.1.1</t>
  </si>
  <si>
    <t>Brick work class 7.5 in foundation and plinth in CM 1:4</t>
  </si>
  <si>
    <t>6.1.2</t>
  </si>
  <si>
    <t>Brick work class 7.5 in foundation and plinth in CM 1:6</t>
  </si>
  <si>
    <t>C-06.03</t>
  </si>
  <si>
    <t>C-06.04</t>
  </si>
  <si>
    <t>C-06.05</t>
  </si>
  <si>
    <t>C-06.06</t>
  </si>
  <si>
    <t>C-06.07</t>
  </si>
  <si>
    <t>C-06.08</t>
  </si>
  <si>
    <t>CPWD DAR 2019 — SUB-HEAD 07: STONE WORK (CUSTOM ITEM BUILDER)</t>
  </si>
  <si>
    <t>CPWD DAR Sub-head 07: Random rubble and ashlar stone masonry. Consumes un-marked Mortar from 03_Mortars, quarry stone, bond stones, dressing labour, and masons.</t>
  </si>
  <si>
    <t>Stone masonry type</t>
  </si>
  <si>
    <t>random rubble masonry</t>
  </si>
  <si>
    <t>The DAR prices random rubble, coursed rubble and ashlar as separate items with progressively higher mason coefficients for the extra dressing and coursing work.</t>
  </si>
  <si>
    <t>Stone type</t>
  </si>
  <si>
    <t>stone for masonry (rubble)</t>
  </si>
  <si>
    <t>Different quarry stones carry different Rates_Master codes and rates; the stone line is the largest single component of a stone masonry item.</t>
  </si>
  <si>
    <t>cement mortar 1:6 (1 cement : 6 coarse sand)</t>
  </si>
  <si>
    <t>As in Masonry, the mortar is imported from Sub-Head 03 at the printed ratio; changing the ratio changes the imported rate (item 3.9 vs 3.11 and so on).</t>
  </si>
  <si>
    <t>Face dressing</t>
  </si>
  <si>
    <t>hammer dressed</t>
  </si>
  <si>
    <t>Dressing grade is delivered through the stone mason coefficient - a finer dressed face takes more mason days for the same volume, which is how the DAR differentiates its stone items.</t>
  </si>
  <si>
    <t>Through / bond stones</t>
  </si>
  <si>
    <t>including through stones</t>
  </si>
  <si>
    <t>The DAR carries through or bond stone (code 0300) as its own material line inside stone masonry items, so including or omitting it is a costed choice.</t>
  </si>
  <si>
    <t>Backing concrete</t>
  </si>
  <si>
    <t>Some DAR stone items carry a "Cement concrete 1:6:12" style L.S. backing line. There is no single printed figure that applies generally, so enter the allowance yourself.</t>
  </si>
  <si>
    <t>C-07.01</t>
  </si>
  <si>
    <t>07 Stone Work</t>
  </si>
  <si>
    <t>Stone consumption</t>
  </si>
  <si>
    <t>Quarry stone is measured loose against finished masonry volume; the DAR builds the difference into the printed coefficient.</t>
  </si>
  <si>
    <t>Rubble masonry takes a larger mortar fraction than brickwork because of the irregular voids.</t>
  </si>
  <si>
    <t>Through stone spacing</t>
  </si>
  <si>
    <t>Through stones are specified at a spacing, which converts to the bond stone quantity on the material row.</t>
  </si>
  <si>
    <t>Enter an amount if the work is above scaffolding height, and mirror it on the Sundries row.</t>
  </si>
  <si>
    <t>0299</t>
  </si>
  <si>
    <t>Stone for masonry (rubble)</t>
  </si>
  <si>
    <t>Carriage of Stone</t>
  </si>
  <si>
    <t>0300</t>
  </si>
  <si>
    <t>Through or bond stone</t>
  </si>
  <si>
    <t>Cement mortar 1:6 (Rate from 03_Mortars or DAR 3.11)</t>
  </si>
  <si>
    <t>Mortar bedding rate</t>
  </si>
  <si>
    <t>Stone Mason (average)</t>
  </si>
  <si>
    <t>Standard 1% Water charges.</t>
  </si>
  <si>
    <t>CPWD factor 0.1405.</t>
  </si>
  <si>
    <t>15% Contractor Profit &amp; Overheads.</t>
  </si>
  <si>
    <t>1% Labour Welfare Cess.</t>
  </si>
  <si>
    <t>7.1.1</t>
  </si>
  <si>
    <t>Random rubble masonry with hard stone in CM 1:6 in foundation and plinth</t>
  </si>
  <si>
    <t>C-07.02</t>
  </si>
  <si>
    <t>C-07.03</t>
  </si>
  <si>
    <t>C-07.04</t>
  </si>
  <si>
    <t>C-07.05</t>
  </si>
  <si>
    <t>C-07.06</t>
  </si>
  <si>
    <t>C-07.07</t>
  </si>
  <si>
    <t>C-07.08</t>
  </si>
  <si>
    <t>CPWD DAR 2019 — SUB-HEAD 08: CLADDING WORK (CUSTOM ITEM BUILDER)</t>
  </si>
  <si>
    <t>CPWD DAR Sub-head 08: Stone and marble veneer cladding. Incorporates bedding mortar and pointing mortar lines, slab cutting/wastage, scaffolding, and stone masons.</t>
  </si>
  <si>
    <t>Slab area band</t>
  </si>
  <si>
    <t>area of slab over 0.50 sqm</t>
  </si>
  <si>
    <t>This is the dominant cost dimension in Sub-Head 08. DAR 8.1.1.1 (slab area upto 0.50 sqm) is analysed for 0.50 sqm and 8.1.1.2 (over 0.50 sqm) for 1.00 sqm, and the two print materially different rates for the same stone.</t>
  </si>
  <si>
    <t>Stone / marble type</t>
  </si>
  <si>
    <t>Raj Nagar plain white marble</t>
  </si>
  <si>
    <t>DAR 8.1.1 and 8.2.1 list the marble variety explicitly (Raj Nagar plain white / Udaipur green / Zebra black), each a different Rates_Master code and rate.</t>
  </si>
  <si>
    <t>Bedding mortar ratio</t>
  </si>
  <si>
    <t>cement mortar 1:3 (1 cement : 3 coarse sand)</t>
  </si>
  <si>
    <t>Bedding mortar row</t>
  </si>
  <si>
    <t>DAR 8.1.1.1 imports Mortar item 3.8 (1:3 coarse sand) as the bedding mortar line.</t>
  </si>
  <si>
    <t>Pointing mortar</t>
  </si>
  <si>
    <t>white cement mortar 1:2 (1 white cement : 2 marble dust)</t>
  </si>
  <si>
    <t>Pointing mortar row</t>
  </si>
  <si>
    <t>DAR 8.1.1.1 imports a SECOND mortar - item 3.15, white cement 1:2 with marble dust - for pointing, alongside the bedding mortar. Both lines are priced in the same item.</t>
  </si>
  <si>
    <t>Slab thickness and finish</t>
  </si>
  <si>
    <t>18 mm gang saw cut, mirror polished</t>
  </si>
  <si>
    <t>DAR 8.1 (gang saw cut, polished and machine cut) and 8.2 (premoulded and prepolished) are separate items at different rates for the same 18 mm thickness.</t>
  </si>
  <si>
    <t>Chase cutting for concealed fixings</t>
  </si>
  <si>
    <t>Resolved 18.78 row</t>
  </si>
  <si>
    <t>Where the specification requires chases in the wall, the rate is DAR item 18.78 (Water Supply), resolved on the Resolved_Cross_Volume_Items sheet at Rs 154.15 per metre and imported here as an A-tagged line.</t>
  </si>
  <si>
    <t>C-08.01</t>
  </si>
  <si>
    <t>08 Cladding Work</t>
  </si>
  <si>
    <t>Cutting and wastage allowance</t>
  </si>
  <si>
    <t>DAR 8.1.1.1 states "Add for wastage" inline on the stone line. 5% is the common printed figure; change it if your slab schedule justifies more.</t>
  </si>
  <si>
    <t>Bedding mortar thickness</t>
  </si>
  <si>
    <t>Converts to the bedding mortar volume per sqm of cladding.</t>
  </si>
  <si>
    <t>Chase length per sqm</t>
  </si>
  <si>
    <t>metre / sqm</t>
  </si>
  <si>
    <t>Multiply by the resolved 18.78 rate. Leave at 0 when no chase cutting is required.</t>
  </si>
  <si>
    <t>Cladding above scaffolding height needs an access allowance; the DAR carries it as an L.S. line rather than a percentage.</t>
  </si>
  <si>
    <t>Red sand stone slab 30mm thick (with 5% cutting wastage)</t>
  </si>
  <si>
    <t>Carriage of Stone slabs</t>
  </si>
  <si>
    <t>Cement mortar 1:3 (Bedding mortar from 03_Mortars or DAR 3.3)</t>
  </si>
  <si>
    <t>Bedding mortar</t>
  </si>
  <si>
    <t>White cement mortar 1:2 (1 white cement : 2 marble dust) - pointing mortar, rate from 03_Mortars or DAR item 3.15</t>
  </si>
  <si>
    <t>Second mortar line. DAR 8.1.1.1 imports BOTH item 3.8 (bedding) and item 3.15 (white cement pointing) in the same cladding item. The 03_Mortars builder computes one mix at a time, so the bedding mortar reads its live Say rate while this pointing mortar reads row 2 of the 03_Mortars item library - build the pointing mix there and log it. Not A-tagged: Mortars carry no markups, so this line takes the full chain.</t>
  </si>
  <si>
    <t>Making chases upto 7.5 x 7.5 cm in walls including making good (DAR 18.78, Water Supply)</t>
  </si>
  <si>
    <t>Resolved on Resolved_Cross_Volume_Items from WB1 data only (Rs 154.15 per metre). A-tagged: the rate already includes Water, GST, CPOH and Cess, so it is excluded from every markup base. Set the coefficient from the "Chase length per sqm" driver in Panel 2.</t>
  </si>
  <si>
    <t>Stone Mason (fixing &amp; pointing)</t>
  </si>
  <si>
    <t>8.1.1</t>
  </si>
  <si>
    <t>Red sand stone cladding 30mm thick with backing mortar</t>
  </si>
  <si>
    <t>C-08.02</t>
  </si>
  <si>
    <t>C-08.03</t>
  </si>
  <si>
    <t>C-08.04</t>
  </si>
  <si>
    <t>C-08.05</t>
  </si>
  <si>
    <t>C-08.06</t>
  </si>
  <si>
    <t>C-08.07</t>
  </si>
  <si>
    <t>C-08.08</t>
  </si>
  <si>
    <t>CPWD DAR 2019 — SUB-HEAD 09: WOOD &amp; PVC WORK (CUSTOM ITEM BUILDER)</t>
  </si>
  <si>
    <t>CPWD DAR Sub-head 09: Timber frames, shutters, and fittings. Built from timber scantling (with standard 5% wastage allowance), carriage, holdfasts, and carpenter crews.</t>
  </si>
  <si>
    <t>Timber species</t>
  </si>
  <si>
    <t>second class teak wood</t>
  </si>
  <si>
    <t>The single biggest driver in Sub-Head 09. Same chowkhat, three species, three printed rates: DAR 9.1.1 second class teak, 9.1.2 sal wood, 9.1.3 kiln seasoned hollock - the GST lines alone show Rs 497.07 / 402.17 / 273.95, so the finished rates differ by nearly half.</t>
  </si>
  <si>
    <t>Member type</t>
  </si>
  <si>
    <t>chowkhat / frame of door</t>
  </si>
  <si>
    <t>DAR 9.1 (door and window frames), 9.2 (LVL factory made frames) and 9.3 (false ceiling and partition frames) are analysed against different member sizes and therefore different timber volumes.</t>
  </si>
  <si>
    <t>Wrought and framed work</t>
  </si>
  <si>
    <t>wrought framed and fixed in position</t>
  </si>
  <si>
    <t>DAR 9.1 is priced "wrought framed and fixed in position"; 9.3 is "sawn and fixed in position" with a lower carpenter coefficient, so the workmanship clause carries a real labour differential.</t>
  </si>
  <si>
    <t>Circular / shaped work</t>
  </si>
  <si>
    <t>straight work only</t>
  </si>
  <si>
    <t>DAR 9.4 is an explicit EXTRA item for additional labour on circular work such as fan light frames - it gives the differential directly rather than leaving it to judgement.</t>
  </si>
  <si>
    <t>Priming coat on wood</t>
  </si>
  <si>
    <t>priming coat applied (DAR 13.50.1)</t>
  </si>
  <si>
    <t>Resolved 13.50.1 row</t>
  </si>
  <si>
    <t>Priming on wood work is DAR item 13.50.1, resolved on Resolved_Cross_Volume_Items at Rs 57.05 per sqm and imported here as an A-tagged line so it is not marked up twice.</t>
  </si>
  <si>
    <t>Wood preservative treatment</t>
  </si>
  <si>
    <t>Resolved 13.57.1 row</t>
  </si>
  <si>
    <t>Oil type wood preservative, two or more coats on new work, is DAR item 13.57.1, resolved at Rs 44.50 per sqm and available as an A-tagged import.</t>
  </si>
  <si>
    <t>C-09.01</t>
  </si>
  <si>
    <t>cudm</t>
  </si>
  <si>
    <t>09 Wood and PVC Work</t>
  </si>
  <si>
    <t>Timber wastage allowance</t>
  </si>
  <si>
    <t>DAR 9.1.1 works in cudm and adds a wastage allowance inline when converting the net section volume to the ordered volume (36 cudm net becomes 38 cudm).</t>
  </si>
  <si>
    <t>Surface area for priming</t>
  </si>
  <si>
    <t>sqm / unit</t>
  </si>
  <si>
    <t>The priming import is priced per sqm of finished timber surface; enter the girth-derived area for the member being built.</t>
  </si>
  <si>
    <t>Output unit conversion</t>
  </si>
  <si>
    <t>cum / unit</t>
  </si>
  <si>
    <t>Rate row</t>
  </si>
  <si>
    <t>DAR 9 items are analysed per door / per frame and then converted to a standard cum rate at the end of the item. Enter the timber volume of one unit to convert between the two.</t>
  </si>
  <si>
    <t>Holdfasts per frame</t>
  </si>
  <si>
    <t>Material rows</t>
  </si>
  <si>
    <t>Holdfasts and fixing hardware are separate material lines in the DAR frame items.</t>
  </si>
  <si>
    <t>Second class teak wood in scantling (36 cudm + 5% wastage = 38 cudm)</t>
  </si>
  <si>
    <t>Priming coat with ready mixed pink or grey primer on wood work (DAR 13.50.1, Finishing)</t>
  </si>
  <si>
    <t>Resolved on Resolved_Cross_Volume_Items from WB1 data only (Rs 57.05 per sqm). A-tagged per the CPWD (W-A) convention.</t>
  </si>
  <si>
    <t>Oil type wood preservative, new work, two or more coats (DAR 13.57.1, Finishing)</t>
  </si>
  <si>
    <t>Resolved on Resolved_Cross_Volume_Items from WB1 data only (Rs 44.50 per sqm). A-tagged. Set the coefficient above 0 only when preservative treatment is specified.</t>
  </si>
  <si>
    <t>Second class teak wood in frames of doors and windows</t>
  </si>
  <si>
    <t>C-09.02</t>
  </si>
  <si>
    <t>C-09.03</t>
  </si>
  <si>
    <t>C-09.04</t>
  </si>
  <si>
    <t>C-09.05</t>
  </si>
  <si>
    <t>C-09.06</t>
  </si>
  <si>
    <t>C-09.07</t>
  </si>
  <si>
    <t>C-09.08</t>
  </si>
  <si>
    <t>CPWD DAR 2019 — SUB-HEAD 10: STEEL WORK (CUSTOM ITEM BUILDER)</t>
  </si>
  <si>
    <t>CPWD DAR Sub-head 10: Structural steel fabrication. Incorporates rolling sections (with 5% wastage), carriage, fitter/blacksmith crew, and priming coat (CPWD DAR 13.50.3 @ ₹50.70/sqm).</t>
  </si>
  <si>
    <t>Fabrication type</t>
  </si>
  <si>
    <t>single section</t>
  </si>
  <si>
    <t>Material coeff</t>
  </si>
  <si>
    <t>DAR 10.1 (single section, fixed with or without connecting plate) uses 1.05 quintal of structurals per quintal of finished work; 10.2 (riveted, bolted or welded built-up sections and trusses) uses 1.60 - a 52% difference on the dominant material line.</t>
  </si>
  <si>
    <t>Section profile</t>
  </si>
  <si>
    <t>tees, angles, channels and R.S. joists</t>
  </si>
  <si>
    <t>DAR 10.1 uses code 1007 (structurals: tees, angles, channels, joists); 10.2 additionally uses code 1009 (flats exceeding 10 mm) at a different rate for ties and braces.</t>
  </si>
  <si>
    <t>Priming coat</t>
  </si>
  <si>
    <t>red oxide zinc chromate primer (DAR 13.50.3)</t>
  </si>
  <si>
    <t>Resolved 13.50.3 row</t>
  </si>
  <si>
    <t>DAR 10.1 imports Finishing item 13.50.3 at Rs 50.70 per sqm and tags it "A", excluding it from every markup base. It is resolved here on Resolved_Cross_Volume_Items rather than held as a literal.</t>
  </si>
  <si>
    <t>Connecting plate</t>
  </si>
  <si>
    <t>with or without connecting plate</t>
  </si>
  <si>
    <t>DAR 10.1 is titled "fixed with or without connecting plate" - the book deliberately prices one rate for both, so this clause carries no differential.</t>
  </si>
  <si>
    <t>Erection height / lift</t>
  </si>
  <si>
    <t>for all heights</t>
  </si>
  <si>
    <t>Sub-Head 10 items do not vary by erection height; where extra lifting is genuinely incurred the DAR adds an explicit labour line, as it does in Concrete Work.</t>
  </si>
  <si>
    <t>Galvanising / protective coating</t>
  </si>
  <si>
    <t>Hot dip galvanising is not analysed inside Sub-Head 10 in Vol.1. If specified, enter the amount as a Sundries line or add a material row for the coating.</t>
  </si>
  <si>
    <t>C-10.01</t>
  </si>
  <si>
    <t>10 Steel Work</t>
  </si>
  <si>
    <t>Steel wastage allowance</t>
  </si>
  <si>
    <t>DAR 10.2 shows the arithmetic openly: "Total = 50.65 kg + Add wastage @ 5% = 2.53 kg". The 1.05 coefficient on 10.1 is the same 5% expressed as a multiplier.</t>
  </si>
  <si>
    <t>Painted surface area</t>
  </si>
  <si>
    <t>sqm / quintal</t>
  </si>
  <si>
    <t>DAR 10.1 prices 3.00 sqm of priming per quintal of steel. Change only if your section girth differs materially.</t>
  </si>
  <si>
    <t>Bolts / rivets allowance</t>
  </si>
  <si>
    <t>% of steel</t>
  </si>
  <si>
    <t>Built-up items carry their fasteners as separate material lines rather than as a percentage; use this only if you are approximating.</t>
  </si>
  <si>
    <t>kg / quintal</t>
  </si>
  <si>
    <t>DAR 10.1 is analysed per quintal and then reported per kg ("Cost of 1 quintal 8604.22, Cost of 1 Kg 86.04"). This is the divisor for that conversion.</t>
  </si>
  <si>
    <t>Structurals (tees, angles, channels, joists) + 5% wastage = 1.05 q</t>
  </si>
  <si>
    <t>Carriage of Steel (0.105 tonne)</t>
  </si>
  <si>
    <t>Priming coat with red oxide zinc chromate primer on steel work (DAR 13.50.3, Finishing)</t>
  </si>
  <si>
    <t>Resolved on Resolved_Cross_Volume_Items from WB1 data only (Rs 50.70 per sqm). A-tagged: DAR item 10.1 tags this line "A" and computes every markup on (W-A), (X-A), (Y-A), (Z-A). Verified: 1% of (6469.38-152.10) = 63.17, exactly the figure the book prints.</t>
  </si>
  <si>
    <t>Standard 1% Water charges applied on (W - Priming coat).</t>
  </si>
  <si>
    <t>CPWD factor 0.1405 applied on (X - Priming coat).</t>
  </si>
  <si>
    <t>15% CPOH applied on (Y - Priming coat).</t>
  </si>
  <si>
    <t>1% Cess applied on (Z - Priming coat).</t>
  </si>
  <si>
    <t>Structural steel work in single section fixed complete with priming coat</t>
  </si>
  <si>
    <t>Full W-&gt;X-&gt;Y-&gt;Z (excl. primer)</t>
  </si>
  <si>
    <t>C-10.02</t>
  </si>
  <si>
    <t>C-10.03</t>
  </si>
  <si>
    <t>C-10.04</t>
  </si>
  <si>
    <t>C-10.05</t>
  </si>
  <si>
    <t>C-10.06</t>
  </si>
  <si>
    <t>C-10.07</t>
  </si>
  <si>
    <t>C-10.08</t>
  </si>
  <si>
    <t>CPWD DAR 2019 — SUB-HEAD 11: FLOORING (CUSTOM ITEM BUILDER)</t>
  </si>
  <si>
    <t>CPWD DAR Sub-head 11: Tile, stone, marble, and concrete flooring. Consumes mortar bedding (from 03_Mortars), flooring tiles, neat cement slurry, and floor polishing masons.</t>
  </si>
  <si>
    <t>Flooring material</t>
  </si>
  <si>
    <t>precast terrazzo tiles</t>
  </si>
  <si>
    <t>DAR 11.1 (brick on edge), 11.2 (dry brick on edge on mud mortar), 11.3 (cement concrete flooring) and the tile items are separate analyses with entirely different material lines.</t>
  </si>
  <si>
    <t>DAR 11.1.1 imports Mortar item 3.9 (1:4) and 11.1.2 imports 3.11 (1:6) for the identical brick flooring; 11.2 imports 3.18 (mud mortar) instead. The bed is a live cost lever.</t>
  </si>
  <si>
    <t>Flooring thickness</t>
  </si>
  <si>
    <t>40 mm thick</t>
  </si>
  <si>
    <t>DAR 11.3.1 (40 mm), 11.4 (52 mm with hardener topping) and 11.5 (62 mm with hardener topping) are separate printed items with rising material quantities.</t>
  </si>
  <si>
    <t>Surface finish</t>
  </si>
  <si>
    <t>finished with a floating coat of neat cement</t>
  </si>
  <si>
    <t>Material / labour rows</t>
  </si>
  <si>
    <t>DAR 11.3 is finished "with a floating coat of neat cement" - a costed cement line - while 11.4 and 11.5 carry a concrete hardener topping instead, at a different rate.</t>
  </si>
  <si>
    <t>Bedding thickness</t>
  </si>
  <si>
    <t>on a bed of 12 mm cement mortar</t>
  </si>
  <si>
    <t>DAR 11.1 states the bed thickness in the item title ("on a bed of 12 mm cement mortar"), which sets the mortar volume per sqm.</t>
  </si>
  <si>
    <t>Laying pattern</t>
  </si>
  <si>
    <t>in required pattern</t>
  </si>
  <si>
    <t>DAR 11.2 says "in required pattern" and prices one rate; the book gives no pattern-by-pattern differential.</t>
  </si>
  <si>
    <t>C-11.01</t>
  </si>
  <si>
    <t>11 Flooring</t>
  </si>
  <si>
    <t>Neat cement slurry</t>
  </si>
  <si>
    <t>kg / sqm</t>
  </si>
  <si>
    <t>Cement row</t>
  </si>
  <si>
    <t>The floating coat of neat cement is priced as a separate cement quantity per sqm in the DAR flooring items.</t>
  </si>
  <si>
    <t>Bedding mortar consumption</t>
  </si>
  <si>
    <t>cum / sqm</t>
  </si>
  <si>
    <t>A 12 mm bed over 1 sqm is 0.012 cum, which is how the DAR derives the mortar line.</t>
  </si>
  <si>
    <t>Tile wastage allowance</t>
  </si>
  <si>
    <t>Cutting waste at edges and around obstructions; the DAR absorbs it in the printed coefficient, so set 0 to reproduce the book exactly.</t>
  </si>
  <si>
    <t>Polishing machine productivity</t>
  </si>
  <si>
    <t>days / 10 sqm</t>
  </si>
  <si>
    <t>Floor rubbing and polishing machine (code 0013) is a day-rated plant line including operator and fuel per CPWD Note 1.</t>
  </si>
  <si>
    <t>Precast terrazzo tiles 20mm thick (sqm)</t>
  </si>
  <si>
    <t>Carriage of tiles</t>
  </si>
  <si>
    <t>Cement mortar 1:4 (Bedding mortar from 03_Mortars or DAR 3.9)</t>
  </si>
  <si>
    <t>Cement for neat cement slurry (4.4 kg/sqm)</t>
  </si>
  <si>
    <t>Machine for rubbing &amp; polishing of floors</t>
  </si>
  <si>
    <t>Precast terrazzo tiles 20 mm thick laid in floors in CM 1:4</t>
  </si>
  <si>
    <t>C-11.02</t>
  </si>
  <si>
    <t>C-11.03</t>
  </si>
  <si>
    <t>C-11.04</t>
  </si>
  <si>
    <t>C-11.05</t>
  </si>
  <si>
    <t>C-11.06</t>
  </si>
  <si>
    <t>C-11.07</t>
  </si>
  <si>
    <t>C-11.08</t>
  </si>
  <si>
    <t>CPWD DAR 2019 — SUB-HEAD 12: ROOFING (CUSTOM ITEM BUILDER)</t>
  </si>
  <si>
    <t>CPWD DAR Sub-head 12: Sheet roofing and roof waterproofing. Includes corrugated G.S. sheets (with 5% lap wastage), J/L hooks, bolts, bitumen/limpet washers, and painter/carpenter labour.</t>
  </si>
  <si>
    <t>Sheet thickness</t>
  </si>
  <si>
    <t>1.00 mm thick</t>
  </si>
  <si>
    <t>The dominant driver. DAR 12.1.1 (1.00 mm), 12.1.2 (0.80 mm) and 12.1.3 (0.63 mm) derive the sheet weight explicitly - 17.72 kg per sheet at 0.80 mm against 13.38 kg at 0.63 mm - so the material line moves with thickness.</t>
  </si>
  <si>
    <t>Sheet type</t>
  </si>
  <si>
    <t>corrugated G.S. sheet</t>
  </si>
  <si>
    <t>DAR 12.1 (corrugated G.S. sheet roofing) and 12.4 (plain G.S. sheet ridges and hips) use different material codes and different fixing labour.</t>
  </si>
  <si>
    <t>Zinc coating</t>
  </si>
  <si>
    <t>zinc coating not less than 275 gm/sqm</t>
  </si>
  <si>
    <t>DAR 12.1.1-12.1.3 all state "zinc coating not less than 275 gm/m2" - it is a specification threshold the book applies to every thickness, not a rate differential.</t>
  </si>
  <si>
    <t>Fixing hardware</t>
  </si>
  <si>
    <t>polymer coated J or L hooks, bolts and nuts</t>
  </si>
  <si>
    <t>Material rows 3-6</t>
  </si>
  <si>
    <t>The DAR prices the hooks (code 1023), bolts and nuts (1022), G.I. limpet washers (1207) and bitumen washers (1208) as four separate costed material lines.</t>
  </si>
  <si>
    <t>Surface type</t>
  </si>
  <si>
    <t>vertical / curved surface included</t>
  </si>
  <si>
    <t>DAR 12.1 is titled "including vertical / curved surface" and prices one rate for both, so the clause does not carry its own figure.</t>
  </si>
  <si>
    <t>Openings and cutting</t>
  </si>
  <si>
    <t>no openings</t>
  </si>
  <si>
    <t>DAR 12.2 (straight cutting) and 12.3 (circular cutting) are explicit EXTRA items for openings exceeding 40 sq decimetre, each analysed by thickness - so cutting is separately costed data.</t>
  </si>
  <si>
    <t>C-12.01</t>
  </si>
  <si>
    <t>12 Roofing</t>
  </si>
  <si>
    <t>Lap and wastage allowance</t>
  </si>
  <si>
    <t>Side and end laps mean more sheet is bought than roof is covered; the DAR builds the lap into its sheet-count derivation for each roof geometry.</t>
  </si>
  <si>
    <t>Sheet unit weight</t>
  </si>
  <si>
    <t>kg / sheet</t>
  </si>
  <si>
    <t>DAR 12.1.2 derives this openly: "2.8 x 0.9 @ 17.72 kg each = 956.8 kg". Change it when you change the thickness above.</t>
  </si>
  <si>
    <t>Hooks per sheet</t>
  </si>
  <si>
    <t>Material rows 3-4</t>
  </si>
  <si>
    <t>Fixing hardware is counted per sheet in the DAR derivation rather than per sqm.</t>
  </si>
  <si>
    <t>Priming and painting of laps</t>
  </si>
  <si>
    <t>YES / NO</t>
  </si>
  <si>
    <t>Painter row</t>
  </si>
  <si>
    <t>DAR 12.1 items carry a Painter line for priming and painting the overlaps; toggle drives whether that labour row applies.</t>
  </si>
  <si>
    <t>Galvanised steel corrugated sheets (quintal)</t>
  </si>
  <si>
    <t>Carriage of G.I. sheet and accessories (tonne)</t>
  </si>
  <si>
    <t>Galvanised steel bolts &amp; nuts 6mm dia, 25mm long (10 Nos)</t>
  </si>
  <si>
    <t>Galvanised steel J or L hooks 8 mm dia (10 Nos)</t>
  </si>
  <si>
    <t>G.I. Limpet washer (100 Nos)</t>
  </si>
  <si>
    <t>Bitumen washer (100 Nos)</t>
  </si>
  <si>
    <t>Carpenter / Erector</t>
  </si>
  <si>
    <t>Painter (for overlap priming &amp; painting)</t>
  </si>
  <si>
    <t>Corrugated G.S. sheet roofing 1.00 mm thick with accessories</t>
  </si>
  <si>
    <t>C-12.02</t>
  </si>
  <si>
    <t>C-12.03</t>
  </si>
  <si>
    <t>C-12.04</t>
  </si>
  <si>
    <t>C-12.05</t>
  </si>
  <si>
    <t>C-12.06</t>
  </si>
  <si>
    <t>C-12.07</t>
  </si>
  <si>
    <t>C-12.08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</si>
</sst>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 #,##0.00"/>
    <numFmt numFmtId="165" formatCode="#,##0.000"/>
    <numFmt numFmtId="166" formatCode="0.0"/>
    <numFmt numFmtId="167" formatCode="0.000"/>
    <numFmt numFmtId="168" formatCode="0.0000"/>
    <numFmt numFmtId="169" formatCode="0.0&quot;%&quot;"/>
    <numFmt numFmtId="170" formatCode="0.00\ &quot;sqm/day&quot;"/>
    <numFmt numFmtId="171" formatCode="0.00\ &quot;cum/day&quot;"/>
    <numFmt numFmtId="172" formatCode="0.00\ &quot;m/day&quot;"/>
    <numFmt numFmtId="173" formatCode="0.00\ &quot;tree/day&quot;"/>
  </numFmts>
  <fonts count="20" x14ac:knownFonts="1">
    <font>
      <sz val="11"/>
      <color theme="1"/>
      <name val="Calibri"/>
      <family val="2"/>
      <scheme val="minor"/>
    </font>
    <font>
      <b/>
      <sz val="13"/>
      <color rgb="FFFFFFFF"/>
      <name val="Segoe UI"/>
    </font>
    <font>
      <b/>
      <sz val="10"/>
      <color rgb="FFFFFFFF"/>
      <name val="Segoe UI"/>
    </font>
    <font>
      <i/>
      <sz val="9"/>
      <color rgb="FF475569"/>
      <name val="Segoe UI"/>
    </font>
    <font>
      <b/>
      <sz val="10"/>
      <color rgb="FF0F172A"/>
      <name val="Segoe UI"/>
    </font>
    <font>
      <sz val="10"/>
      <color rgb="FF0F172A"/>
      <name val="Segoe UI"/>
    </font>
    <font>
      <b/>
      <sz val="9"/>
      <color rgb="FF1E293B"/>
      <name val="Segoe UI"/>
    </font>
    <font>
      <b/>
      <sz val="11"/>
      <color rgb="FF1E3A8A"/>
      <name val="Segoe UI"/>
    </font>
    <font>
      <b/>
      <sz val="13"/>
      <color rgb="FF1E3A8A"/>
      <name val="Segoe UI"/>
    </font>
    <font>
      <b/>
      <sz val="11"/>
      <color rgb="FF065F46"/>
      <name val="Segoe UI"/>
    </font>
    <font>
      <b/>
      <sz val="13"/>
      <color rgb="FFFFFFFF"/>
      <name val="Segoe UI"/>
    </font>
    <font>
      <b/>
      <sz val="9"/>
      <color rgb="FF1E293B"/>
      <name val="Segoe UI"/>
    </font>
    <font>
      <b/>
      <sz val="10"/>
      <color rgb="FF0F172A"/>
      <name val="Segoe UI"/>
    </font>
    <font>
      <sz val="10"/>
      <color rgb="FF0F172A"/>
      <name val="Segoe UI"/>
    </font>
    <font>
      <i/>
      <sz val="9"/>
      <color rgb="FF475569"/>
      <name val="Segoe UI"/>
    </font>
    <font>
      <b/>
      <sz val="10"/>
      <color rgb="FFFFFFFF"/>
      <name val="Segoe UI"/>
    </font>
    <font>
      <b/>
      <sz val="11"/>
      <color rgb="FF065F46"/>
      <name val="Segoe UI"/>
    </font>
    <font>
      <b/>
      <sz val="13"/>
      <color rgb="FF1E3A8A"/>
      <name val="Segoe UI"/>
    </font>
    <font>
      <sz val="9"/>
      <color indexed="81"/>
      <name val="Tahoma"/>
      <charset val="1"/>
    </font>
    <font>
      <b/>
      <sz val="9"/>
      <color indexed="81"/>
      <name val="Tahoma"/>
      <charset val="1"/>
    </font>
  </fonts>
  <fills count="22">
    <fill>
      <patternFill patternType="none"/>
    </fill>
    <fill>
      <patternFill patternType="gray125"/>
    </fill>
    <fill>
      <patternFill patternType="solid">
        <fgColor rgb="FF1E3A8A"/>
        <bgColor rgb="FF1E3A8A"/>
      </patternFill>
    </fill>
    <fill>
      <patternFill patternType="solid">
        <fgColor rgb="FFF8FAFC"/>
        <bgColor rgb="FFF8FAFC"/>
      </patternFill>
    </fill>
    <fill>
      <patternFill patternType="solid">
        <fgColor rgb="FF2B4C7E"/>
        <bgColor rgb="FF2B4C7E"/>
      </patternFill>
    </fill>
    <fill>
      <patternFill patternType="solid">
        <fgColor rgb="FFF1F5F9"/>
        <bgColor rgb="FFF1F5F9"/>
      </patternFill>
    </fill>
    <fill>
      <patternFill patternType="solid">
        <fgColor rgb="FFFFFFFF"/>
        <bgColor rgb="FFFFFFFF"/>
      </patternFill>
    </fill>
    <fill>
      <patternFill patternType="solid">
        <fgColor rgb="FFFEF9C3"/>
        <bgColor rgb="FFFEF9C3"/>
      </patternFill>
    </fill>
    <fill>
      <patternFill patternType="solid">
        <fgColor rgb="FFDCFCE7"/>
        <bgColor rgb="FFDCFCE7"/>
      </patternFill>
    </fill>
    <fill>
      <patternFill patternType="solid">
        <fgColor rgb="FFE0F2FE"/>
        <bgColor rgb="FFE0F2FE"/>
      </patternFill>
    </fill>
    <fill>
      <patternFill patternType="solid">
        <fgColor rgb="FFFEF08A"/>
        <bgColor rgb="FFFEF08A"/>
      </patternFill>
    </fill>
    <fill>
      <patternFill patternType="solid">
        <fgColor rgb="FFFED7AA"/>
        <bgColor rgb="FFFED7AA"/>
      </patternFill>
    </fill>
    <fill>
      <patternFill patternType="solid">
        <fgColor rgb="FF1E3A8A"/>
        <bgColor rgb="FF1E3A8A"/>
      </patternFill>
    </fill>
    <fill>
      <patternFill patternType="solid">
        <fgColor rgb="FFFEF9C3"/>
        <bgColor rgb="FFFEF9C3"/>
      </patternFill>
    </fill>
    <fill>
      <patternFill patternType="solid">
        <fgColor rgb="FFFED7AA"/>
        <bgColor rgb="FFFED7AA"/>
      </patternFill>
    </fill>
    <fill>
      <patternFill patternType="solid">
        <fgColor rgb="FFE0F2FE"/>
        <bgColor rgb="FFE0F2FE"/>
      </patternFill>
    </fill>
    <fill>
      <patternFill patternType="solid">
        <fgColor rgb="FFFFFFFF"/>
        <bgColor rgb="FFFFFFFF"/>
      </patternFill>
    </fill>
    <fill>
      <patternFill patternType="solid">
        <fgColor rgb="FFDCFCE7"/>
        <bgColor rgb="FFDCFCE7"/>
      </patternFill>
    </fill>
    <fill>
      <patternFill patternType="solid">
        <fgColor rgb="FFFEF08A"/>
        <bgColor rgb="FFFEF08A"/>
      </patternFill>
    </fill>
    <fill>
      <patternFill patternType="solid">
        <fgColor rgb="FFF8FAFC"/>
        <bgColor rgb="FFF8FAFC"/>
      </patternFill>
    </fill>
    <fill>
      <patternFill patternType="solid">
        <fgColor rgb="FFF1F5F9"/>
        <bgColor rgb="FFF1F5F9"/>
      </patternFill>
    </fill>
    <fill>
      <patternFill patternType="solid">
        <fgColor rgb="FF2B4C7E"/>
        <bgColor rgb="FF2B4C7E"/>
      </patternFill>
    </fill>
  </fills>
  <borders count="23">
    <border>
      <left/>
      <right/>
      <top/>
      <bottom/>
      <diagonal/>
    </border>
    <border>
      <left style="thin">
        <color rgb="FFCBD5E1"/>
      </left>
      <right style="thin">
        <color rgb="FFCBD5E1"/>
      </right>
      <top style="thin">
        <color rgb="FFCBD5E1"/>
      </top>
      <bottom style="thin">
        <color rgb="FFCBD5E1"/>
      </bottom>
      <diagonal/>
    </border>
    <border>
      <left style="thin">
        <color rgb="FF475569"/>
      </left>
      <right style="thin">
        <color rgb="FF475569"/>
      </right>
      <top style="thin">
        <color rgb="FF475569"/>
      </top>
      <bottom style="thin">
        <color rgb="FF475569"/>
      </bottom>
      <diagonal/>
    </border>
    <border>
      <left/>
      <right/>
      <top style="thin">
        <color rgb="FF475569"/>
      </top>
      <bottom style="thin">
        <color rgb="FF475569"/>
      </bottom>
      <diagonal/>
    </border>
    <border>
      <left/>
      <right style="thin">
        <color rgb="FF475569"/>
      </right>
      <top style="thin">
        <color rgb="FF475569"/>
      </top>
      <bottom style="thin">
        <color rgb="FF475569"/>
      </bottom>
      <diagonal/>
    </border>
    <border>
      <left style="thin">
        <color rgb="FFCBD5E1"/>
      </left>
      <right style="thin">
        <color rgb="FFCBD5E1"/>
      </right>
      <top style="thin">
        <color rgb="FFCBD5E1"/>
      </top>
      <bottom style="double">
        <color rgb="FF1E3A8A"/>
      </bottom>
      <diagonal/>
    </border>
    <border>
      <left/>
      <right/>
      <top style="thin">
        <color rgb="FFCBD5E1"/>
      </top>
      <bottom/>
      <diagonal/>
    </border>
    <border>
      <left style="thin">
        <color rgb="FFCBD5E1"/>
      </left>
      <right/>
      <top/>
      <bottom/>
      <diagonal/>
    </border>
    <border>
      <left/>
      <right style="thin">
        <color rgb="FFCBD5E1"/>
      </right>
      <top style="thin">
        <color rgb="FFCBD5E1"/>
      </top>
      <bottom/>
      <diagonal/>
    </border>
    <border>
      <left/>
      <right style="thin">
        <color rgb="FFCBD5E1"/>
      </right>
      <top/>
      <bottom/>
      <diagonal/>
    </border>
    <border>
      <left style="thin">
        <color rgb="FFCBD5E1"/>
      </left>
      <right/>
      <top/>
      <bottom style="thin">
        <color rgb="FFCBD5E1"/>
      </bottom>
      <diagonal/>
    </border>
    <border>
      <left/>
      <right/>
      <top/>
      <bottom style="thin">
        <color rgb="FFCBD5E1"/>
      </bottom>
      <diagonal/>
    </border>
    <border>
      <left/>
      <right style="thin">
        <color rgb="FFCBD5E1"/>
      </right>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right/>
      <top style="thin">
        <color rgb="FFCBD5E1"/>
      </top>
      <bottom style="double">
        <color rgb="FF1E3A8A"/>
      </bottom>
      <diagonal/>
    </border>
    <border>
      <left/>
      <right style="thin">
        <color rgb="FFCBD5E1"/>
      </right>
      <top style="thin">
        <color rgb="FFCBD5E1"/>
      </top>
      <bottom style="double">
        <color rgb="FF1E3A8A"/>
      </bottom>
      <diagonal/>
    </border>
    <border>
      <left style="thin">
        <color rgb="FFCBD5E1"/>
      </left>
      <right/>
      <top style="thin">
        <color rgb="FFCBD5E1"/>
      </top>
      <bottom/>
      <diagonal/>
    </border>
    <border>
      <left style="thin">
        <color rgb="FFCBD5E1"/>
      </left>
      <right style="thin">
        <color rgb="FFCBD5E1"/>
      </right>
      <top style="thin">
        <color rgb="FFCBD5E1"/>
      </top>
      <bottom style="thin">
        <color rgb="FFCBD5E1"/>
      </bottom>
      <diagonal/>
    </border>
    <border>
      <left style="thin">
        <color rgb="FF475569"/>
      </left>
      <right style="thin">
        <color rgb="FF475569"/>
      </right>
      <top style="thin">
        <color rgb="FF475569"/>
      </top>
      <bottom style="thin">
        <color rgb="FF475569"/>
      </bottom>
      <diagonal/>
    </border>
    <border>
      <left/>
      <right/>
      <top style="thin">
        <color rgb="FF475569"/>
      </top>
      <bottom style="thin">
        <color rgb="FF475569"/>
      </bottom>
      <diagonal/>
    </border>
    <border>
      <left/>
      <right style="thin">
        <color rgb="FF475569"/>
      </right>
      <top style="thin">
        <color rgb="FF475569"/>
      </top>
      <bottom style="thin">
        <color rgb="FF475569"/>
      </bottom>
      <diagonal/>
    </border>
    <border>
      <left style="thin">
        <color rgb="FFCBD5E1"/>
      </left>
      <right style="thin">
        <color rgb="FFCBD5E1"/>
      </right>
      <top style="thin">
        <color rgb="FFCBD5E1"/>
      </top>
      <bottom style="double">
        <color rgb="FF1E3A8A"/>
      </bottom>
      <diagonal/>
    </border>
  </borders>
  <cellStyleXfs count="1">
    <xf numFmtId="0" fontId="0" fillId="0" borderId="0"/>
  </cellStyleXfs>
  <cellXfs count="283">
    <xf numFmtId="0" fontId="0" fillId="0" borderId="0" xfId="0"/>
    <xf numFmtId="0" fontId="4" fillId="5" borderId="1" xfId="0" applyFont="1" applyFill="1" applyBorder="1" applyAlignment="1">
      <alignment horizontal="center" vertical="center"/>
    </xf>
    <xf numFmtId="0" fontId="5" fillId="5" borderId="1" xfId="0" applyFont="1" applyFill="1" applyBorder="1" applyAlignment="1">
      <alignment horizontal="left" vertical="center"/>
    </xf>
    <xf numFmtId="0" fontId="5" fillId="5" borderId="1" xfId="0" applyFont="1" applyFill="1" applyBorder="1" applyAlignment="1">
      <alignment horizontal="center" vertical="center"/>
    </xf>
    <xf numFmtId="164" fontId="4" fillId="5" borderId="1" xfId="0" applyNumberFormat="1" applyFont="1" applyFill="1" applyBorder="1" applyAlignment="1" applyProtection="1">
      <alignment horizontal="right" vertical="center"/>
      <protection locked="0"/>
    </xf>
    <xf numFmtId="0" fontId="4" fillId="6" borderId="1" xfId="0" applyFont="1" applyFill="1" applyBorder="1" applyAlignment="1">
      <alignment horizontal="center" vertical="center"/>
    </xf>
    <xf numFmtId="0" fontId="5" fillId="6" borderId="1" xfId="0" applyFont="1" applyFill="1" applyBorder="1" applyAlignment="1">
      <alignment horizontal="left" vertical="center"/>
    </xf>
    <xf numFmtId="0" fontId="5" fillId="6" borderId="1" xfId="0" applyFont="1" applyFill="1" applyBorder="1" applyAlignment="1">
      <alignment horizontal="center" vertical="center"/>
    </xf>
    <xf numFmtId="164" fontId="4" fillId="6" borderId="1" xfId="0" applyNumberFormat="1" applyFont="1" applyFill="1" applyBorder="1" applyAlignment="1" applyProtection="1">
      <alignment horizontal="right" vertical="center"/>
      <protection locked="0"/>
    </xf>
    <xf numFmtId="0" fontId="6" fillId="0" borderId="1" xfId="0" applyFont="1" applyBorder="1"/>
    <xf numFmtId="0" fontId="5" fillId="5" borderId="1" xfId="0" applyFont="1" applyFill="1" applyBorder="1"/>
    <xf numFmtId="0" fontId="4" fillId="7" borderId="1" xfId="0" applyFont="1" applyFill="1" applyBorder="1"/>
    <xf numFmtId="0" fontId="4" fillId="8" borderId="1" xfId="0" applyFont="1" applyFill="1" applyBorder="1"/>
    <xf numFmtId="0" fontId="7" fillId="0" borderId="0" xfId="0" applyFont="1"/>
    <xf numFmtId="0" fontId="4" fillId="0" borderId="1" xfId="0" applyFont="1" applyBorder="1"/>
    <xf numFmtId="0" fontId="5" fillId="7" borderId="1" xfId="0" applyFont="1" applyFill="1" applyBorder="1" applyProtection="1">
      <protection locked="0"/>
    </xf>
    <xf numFmtId="0" fontId="0" fillId="0" borderId="1" xfId="0" applyBorder="1" applyAlignment="1">
      <alignment horizontal="center" vertical="center"/>
    </xf>
    <xf numFmtId="0" fontId="0" fillId="0" borderId="1" xfId="0" applyBorder="1" applyAlignment="1">
      <alignment horizontal="left" vertical="center"/>
    </xf>
    <xf numFmtId="10" fontId="0" fillId="5" borderId="1" xfId="0" applyNumberFormat="1" applyFill="1" applyBorder="1" applyAlignment="1">
      <alignment horizontal="right" vertical="center"/>
    </xf>
    <xf numFmtId="10" fontId="0" fillId="7" borderId="1" xfId="0" applyNumberFormat="1" applyFill="1" applyBorder="1" applyAlignment="1" applyProtection="1">
      <alignment horizontal="right" vertical="center"/>
      <protection locked="0"/>
    </xf>
    <xf numFmtId="10" fontId="4" fillId="8" borderId="1" xfId="0" applyNumberFormat="1" applyFont="1" applyFill="1" applyBorder="1" applyAlignment="1">
      <alignment horizontal="right" vertical="center"/>
    </xf>
    <xf numFmtId="2" fontId="0" fillId="5" borderId="1" xfId="0" applyNumberFormat="1" applyFill="1" applyBorder="1" applyAlignment="1">
      <alignment horizontal="right" vertical="center"/>
    </xf>
    <xf numFmtId="2" fontId="0" fillId="7" borderId="1" xfId="0" applyNumberFormat="1" applyFill="1" applyBorder="1" applyAlignment="1" applyProtection="1">
      <alignment horizontal="right" vertical="center"/>
      <protection locked="0"/>
    </xf>
    <xf numFmtId="2" fontId="4" fillId="8" borderId="1" xfId="0" applyNumberFormat="1" applyFont="1" applyFill="1" applyBorder="1" applyAlignment="1">
      <alignment horizontal="right" vertical="center"/>
    </xf>
    <xf numFmtId="0" fontId="5" fillId="0" borderId="1" xfId="0" applyFont="1" applyBorder="1" applyAlignment="1">
      <alignment horizontal="center" vertical="center"/>
    </xf>
    <xf numFmtId="0" fontId="4" fillId="0" borderId="1" xfId="0" applyFont="1" applyBorder="1" applyAlignment="1">
      <alignment horizontal="left" vertical="center"/>
    </xf>
    <xf numFmtId="0" fontId="4" fillId="8" borderId="1" xfId="0" applyFont="1" applyFill="1" applyBorder="1" applyAlignment="1">
      <alignment horizontal="center" vertical="center"/>
    </xf>
    <xf numFmtId="0" fontId="4" fillId="9" borderId="1" xfId="0" applyFont="1" applyFill="1" applyBorder="1" applyAlignment="1">
      <alignment horizontal="left" vertical="center"/>
    </xf>
    <xf numFmtId="0" fontId="5" fillId="9" borderId="1" xfId="0" applyFont="1" applyFill="1" applyBorder="1" applyAlignment="1">
      <alignment horizontal="center" vertical="center"/>
    </xf>
    <xf numFmtId="0" fontId="4" fillId="9" borderId="1" xfId="0" applyFont="1" applyFill="1" applyBorder="1" applyAlignment="1">
      <alignment horizontal="center" vertical="center"/>
    </xf>
    <xf numFmtId="0" fontId="5" fillId="9" borderId="1" xfId="0" applyFont="1" applyFill="1" applyBorder="1" applyAlignment="1">
      <alignment horizontal="left" vertical="center"/>
    </xf>
    <xf numFmtId="165" fontId="4" fillId="8" borderId="1" xfId="0" applyNumberFormat="1" applyFont="1" applyFill="1" applyBorder="1" applyAlignment="1">
      <alignment horizontal="right" vertical="center"/>
    </xf>
    <xf numFmtId="165" fontId="5" fillId="9" borderId="1" xfId="0" applyNumberFormat="1" applyFont="1" applyFill="1" applyBorder="1" applyAlignment="1">
      <alignment horizontal="right" vertical="center"/>
    </xf>
    <xf numFmtId="164" fontId="5" fillId="9" borderId="1" xfId="0" applyNumberFormat="1" applyFont="1" applyFill="1" applyBorder="1" applyAlignment="1">
      <alignment horizontal="right" vertical="center"/>
    </xf>
    <xf numFmtId="165" fontId="5" fillId="6" borderId="1" xfId="0" applyNumberFormat="1" applyFont="1" applyFill="1" applyBorder="1" applyAlignment="1">
      <alignment horizontal="right" vertical="center"/>
    </xf>
    <xf numFmtId="164" fontId="5" fillId="6" borderId="1" xfId="0" applyNumberFormat="1" applyFont="1" applyFill="1" applyBorder="1" applyAlignment="1">
      <alignment horizontal="right" vertical="center"/>
    </xf>
    <xf numFmtId="165" fontId="0" fillId="6" borderId="1" xfId="0" applyNumberFormat="1" applyFill="1" applyBorder="1" applyAlignment="1">
      <alignment horizontal="right" vertical="center"/>
    </xf>
    <xf numFmtId="164" fontId="0" fillId="6" borderId="1" xfId="0" applyNumberFormat="1" applyFill="1" applyBorder="1" applyAlignment="1">
      <alignment horizontal="right" vertical="center"/>
    </xf>
    <xf numFmtId="165" fontId="0" fillId="5" borderId="1" xfId="0" applyNumberFormat="1" applyFill="1" applyBorder="1" applyAlignment="1">
      <alignment horizontal="right" vertical="center"/>
    </xf>
    <xf numFmtId="164" fontId="0" fillId="5" borderId="1" xfId="0" applyNumberFormat="1" applyFill="1" applyBorder="1" applyAlignment="1">
      <alignment horizontal="right" vertical="center"/>
    </xf>
    <xf numFmtId="2" fontId="5" fillId="5" borderId="1" xfId="0" applyNumberFormat="1" applyFont="1" applyFill="1" applyBorder="1" applyAlignment="1">
      <alignment horizontal="right" vertical="center"/>
    </xf>
    <xf numFmtId="164" fontId="4" fillId="5" borderId="1" xfId="0" applyNumberFormat="1" applyFont="1" applyFill="1" applyBorder="1" applyAlignment="1">
      <alignment horizontal="right" vertical="center"/>
    </xf>
    <xf numFmtId="2" fontId="5" fillId="6" borderId="1" xfId="0" applyNumberFormat="1" applyFont="1" applyFill="1" applyBorder="1" applyAlignment="1">
      <alignment horizontal="right" vertical="center"/>
    </xf>
    <xf numFmtId="164" fontId="4" fillId="6" borderId="1" xfId="0" applyNumberFormat="1" applyFont="1" applyFill="1" applyBorder="1" applyAlignment="1">
      <alignment horizontal="right" vertical="center"/>
    </xf>
    <xf numFmtId="0" fontId="6" fillId="0" borderId="0" xfId="0" applyFont="1"/>
    <xf numFmtId="0" fontId="4" fillId="7" borderId="1" xfId="0" applyFont="1" applyFill="1" applyBorder="1" applyAlignment="1">
      <alignment horizontal="center" vertical="center"/>
    </xf>
    <xf numFmtId="0" fontId="4" fillId="10"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left" vertical="center" wrapText="1"/>
    </xf>
    <xf numFmtId="2" fontId="0" fillId="0" borderId="1" xfId="0" applyNumberFormat="1" applyBorder="1" applyAlignment="1">
      <alignment horizontal="center" vertical="center"/>
    </xf>
    <xf numFmtId="164" fontId="0" fillId="0" borderId="1" xfId="0" applyNumberFormat="1" applyBorder="1" applyAlignment="1">
      <alignment horizontal="right" vertical="center"/>
    </xf>
    <xf numFmtId="164" fontId="8" fillId="10" borderId="1" xfId="0" applyNumberFormat="1" applyFont="1" applyFill="1" applyBorder="1" applyAlignment="1">
      <alignment horizontal="right" vertical="center"/>
    </xf>
    <xf numFmtId="0" fontId="0" fillId="0" borderId="1" xfId="0" applyBorder="1"/>
    <xf numFmtId="0" fontId="4" fillId="7" borderId="1" xfId="0" applyFont="1" applyFill="1" applyBorder="1" applyAlignment="1" applyProtection="1">
      <alignment horizontal="center" vertical="center"/>
      <protection locked="0"/>
    </xf>
    <xf numFmtId="0" fontId="0" fillId="9" borderId="1" xfId="0" applyFill="1" applyBorder="1"/>
    <xf numFmtId="0" fontId="0" fillId="9" borderId="1" xfId="0" applyFill="1" applyBorder="1" applyAlignment="1">
      <alignment horizontal="center" vertical="center"/>
    </xf>
    <xf numFmtId="165" fontId="0" fillId="7" borderId="1" xfId="0" applyNumberFormat="1" applyFill="1" applyBorder="1" applyAlignment="1" applyProtection="1">
      <alignment horizontal="right" vertical="center"/>
      <protection locked="0"/>
    </xf>
    <xf numFmtId="164" fontId="0" fillId="9" borderId="1" xfId="0" applyNumberFormat="1" applyFill="1" applyBorder="1" applyAlignment="1">
      <alignment horizontal="right" vertical="center"/>
    </xf>
    <xf numFmtId="2" fontId="0" fillId="9" borderId="1" xfId="0" applyNumberFormat="1" applyFill="1" applyBorder="1" applyAlignment="1">
      <alignment horizontal="right" vertical="center"/>
    </xf>
    <xf numFmtId="0" fontId="3" fillId="0" borderId="1" xfId="0" applyFont="1" applyBorder="1"/>
    <xf numFmtId="0" fontId="0" fillId="5" borderId="1" xfId="0" applyFill="1" applyBorder="1"/>
    <xf numFmtId="0" fontId="3" fillId="5" borderId="1" xfId="0" applyFont="1" applyFill="1" applyBorder="1"/>
    <xf numFmtId="0" fontId="3" fillId="5" borderId="1" xfId="0" applyFont="1" applyFill="1" applyBorder="1" applyAlignment="1">
      <alignment horizontal="left" vertical="center" wrapText="1"/>
    </xf>
    <xf numFmtId="10" fontId="0" fillId="0" borderId="1" xfId="0" applyNumberFormat="1" applyBorder="1" applyAlignment="1">
      <alignment horizontal="right" vertical="center"/>
    </xf>
    <xf numFmtId="164" fontId="4" fillId="0" borderId="1" xfId="0" applyNumberFormat="1" applyFont="1" applyBorder="1" applyAlignment="1">
      <alignment horizontal="right" vertical="center"/>
    </xf>
    <xf numFmtId="0" fontId="0" fillId="5" borderId="1" xfId="0" applyFill="1" applyBorder="1" applyAlignment="1">
      <alignment horizontal="center" vertical="center"/>
    </xf>
    <xf numFmtId="0" fontId="0" fillId="5" borderId="1" xfId="0" applyFill="1" applyBorder="1" applyAlignment="1">
      <alignment horizontal="left" vertical="center"/>
    </xf>
    <xf numFmtId="0" fontId="0" fillId="8" borderId="1" xfId="0" applyFill="1" applyBorder="1"/>
    <xf numFmtId="164" fontId="4" fillId="8" borderId="1" xfId="0" applyNumberFormat="1" applyFont="1" applyFill="1" applyBorder="1" applyAlignment="1">
      <alignment horizontal="right" vertical="center"/>
    </xf>
    <xf numFmtId="0" fontId="0" fillId="10" borderId="1" xfId="0" applyFill="1" applyBorder="1"/>
    <xf numFmtId="0" fontId="3" fillId="10" borderId="1" xfId="0" applyFont="1" applyFill="1" applyBorder="1" applyAlignment="1">
      <alignment horizontal="left" vertical="center" wrapText="1"/>
    </xf>
    <xf numFmtId="0" fontId="0" fillId="9" borderId="1" xfId="0" applyFill="1" applyBorder="1" applyAlignment="1">
      <alignment horizontal="left" vertical="center"/>
    </xf>
    <xf numFmtId="0" fontId="6" fillId="0" borderId="0" xfId="0" applyFont="1" applyAlignment="1">
      <alignment horizontal="center" vertical="center"/>
    </xf>
    <xf numFmtId="0" fontId="4" fillId="11" borderId="1" xfId="0" applyFont="1" applyFill="1" applyBorder="1" applyAlignment="1">
      <alignment horizontal="center" vertical="center"/>
    </xf>
    <xf numFmtId="0" fontId="4" fillId="0" borderId="1" xfId="0" applyFont="1" applyBorder="1" applyAlignment="1">
      <alignment horizontal="left" vertical="center" wrapText="1"/>
    </xf>
    <xf numFmtId="0" fontId="4" fillId="7" borderId="1" xfId="0" applyFont="1" applyFill="1" applyBorder="1" applyAlignment="1" applyProtection="1">
      <alignment horizontal="left" vertical="center" wrapText="1"/>
      <protection locked="0"/>
    </xf>
    <xf numFmtId="2" fontId="4" fillId="7" borderId="1" xfId="0" applyNumberFormat="1" applyFont="1" applyFill="1" applyBorder="1" applyAlignment="1" applyProtection="1">
      <alignment horizontal="center" vertical="center"/>
      <protection locked="0"/>
    </xf>
    <xf numFmtId="1" fontId="4" fillId="6" borderId="1" xfId="0" applyNumberFormat="1" applyFont="1" applyFill="1" applyBorder="1" applyAlignment="1">
      <alignment horizontal="center" vertical="center"/>
    </xf>
    <xf numFmtId="164" fontId="4" fillId="9" borderId="1" xfId="0" applyNumberFormat="1" applyFont="1" applyFill="1" applyBorder="1" applyAlignment="1">
      <alignment horizontal="center" vertical="center"/>
    </xf>
    <xf numFmtId="2" fontId="4" fillId="6" borderId="1" xfId="0" applyNumberFormat="1" applyFont="1" applyFill="1" applyBorder="1" applyAlignment="1">
      <alignment horizontal="center" vertical="center"/>
    </xf>
    <xf numFmtId="164" fontId="4" fillId="6" borderId="1" xfId="0" applyNumberFormat="1" applyFont="1" applyFill="1" applyBorder="1" applyAlignment="1">
      <alignment horizontal="center" vertical="center"/>
    </xf>
    <xf numFmtId="164" fontId="8" fillId="10" borderId="1" xfId="0" applyNumberFormat="1" applyFont="1" applyFill="1" applyBorder="1" applyAlignment="1">
      <alignment horizontal="center" vertical="center"/>
    </xf>
    <xf numFmtId="164" fontId="4" fillId="7" borderId="1" xfId="0" applyNumberFormat="1" applyFont="1" applyFill="1" applyBorder="1" applyAlignment="1" applyProtection="1">
      <alignment horizontal="center" vertical="center"/>
      <protection locked="0"/>
    </xf>
    <xf numFmtId="0" fontId="4" fillId="11" borderId="1" xfId="0" applyFont="1" applyFill="1" applyBorder="1" applyAlignment="1" applyProtection="1">
      <alignment horizontal="left" vertical="center" wrapText="1"/>
      <protection locked="0"/>
    </xf>
    <xf numFmtId="166" fontId="4" fillId="9" borderId="1" xfId="0" applyNumberFormat="1" applyFont="1" applyFill="1" applyBorder="1" applyAlignment="1">
      <alignment horizontal="center" vertical="center"/>
    </xf>
    <xf numFmtId="166" fontId="4" fillId="11" borderId="1" xfId="0" applyNumberFormat="1" applyFont="1" applyFill="1" applyBorder="1" applyAlignment="1" applyProtection="1">
      <alignment horizontal="center" vertical="center"/>
      <protection locked="0"/>
    </xf>
    <xf numFmtId="166" fontId="4" fillId="6" borderId="1" xfId="0" applyNumberFormat="1" applyFont="1" applyFill="1" applyBorder="1" applyAlignment="1">
      <alignment horizontal="center" vertical="center"/>
    </xf>
    <xf numFmtId="2" fontId="4" fillId="11" borderId="1" xfId="0" applyNumberFormat="1" applyFont="1" applyFill="1" applyBorder="1" applyAlignment="1" applyProtection="1">
      <alignment horizontal="center" vertical="center"/>
      <protection locked="0"/>
    </xf>
    <xf numFmtId="167" fontId="4" fillId="6" borderId="1" xfId="0" applyNumberFormat="1" applyFont="1" applyFill="1" applyBorder="1" applyAlignment="1">
      <alignment horizontal="center" vertical="center"/>
    </xf>
    <xf numFmtId="2" fontId="4" fillId="9" borderId="1" xfId="0" applyNumberFormat="1" applyFont="1" applyFill="1" applyBorder="1" applyAlignment="1">
      <alignment horizontal="center" vertical="center"/>
    </xf>
    <xf numFmtId="168" fontId="4" fillId="8"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9" fillId="8" borderId="1" xfId="0" applyFont="1" applyFill="1" applyBorder="1" applyAlignment="1">
      <alignment horizontal="center" vertical="center"/>
    </xf>
    <xf numFmtId="0" fontId="3" fillId="0" borderId="1" xfId="0" applyFont="1" applyBorder="1" applyAlignment="1">
      <alignment horizontal="right" vertical="center"/>
    </xf>
    <xf numFmtId="165" fontId="4" fillId="7" borderId="1" xfId="0" applyNumberFormat="1" applyFont="1" applyFill="1" applyBorder="1" applyAlignment="1" applyProtection="1">
      <alignment horizontal="right" vertical="center"/>
      <protection locked="0"/>
    </xf>
    <xf numFmtId="0" fontId="3" fillId="7" borderId="1" xfId="0" applyFont="1" applyFill="1" applyBorder="1" applyAlignment="1">
      <alignment horizontal="center" vertical="center"/>
    </xf>
    <xf numFmtId="165" fontId="4" fillId="6" borderId="1" xfId="0" applyNumberFormat="1" applyFont="1" applyFill="1" applyBorder="1" applyAlignment="1">
      <alignment horizontal="right" vertical="center"/>
    </xf>
    <xf numFmtId="0" fontId="3" fillId="6" borderId="1" xfId="0" applyFont="1" applyFill="1" applyBorder="1" applyAlignment="1">
      <alignment horizontal="center" vertical="center"/>
    </xf>
    <xf numFmtId="0" fontId="0" fillId="5" borderId="5" xfId="0" applyFill="1" applyBorder="1"/>
    <xf numFmtId="164" fontId="4" fillId="5" borderId="5" xfId="0" applyNumberFormat="1" applyFont="1" applyFill="1" applyBorder="1" applyAlignment="1">
      <alignment horizontal="right" vertical="center"/>
    </xf>
    <xf numFmtId="0" fontId="3" fillId="5" borderId="5" xfId="0" applyFont="1" applyFill="1" applyBorder="1"/>
    <xf numFmtId="0" fontId="0" fillId="5" borderId="1" xfId="0" applyFill="1" applyBorder="1" applyAlignment="1">
      <alignment horizontal="right" vertical="center"/>
    </xf>
    <xf numFmtId="0" fontId="0" fillId="8" borderId="1" xfId="0" applyFill="1" applyBorder="1" applyAlignment="1">
      <alignment horizontal="left" vertical="center"/>
    </xf>
    <xf numFmtId="0" fontId="0" fillId="8" borderId="1" xfId="0" applyFill="1" applyBorder="1" applyAlignment="1">
      <alignment horizontal="center" vertical="center"/>
    </xf>
    <xf numFmtId="0" fontId="0" fillId="8" borderId="1" xfId="0" applyFill="1" applyBorder="1" applyAlignment="1">
      <alignment horizontal="right" vertical="center"/>
    </xf>
    <xf numFmtId="0" fontId="3" fillId="8" borderId="1" xfId="0" applyFont="1" applyFill="1" applyBorder="1" applyAlignment="1">
      <alignment horizontal="left" vertical="center" wrapText="1"/>
    </xf>
    <xf numFmtId="0" fontId="3"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8" fillId="10" borderId="1" xfId="0" applyFont="1" applyFill="1" applyBorder="1" applyAlignment="1">
      <alignment horizontal="left" vertical="center"/>
    </xf>
    <xf numFmtId="0" fontId="0" fillId="10" borderId="1" xfId="0" applyFill="1" applyBorder="1" applyAlignment="1">
      <alignment horizontal="center" vertical="center"/>
    </xf>
    <xf numFmtId="0" fontId="0" fillId="10" borderId="1" xfId="0" applyFill="1" applyBorder="1" applyAlignment="1">
      <alignment horizontal="right" vertical="center"/>
    </xf>
    <xf numFmtId="0" fontId="3" fillId="10" borderId="1" xfId="0" applyFont="1" applyFill="1" applyBorder="1" applyAlignment="1">
      <alignment horizontal="center" vertical="center"/>
    </xf>
    <xf numFmtId="164" fontId="4" fillId="8" borderId="1" xfId="0" applyNumberFormat="1" applyFont="1" applyFill="1" applyBorder="1" applyAlignment="1">
      <alignment horizontal="center" vertical="center"/>
    </xf>
    <xf numFmtId="1" fontId="4" fillId="9" borderId="1" xfId="0" applyNumberFormat="1" applyFont="1" applyFill="1" applyBorder="1" applyAlignment="1">
      <alignment horizontal="center" vertical="center"/>
    </xf>
    <xf numFmtId="166" fontId="5" fillId="5" borderId="1" xfId="0" applyNumberFormat="1" applyFont="1" applyFill="1" applyBorder="1" applyAlignment="1">
      <alignment horizontal="center" vertical="center"/>
    </xf>
    <xf numFmtId="2" fontId="5" fillId="5" borderId="1" xfId="0" applyNumberFormat="1" applyFont="1" applyFill="1" applyBorder="1" applyAlignment="1">
      <alignment horizontal="center" vertical="center"/>
    </xf>
    <xf numFmtId="164" fontId="5" fillId="5" borderId="1" xfId="0" applyNumberFormat="1" applyFont="1" applyFill="1" applyBorder="1" applyAlignment="1">
      <alignment horizontal="right" vertical="center"/>
    </xf>
    <xf numFmtId="167" fontId="5" fillId="5" borderId="1" xfId="0" applyNumberFormat="1" applyFont="1" applyFill="1" applyBorder="1" applyAlignment="1">
      <alignment horizontal="right" vertical="center"/>
    </xf>
    <xf numFmtId="166" fontId="5" fillId="6" borderId="1" xfId="0" applyNumberFormat="1" applyFont="1" applyFill="1" applyBorder="1" applyAlignment="1">
      <alignment horizontal="center" vertical="center"/>
    </xf>
    <xf numFmtId="2" fontId="5" fillId="6" borderId="1" xfId="0" applyNumberFormat="1" applyFont="1" applyFill="1" applyBorder="1" applyAlignment="1">
      <alignment horizontal="center" vertical="center"/>
    </xf>
    <xf numFmtId="167" fontId="5" fillId="6" borderId="1" xfId="0" applyNumberFormat="1" applyFont="1" applyFill="1" applyBorder="1" applyAlignment="1">
      <alignment horizontal="right" vertical="center"/>
    </xf>
    <xf numFmtId="0" fontId="0" fillId="6" borderId="1" xfId="0" applyFill="1" applyBorder="1"/>
    <xf numFmtId="0" fontId="5" fillId="5"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3" fillId="6" borderId="1" xfId="0" applyFont="1" applyFill="1" applyBorder="1"/>
    <xf numFmtId="49" fontId="5" fillId="6" borderId="1" xfId="0" applyNumberFormat="1" applyFont="1" applyFill="1" applyBorder="1" applyAlignment="1">
      <alignment horizontal="center" vertical="center"/>
    </xf>
    <xf numFmtId="49" fontId="5" fillId="6" borderId="1" xfId="0" applyNumberFormat="1" applyFont="1" applyFill="1" applyBorder="1" applyAlignment="1">
      <alignment horizontal="left" vertical="center" wrapText="1"/>
    </xf>
    <xf numFmtId="1" fontId="5" fillId="6" borderId="1" xfId="0" applyNumberFormat="1" applyFont="1" applyFill="1" applyBorder="1" applyAlignment="1">
      <alignment horizontal="center" vertical="center"/>
    </xf>
    <xf numFmtId="49" fontId="5" fillId="5" borderId="1" xfId="0" applyNumberFormat="1" applyFont="1" applyFill="1" applyBorder="1" applyAlignment="1">
      <alignment horizontal="center" vertical="center"/>
    </xf>
    <xf numFmtId="49" fontId="5" fillId="5" borderId="1" xfId="0" applyNumberFormat="1" applyFont="1" applyFill="1" applyBorder="1" applyAlignment="1">
      <alignment horizontal="left" vertical="center" wrapText="1"/>
    </xf>
    <xf numFmtId="1" fontId="5" fillId="5" borderId="1" xfId="0" applyNumberFormat="1" applyFont="1" applyFill="1" applyBorder="1" applyAlignment="1">
      <alignment horizontal="center" vertical="center"/>
    </xf>
    <xf numFmtId="0" fontId="3" fillId="0" borderId="1" xfId="0" applyFont="1" applyBorder="1" applyAlignment="1">
      <alignment horizontal="center" vertical="center"/>
    </xf>
    <xf numFmtId="0" fontId="0" fillId="11" borderId="1" xfId="0" applyFill="1" applyBorder="1" applyAlignment="1" applyProtection="1">
      <alignment horizontal="left" vertical="center" wrapText="1"/>
      <protection locked="0"/>
    </xf>
    <xf numFmtId="1" fontId="4" fillId="7" borderId="1" xfId="0" applyNumberFormat="1" applyFont="1" applyFill="1" applyBorder="1" applyAlignment="1" applyProtection="1">
      <alignment horizontal="center" vertical="center"/>
      <protection locked="0"/>
    </xf>
    <xf numFmtId="0" fontId="3" fillId="0" borderId="1" xfId="0" applyFont="1" applyBorder="1" applyAlignment="1" applyProtection="1">
      <alignment horizontal="left" vertical="center" wrapText="1"/>
      <protection locked="0"/>
    </xf>
    <xf numFmtId="0" fontId="3" fillId="5" borderId="1" xfId="0" applyFont="1" applyFill="1" applyBorder="1" applyAlignment="1">
      <alignment horizontal="center" vertical="center"/>
    </xf>
    <xf numFmtId="0" fontId="0" fillId="6" borderId="1" xfId="0" applyFill="1" applyBorder="1" applyAlignment="1" applyProtection="1">
      <alignment horizontal="center" vertical="center"/>
      <protection locked="0"/>
    </xf>
    <xf numFmtId="0" fontId="5" fillId="6" borderId="1" xfId="0" applyFont="1" applyFill="1" applyBorder="1" applyAlignment="1" applyProtection="1">
      <alignment horizontal="left" vertical="center"/>
      <protection locked="0"/>
    </xf>
    <xf numFmtId="0" fontId="5" fillId="6" borderId="1" xfId="0" applyFont="1" applyFill="1" applyBorder="1" applyAlignment="1" applyProtection="1">
      <alignment horizontal="center" vertical="center"/>
      <protection locked="0"/>
    </xf>
    <xf numFmtId="164" fontId="5" fillId="6" borderId="1" xfId="0" applyNumberFormat="1" applyFont="1" applyFill="1" applyBorder="1" applyAlignment="1" applyProtection="1">
      <alignment horizontal="right" vertical="center"/>
      <protection locked="0"/>
    </xf>
    <xf numFmtId="0" fontId="0" fillId="5" borderId="1" xfId="0" applyFill="1" applyBorder="1" applyAlignment="1" applyProtection="1">
      <alignment horizontal="center" vertical="center"/>
      <protection locked="0"/>
    </xf>
    <xf numFmtId="0" fontId="5" fillId="5" borderId="1" xfId="0" applyFont="1" applyFill="1" applyBorder="1" applyAlignment="1" applyProtection="1">
      <alignment horizontal="left" vertical="center"/>
      <protection locked="0"/>
    </xf>
    <xf numFmtId="0" fontId="5" fillId="5" borderId="1" xfId="0" applyFont="1" applyFill="1" applyBorder="1" applyAlignment="1" applyProtection="1">
      <alignment horizontal="center" vertical="center"/>
      <protection locked="0"/>
    </xf>
    <xf numFmtId="164" fontId="5" fillId="5" borderId="1" xfId="0" applyNumberFormat="1" applyFont="1" applyFill="1" applyBorder="1" applyAlignment="1" applyProtection="1">
      <alignment horizontal="right" vertical="center"/>
      <protection locked="0"/>
    </xf>
    <xf numFmtId="167" fontId="4" fillId="7" borderId="1" xfId="0" applyNumberFormat="1" applyFont="1" applyFill="1" applyBorder="1" applyAlignment="1" applyProtection="1">
      <alignment horizontal="center" vertical="center"/>
      <protection locked="0"/>
    </xf>
    <xf numFmtId="0" fontId="4" fillId="10" borderId="1" xfId="0" applyFont="1" applyFill="1" applyBorder="1" applyAlignment="1" applyProtection="1">
      <alignment horizontal="center" vertical="center"/>
      <protection locked="0"/>
    </xf>
    <xf numFmtId="168" fontId="4" fillId="7" borderId="1" xfId="0" applyNumberFormat="1" applyFont="1" applyFill="1" applyBorder="1" applyAlignment="1" applyProtection="1">
      <alignment horizontal="center" vertical="center"/>
      <protection locked="0"/>
    </xf>
    <xf numFmtId="49" fontId="5" fillId="6" borderId="1" xfId="0" applyNumberFormat="1" applyFont="1" applyFill="1" applyBorder="1" applyAlignment="1">
      <alignment horizontal="center" vertical="center" wrapText="1"/>
    </xf>
    <xf numFmtId="49" fontId="5" fillId="5" borderId="1" xfId="0" applyNumberFormat="1" applyFont="1" applyFill="1" applyBorder="1" applyAlignment="1">
      <alignment horizontal="center" vertical="center" wrapText="1"/>
    </xf>
    <xf numFmtId="0" fontId="3" fillId="3" borderId="17" xfId="0" applyFont="1" applyFill="1" applyBorder="1" applyAlignment="1">
      <alignment horizontal="left" vertical="center"/>
    </xf>
    <xf numFmtId="0" fontId="0" fillId="0" borderId="0" xfId="0"/>
    <xf numFmtId="0" fontId="3" fillId="0" borderId="1" xfId="0" applyFont="1" applyBorder="1" applyAlignment="1">
      <alignment horizontal="left" vertical="center" wrapText="1"/>
    </xf>
    <xf numFmtId="0" fontId="2" fillId="4" borderId="2" xfId="0" applyFont="1" applyFill="1" applyBorder="1" applyAlignment="1">
      <alignment horizontal="center" vertical="center"/>
    </xf>
    <xf numFmtId="0" fontId="11" fillId="0" borderId="0" xfId="0" applyFont="1" applyAlignment="1">
      <alignment horizontal="center" vertical="center"/>
    </xf>
    <xf numFmtId="0" fontId="12" fillId="13" borderId="18" xfId="0" applyFont="1" applyFill="1" applyBorder="1" applyAlignment="1">
      <alignment horizontal="center" vertical="center"/>
    </xf>
    <xf numFmtId="0" fontId="12" fillId="14" borderId="18" xfId="0" applyFont="1" applyFill="1" applyBorder="1" applyAlignment="1">
      <alignment horizontal="center" vertical="center"/>
    </xf>
    <xf numFmtId="0" fontId="13" fillId="15" borderId="18" xfId="0" applyFont="1" applyFill="1" applyBorder="1" applyAlignment="1">
      <alignment horizontal="center" vertical="center"/>
    </xf>
    <xf numFmtId="0" fontId="13" fillId="16" borderId="18" xfId="0" applyFont="1" applyFill="1" applyBorder="1" applyAlignment="1">
      <alignment horizontal="center" vertical="center"/>
    </xf>
    <xf numFmtId="0" fontId="12" fillId="17" borderId="18" xfId="0" applyFont="1" applyFill="1" applyBorder="1" applyAlignment="1">
      <alignment horizontal="center" vertical="center"/>
    </xf>
    <xf numFmtId="0" fontId="12" fillId="18" borderId="18" xfId="0" applyFont="1" applyFill="1" applyBorder="1" applyAlignment="1">
      <alignment horizontal="center" vertical="center"/>
    </xf>
    <xf numFmtId="0" fontId="14" fillId="19" borderId="18" xfId="0" applyFont="1" applyFill="1" applyBorder="1" applyAlignment="1">
      <alignment horizontal="center" vertical="center"/>
    </xf>
    <xf numFmtId="0" fontId="13" fillId="20" borderId="18" xfId="0" applyFont="1" applyFill="1" applyBorder="1" applyAlignment="1">
      <alignment horizontal="center" vertical="center"/>
    </xf>
    <xf numFmtId="0" fontId="15" fillId="21" borderId="19" xfId="0" applyFont="1" applyFill="1" applyBorder="1" applyAlignment="1">
      <alignment horizontal="center" vertical="center"/>
    </xf>
    <xf numFmtId="0" fontId="12" fillId="0" borderId="18" xfId="0" applyFont="1" applyBorder="1" applyAlignment="1">
      <alignment horizontal="left" vertical="center"/>
    </xf>
    <xf numFmtId="0" fontId="13" fillId="0" borderId="18" xfId="0" applyFont="1" applyBorder="1" applyAlignment="1">
      <alignment horizontal="center" vertical="center"/>
    </xf>
    <xf numFmtId="0" fontId="14" fillId="0" borderId="18" xfId="0" applyFont="1" applyBorder="1" applyAlignment="1">
      <alignment horizontal="left" vertical="center" wrapText="1"/>
    </xf>
    <xf numFmtId="0" fontId="12" fillId="15" borderId="18" xfId="0" applyFont="1" applyFill="1" applyBorder="1" applyAlignment="1">
      <alignment horizontal="center" vertical="center"/>
    </xf>
    <xf numFmtId="2" fontId="12" fillId="15" borderId="18" xfId="0" applyNumberFormat="1" applyFont="1" applyFill="1" applyBorder="1" applyAlignment="1">
      <alignment horizontal="center" vertical="center"/>
    </xf>
    <xf numFmtId="0" fontId="16" fillId="17" borderId="18" xfId="0" applyFont="1" applyFill="1" applyBorder="1" applyAlignment="1">
      <alignment horizontal="center" vertical="center"/>
    </xf>
    <xf numFmtId="0" fontId="14" fillId="0" borderId="18" xfId="0" applyFont="1" applyBorder="1" applyAlignment="1">
      <alignment horizontal="right" vertical="center"/>
    </xf>
    <xf numFmtId="0" fontId="12" fillId="0" borderId="18" xfId="0" applyFont="1" applyBorder="1" applyAlignment="1">
      <alignment horizontal="center" vertical="center"/>
    </xf>
    <xf numFmtId="0" fontId="0" fillId="0" borderId="18" xfId="0" applyBorder="1" applyAlignment="1">
      <alignment horizontal="center" vertical="center"/>
    </xf>
    <xf numFmtId="167" fontId="12" fillId="16" borderId="18" xfId="0" applyNumberFormat="1" applyFont="1" applyFill="1" applyBorder="1" applyAlignment="1">
      <alignment horizontal="right" vertical="center"/>
    </xf>
    <xf numFmtId="2" fontId="0" fillId="16" borderId="18" xfId="0" applyNumberFormat="1" applyFill="1" applyBorder="1" applyAlignment="1">
      <alignment horizontal="right" vertical="center"/>
    </xf>
    <xf numFmtId="168" fontId="0" fillId="16" borderId="18" xfId="0" applyNumberFormat="1" applyFill="1" applyBorder="1" applyAlignment="1">
      <alignment horizontal="right" vertical="center"/>
    </xf>
    <xf numFmtId="164" fontId="12" fillId="20" borderId="18" xfId="0" applyNumberFormat="1" applyFont="1" applyFill="1" applyBorder="1" applyAlignment="1">
      <alignment horizontal="right" vertical="center"/>
    </xf>
    <xf numFmtId="0" fontId="0" fillId="20" borderId="18" xfId="0" applyFill="1" applyBorder="1" applyAlignment="1">
      <alignment horizontal="center" vertical="center"/>
    </xf>
    <xf numFmtId="164" fontId="12" fillId="20" borderId="22" xfId="0" applyNumberFormat="1" applyFont="1" applyFill="1" applyBorder="1" applyAlignment="1">
      <alignment horizontal="right" vertical="center"/>
    </xf>
    <xf numFmtId="0" fontId="0" fillId="20" borderId="22" xfId="0" applyFill="1" applyBorder="1" applyAlignment="1">
      <alignment horizontal="center" vertical="center"/>
    </xf>
    <xf numFmtId="0" fontId="13" fillId="0" borderId="18" xfId="0" applyFont="1" applyBorder="1" applyAlignment="1">
      <alignment horizontal="left" vertical="center"/>
    </xf>
    <xf numFmtId="164" fontId="0" fillId="0" borderId="18" xfId="0" applyNumberFormat="1" applyBorder="1" applyAlignment="1">
      <alignment horizontal="right" vertical="center"/>
    </xf>
    <xf numFmtId="0" fontId="0" fillId="0" borderId="18" xfId="0" applyBorder="1" applyAlignment="1">
      <alignment horizontal="right" vertical="center"/>
    </xf>
    <xf numFmtId="164" fontId="13" fillId="0" borderId="18" xfId="0" applyNumberFormat="1" applyFont="1" applyBorder="1" applyAlignment="1">
      <alignment horizontal="right" vertical="center"/>
    </xf>
    <xf numFmtId="10" fontId="0" fillId="15" borderId="18" xfId="0" applyNumberFormat="1" applyFill="1" applyBorder="1" applyAlignment="1">
      <alignment horizontal="right" vertical="center"/>
    </xf>
    <xf numFmtId="0" fontId="12" fillId="20" borderId="18" xfId="0" applyFont="1" applyFill="1" applyBorder="1" applyAlignment="1">
      <alignment horizontal="center" vertical="center"/>
    </xf>
    <xf numFmtId="0" fontId="13" fillId="20" borderId="18" xfId="0" applyFont="1" applyFill="1" applyBorder="1" applyAlignment="1">
      <alignment horizontal="left" vertical="center"/>
    </xf>
    <xf numFmtId="164" fontId="0" fillId="20" borderId="18" xfId="0" applyNumberFormat="1" applyFill="1" applyBorder="1" applyAlignment="1">
      <alignment horizontal="right" vertical="center"/>
    </xf>
    <xf numFmtId="0" fontId="0" fillId="20" borderId="18" xfId="0" applyFill="1" applyBorder="1" applyAlignment="1">
      <alignment horizontal="right" vertical="center"/>
    </xf>
    <xf numFmtId="164" fontId="13" fillId="20" borderId="18" xfId="0" applyNumberFormat="1" applyFont="1" applyFill="1" applyBorder="1" applyAlignment="1">
      <alignment horizontal="right" vertical="center"/>
    </xf>
    <xf numFmtId="0" fontId="12" fillId="17" borderId="18" xfId="0" applyFont="1" applyFill="1" applyBorder="1" applyAlignment="1">
      <alignment horizontal="left" vertical="center"/>
    </xf>
    <xf numFmtId="0" fontId="0" fillId="17" borderId="18" xfId="0" applyFill="1" applyBorder="1" applyAlignment="1">
      <alignment horizontal="center" vertical="center"/>
    </xf>
    <xf numFmtId="164" fontId="0" fillId="17" borderId="18" xfId="0" applyNumberFormat="1" applyFill="1" applyBorder="1" applyAlignment="1">
      <alignment horizontal="right" vertical="center"/>
    </xf>
    <xf numFmtId="0" fontId="0" fillId="17" borderId="18" xfId="0" applyFill="1" applyBorder="1" applyAlignment="1">
      <alignment horizontal="right" vertical="center"/>
    </xf>
    <xf numFmtId="164" fontId="12" fillId="17" borderId="18" xfId="0" applyNumberFormat="1" applyFont="1" applyFill="1" applyBorder="1" applyAlignment="1">
      <alignment horizontal="right" vertical="center"/>
    </xf>
    <xf numFmtId="0" fontId="12" fillId="18" borderId="18" xfId="0" applyFont="1" applyFill="1" applyBorder="1" applyAlignment="1">
      <alignment horizontal="left" vertical="center"/>
    </xf>
    <xf numFmtId="0" fontId="0" fillId="18" borderId="18" xfId="0" applyFill="1" applyBorder="1" applyAlignment="1">
      <alignment horizontal="center" vertical="center"/>
    </xf>
    <xf numFmtId="164" fontId="0" fillId="18" borderId="18" xfId="0" applyNumberFormat="1" applyFill="1" applyBorder="1" applyAlignment="1">
      <alignment horizontal="right" vertical="center"/>
    </xf>
    <xf numFmtId="0" fontId="0" fillId="18" borderId="18" xfId="0" applyFill="1" applyBorder="1" applyAlignment="1">
      <alignment horizontal="right" vertical="center"/>
    </xf>
    <xf numFmtId="164" fontId="17" fillId="18" borderId="18" xfId="0" applyNumberFormat="1" applyFont="1" applyFill="1" applyBorder="1" applyAlignment="1">
      <alignment horizontal="right" vertical="center"/>
    </xf>
    <xf numFmtId="0" fontId="0" fillId="0" borderId="18" xfId="0" applyBorder="1" applyAlignment="1">
      <alignment horizontal="left" vertical="center"/>
    </xf>
    <xf numFmtId="2" fontId="0" fillId="15" borderId="18" xfId="0" applyNumberFormat="1" applyFill="1" applyBorder="1" applyAlignment="1">
      <alignment horizontal="right" vertical="center"/>
    </xf>
    <xf numFmtId="1" fontId="0" fillId="13" borderId="18" xfId="0" applyNumberFormat="1" applyFill="1" applyBorder="1" applyAlignment="1">
      <alignment horizontal="right" vertical="center"/>
    </xf>
    <xf numFmtId="167" fontId="0" fillId="13" borderId="18" xfId="0" applyNumberFormat="1" applyFill="1" applyBorder="1" applyAlignment="1">
      <alignment horizontal="right" vertical="center"/>
    </xf>
    <xf numFmtId="2" fontId="0" fillId="15" borderId="18" xfId="0" applyNumberFormat="1" applyFill="1" applyBorder="1" applyAlignment="1">
      <alignment horizontal="center" vertical="center"/>
    </xf>
    <xf numFmtId="164" fontId="12" fillId="0" borderId="18" xfId="0" applyNumberFormat="1" applyFont="1" applyBorder="1" applyAlignment="1">
      <alignment horizontal="right" vertical="center"/>
    </xf>
    <xf numFmtId="0" fontId="14" fillId="0" borderId="18" xfId="0" applyFont="1" applyBorder="1" applyAlignment="1">
      <alignment horizontal="left" vertical="center"/>
    </xf>
    <xf numFmtId="164" fontId="12" fillId="15" borderId="18" xfId="0" applyNumberFormat="1" applyFont="1" applyFill="1" applyBorder="1" applyAlignment="1">
      <alignment horizontal="center" vertical="center"/>
    </xf>
    <xf numFmtId="0" fontId="14" fillId="0" borderId="18" xfId="0" applyFont="1" applyBorder="1" applyAlignment="1">
      <alignment horizontal="center" vertical="center"/>
    </xf>
    <xf numFmtId="167" fontId="12" fillId="13" borderId="18" xfId="0" applyNumberFormat="1" applyFont="1" applyFill="1" applyBorder="1" applyAlignment="1">
      <alignment horizontal="right" vertical="center"/>
    </xf>
    <xf numFmtId="164" fontId="13" fillId="15" borderId="18" xfId="0" applyNumberFormat="1" applyFont="1" applyFill="1" applyBorder="1" applyAlignment="1">
      <alignment horizontal="right" vertical="center"/>
    </xf>
    <xf numFmtId="164" fontId="12" fillId="16" borderId="18" xfId="0" applyNumberFormat="1" applyFont="1" applyFill="1" applyBorder="1" applyAlignment="1">
      <alignment horizontal="right" vertical="center"/>
    </xf>
    <xf numFmtId="169" fontId="13" fillId="16" borderId="18" xfId="0" applyNumberFormat="1" applyFont="1" applyFill="1" applyBorder="1" applyAlignment="1">
      <alignment horizontal="right" vertical="center"/>
    </xf>
    <xf numFmtId="168" fontId="14" fillId="0" borderId="18" xfId="0" applyNumberFormat="1" applyFont="1" applyBorder="1" applyAlignment="1">
      <alignment horizontal="right" vertical="center"/>
    </xf>
    <xf numFmtId="2" fontId="14" fillId="0" borderId="18" xfId="0" applyNumberFormat="1" applyFont="1" applyBorder="1" applyAlignment="1">
      <alignment horizontal="right" vertical="center"/>
    </xf>
    <xf numFmtId="0" fontId="15" fillId="21" borderId="0" xfId="0" applyFont="1" applyFill="1" applyAlignment="1">
      <alignment horizontal="center" vertical="center"/>
    </xf>
    <xf numFmtId="0" fontId="13" fillId="0" borderId="0" xfId="0" applyFont="1" applyAlignment="1">
      <alignment horizontal="left" vertical="center"/>
    </xf>
    <xf numFmtId="0" fontId="12" fillId="15" borderId="18" xfId="0" applyFont="1" applyFill="1" applyBorder="1"/>
    <xf numFmtId="170" fontId="14" fillId="0" borderId="18" xfId="0" applyNumberFormat="1" applyFont="1" applyBorder="1" applyAlignment="1">
      <alignment horizontal="right" vertical="center"/>
    </xf>
    <xf numFmtId="171" fontId="14" fillId="0" borderId="18" xfId="0" applyNumberFormat="1" applyFont="1" applyBorder="1" applyAlignment="1">
      <alignment horizontal="right" vertical="center"/>
    </xf>
    <xf numFmtId="172" fontId="14" fillId="0" borderId="18" xfId="0" applyNumberFormat="1" applyFont="1" applyBorder="1" applyAlignment="1">
      <alignment horizontal="right" vertical="center"/>
    </xf>
    <xf numFmtId="173" fontId="14" fillId="0" borderId="18" xfId="0" applyNumberFormat="1" applyFont="1" applyBorder="1" applyAlignment="1">
      <alignment horizontal="right" vertical="center"/>
    </xf>
    <xf numFmtId="2" fontId="12" fillId="16" borderId="18" xfId="0" applyNumberFormat="1" applyFont="1" applyFill="1" applyBorder="1" applyAlignment="1">
      <alignment horizontal="right" vertical="center"/>
    </xf>
    <xf numFmtId="167" fontId="13" fillId="16" borderId="18" xfId="0" applyNumberFormat="1" applyFont="1" applyFill="1" applyBorder="1" applyAlignment="1">
      <alignment horizontal="right" vertical="center"/>
    </xf>
    <xf numFmtId="2" fontId="13" fillId="15" borderId="18" xfId="0" applyNumberFormat="1" applyFont="1" applyFill="1" applyBorder="1" applyAlignment="1">
      <alignment horizontal="right" vertical="center"/>
    </xf>
    <xf numFmtId="167" fontId="12" fillId="17" borderId="18" xfId="0" applyNumberFormat="1" applyFont="1" applyFill="1" applyBorder="1" applyAlignment="1">
      <alignment horizontal="right" vertical="center"/>
    </xf>
    <xf numFmtId="167" fontId="13" fillId="0" borderId="18" xfId="0" applyNumberFormat="1" applyFont="1" applyBorder="1" applyAlignment="1">
      <alignment horizontal="right" vertical="center"/>
    </xf>
    <xf numFmtId="0" fontId="1" fillId="2" borderId="0" xfId="0" applyFont="1" applyFill="1" applyAlignment="1">
      <alignment horizontal="center" vertical="center"/>
    </xf>
    <xf numFmtId="0" fontId="0" fillId="0" borderId="0" xfId="0"/>
    <xf numFmtId="0" fontId="2" fillId="3" borderId="1" xfId="0" applyFont="1" applyFill="1" applyBorder="1" applyAlignment="1">
      <alignment horizontal="left" vertical="center" wrapText="1"/>
    </xf>
    <xf numFmtId="0" fontId="0" fillId="0" borderId="6" xfId="0" applyBorder="1"/>
    <xf numFmtId="0" fontId="0" fillId="0" borderId="8" xfId="0" applyBorder="1"/>
    <xf numFmtId="0" fontId="0" fillId="0" borderId="7" xfId="0" applyBorder="1"/>
    <xf numFmtId="0" fontId="0" fillId="0" borderId="9" xfId="0" applyBorder="1"/>
    <xf numFmtId="0" fontId="0" fillId="0" borderId="10" xfId="0" applyBorder="1"/>
    <xf numFmtId="0" fontId="0" fillId="0" borderId="11" xfId="0" applyBorder="1"/>
    <xf numFmtId="0" fontId="0" fillId="0" borderId="12" xfId="0" applyBorder="1"/>
    <xf numFmtId="0" fontId="3" fillId="3" borderId="1" xfId="0" applyFont="1" applyFill="1" applyBorder="1" applyAlignment="1">
      <alignment horizontal="left" vertical="center" wrapText="1"/>
    </xf>
    <xf numFmtId="0" fontId="3" fillId="3" borderId="0" xfId="0" applyFont="1" applyFill="1" applyAlignment="1">
      <alignment horizontal="left" vertical="center" wrapText="1"/>
    </xf>
    <xf numFmtId="0" fontId="2" fillId="4" borderId="0" xfId="0" applyFont="1" applyFill="1" applyAlignment="1">
      <alignment horizontal="left" vertical="center"/>
    </xf>
    <xf numFmtId="0" fontId="8" fillId="10" borderId="1" xfId="0" applyFont="1" applyFill="1" applyBorder="1" applyAlignment="1">
      <alignment horizontal="right" vertical="center"/>
    </xf>
    <xf numFmtId="0" fontId="0" fillId="0" borderId="13" xfId="0" applyBorder="1"/>
    <xf numFmtId="0" fontId="0" fillId="0" borderId="14" xfId="0" applyBorder="1"/>
    <xf numFmtId="0" fontId="2" fillId="4" borderId="0" xfId="0" applyFont="1" applyFill="1" applyAlignment="1">
      <alignment horizontal="left" vertical="center" wrapText="1"/>
    </xf>
    <xf numFmtId="0" fontId="4" fillId="5" borderId="1" xfId="0" applyFont="1" applyFill="1" applyBorder="1" applyAlignment="1">
      <alignment horizontal="right" vertical="center"/>
    </xf>
    <xf numFmtId="0" fontId="4" fillId="8" borderId="1" xfId="0" applyFont="1" applyFill="1" applyBorder="1" applyAlignment="1">
      <alignment horizontal="right" vertical="center"/>
    </xf>
    <xf numFmtId="0" fontId="3" fillId="0" borderId="1" xfId="0" applyFont="1" applyBorder="1" applyAlignment="1">
      <alignment horizontal="left" vertical="center" wrapText="1"/>
    </xf>
    <xf numFmtId="0" fontId="2" fillId="4" borderId="2" xfId="0" applyFont="1" applyFill="1" applyBorder="1" applyAlignment="1">
      <alignment horizontal="center" vertical="center"/>
    </xf>
    <xf numFmtId="0" fontId="0" fillId="0" borderId="3" xfId="0" applyBorder="1"/>
    <xf numFmtId="0" fontId="0" fillId="0" borderId="4" xfId="0" applyBorder="1"/>
    <xf numFmtId="0" fontId="4" fillId="0" borderId="1" xfId="0" applyFont="1" applyBorder="1" applyAlignment="1">
      <alignment horizontal="right" vertical="center"/>
    </xf>
    <xf numFmtId="0" fontId="3" fillId="3" borderId="17" xfId="0" applyFont="1" applyFill="1" applyBorder="1" applyAlignment="1">
      <alignment horizontal="left" vertical="center" wrapText="1"/>
    </xf>
    <xf numFmtId="0" fontId="4" fillId="5" borderId="5" xfId="0" applyFont="1" applyFill="1" applyBorder="1" applyAlignment="1">
      <alignment horizontal="right" vertical="center"/>
    </xf>
    <xf numFmtId="0" fontId="0" fillId="0" borderId="15" xfId="0" applyBorder="1"/>
    <xf numFmtId="0" fontId="0" fillId="0" borderId="16" xfId="0" applyBorder="1"/>
    <xf numFmtId="0" fontId="4" fillId="6" borderId="1" xfId="0" applyFont="1" applyFill="1" applyBorder="1" applyAlignment="1">
      <alignment horizontal="left" vertical="center" wrapText="1"/>
    </xf>
    <xf numFmtId="0" fontId="14" fillId="0" borderId="18" xfId="0" applyFont="1" applyBorder="1" applyAlignment="1">
      <alignment horizontal="left" vertical="center" wrapText="1"/>
    </xf>
    <xf numFmtId="0" fontId="0" fillId="0" borderId="18" xfId="0" applyBorder="1"/>
    <xf numFmtId="0" fontId="15" fillId="21" borderId="0" xfId="0" applyFont="1" applyFill="1" applyAlignment="1">
      <alignment horizontal="left" vertical="center"/>
    </xf>
    <xf numFmtId="0" fontId="15" fillId="21" borderId="19" xfId="0" applyFont="1" applyFill="1" applyBorder="1" applyAlignment="1">
      <alignment horizontal="center" vertical="center"/>
    </xf>
    <xf numFmtId="0" fontId="0" fillId="0" borderId="20" xfId="0" applyBorder="1"/>
    <xf numFmtId="0" fontId="0" fillId="0" borderId="21" xfId="0" applyBorder="1"/>
    <xf numFmtId="0" fontId="13" fillId="15" borderId="18" xfId="0" applyFont="1" applyFill="1" applyBorder="1" applyAlignment="1">
      <alignment horizontal="left" vertical="center" wrapText="1"/>
    </xf>
    <xf numFmtId="0" fontId="14" fillId="0" borderId="18" xfId="0" applyFont="1" applyBorder="1" applyAlignment="1">
      <alignment horizontal="left" vertical="center"/>
    </xf>
    <xf numFmtId="0" fontId="14" fillId="19" borderId="18" xfId="0" applyFont="1" applyFill="1" applyBorder="1" applyAlignment="1">
      <alignment horizontal="left" vertical="center" wrapText="1"/>
    </xf>
    <xf numFmtId="0" fontId="12" fillId="0" borderId="18" xfId="0" applyFont="1" applyBorder="1"/>
    <xf numFmtId="0" fontId="12" fillId="0" borderId="18" xfId="0" applyFont="1" applyBorder="1" applyAlignment="1">
      <alignment horizontal="left" vertical="center"/>
    </xf>
    <xf numFmtId="0" fontId="14" fillId="19" borderId="0" xfId="0" applyFont="1" applyFill="1" applyAlignment="1">
      <alignment horizontal="left" vertical="center" wrapText="1"/>
    </xf>
    <xf numFmtId="0" fontId="14" fillId="17" borderId="18" xfId="0" applyFont="1" applyFill="1" applyBorder="1" applyAlignment="1">
      <alignment horizontal="left" vertical="center" wrapText="1"/>
    </xf>
    <xf numFmtId="0" fontId="0" fillId="17" borderId="18" xfId="0" applyFill="1" applyBorder="1"/>
    <xf numFmtId="0" fontId="14" fillId="0" borderId="18" xfId="0" applyFont="1" applyBorder="1"/>
    <xf numFmtId="0" fontId="14" fillId="20" borderId="18" xfId="0" applyFont="1" applyFill="1" applyBorder="1"/>
    <xf numFmtId="0" fontId="0" fillId="20" borderId="18" xfId="0" applyFill="1" applyBorder="1"/>
    <xf numFmtId="0" fontId="14" fillId="18" borderId="18" xfId="0" applyFont="1" applyFill="1" applyBorder="1" applyAlignment="1">
      <alignment horizontal="left" vertical="center" wrapText="1"/>
    </xf>
    <xf numFmtId="0" fontId="0" fillId="18" borderId="18" xfId="0" applyFill="1" applyBorder="1"/>
    <xf numFmtId="0" fontId="14" fillId="20" borderId="18" xfId="0" applyFont="1" applyFill="1" applyBorder="1" applyAlignment="1">
      <alignment horizontal="left" vertical="center" wrapText="1"/>
    </xf>
    <xf numFmtId="0" fontId="14" fillId="20" borderId="22" xfId="0" applyFont="1" applyFill="1" applyBorder="1"/>
    <xf numFmtId="0" fontId="0" fillId="20" borderId="22" xfId="0" applyFill="1" applyBorder="1"/>
    <xf numFmtId="0" fontId="15" fillId="21" borderId="18" xfId="0" applyFont="1" applyFill="1" applyBorder="1" applyAlignment="1">
      <alignment horizontal="center" vertical="center"/>
    </xf>
    <xf numFmtId="0" fontId="12" fillId="20" borderId="18" xfId="0" applyFont="1" applyFill="1" applyBorder="1" applyAlignment="1">
      <alignment horizontal="right" vertical="center"/>
    </xf>
    <xf numFmtId="0" fontId="10" fillId="12" borderId="0" xfId="0" applyFont="1" applyFill="1" applyAlignment="1">
      <alignment horizontal="center" vertical="center"/>
    </xf>
    <xf numFmtId="0" fontId="12" fillId="20" borderId="22" xfId="0" applyFont="1" applyFill="1" applyBorder="1" applyAlignment="1">
      <alignment horizontal="right" vertical="center"/>
    </xf>
    <xf numFmtId="0" fontId="5" fillId="9"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ables/table1.xml><?xml version="1.0" encoding="utf-8"?>
<table xmlns="http://schemas.openxmlformats.org/spreadsheetml/2006/main" id="1" name="tbl_RatesMaster" displayName="tbl_RatesMaster" ref="A1:E2142">
  <autoFilter ref="A1:E2142"/>
  <tableColumns count="5">
    <tableColumn id="1" name="Code"/>
    <tableColumn id="2" name="Category"/>
    <tableColumn id="3" name="Description / Specification"/>
    <tableColumn id="4" name="Unit"/>
    <tableColumn id="5" name="Basic Rate (Rs)"/>
  </tableColumns>
  <tableStyleInfo name="TableStyleLight1" showFirstColumn="0" showLastColumn="0" showRowStripes="1" showColumnStripes="0"/>
</table>
</file>

<file path=xl/tables/table2.xml><?xml version="1.0" encoding="utf-8"?>
<table xmlns="http://schemas.openxmlformats.org/spreadsheetml/2006/main" id="2" name="tbl_ProductivityDetail" displayName="tbl_ProductivityDetail" ref="A182:L3206">
  <autoFilter ref="A182:L3206"/>
  <tableColumns count="12">
    <tableColumn id="1" name="Work Type"/>
    <tableColumn id="2" name="Trade Group"/>
    <tableColumn id="3" name="Sub-Head"/>
    <tableColumn id="4" name="DAR Item No"/>
    <tableColumn id="5" name="Item Nomenclature"/>
    <tableColumn id="6" name="Output Basis"/>
    <tableColumn id="7" name="Resource Type"/>
    <tableColumn id="8" name="Code"/>
    <tableColumn id="9" name="Resource Description"/>
    <tableColumn id="10" name="Unit"/>
    <tableColumn id="11" name="Day Coeff / Qty"/>
    <tableColumn id="12" name="Basic Rate (Rs)"/>
  </tableColumns>
  <tableStyleInfo name="TableStyleLight1" showFirstColumn="0" showLastColumn="0" showRowStripes="1" showColumnStripes="0"/>
</table>
</file>

<file path=xl/tables/table3.xml><?xml version="1.0" encoding="utf-8"?>
<table xmlns="http://schemas.openxmlformats.org/spreadsheetml/2006/main" id="3" name="tbl_SundriesRef" displayName="tbl_SundriesRef" ref="A1:H1218">
  <autoFilter ref="A1:H1218"/>
  <tableColumns count="8">
    <tableColumn id="1" name="Sub-Head"/>
    <tableColumn id="2" name="DAR Item No"/>
    <tableColumn id="3" name="Item Nomenclature"/>
    <tableColumn id="4" name="Output Basis"/>
    <tableColumn id="5" name="Sundries Description"/>
    <tableColumn id="6" name="Base L.S. Quantity"/>
    <tableColumn id="7" name="Index Multiplier"/>
    <tableColumn id="8" name="Total Amount (R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showGridLines="0" workbookViewId="0">
      <selection sqref="A1:I1"/>
    </sheetView>
  </sheetViews>
  <sheetFormatPr defaultRowHeight="14.4" x14ac:dyDescent="0.3"/>
  <cols>
    <col min="1" max="1" width="18" style="151" customWidth="1"/>
    <col min="2" max="2" width="16" style="151" customWidth="1"/>
    <col min="3" max="3" width="46" style="151" customWidth="1"/>
    <col min="4" max="4" width="14" style="151" customWidth="1"/>
    <col min="5" max="6" width="16" style="151" customWidth="1"/>
    <col min="7" max="7" width="18" style="151" customWidth="1"/>
    <col min="8" max="8" width="42" style="151" customWidth="1"/>
    <col min="9" max="9" width="14" style="151" customWidth="1"/>
  </cols>
  <sheetData>
    <row r="1" spans="1:9" ht="40.049999999999997" customHeight="1" x14ac:dyDescent="0.3">
      <c r="A1" s="227" t="s">
        <v>0</v>
      </c>
      <c r="B1" s="228"/>
      <c r="C1" s="228"/>
      <c r="D1" s="228"/>
      <c r="E1" s="228"/>
      <c r="F1" s="228"/>
      <c r="G1" s="228"/>
      <c r="H1" s="228"/>
      <c r="I1" s="228"/>
    </row>
    <row r="3" spans="1:9" ht="55.05" customHeight="1" x14ac:dyDescent="0.3">
      <c r="A3" s="229" t="s">
        <v>1</v>
      </c>
      <c r="B3" s="230"/>
      <c r="C3" s="230"/>
      <c r="D3" s="230"/>
      <c r="E3" s="230"/>
      <c r="F3" s="230"/>
      <c r="G3" s="230"/>
      <c r="H3" s="230"/>
      <c r="I3" s="231"/>
    </row>
    <row r="4" spans="1:9" x14ac:dyDescent="0.3">
      <c r="A4" s="232"/>
      <c r="B4" s="228"/>
      <c r="C4" s="228"/>
      <c r="D4" s="228"/>
      <c r="E4" s="228"/>
      <c r="F4" s="228"/>
      <c r="G4" s="228"/>
      <c r="H4" s="228"/>
      <c r="I4" s="233"/>
    </row>
    <row r="5" spans="1:9" x14ac:dyDescent="0.3">
      <c r="A5" s="234"/>
      <c r="B5" s="235"/>
      <c r="C5" s="235"/>
      <c r="D5" s="235"/>
      <c r="E5" s="235"/>
      <c r="F5" s="235"/>
      <c r="G5" s="235"/>
      <c r="H5" s="235"/>
      <c r="I5" s="236"/>
    </row>
    <row r="7" spans="1:9" ht="319.95" customHeight="1" x14ac:dyDescent="0.3">
      <c r="A7" s="237" t="s">
        <v>2</v>
      </c>
      <c r="B7" s="230"/>
      <c r="C7" s="230"/>
      <c r="D7" s="230"/>
      <c r="E7" s="230"/>
      <c r="F7" s="230"/>
      <c r="G7" s="230"/>
      <c r="H7" s="230"/>
      <c r="I7" s="231"/>
    </row>
    <row r="8" spans="1:9" x14ac:dyDescent="0.3">
      <c r="A8" s="232"/>
      <c r="B8" s="228"/>
      <c r="C8" s="228"/>
      <c r="D8" s="228"/>
      <c r="E8" s="228"/>
      <c r="F8" s="228"/>
      <c r="G8" s="228"/>
      <c r="H8" s="228"/>
      <c r="I8" s="233"/>
    </row>
    <row r="9" spans="1:9" x14ac:dyDescent="0.3">
      <c r="A9" s="232"/>
      <c r="B9" s="228"/>
      <c r="C9" s="228"/>
      <c r="D9" s="228"/>
      <c r="E9" s="228"/>
      <c r="F9" s="228"/>
      <c r="G9" s="228"/>
      <c r="H9" s="228"/>
      <c r="I9" s="233"/>
    </row>
    <row r="10" spans="1:9" x14ac:dyDescent="0.3">
      <c r="A10" s="232"/>
      <c r="B10" s="228"/>
      <c r="C10" s="228"/>
      <c r="D10" s="228"/>
      <c r="E10" s="228"/>
      <c r="F10" s="228"/>
      <c r="G10" s="228"/>
      <c r="H10" s="228"/>
      <c r="I10" s="233"/>
    </row>
    <row r="11" spans="1:9" x14ac:dyDescent="0.3">
      <c r="A11" s="232"/>
      <c r="B11" s="228"/>
      <c r="C11" s="228"/>
      <c r="D11" s="228"/>
      <c r="E11" s="228"/>
      <c r="F11" s="228"/>
      <c r="G11" s="228"/>
      <c r="H11" s="228"/>
      <c r="I11" s="233"/>
    </row>
    <row r="12" spans="1:9" x14ac:dyDescent="0.3">
      <c r="A12" s="232"/>
      <c r="B12" s="228"/>
      <c r="C12" s="228"/>
      <c r="D12" s="228"/>
      <c r="E12" s="228"/>
      <c r="F12" s="228"/>
      <c r="G12" s="228"/>
      <c r="H12" s="228"/>
      <c r="I12" s="233"/>
    </row>
    <row r="13" spans="1:9" x14ac:dyDescent="0.3">
      <c r="A13" s="232"/>
      <c r="B13" s="228"/>
      <c r="C13" s="228"/>
      <c r="D13" s="228"/>
      <c r="E13" s="228"/>
      <c r="F13" s="228"/>
      <c r="G13" s="228"/>
      <c r="H13" s="228"/>
      <c r="I13" s="233"/>
    </row>
    <row r="14" spans="1:9" x14ac:dyDescent="0.3">
      <c r="A14" s="232"/>
      <c r="B14" s="228"/>
      <c r="C14" s="228"/>
      <c r="D14" s="228"/>
      <c r="E14" s="228"/>
      <c r="F14" s="228"/>
      <c r="G14" s="228"/>
      <c r="H14" s="228"/>
      <c r="I14" s="233"/>
    </row>
    <row r="15" spans="1:9" x14ac:dyDescent="0.3">
      <c r="A15" s="232"/>
      <c r="B15" s="228"/>
      <c r="C15" s="228"/>
      <c r="D15" s="228"/>
      <c r="E15" s="228"/>
      <c r="F15" s="228"/>
      <c r="G15" s="228"/>
      <c r="H15" s="228"/>
      <c r="I15" s="233"/>
    </row>
    <row r="16" spans="1:9" x14ac:dyDescent="0.3">
      <c r="A16" s="234"/>
      <c r="B16" s="235"/>
      <c r="C16" s="235"/>
      <c r="D16" s="235"/>
      <c r="E16" s="235"/>
      <c r="F16" s="235"/>
      <c r="G16" s="235"/>
      <c r="H16" s="235"/>
      <c r="I16" s="236"/>
    </row>
  </sheetData>
  <mergeCells count="3">
    <mergeCell ref="A1:I1"/>
    <mergeCell ref="A3:I5"/>
    <mergeCell ref="A7:I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42"/>
  <sheetViews>
    <sheetView workbookViewId="0">
      <pane ySplit="1" topLeftCell="A2" activePane="bottomLeft" state="frozen"/>
      <selection pane="bottomLeft"/>
    </sheetView>
  </sheetViews>
  <sheetFormatPr defaultRowHeight="14.4" x14ac:dyDescent="0.3"/>
  <cols>
    <col min="1" max="1" width="12" style="151" customWidth="1"/>
    <col min="2" max="2" width="34" style="151" customWidth="1"/>
    <col min="3" max="3" width="65" style="151" customWidth="1"/>
    <col min="4" max="4" width="16" style="151" customWidth="1"/>
    <col min="5" max="5" width="18" style="151" customWidth="1"/>
  </cols>
  <sheetData>
    <row r="1" spans="1:5" ht="28.05" customHeight="1" x14ac:dyDescent="0.3">
      <c r="A1" s="153" t="s">
        <v>3</v>
      </c>
      <c r="B1" s="153" t="s">
        <v>4</v>
      </c>
      <c r="C1" s="153" t="s">
        <v>5</v>
      </c>
      <c r="D1" s="153" t="s">
        <v>6</v>
      </c>
      <c r="E1" s="153" t="s">
        <v>7</v>
      </c>
    </row>
    <row r="2" spans="1:5" ht="19.95" customHeight="1" x14ac:dyDescent="0.3">
      <c r="A2" s="1" t="s">
        <v>8</v>
      </c>
      <c r="B2" s="2" t="s">
        <v>9</v>
      </c>
      <c r="C2" s="2" t="s">
        <v>10</v>
      </c>
      <c r="D2" s="3" t="s">
        <v>11</v>
      </c>
      <c r="E2" s="4">
        <v>800</v>
      </c>
    </row>
    <row r="3" spans="1:5" ht="19.95" customHeight="1" x14ac:dyDescent="0.3">
      <c r="A3" s="5" t="s">
        <v>12</v>
      </c>
      <c r="B3" s="6" t="s">
        <v>9</v>
      </c>
      <c r="C3" s="6" t="s">
        <v>13</v>
      </c>
      <c r="D3" s="7" t="s">
        <v>11</v>
      </c>
      <c r="E3" s="8">
        <v>800</v>
      </c>
    </row>
    <row r="4" spans="1:5" ht="19.95" customHeight="1" x14ac:dyDescent="0.3">
      <c r="A4" s="1" t="s">
        <v>14</v>
      </c>
      <c r="B4" s="2" t="s">
        <v>9</v>
      </c>
      <c r="C4" s="2" t="s">
        <v>15</v>
      </c>
      <c r="D4" s="3" t="s">
        <v>11</v>
      </c>
      <c r="E4" s="4">
        <v>3000</v>
      </c>
    </row>
    <row r="5" spans="1:5" ht="19.95" customHeight="1" x14ac:dyDescent="0.3">
      <c r="A5" s="5" t="s">
        <v>16</v>
      </c>
      <c r="B5" s="6" t="s">
        <v>9</v>
      </c>
      <c r="C5" s="6" t="s">
        <v>17</v>
      </c>
      <c r="D5" s="7" t="s">
        <v>18</v>
      </c>
      <c r="E5" s="8">
        <v>350</v>
      </c>
    </row>
    <row r="6" spans="1:5" ht="19.95" customHeight="1" x14ac:dyDescent="0.3">
      <c r="A6" s="1" t="s">
        <v>19</v>
      </c>
      <c r="B6" s="2" t="s">
        <v>9</v>
      </c>
      <c r="C6" s="2" t="s">
        <v>20</v>
      </c>
      <c r="D6" s="3" t="s">
        <v>11</v>
      </c>
      <c r="E6" s="4">
        <v>2000</v>
      </c>
    </row>
    <row r="7" spans="1:5" ht="19.95" customHeight="1" x14ac:dyDescent="0.3">
      <c r="A7" s="5" t="s">
        <v>21</v>
      </c>
      <c r="B7" s="6" t="s">
        <v>9</v>
      </c>
      <c r="C7" s="6" t="s">
        <v>22</v>
      </c>
      <c r="D7" s="7" t="s">
        <v>11</v>
      </c>
      <c r="E7" s="8">
        <v>250</v>
      </c>
    </row>
    <row r="8" spans="1:5" ht="19.95" customHeight="1" x14ac:dyDescent="0.3">
      <c r="A8" s="1" t="s">
        <v>23</v>
      </c>
      <c r="B8" s="2" t="s">
        <v>9</v>
      </c>
      <c r="C8" s="2" t="s">
        <v>24</v>
      </c>
      <c r="D8" s="3" t="s">
        <v>11</v>
      </c>
      <c r="E8" s="4">
        <v>300</v>
      </c>
    </row>
    <row r="9" spans="1:5" ht="19.95" customHeight="1" x14ac:dyDescent="0.3">
      <c r="A9" s="5" t="s">
        <v>25</v>
      </c>
      <c r="B9" s="6" t="s">
        <v>9</v>
      </c>
      <c r="C9" s="6" t="s">
        <v>26</v>
      </c>
      <c r="D9" s="7" t="s">
        <v>11</v>
      </c>
      <c r="E9" s="8">
        <v>7700</v>
      </c>
    </row>
    <row r="10" spans="1:5" ht="19.95" customHeight="1" x14ac:dyDescent="0.3">
      <c r="A10" s="1" t="s">
        <v>27</v>
      </c>
      <c r="B10" s="2" t="s">
        <v>9</v>
      </c>
      <c r="C10" s="2" t="s">
        <v>28</v>
      </c>
      <c r="D10" s="3" t="s">
        <v>18</v>
      </c>
      <c r="E10" s="4">
        <v>210</v>
      </c>
    </row>
    <row r="11" spans="1:5" ht="19.95" customHeight="1" x14ac:dyDescent="0.3">
      <c r="A11" s="5" t="s">
        <v>29</v>
      </c>
      <c r="B11" s="6" t="s">
        <v>9</v>
      </c>
      <c r="C11" s="6" t="s">
        <v>30</v>
      </c>
      <c r="D11" s="7" t="s">
        <v>11</v>
      </c>
      <c r="E11" s="8">
        <v>750</v>
      </c>
    </row>
    <row r="12" spans="1:5" ht="19.95" customHeight="1" x14ac:dyDescent="0.3">
      <c r="A12" s="1" t="s">
        <v>31</v>
      </c>
      <c r="B12" s="2" t="s">
        <v>9</v>
      </c>
      <c r="C12" s="2" t="s">
        <v>32</v>
      </c>
      <c r="D12" s="3" t="s">
        <v>11</v>
      </c>
      <c r="E12" s="4">
        <v>700</v>
      </c>
    </row>
    <row r="13" spans="1:5" ht="19.95" customHeight="1" x14ac:dyDescent="0.3">
      <c r="A13" s="5" t="s">
        <v>33</v>
      </c>
      <c r="B13" s="6" t="s">
        <v>9</v>
      </c>
      <c r="C13" s="6" t="s">
        <v>34</v>
      </c>
      <c r="D13" s="7" t="s">
        <v>11</v>
      </c>
      <c r="E13" s="8">
        <v>370</v>
      </c>
    </row>
    <row r="14" spans="1:5" ht="19.95" customHeight="1" x14ac:dyDescent="0.3">
      <c r="A14" s="1" t="s">
        <v>35</v>
      </c>
      <c r="B14" s="2" t="s">
        <v>9</v>
      </c>
      <c r="C14" s="2" t="s">
        <v>36</v>
      </c>
      <c r="D14" s="3" t="s">
        <v>11</v>
      </c>
      <c r="E14" s="4">
        <v>300</v>
      </c>
    </row>
    <row r="15" spans="1:5" ht="19.95" customHeight="1" x14ac:dyDescent="0.3">
      <c r="A15" s="5" t="s">
        <v>37</v>
      </c>
      <c r="B15" s="6" t="s">
        <v>9</v>
      </c>
      <c r="C15" s="6" t="s">
        <v>38</v>
      </c>
      <c r="D15" s="7" t="s">
        <v>11</v>
      </c>
      <c r="E15" s="8">
        <v>6000</v>
      </c>
    </row>
    <row r="16" spans="1:5" ht="19.95" customHeight="1" x14ac:dyDescent="0.3">
      <c r="A16" s="1" t="s">
        <v>39</v>
      </c>
      <c r="B16" s="2" t="s">
        <v>9</v>
      </c>
      <c r="C16" s="2" t="s">
        <v>40</v>
      </c>
      <c r="D16" s="3" t="s">
        <v>11</v>
      </c>
      <c r="E16" s="4">
        <v>1900</v>
      </c>
    </row>
    <row r="17" spans="1:5" ht="19.95" customHeight="1" x14ac:dyDescent="0.3">
      <c r="A17" s="5" t="s">
        <v>41</v>
      </c>
      <c r="B17" s="6" t="s">
        <v>9</v>
      </c>
      <c r="C17" s="6" t="s">
        <v>42</v>
      </c>
      <c r="D17" s="7" t="s">
        <v>11</v>
      </c>
      <c r="E17" s="8">
        <v>750</v>
      </c>
    </row>
    <row r="18" spans="1:5" ht="19.95" customHeight="1" x14ac:dyDescent="0.3">
      <c r="A18" s="1" t="s">
        <v>43</v>
      </c>
      <c r="B18" s="2" t="s">
        <v>9</v>
      </c>
      <c r="C18" s="2" t="s">
        <v>44</v>
      </c>
      <c r="D18" s="3" t="s">
        <v>11</v>
      </c>
      <c r="E18" s="4">
        <v>1700</v>
      </c>
    </row>
    <row r="19" spans="1:5" ht="19.95" customHeight="1" x14ac:dyDescent="0.3">
      <c r="A19" s="5" t="s">
        <v>45</v>
      </c>
      <c r="B19" s="6" t="s">
        <v>9</v>
      </c>
      <c r="C19" s="6" t="s">
        <v>46</v>
      </c>
      <c r="D19" s="7" t="s">
        <v>11</v>
      </c>
      <c r="E19" s="8">
        <v>5000</v>
      </c>
    </row>
    <row r="20" spans="1:5" ht="19.95" customHeight="1" x14ac:dyDescent="0.3">
      <c r="A20" s="1" t="s">
        <v>47</v>
      </c>
      <c r="B20" s="2" t="s">
        <v>9</v>
      </c>
      <c r="C20" s="2" t="s">
        <v>48</v>
      </c>
      <c r="D20" s="3" t="s">
        <v>11</v>
      </c>
      <c r="E20" s="4">
        <v>250</v>
      </c>
    </row>
    <row r="21" spans="1:5" ht="19.95" customHeight="1" x14ac:dyDescent="0.3">
      <c r="A21" s="5" t="s">
        <v>49</v>
      </c>
      <c r="B21" s="6" t="s">
        <v>9</v>
      </c>
      <c r="C21" s="6" t="s">
        <v>50</v>
      </c>
      <c r="D21" s="7" t="s">
        <v>11</v>
      </c>
      <c r="E21" s="8">
        <v>7000</v>
      </c>
    </row>
    <row r="22" spans="1:5" ht="19.95" customHeight="1" x14ac:dyDescent="0.3">
      <c r="A22" s="1" t="s">
        <v>51</v>
      </c>
      <c r="B22" s="2" t="s">
        <v>9</v>
      </c>
      <c r="C22" s="2" t="s">
        <v>52</v>
      </c>
      <c r="D22" s="3" t="s">
        <v>11</v>
      </c>
      <c r="E22" s="4">
        <v>325</v>
      </c>
    </row>
    <row r="23" spans="1:5" ht="19.95" customHeight="1" x14ac:dyDescent="0.3">
      <c r="A23" s="5" t="s">
        <v>53</v>
      </c>
      <c r="B23" s="6" t="s">
        <v>9</v>
      </c>
      <c r="C23" s="6" t="s">
        <v>54</v>
      </c>
      <c r="D23" s="7" t="s">
        <v>11</v>
      </c>
      <c r="E23" s="8">
        <v>400</v>
      </c>
    </row>
    <row r="24" spans="1:5" ht="19.95" customHeight="1" x14ac:dyDescent="0.3">
      <c r="A24" s="1" t="s">
        <v>55</v>
      </c>
      <c r="B24" s="2" t="s">
        <v>9</v>
      </c>
      <c r="C24" s="2" t="s">
        <v>56</v>
      </c>
      <c r="D24" s="3" t="s">
        <v>11</v>
      </c>
      <c r="E24" s="4">
        <v>3500</v>
      </c>
    </row>
    <row r="25" spans="1:5" ht="19.95" customHeight="1" x14ac:dyDescent="0.3">
      <c r="A25" s="5" t="s">
        <v>57</v>
      </c>
      <c r="B25" s="6" t="s">
        <v>9</v>
      </c>
      <c r="C25" s="6" t="s">
        <v>58</v>
      </c>
      <c r="D25" s="7" t="s">
        <v>11</v>
      </c>
      <c r="E25" s="8">
        <v>30000</v>
      </c>
    </row>
    <row r="26" spans="1:5" ht="19.95" customHeight="1" x14ac:dyDescent="0.3">
      <c r="A26" s="1" t="s">
        <v>59</v>
      </c>
      <c r="B26" s="2" t="s">
        <v>9</v>
      </c>
      <c r="C26" s="2" t="s">
        <v>60</v>
      </c>
      <c r="D26" s="3" t="s">
        <v>11</v>
      </c>
      <c r="E26" s="4">
        <v>3000</v>
      </c>
    </row>
    <row r="27" spans="1:5" ht="19.95" customHeight="1" x14ac:dyDescent="0.3">
      <c r="A27" s="5" t="s">
        <v>61</v>
      </c>
      <c r="B27" s="6" t="s">
        <v>9</v>
      </c>
      <c r="C27" s="6" t="s">
        <v>62</v>
      </c>
      <c r="D27" s="7" t="s">
        <v>11</v>
      </c>
      <c r="E27" s="8">
        <v>3500</v>
      </c>
    </row>
    <row r="28" spans="1:5" ht="19.95" customHeight="1" x14ac:dyDescent="0.3">
      <c r="A28" s="1" t="s">
        <v>63</v>
      </c>
      <c r="B28" s="2" t="s">
        <v>9</v>
      </c>
      <c r="C28" s="2" t="s">
        <v>64</v>
      </c>
      <c r="D28" s="3" t="s">
        <v>11</v>
      </c>
      <c r="E28" s="4">
        <v>30000</v>
      </c>
    </row>
    <row r="29" spans="1:5" ht="19.95" customHeight="1" x14ac:dyDescent="0.3">
      <c r="A29" s="5" t="s">
        <v>65</v>
      </c>
      <c r="B29" s="6" t="s">
        <v>9</v>
      </c>
      <c r="C29" s="6" t="s">
        <v>66</v>
      </c>
      <c r="D29" s="7" t="s">
        <v>11</v>
      </c>
      <c r="E29" s="8">
        <v>7000</v>
      </c>
    </row>
    <row r="30" spans="1:5" ht="19.95" customHeight="1" x14ac:dyDescent="0.3">
      <c r="A30" s="1" t="s">
        <v>67</v>
      </c>
      <c r="B30" s="2" t="s">
        <v>9</v>
      </c>
      <c r="C30" s="2" t="s">
        <v>68</v>
      </c>
      <c r="D30" s="3" t="s">
        <v>69</v>
      </c>
      <c r="E30" s="4">
        <v>30</v>
      </c>
    </row>
    <row r="31" spans="1:5" ht="19.95" customHeight="1" x14ac:dyDescent="0.3">
      <c r="A31" s="5" t="s">
        <v>70</v>
      </c>
      <c r="B31" s="6" t="s">
        <v>9</v>
      </c>
      <c r="C31" s="6" t="s">
        <v>71</v>
      </c>
      <c r="D31" s="7" t="s">
        <v>11</v>
      </c>
      <c r="E31" s="8">
        <v>2500</v>
      </c>
    </row>
    <row r="32" spans="1:5" ht="19.95" customHeight="1" x14ac:dyDescent="0.3">
      <c r="A32" s="1" t="s">
        <v>72</v>
      </c>
      <c r="B32" s="2" t="s">
        <v>9</v>
      </c>
      <c r="C32" s="2" t="s">
        <v>73</v>
      </c>
      <c r="D32" s="3" t="s">
        <v>18</v>
      </c>
      <c r="E32" s="4">
        <v>500</v>
      </c>
    </row>
    <row r="33" spans="1:5" ht="19.95" customHeight="1" x14ac:dyDescent="0.3">
      <c r="A33" s="5" t="s">
        <v>74</v>
      </c>
      <c r="B33" s="6" t="s">
        <v>9</v>
      </c>
      <c r="C33" s="6" t="s">
        <v>75</v>
      </c>
      <c r="D33" s="7" t="s">
        <v>11</v>
      </c>
      <c r="E33" s="8">
        <v>11500</v>
      </c>
    </row>
    <row r="34" spans="1:5" ht="19.95" customHeight="1" x14ac:dyDescent="0.3">
      <c r="A34" s="1" t="s">
        <v>76</v>
      </c>
      <c r="B34" s="2" t="s">
        <v>9</v>
      </c>
      <c r="C34" s="2" t="s">
        <v>77</v>
      </c>
      <c r="D34" s="3" t="s">
        <v>11</v>
      </c>
      <c r="E34" s="4">
        <v>750</v>
      </c>
    </row>
    <row r="35" spans="1:5" ht="19.95" customHeight="1" x14ac:dyDescent="0.3">
      <c r="A35" s="5" t="s">
        <v>78</v>
      </c>
      <c r="B35" s="6" t="s">
        <v>9</v>
      </c>
      <c r="C35" s="6" t="s">
        <v>79</v>
      </c>
      <c r="D35" s="7" t="s">
        <v>11</v>
      </c>
      <c r="E35" s="8">
        <v>1350</v>
      </c>
    </row>
    <row r="36" spans="1:5" ht="19.95" customHeight="1" x14ac:dyDescent="0.3">
      <c r="A36" s="1" t="s">
        <v>80</v>
      </c>
      <c r="B36" s="2" t="s">
        <v>9</v>
      </c>
      <c r="C36" s="2" t="s">
        <v>81</v>
      </c>
      <c r="D36" s="3" t="s">
        <v>11</v>
      </c>
      <c r="E36" s="4">
        <v>3500</v>
      </c>
    </row>
    <row r="37" spans="1:5" ht="19.95" customHeight="1" x14ac:dyDescent="0.3">
      <c r="A37" s="5" t="s">
        <v>82</v>
      </c>
      <c r="B37" s="6" t="s">
        <v>9</v>
      </c>
      <c r="C37" s="6" t="s">
        <v>83</v>
      </c>
      <c r="D37" s="7" t="s">
        <v>11</v>
      </c>
      <c r="E37" s="8">
        <v>3000</v>
      </c>
    </row>
    <row r="38" spans="1:5" ht="19.95" customHeight="1" x14ac:dyDescent="0.3">
      <c r="A38" s="1" t="s">
        <v>84</v>
      </c>
      <c r="B38" s="2" t="s">
        <v>9</v>
      </c>
      <c r="C38" s="2" t="s">
        <v>85</v>
      </c>
      <c r="D38" s="3" t="s">
        <v>11</v>
      </c>
      <c r="E38" s="4">
        <v>7500</v>
      </c>
    </row>
    <row r="39" spans="1:5" ht="19.95" customHeight="1" x14ac:dyDescent="0.3">
      <c r="A39" s="5" t="s">
        <v>86</v>
      </c>
      <c r="B39" s="6" t="s">
        <v>9</v>
      </c>
      <c r="C39" s="6" t="s">
        <v>87</v>
      </c>
      <c r="D39" s="7" t="s">
        <v>11</v>
      </c>
      <c r="E39" s="8">
        <v>1200</v>
      </c>
    </row>
    <row r="40" spans="1:5" ht="19.95" customHeight="1" x14ac:dyDescent="0.3">
      <c r="A40" s="1" t="s">
        <v>88</v>
      </c>
      <c r="B40" s="2" t="s">
        <v>9</v>
      </c>
      <c r="C40" s="2" t="s">
        <v>89</v>
      </c>
      <c r="D40" s="3" t="s">
        <v>11</v>
      </c>
      <c r="E40" s="4">
        <v>1350</v>
      </c>
    </row>
    <row r="41" spans="1:5" ht="19.95" customHeight="1" x14ac:dyDescent="0.3">
      <c r="A41" s="5" t="s">
        <v>90</v>
      </c>
      <c r="B41" s="6" t="s">
        <v>9</v>
      </c>
      <c r="C41" s="6" t="s">
        <v>91</v>
      </c>
      <c r="D41" s="7" t="s">
        <v>11</v>
      </c>
      <c r="E41" s="8">
        <v>1600</v>
      </c>
    </row>
    <row r="42" spans="1:5" ht="19.95" customHeight="1" x14ac:dyDescent="0.3">
      <c r="A42" s="1" t="s">
        <v>92</v>
      </c>
      <c r="B42" s="2" t="s">
        <v>9</v>
      </c>
      <c r="C42" s="2" t="s">
        <v>93</v>
      </c>
      <c r="D42" s="3" t="s">
        <v>11</v>
      </c>
      <c r="E42" s="4">
        <v>800</v>
      </c>
    </row>
    <row r="43" spans="1:5" ht="19.95" customHeight="1" x14ac:dyDescent="0.3">
      <c r="A43" s="5" t="s">
        <v>94</v>
      </c>
      <c r="B43" s="6" t="s">
        <v>9</v>
      </c>
      <c r="C43" s="6" t="s">
        <v>95</v>
      </c>
      <c r="D43" s="7" t="s">
        <v>11</v>
      </c>
      <c r="E43" s="8">
        <v>10000</v>
      </c>
    </row>
    <row r="44" spans="1:5" ht="19.95" customHeight="1" x14ac:dyDescent="0.3">
      <c r="A44" s="1" t="s">
        <v>96</v>
      </c>
      <c r="B44" s="2" t="s">
        <v>9</v>
      </c>
      <c r="C44" s="2" t="s">
        <v>97</v>
      </c>
      <c r="D44" s="3" t="s">
        <v>11</v>
      </c>
      <c r="E44" s="4">
        <v>550</v>
      </c>
    </row>
    <row r="45" spans="1:5" ht="19.95" customHeight="1" x14ac:dyDescent="0.3">
      <c r="A45" s="5" t="s">
        <v>98</v>
      </c>
      <c r="B45" s="6" t="s">
        <v>9</v>
      </c>
      <c r="C45" s="6" t="s">
        <v>99</v>
      </c>
      <c r="D45" s="7" t="s">
        <v>11</v>
      </c>
      <c r="E45" s="8">
        <v>8000</v>
      </c>
    </row>
    <row r="46" spans="1:5" ht="19.95" customHeight="1" x14ac:dyDescent="0.3">
      <c r="A46" s="1" t="s">
        <v>100</v>
      </c>
      <c r="B46" s="2" t="s">
        <v>9</v>
      </c>
      <c r="C46" s="2" t="s">
        <v>101</v>
      </c>
      <c r="D46" s="3" t="s">
        <v>11</v>
      </c>
      <c r="E46" s="4">
        <v>13000</v>
      </c>
    </row>
    <row r="47" spans="1:5" ht="19.95" customHeight="1" x14ac:dyDescent="0.3">
      <c r="A47" s="5" t="s">
        <v>102</v>
      </c>
      <c r="B47" s="6" t="s">
        <v>9</v>
      </c>
      <c r="C47" s="6" t="s">
        <v>103</v>
      </c>
      <c r="D47" s="7" t="s">
        <v>11</v>
      </c>
      <c r="E47" s="8">
        <v>1200</v>
      </c>
    </row>
    <row r="48" spans="1:5" ht="19.95" customHeight="1" x14ac:dyDescent="0.3">
      <c r="A48" s="1" t="s">
        <v>104</v>
      </c>
      <c r="B48" s="2" t="s">
        <v>9</v>
      </c>
      <c r="C48" s="2" t="s">
        <v>105</v>
      </c>
      <c r="D48" s="3" t="s">
        <v>11</v>
      </c>
      <c r="E48" s="4">
        <v>900</v>
      </c>
    </row>
    <row r="49" spans="1:5" ht="19.95" customHeight="1" x14ac:dyDescent="0.3">
      <c r="A49" s="5" t="s">
        <v>106</v>
      </c>
      <c r="B49" s="6" t="s">
        <v>9</v>
      </c>
      <c r="C49" s="6" t="s">
        <v>107</v>
      </c>
      <c r="D49" s="7" t="s">
        <v>11</v>
      </c>
      <c r="E49" s="8">
        <v>925</v>
      </c>
    </row>
    <row r="50" spans="1:5" ht="19.95" customHeight="1" x14ac:dyDescent="0.3">
      <c r="A50" s="1" t="s">
        <v>108</v>
      </c>
      <c r="B50" s="2" t="s">
        <v>9</v>
      </c>
      <c r="C50" s="2" t="s">
        <v>109</v>
      </c>
      <c r="D50" s="3" t="s">
        <v>110</v>
      </c>
      <c r="E50" s="4">
        <v>1500</v>
      </c>
    </row>
    <row r="51" spans="1:5" ht="19.95" customHeight="1" x14ac:dyDescent="0.3">
      <c r="A51" s="5" t="s">
        <v>111</v>
      </c>
      <c r="B51" s="6" t="s">
        <v>9</v>
      </c>
      <c r="C51" s="6" t="s">
        <v>112</v>
      </c>
      <c r="D51" s="7" t="s">
        <v>110</v>
      </c>
      <c r="E51" s="8">
        <v>2450</v>
      </c>
    </row>
    <row r="52" spans="1:5" ht="19.95" customHeight="1" x14ac:dyDescent="0.3">
      <c r="A52" s="1" t="s">
        <v>113</v>
      </c>
      <c r="B52" s="2" t="s">
        <v>9</v>
      </c>
      <c r="C52" s="2" t="s">
        <v>114</v>
      </c>
      <c r="D52" s="3" t="s">
        <v>110</v>
      </c>
      <c r="E52" s="4">
        <v>1000</v>
      </c>
    </row>
    <row r="53" spans="1:5" ht="19.95" customHeight="1" x14ac:dyDescent="0.3">
      <c r="A53" s="5" t="s">
        <v>115</v>
      </c>
      <c r="B53" s="6" t="s">
        <v>9</v>
      </c>
      <c r="C53" s="6" t="s">
        <v>116</v>
      </c>
      <c r="D53" s="7" t="s">
        <v>110</v>
      </c>
      <c r="E53" s="8">
        <v>900</v>
      </c>
    </row>
    <row r="54" spans="1:5" ht="19.95" customHeight="1" x14ac:dyDescent="0.3">
      <c r="A54" s="1" t="s">
        <v>117</v>
      </c>
      <c r="B54" s="2" t="s">
        <v>9</v>
      </c>
      <c r="C54" s="2" t="s">
        <v>118</v>
      </c>
      <c r="D54" s="3" t="s">
        <v>119</v>
      </c>
      <c r="E54" s="4">
        <v>3</v>
      </c>
    </row>
    <row r="55" spans="1:5" ht="19.95" customHeight="1" x14ac:dyDescent="0.3">
      <c r="A55" s="5" t="s">
        <v>120</v>
      </c>
      <c r="B55" s="6" t="s">
        <v>9</v>
      </c>
      <c r="C55" s="6" t="s">
        <v>121</v>
      </c>
      <c r="D55" s="7" t="s">
        <v>110</v>
      </c>
      <c r="E55" s="8">
        <v>600</v>
      </c>
    </row>
    <row r="56" spans="1:5" ht="19.95" customHeight="1" x14ac:dyDescent="0.3">
      <c r="A56" s="1" t="s">
        <v>122</v>
      </c>
      <c r="B56" s="2" t="s">
        <v>9</v>
      </c>
      <c r="C56" s="2" t="s">
        <v>123</v>
      </c>
      <c r="D56" s="3" t="s">
        <v>110</v>
      </c>
      <c r="E56" s="4">
        <v>300</v>
      </c>
    </row>
    <row r="57" spans="1:5" ht="19.95" customHeight="1" x14ac:dyDescent="0.3">
      <c r="A57" s="5" t="s">
        <v>124</v>
      </c>
      <c r="B57" s="6" t="s">
        <v>9</v>
      </c>
      <c r="C57" s="6" t="s">
        <v>125</v>
      </c>
      <c r="D57" s="7" t="s">
        <v>110</v>
      </c>
      <c r="E57" s="8">
        <v>1200</v>
      </c>
    </row>
    <row r="58" spans="1:5" ht="19.95" customHeight="1" x14ac:dyDescent="0.3">
      <c r="A58" s="1" t="s">
        <v>126</v>
      </c>
      <c r="B58" s="2" t="s">
        <v>9</v>
      </c>
      <c r="C58" s="2" t="s">
        <v>127</v>
      </c>
      <c r="D58" s="3" t="s">
        <v>110</v>
      </c>
      <c r="E58" s="4">
        <v>150</v>
      </c>
    </row>
    <row r="59" spans="1:5" ht="19.95" customHeight="1" x14ac:dyDescent="0.3">
      <c r="A59" s="5" t="s">
        <v>128</v>
      </c>
      <c r="B59" s="6" t="s">
        <v>9</v>
      </c>
      <c r="C59" s="6" t="s">
        <v>129</v>
      </c>
      <c r="D59" s="7" t="s">
        <v>110</v>
      </c>
      <c r="E59" s="8">
        <v>200</v>
      </c>
    </row>
    <row r="60" spans="1:5" ht="19.95" customHeight="1" x14ac:dyDescent="0.3">
      <c r="A60" s="1" t="s">
        <v>130</v>
      </c>
      <c r="B60" s="2" t="s">
        <v>9</v>
      </c>
      <c r="C60" s="2" t="s">
        <v>131</v>
      </c>
      <c r="D60" s="3" t="s">
        <v>110</v>
      </c>
      <c r="E60" s="4">
        <v>800</v>
      </c>
    </row>
    <row r="61" spans="1:5" ht="19.95" customHeight="1" x14ac:dyDescent="0.3">
      <c r="A61" s="5" t="s">
        <v>132</v>
      </c>
      <c r="B61" s="6" t="s">
        <v>9</v>
      </c>
      <c r="C61" s="6" t="s">
        <v>133</v>
      </c>
      <c r="D61" s="7" t="s">
        <v>110</v>
      </c>
      <c r="E61" s="8">
        <v>360</v>
      </c>
    </row>
    <row r="62" spans="1:5" ht="19.95" customHeight="1" x14ac:dyDescent="0.3">
      <c r="A62" s="1" t="s">
        <v>134</v>
      </c>
      <c r="B62" s="2" t="s">
        <v>9</v>
      </c>
      <c r="C62" s="2" t="s">
        <v>135</v>
      </c>
      <c r="D62" s="3" t="s">
        <v>136</v>
      </c>
      <c r="E62" s="4">
        <v>800</v>
      </c>
    </row>
    <row r="63" spans="1:5" ht="19.95" customHeight="1" x14ac:dyDescent="0.3">
      <c r="A63" s="5" t="s">
        <v>137</v>
      </c>
      <c r="B63" s="6" t="s">
        <v>9</v>
      </c>
      <c r="C63" s="6" t="s">
        <v>138</v>
      </c>
      <c r="D63" s="7" t="s">
        <v>110</v>
      </c>
      <c r="E63" s="8">
        <v>15000</v>
      </c>
    </row>
    <row r="64" spans="1:5" ht="19.95" customHeight="1" x14ac:dyDescent="0.3">
      <c r="A64" s="1" t="s">
        <v>139</v>
      </c>
      <c r="B64" s="2" t="s">
        <v>9</v>
      </c>
      <c r="C64" s="2" t="s">
        <v>140</v>
      </c>
      <c r="D64" s="3" t="s">
        <v>110</v>
      </c>
      <c r="E64" s="4">
        <v>13000</v>
      </c>
    </row>
    <row r="65" spans="1:5" ht="19.95" customHeight="1" x14ac:dyDescent="0.3">
      <c r="A65" s="5" t="s">
        <v>141</v>
      </c>
      <c r="B65" s="6" t="s">
        <v>9</v>
      </c>
      <c r="C65" s="6" t="s">
        <v>142</v>
      </c>
      <c r="D65" s="7" t="s">
        <v>110</v>
      </c>
      <c r="E65" s="8">
        <v>1500</v>
      </c>
    </row>
    <row r="66" spans="1:5" ht="19.95" customHeight="1" x14ac:dyDescent="0.3">
      <c r="A66" s="1" t="s">
        <v>143</v>
      </c>
      <c r="B66" s="2" t="s">
        <v>9</v>
      </c>
      <c r="C66" s="2" t="s">
        <v>144</v>
      </c>
      <c r="D66" s="3" t="s">
        <v>110</v>
      </c>
      <c r="E66" s="4">
        <v>800</v>
      </c>
    </row>
    <row r="67" spans="1:5" ht="19.95" customHeight="1" x14ac:dyDescent="0.3">
      <c r="A67" s="5" t="s">
        <v>145</v>
      </c>
      <c r="B67" s="6" t="s">
        <v>9</v>
      </c>
      <c r="C67" s="6" t="s">
        <v>146</v>
      </c>
      <c r="D67" s="7" t="s">
        <v>110</v>
      </c>
      <c r="E67" s="8">
        <v>2400</v>
      </c>
    </row>
    <row r="68" spans="1:5" ht="19.95" customHeight="1" x14ac:dyDescent="0.3">
      <c r="A68" s="1" t="s">
        <v>147</v>
      </c>
      <c r="B68" s="2" t="s">
        <v>9</v>
      </c>
      <c r="C68" s="2" t="s">
        <v>148</v>
      </c>
      <c r="D68" s="3" t="s">
        <v>11</v>
      </c>
      <c r="E68" s="4">
        <v>15000</v>
      </c>
    </row>
    <row r="69" spans="1:5" ht="19.95" customHeight="1" x14ac:dyDescent="0.3">
      <c r="A69" s="5" t="s">
        <v>149</v>
      </c>
      <c r="B69" s="6" t="s">
        <v>9</v>
      </c>
      <c r="C69" s="6" t="s">
        <v>150</v>
      </c>
      <c r="D69" s="7" t="s">
        <v>110</v>
      </c>
      <c r="E69" s="8">
        <v>3000</v>
      </c>
    </row>
    <row r="70" spans="1:5" ht="19.95" customHeight="1" x14ac:dyDescent="0.3">
      <c r="A70" s="1" t="s">
        <v>151</v>
      </c>
      <c r="B70" s="2" t="s">
        <v>9</v>
      </c>
      <c r="C70" s="2" t="s">
        <v>71</v>
      </c>
      <c r="D70" s="3" t="s">
        <v>110</v>
      </c>
      <c r="E70" s="4">
        <v>350</v>
      </c>
    </row>
    <row r="71" spans="1:5" ht="19.95" customHeight="1" x14ac:dyDescent="0.3">
      <c r="A71" s="5" t="s">
        <v>152</v>
      </c>
      <c r="B71" s="6" t="s">
        <v>9</v>
      </c>
      <c r="C71" s="6" t="s">
        <v>153</v>
      </c>
      <c r="D71" s="7" t="s">
        <v>110</v>
      </c>
      <c r="E71" s="8">
        <v>250</v>
      </c>
    </row>
    <row r="72" spans="1:5" ht="19.95" customHeight="1" x14ac:dyDescent="0.3">
      <c r="A72" s="1" t="s">
        <v>154</v>
      </c>
      <c r="B72" s="2" t="s">
        <v>9</v>
      </c>
      <c r="C72" s="2" t="s">
        <v>155</v>
      </c>
      <c r="D72" s="3" t="s">
        <v>156</v>
      </c>
      <c r="E72" s="4">
        <v>3</v>
      </c>
    </row>
    <row r="73" spans="1:5" ht="19.95" customHeight="1" x14ac:dyDescent="0.3">
      <c r="A73" s="5" t="s">
        <v>157</v>
      </c>
      <c r="B73" s="6" t="s">
        <v>9</v>
      </c>
      <c r="C73" s="6" t="s">
        <v>158</v>
      </c>
      <c r="D73" s="7" t="s">
        <v>11</v>
      </c>
      <c r="E73" s="8">
        <v>8500</v>
      </c>
    </row>
    <row r="74" spans="1:5" ht="19.95" customHeight="1" x14ac:dyDescent="0.3">
      <c r="A74" s="1" t="s">
        <v>159</v>
      </c>
      <c r="B74" s="2" t="s">
        <v>9</v>
      </c>
      <c r="C74" s="2" t="s">
        <v>160</v>
      </c>
      <c r="D74" s="3" t="s">
        <v>110</v>
      </c>
      <c r="E74" s="4">
        <v>350</v>
      </c>
    </row>
    <row r="75" spans="1:5" ht="19.95" customHeight="1" x14ac:dyDescent="0.3">
      <c r="A75" s="5" t="s">
        <v>161</v>
      </c>
      <c r="B75" s="6" t="s">
        <v>9</v>
      </c>
      <c r="C75" s="6" t="s">
        <v>162</v>
      </c>
      <c r="D75" s="7" t="s">
        <v>110</v>
      </c>
      <c r="E75" s="8">
        <v>12000</v>
      </c>
    </row>
    <row r="76" spans="1:5" ht="19.95" customHeight="1" x14ac:dyDescent="0.3">
      <c r="A76" s="1" t="s">
        <v>163</v>
      </c>
      <c r="B76" s="2" t="s">
        <v>9</v>
      </c>
      <c r="C76" s="2" t="s">
        <v>164</v>
      </c>
      <c r="D76" s="3" t="s">
        <v>11</v>
      </c>
      <c r="E76" s="4">
        <v>7500</v>
      </c>
    </row>
    <row r="77" spans="1:5" ht="19.95" customHeight="1" x14ac:dyDescent="0.3">
      <c r="A77" s="5" t="s">
        <v>165</v>
      </c>
      <c r="B77" s="6" t="s">
        <v>9</v>
      </c>
      <c r="C77" s="6" t="s">
        <v>166</v>
      </c>
      <c r="D77" s="7" t="s">
        <v>11</v>
      </c>
      <c r="E77" s="8">
        <v>3000</v>
      </c>
    </row>
    <row r="78" spans="1:5" ht="19.95" customHeight="1" x14ac:dyDescent="0.3">
      <c r="A78" s="1" t="s">
        <v>167</v>
      </c>
      <c r="B78" s="2" t="s">
        <v>9</v>
      </c>
      <c r="C78" s="2" t="s">
        <v>168</v>
      </c>
      <c r="D78" s="3" t="s">
        <v>169</v>
      </c>
      <c r="E78" s="4">
        <v>1300</v>
      </c>
    </row>
    <row r="79" spans="1:5" ht="19.95" customHeight="1" x14ac:dyDescent="0.3">
      <c r="A79" s="5" t="s">
        <v>170</v>
      </c>
      <c r="B79" s="6" t="s">
        <v>9</v>
      </c>
      <c r="C79" s="6" t="s">
        <v>171</v>
      </c>
      <c r="D79" s="7" t="s">
        <v>11</v>
      </c>
      <c r="E79" s="8">
        <v>1200</v>
      </c>
    </row>
    <row r="80" spans="1:5" ht="19.95" customHeight="1" x14ac:dyDescent="0.3">
      <c r="A80" s="1" t="s">
        <v>172</v>
      </c>
      <c r="B80" s="2" t="s">
        <v>9</v>
      </c>
      <c r="C80" s="2" t="s">
        <v>173</v>
      </c>
      <c r="D80" s="3" t="s">
        <v>11</v>
      </c>
      <c r="E80" s="4">
        <v>1500</v>
      </c>
    </row>
    <row r="81" spans="1:5" ht="19.95" customHeight="1" x14ac:dyDescent="0.3">
      <c r="A81" s="5" t="s">
        <v>174</v>
      </c>
      <c r="B81" s="6" t="s">
        <v>9</v>
      </c>
      <c r="C81" s="6" t="s">
        <v>175</v>
      </c>
      <c r="D81" s="7" t="s">
        <v>176</v>
      </c>
      <c r="E81" s="8">
        <v>189</v>
      </c>
    </row>
    <row r="82" spans="1:5" ht="19.95" customHeight="1" x14ac:dyDescent="0.3">
      <c r="A82" s="1" t="s">
        <v>177</v>
      </c>
      <c r="B82" s="2" t="s">
        <v>9</v>
      </c>
      <c r="C82" s="2" t="s">
        <v>178</v>
      </c>
      <c r="D82" s="3" t="s">
        <v>11</v>
      </c>
      <c r="E82" s="4">
        <v>4000</v>
      </c>
    </row>
    <row r="83" spans="1:5" ht="19.95" customHeight="1" x14ac:dyDescent="0.3">
      <c r="A83" s="5" t="s">
        <v>179</v>
      </c>
      <c r="B83" s="6" t="s">
        <v>9</v>
      </c>
      <c r="C83" s="6" t="s">
        <v>180</v>
      </c>
      <c r="D83" s="7" t="s">
        <v>11</v>
      </c>
      <c r="E83" s="8">
        <v>36000</v>
      </c>
    </row>
    <row r="84" spans="1:5" ht="19.95" customHeight="1" x14ac:dyDescent="0.3">
      <c r="A84" s="1" t="s">
        <v>181</v>
      </c>
      <c r="B84" s="2" t="s">
        <v>9</v>
      </c>
      <c r="C84" s="2" t="s">
        <v>182</v>
      </c>
      <c r="D84" s="3" t="s">
        <v>11</v>
      </c>
      <c r="E84" s="4">
        <v>160</v>
      </c>
    </row>
    <row r="85" spans="1:5" ht="19.95" customHeight="1" x14ac:dyDescent="0.3">
      <c r="A85" s="5" t="s">
        <v>183</v>
      </c>
      <c r="B85" s="6" t="s">
        <v>9</v>
      </c>
      <c r="C85" s="6" t="s">
        <v>184</v>
      </c>
      <c r="D85" s="7" t="s">
        <v>11</v>
      </c>
      <c r="E85" s="8">
        <v>160</v>
      </c>
    </row>
    <row r="86" spans="1:5" ht="19.95" customHeight="1" x14ac:dyDescent="0.3">
      <c r="A86" s="1" t="s">
        <v>185</v>
      </c>
      <c r="B86" s="2" t="s">
        <v>9</v>
      </c>
      <c r="C86" s="2" t="s">
        <v>186</v>
      </c>
      <c r="D86" s="3" t="s">
        <v>11</v>
      </c>
      <c r="E86" s="4">
        <v>420</v>
      </c>
    </row>
    <row r="87" spans="1:5" ht="19.95" customHeight="1" x14ac:dyDescent="0.3">
      <c r="A87" s="5" t="s">
        <v>187</v>
      </c>
      <c r="B87" s="6" t="s">
        <v>9</v>
      </c>
      <c r="C87" s="6" t="s">
        <v>188</v>
      </c>
      <c r="D87" s="7" t="s">
        <v>189</v>
      </c>
      <c r="E87" s="8">
        <v>5</v>
      </c>
    </row>
    <row r="88" spans="1:5" ht="19.95" customHeight="1" x14ac:dyDescent="0.3">
      <c r="A88" s="1" t="s">
        <v>190</v>
      </c>
      <c r="B88" s="2" t="s">
        <v>9</v>
      </c>
      <c r="C88" s="2" t="s">
        <v>191</v>
      </c>
      <c r="D88" s="3" t="s">
        <v>11</v>
      </c>
      <c r="E88" s="4">
        <v>200</v>
      </c>
    </row>
    <row r="89" spans="1:5" ht="19.95" customHeight="1" x14ac:dyDescent="0.3">
      <c r="A89" s="5" t="s">
        <v>192</v>
      </c>
      <c r="B89" s="6" t="s">
        <v>9</v>
      </c>
      <c r="C89" s="6" t="s">
        <v>193</v>
      </c>
      <c r="D89" s="7" t="s">
        <v>11</v>
      </c>
      <c r="E89" s="8">
        <v>8000</v>
      </c>
    </row>
    <row r="90" spans="1:5" ht="19.95" customHeight="1" x14ac:dyDescent="0.3">
      <c r="A90" s="1" t="s">
        <v>194</v>
      </c>
      <c r="B90" s="2" t="s">
        <v>195</v>
      </c>
      <c r="C90" s="2" t="s">
        <v>196</v>
      </c>
      <c r="D90" s="3" t="s">
        <v>11</v>
      </c>
      <c r="E90" s="4">
        <v>617</v>
      </c>
    </row>
    <row r="91" spans="1:5" ht="19.95" customHeight="1" x14ac:dyDescent="0.3">
      <c r="A91" s="5" t="s">
        <v>197</v>
      </c>
      <c r="B91" s="6" t="s">
        <v>195</v>
      </c>
      <c r="C91" s="6" t="s">
        <v>198</v>
      </c>
      <c r="D91" s="7" t="s">
        <v>11</v>
      </c>
      <c r="E91" s="8">
        <v>617</v>
      </c>
    </row>
    <row r="92" spans="1:5" ht="19.95" customHeight="1" x14ac:dyDescent="0.3">
      <c r="A92" s="1" t="s">
        <v>199</v>
      </c>
      <c r="B92" s="2" t="s">
        <v>195</v>
      </c>
      <c r="C92" s="2" t="s">
        <v>200</v>
      </c>
      <c r="D92" s="3" t="s">
        <v>11</v>
      </c>
      <c r="E92" s="4">
        <v>738</v>
      </c>
    </row>
    <row r="93" spans="1:5" ht="19.95" customHeight="1" x14ac:dyDescent="0.3">
      <c r="A93" s="5" t="s">
        <v>201</v>
      </c>
      <c r="B93" s="6" t="s">
        <v>195</v>
      </c>
      <c r="C93" s="6" t="s">
        <v>202</v>
      </c>
      <c r="D93" s="7" t="s">
        <v>11</v>
      </c>
      <c r="E93" s="8">
        <v>679</v>
      </c>
    </row>
    <row r="94" spans="1:5" ht="19.95" customHeight="1" x14ac:dyDescent="0.3">
      <c r="A94" s="1" t="s">
        <v>203</v>
      </c>
      <c r="B94" s="2" t="s">
        <v>195</v>
      </c>
      <c r="C94" s="2" t="s">
        <v>204</v>
      </c>
      <c r="D94" s="3" t="s">
        <v>11</v>
      </c>
      <c r="E94" s="4">
        <v>738</v>
      </c>
    </row>
    <row r="95" spans="1:5" ht="19.95" customHeight="1" x14ac:dyDescent="0.3">
      <c r="A95" s="5" t="s">
        <v>205</v>
      </c>
      <c r="B95" s="6" t="s">
        <v>195</v>
      </c>
      <c r="C95" s="6" t="s">
        <v>206</v>
      </c>
      <c r="D95" s="7" t="s">
        <v>11</v>
      </c>
      <c r="E95" s="8">
        <v>679</v>
      </c>
    </row>
    <row r="96" spans="1:5" ht="19.95" customHeight="1" x14ac:dyDescent="0.3">
      <c r="A96" s="1" t="s">
        <v>207</v>
      </c>
      <c r="B96" s="2" t="s">
        <v>195</v>
      </c>
      <c r="C96" s="2" t="s">
        <v>208</v>
      </c>
      <c r="D96" s="3" t="s">
        <v>11</v>
      </c>
      <c r="E96" s="4">
        <v>558</v>
      </c>
    </row>
    <row r="97" spans="1:5" ht="19.95" customHeight="1" x14ac:dyDescent="0.3">
      <c r="A97" s="5" t="s">
        <v>209</v>
      </c>
      <c r="B97" s="6" t="s">
        <v>195</v>
      </c>
      <c r="C97" s="6" t="s">
        <v>210</v>
      </c>
      <c r="D97" s="7" t="s">
        <v>11</v>
      </c>
      <c r="E97" s="8">
        <v>558</v>
      </c>
    </row>
    <row r="98" spans="1:5" ht="19.95" customHeight="1" x14ac:dyDescent="0.3">
      <c r="A98" s="1" t="s">
        <v>211</v>
      </c>
      <c r="B98" s="2" t="s">
        <v>195</v>
      </c>
      <c r="C98" s="2" t="s">
        <v>212</v>
      </c>
      <c r="D98" s="3" t="s">
        <v>11</v>
      </c>
      <c r="E98" s="4">
        <v>558</v>
      </c>
    </row>
    <row r="99" spans="1:5" ht="19.95" customHeight="1" x14ac:dyDescent="0.3">
      <c r="A99" s="5" t="s">
        <v>213</v>
      </c>
      <c r="B99" s="6" t="s">
        <v>195</v>
      </c>
      <c r="C99" s="6" t="s">
        <v>214</v>
      </c>
      <c r="D99" s="7" t="s">
        <v>11</v>
      </c>
      <c r="E99" s="8">
        <v>738</v>
      </c>
    </row>
    <row r="100" spans="1:5" ht="19.95" customHeight="1" x14ac:dyDescent="0.3">
      <c r="A100" s="1" t="s">
        <v>215</v>
      </c>
      <c r="B100" s="2" t="s">
        <v>195</v>
      </c>
      <c r="C100" s="2" t="s">
        <v>216</v>
      </c>
      <c r="D100" s="3" t="s">
        <v>11</v>
      </c>
      <c r="E100" s="4">
        <v>679</v>
      </c>
    </row>
    <row r="101" spans="1:5" ht="19.95" customHeight="1" x14ac:dyDescent="0.3">
      <c r="A101" s="5" t="s">
        <v>217</v>
      </c>
      <c r="B101" s="6" t="s">
        <v>195</v>
      </c>
      <c r="C101" s="6" t="s">
        <v>218</v>
      </c>
      <c r="D101" s="7" t="s">
        <v>11</v>
      </c>
      <c r="E101" s="8">
        <v>679</v>
      </c>
    </row>
    <row r="102" spans="1:5" ht="19.95" customHeight="1" x14ac:dyDescent="0.3">
      <c r="A102" s="1" t="s">
        <v>219</v>
      </c>
      <c r="B102" s="2" t="s">
        <v>195</v>
      </c>
      <c r="C102" s="2" t="s">
        <v>220</v>
      </c>
      <c r="D102" s="3" t="s">
        <v>11</v>
      </c>
      <c r="E102" s="4">
        <v>738</v>
      </c>
    </row>
    <row r="103" spans="1:5" ht="19.95" customHeight="1" x14ac:dyDescent="0.3">
      <c r="A103" s="5" t="s">
        <v>221</v>
      </c>
      <c r="B103" s="6" t="s">
        <v>195</v>
      </c>
      <c r="C103" s="6" t="s">
        <v>222</v>
      </c>
      <c r="D103" s="7" t="s">
        <v>11</v>
      </c>
      <c r="E103" s="8">
        <v>738</v>
      </c>
    </row>
    <row r="104" spans="1:5" ht="19.95" customHeight="1" x14ac:dyDescent="0.3">
      <c r="A104" s="1" t="s">
        <v>223</v>
      </c>
      <c r="B104" s="2" t="s">
        <v>195</v>
      </c>
      <c r="C104" s="2" t="s">
        <v>224</v>
      </c>
      <c r="D104" s="3" t="s">
        <v>11</v>
      </c>
      <c r="E104" s="4">
        <v>679</v>
      </c>
    </row>
    <row r="105" spans="1:5" ht="19.95" customHeight="1" x14ac:dyDescent="0.3">
      <c r="A105" s="5" t="s">
        <v>225</v>
      </c>
      <c r="B105" s="6" t="s">
        <v>195</v>
      </c>
      <c r="C105" s="6" t="s">
        <v>226</v>
      </c>
      <c r="D105" s="7" t="s">
        <v>11</v>
      </c>
      <c r="E105" s="8">
        <v>679</v>
      </c>
    </row>
    <row r="106" spans="1:5" ht="19.95" customHeight="1" x14ac:dyDescent="0.3">
      <c r="A106" s="1" t="s">
        <v>227</v>
      </c>
      <c r="B106" s="2" t="s">
        <v>195</v>
      </c>
      <c r="C106" s="2" t="s">
        <v>228</v>
      </c>
      <c r="D106" s="3" t="s">
        <v>11</v>
      </c>
      <c r="E106" s="4">
        <v>738</v>
      </c>
    </row>
    <row r="107" spans="1:5" ht="19.95" customHeight="1" x14ac:dyDescent="0.3">
      <c r="A107" s="5" t="s">
        <v>229</v>
      </c>
      <c r="B107" s="6" t="s">
        <v>195</v>
      </c>
      <c r="C107" s="6" t="s">
        <v>230</v>
      </c>
      <c r="D107" s="7" t="s">
        <v>11</v>
      </c>
      <c r="E107" s="8">
        <v>738</v>
      </c>
    </row>
    <row r="108" spans="1:5" ht="19.95" customHeight="1" x14ac:dyDescent="0.3">
      <c r="A108" s="1" t="s">
        <v>231</v>
      </c>
      <c r="B108" s="2" t="s">
        <v>195</v>
      </c>
      <c r="C108" s="2" t="s">
        <v>232</v>
      </c>
      <c r="D108" s="3" t="s">
        <v>11</v>
      </c>
      <c r="E108" s="4">
        <v>617</v>
      </c>
    </row>
    <row r="109" spans="1:5" ht="19.95" customHeight="1" x14ac:dyDescent="0.3">
      <c r="A109" s="5" t="s">
        <v>233</v>
      </c>
      <c r="B109" s="6" t="s">
        <v>195</v>
      </c>
      <c r="C109" s="6" t="s">
        <v>234</v>
      </c>
      <c r="D109" s="7" t="s">
        <v>11</v>
      </c>
      <c r="E109" s="8">
        <v>558</v>
      </c>
    </row>
    <row r="110" spans="1:5" ht="19.95" customHeight="1" x14ac:dyDescent="0.3">
      <c r="A110" s="1" t="s">
        <v>235</v>
      </c>
      <c r="B110" s="2" t="s">
        <v>195</v>
      </c>
      <c r="C110" s="2" t="s">
        <v>236</v>
      </c>
      <c r="D110" s="3" t="s">
        <v>11</v>
      </c>
      <c r="E110" s="4">
        <v>738</v>
      </c>
    </row>
    <row r="111" spans="1:5" ht="19.95" customHeight="1" x14ac:dyDescent="0.3">
      <c r="A111" s="5" t="s">
        <v>237</v>
      </c>
      <c r="B111" s="6" t="s">
        <v>195</v>
      </c>
      <c r="C111" s="6" t="s">
        <v>238</v>
      </c>
      <c r="D111" s="7" t="s">
        <v>11</v>
      </c>
      <c r="E111" s="8">
        <v>679</v>
      </c>
    </row>
    <row r="112" spans="1:5" ht="19.95" customHeight="1" x14ac:dyDescent="0.3">
      <c r="A112" s="1" t="s">
        <v>239</v>
      </c>
      <c r="B112" s="2" t="s">
        <v>195</v>
      </c>
      <c r="C112" s="2" t="s">
        <v>240</v>
      </c>
      <c r="D112" s="3" t="s">
        <v>11</v>
      </c>
      <c r="E112" s="4">
        <v>558</v>
      </c>
    </row>
    <row r="113" spans="1:5" ht="19.95" customHeight="1" x14ac:dyDescent="0.3">
      <c r="A113" s="5" t="s">
        <v>241</v>
      </c>
      <c r="B113" s="6" t="s">
        <v>195</v>
      </c>
      <c r="C113" s="6" t="s">
        <v>242</v>
      </c>
      <c r="D113" s="7" t="s">
        <v>11</v>
      </c>
      <c r="E113" s="8">
        <v>558</v>
      </c>
    </row>
    <row r="114" spans="1:5" ht="19.95" customHeight="1" x14ac:dyDescent="0.3">
      <c r="A114" s="1" t="s">
        <v>243</v>
      </c>
      <c r="B114" s="2" t="s">
        <v>195</v>
      </c>
      <c r="C114" s="2" t="s">
        <v>244</v>
      </c>
      <c r="D114" s="3" t="s">
        <v>11</v>
      </c>
      <c r="E114" s="4">
        <v>558</v>
      </c>
    </row>
    <row r="115" spans="1:5" ht="19.95" customHeight="1" x14ac:dyDescent="0.3">
      <c r="A115" s="5" t="s">
        <v>245</v>
      </c>
      <c r="B115" s="6" t="s">
        <v>195</v>
      </c>
      <c r="C115" s="6" t="s">
        <v>246</v>
      </c>
      <c r="D115" s="7" t="s">
        <v>11</v>
      </c>
      <c r="E115" s="8">
        <v>617</v>
      </c>
    </row>
    <row r="116" spans="1:5" ht="19.95" customHeight="1" x14ac:dyDescent="0.3">
      <c r="A116" s="1" t="s">
        <v>247</v>
      </c>
      <c r="B116" s="2" t="s">
        <v>195</v>
      </c>
      <c r="C116" s="2" t="s">
        <v>248</v>
      </c>
      <c r="D116" s="3" t="s">
        <v>11</v>
      </c>
      <c r="E116" s="4">
        <v>617</v>
      </c>
    </row>
    <row r="117" spans="1:5" ht="19.95" customHeight="1" x14ac:dyDescent="0.3">
      <c r="A117" s="5" t="s">
        <v>249</v>
      </c>
      <c r="B117" s="6" t="s">
        <v>195</v>
      </c>
      <c r="C117" s="6" t="s">
        <v>250</v>
      </c>
      <c r="D117" s="7" t="s">
        <v>11</v>
      </c>
      <c r="E117" s="8">
        <v>617</v>
      </c>
    </row>
    <row r="118" spans="1:5" ht="19.95" customHeight="1" x14ac:dyDescent="0.3">
      <c r="A118" s="1" t="s">
        <v>251</v>
      </c>
      <c r="B118" s="2" t="s">
        <v>195</v>
      </c>
      <c r="C118" s="2" t="s">
        <v>252</v>
      </c>
      <c r="D118" s="3" t="s">
        <v>11</v>
      </c>
      <c r="E118" s="4">
        <v>617</v>
      </c>
    </row>
    <row r="119" spans="1:5" ht="19.95" customHeight="1" x14ac:dyDescent="0.3">
      <c r="A119" s="5" t="s">
        <v>253</v>
      </c>
      <c r="B119" s="6" t="s">
        <v>195</v>
      </c>
      <c r="C119" s="6" t="s">
        <v>254</v>
      </c>
      <c r="D119" s="7" t="s">
        <v>11</v>
      </c>
      <c r="E119" s="8">
        <v>738</v>
      </c>
    </row>
    <row r="120" spans="1:5" ht="19.95" customHeight="1" x14ac:dyDescent="0.3">
      <c r="A120" s="1" t="s">
        <v>255</v>
      </c>
      <c r="B120" s="2" t="s">
        <v>195</v>
      </c>
      <c r="C120" s="2" t="s">
        <v>256</v>
      </c>
      <c r="D120" s="3" t="s">
        <v>11</v>
      </c>
      <c r="E120" s="4">
        <v>709</v>
      </c>
    </row>
    <row r="121" spans="1:5" ht="19.95" customHeight="1" x14ac:dyDescent="0.3">
      <c r="A121" s="5" t="s">
        <v>257</v>
      </c>
      <c r="B121" s="6" t="s">
        <v>195</v>
      </c>
      <c r="C121" s="6" t="s">
        <v>258</v>
      </c>
      <c r="D121" s="7" t="s">
        <v>11</v>
      </c>
      <c r="E121" s="8">
        <v>709</v>
      </c>
    </row>
    <row r="122" spans="1:5" ht="19.95" customHeight="1" x14ac:dyDescent="0.3">
      <c r="A122" s="1" t="s">
        <v>259</v>
      </c>
      <c r="B122" s="2" t="s">
        <v>195</v>
      </c>
      <c r="C122" s="2" t="s">
        <v>260</v>
      </c>
      <c r="D122" s="3" t="s">
        <v>11</v>
      </c>
      <c r="E122" s="4">
        <v>738</v>
      </c>
    </row>
    <row r="123" spans="1:5" ht="19.95" customHeight="1" x14ac:dyDescent="0.3">
      <c r="A123" s="5" t="s">
        <v>261</v>
      </c>
      <c r="B123" s="6" t="s">
        <v>195</v>
      </c>
      <c r="C123" s="6" t="s">
        <v>262</v>
      </c>
      <c r="D123" s="7" t="s">
        <v>11</v>
      </c>
      <c r="E123" s="8">
        <v>738</v>
      </c>
    </row>
    <row r="124" spans="1:5" ht="19.95" customHeight="1" x14ac:dyDescent="0.3">
      <c r="A124" s="1" t="s">
        <v>263</v>
      </c>
      <c r="B124" s="2" t="s">
        <v>195</v>
      </c>
      <c r="C124" s="2" t="s">
        <v>264</v>
      </c>
      <c r="D124" s="3" t="s">
        <v>11</v>
      </c>
      <c r="E124" s="4">
        <v>775</v>
      </c>
    </row>
    <row r="125" spans="1:5" ht="19.95" customHeight="1" x14ac:dyDescent="0.3">
      <c r="A125" s="5" t="s">
        <v>265</v>
      </c>
      <c r="B125" s="6" t="s">
        <v>195</v>
      </c>
      <c r="C125" s="6" t="s">
        <v>266</v>
      </c>
      <c r="D125" s="7" t="s">
        <v>11</v>
      </c>
      <c r="E125" s="8">
        <v>558</v>
      </c>
    </row>
    <row r="126" spans="1:5" ht="19.95" customHeight="1" x14ac:dyDescent="0.3">
      <c r="A126" s="1" t="s">
        <v>267</v>
      </c>
      <c r="B126" s="2" t="s">
        <v>195</v>
      </c>
      <c r="C126" s="2" t="s">
        <v>268</v>
      </c>
      <c r="D126" s="3" t="s">
        <v>169</v>
      </c>
      <c r="E126" s="4">
        <v>485</v>
      </c>
    </row>
    <row r="127" spans="1:5" ht="19.95" customHeight="1" x14ac:dyDescent="0.3">
      <c r="A127" s="5" t="s">
        <v>269</v>
      </c>
      <c r="B127" s="6" t="s">
        <v>195</v>
      </c>
      <c r="C127" s="6" t="s">
        <v>270</v>
      </c>
      <c r="D127" s="7" t="s">
        <v>169</v>
      </c>
      <c r="E127" s="8">
        <v>430</v>
      </c>
    </row>
    <row r="128" spans="1:5" ht="19.95" customHeight="1" x14ac:dyDescent="0.3">
      <c r="A128" s="1" t="s">
        <v>271</v>
      </c>
      <c r="B128" s="2" t="s">
        <v>195</v>
      </c>
      <c r="C128" s="2" t="s">
        <v>272</v>
      </c>
      <c r="D128" s="3" t="s">
        <v>11</v>
      </c>
      <c r="E128" s="4">
        <v>617</v>
      </c>
    </row>
    <row r="129" spans="1:5" ht="19.95" customHeight="1" x14ac:dyDescent="0.3">
      <c r="A129" s="5" t="s">
        <v>273</v>
      </c>
      <c r="B129" s="6" t="s">
        <v>195</v>
      </c>
      <c r="C129" s="6" t="s">
        <v>274</v>
      </c>
      <c r="D129" s="7" t="s">
        <v>275</v>
      </c>
      <c r="E129" s="8">
        <v>679</v>
      </c>
    </row>
    <row r="130" spans="1:5" ht="19.95" customHeight="1" x14ac:dyDescent="0.3">
      <c r="A130" s="1" t="s">
        <v>276</v>
      </c>
      <c r="B130" s="2" t="s">
        <v>277</v>
      </c>
      <c r="C130" s="2" t="s">
        <v>278</v>
      </c>
      <c r="D130" s="3" t="s">
        <v>279</v>
      </c>
      <c r="E130" s="4">
        <v>10</v>
      </c>
    </row>
    <row r="131" spans="1:5" ht="19.95" customHeight="1" x14ac:dyDescent="0.3">
      <c r="A131" s="5" t="s">
        <v>280</v>
      </c>
      <c r="B131" s="6" t="s">
        <v>277</v>
      </c>
      <c r="C131" s="6" t="s">
        <v>281</v>
      </c>
      <c r="D131" s="7" t="s">
        <v>169</v>
      </c>
      <c r="E131" s="8">
        <v>225</v>
      </c>
    </row>
    <row r="132" spans="1:5" ht="19.95" customHeight="1" x14ac:dyDescent="0.3">
      <c r="A132" s="1" t="s">
        <v>282</v>
      </c>
      <c r="B132" s="2" t="s">
        <v>277</v>
      </c>
      <c r="C132" s="2" t="s">
        <v>281</v>
      </c>
      <c r="D132" s="3" t="s">
        <v>283</v>
      </c>
      <c r="E132" s="4">
        <v>210</v>
      </c>
    </row>
    <row r="133" spans="1:5" ht="19.95" customHeight="1" x14ac:dyDescent="0.3">
      <c r="A133" s="5" t="s">
        <v>284</v>
      </c>
      <c r="B133" s="6" t="s">
        <v>277</v>
      </c>
      <c r="C133" s="6" t="s">
        <v>281</v>
      </c>
      <c r="D133" s="7" t="s">
        <v>283</v>
      </c>
      <c r="E133" s="8">
        <v>210</v>
      </c>
    </row>
    <row r="134" spans="1:5" ht="19.95" customHeight="1" x14ac:dyDescent="0.3">
      <c r="A134" s="1" t="s">
        <v>285</v>
      </c>
      <c r="B134" s="2" t="s">
        <v>277</v>
      </c>
      <c r="C134" s="2" t="s">
        <v>281</v>
      </c>
      <c r="D134" s="3" t="s">
        <v>283</v>
      </c>
      <c r="E134" s="4">
        <v>210</v>
      </c>
    </row>
    <row r="135" spans="1:5" ht="19.95" customHeight="1" x14ac:dyDescent="0.3">
      <c r="A135" s="5" t="s">
        <v>286</v>
      </c>
      <c r="B135" s="6" t="s">
        <v>277</v>
      </c>
      <c r="C135" s="6" t="s">
        <v>281</v>
      </c>
      <c r="D135" s="7" t="s">
        <v>283</v>
      </c>
      <c r="E135" s="8">
        <v>210</v>
      </c>
    </row>
    <row r="136" spans="1:5" ht="19.95" customHeight="1" x14ac:dyDescent="0.3">
      <c r="A136" s="1" t="s">
        <v>287</v>
      </c>
      <c r="B136" s="2" t="s">
        <v>277</v>
      </c>
      <c r="C136" s="2" t="s">
        <v>281</v>
      </c>
      <c r="D136" s="3" t="s">
        <v>283</v>
      </c>
      <c r="E136" s="4">
        <v>200</v>
      </c>
    </row>
    <row r="137" spans="1:5" ht="19.95" customHeight="1" x14ac:dyDescent="0.3">
      <c r="A137" s="5" t="s">
        <v>288</v>
      </c>
      <c r="B137" s="6" t="s">
        <v>277</v>
      </c>
      <c r="C137" s="6" t="s">
        <v>281</v>
      </c>
      <c r="D137" s="7" t="s">
        <v>189</v>
      </c>
      <c r="E137" s="8">
        <v>175</v>
      </c>
    </row>
    <row r="138" spans="1:5" ht="19.95" customHeight="1" x14ac:dyDescent="0.3">
      <c r="A138" s="1" t="s">
        <v>289</v>
      </c>
      <c r="B138" s="2" t="s">
        <v>277</v>
      </c>
      <c r="C138" s="2" t="s">
        <v>281</v>
      </c>
      <c r="D138" s="3" t="s">
        <v>283</v>
      </c>
      <c r="E138" s="4">
        <v>280</v>
      </c>
    </row>
    <row r="139" spans="1:5" ht="19.95" customHeight="1" x14ac:dyDescent="0.3">
      <c r="A139" s="5" t="s">
        <v>290</v>
      </c>
      <c r="B139" s="6" t="s">
        <v>277</v>
      </c>
      <c r="C139" s="6" t="s">
        <v>281</v>
      </c>
      <c r="D139" s="7" t="s">
        <v>189</v>
      </c>
      <c r="E139" s="8">
        <v>310</v>
      </c>
    </row>
    <row r="140" spans="1:5" ht="19.95" customHeight="1" x14ac:dyDescent="0.3">
      <c r="A140" s="1" t="s">
        <v>291</v>
      </c>
      <c r="B140" s="2" t="s">
        <v>277</v>
      </c>
      <c r="C140" s="2" t="s">
        <v>281</v>
      </c>
      <c r="D140" s="3" t="s">
        <v>283</v>
      </c>
      <c r="E140" s="4">
        <v>400</v>
      </c>
    </row>
    <row r="141" spans="1:5" ht="19.95" customHeight="1" x14ac:dyDescent="0.3">
      <c r="A141" s="5" t="s">
        <v>292</v>
      </c>
      <c r="B141" s="6" t="s">
        <v>277</v>
      </c>
      <c r="C141" s="6" t="s">
        <v>281</v>
      </c>
      <c r="D141" s="7" t="s">
        <v>293</v>
      </c>
      <c r="E141" s="8">
        <v>165</v>
      </c>
    </row>
    <row r="142" spans="1:5" ht="19.95" customHeight="1" x14ac:dyDescent="0.3">
      <c r="A142" s="1" t="s">
        <v>294</v>
      </c>
      <c r="B142" s="2" t="s">
        <v>277</v>
      </c>
      <c r="C142" s="2" t="s">
        <v>281</v>
      </c>
      <c r="D142" s="3" t="s">
        <v>189</v>
      </c>
      <c r="E142" s="4">
        <v>555</v>
      </c>
    </row>
    <row r="143" spans="1:5" ht="19.95" customHeight="1" x14ac:dyDescent="0.3">
      <c r="A143" s="5" t="s">
        <v>295</v>
      </c>
      <c r="B143" s="6" t="s">
        <v>277</v>
      </c>
      <c r="C143" s="6" t="s">
        <v>281</v>
      </c>
      <c r="D143" s="7" t="s">
        <v>189</v>
      </c>
      <c r="E143" s="8">
        <v>260</v>
      </c>
    </row>
    <row r="144" spans="1:5" ht="19.95" customHeight="1" x14ac:dyDescent="0.3">
      <c r="A144" s="1" t="s">
        <v>296</v>
      </c>
      <c r="B144" s="2" t="s">
        <v>277</v>
      </c>
      <c r="C144" s="2" t="s">
        <v>297</v>
      </c>
      <c r="D144" s="3" t="s">
        <v>169</v>
      </c>
      <c r="E144" s="4">
        <v>210</v>
      </c>
    </row>
    <row r="145" spans="1:5" ht="19.95" customHeight="1" x14ac:dyDescent="0.3">
      <c r="A145" s="5" t="s">
        <v>298</v>
      </c>
      <c r="B145" s="6" t="s">
        <v>277</v>
      </c>
      <c r="C145" s="6" t="s">
        <v>297</v>
      </c>
      <c r="D145" s="7" t="s">
        <v>169</v>
      </c>
      <c r="E145" s="8">
        <v>220</v>
      </c>
    </row>
    <row r="146" spans="1:5" ht="19.95" customHeight="1" x14ac:dyDescent="0.3">
      <c r="A146" s="1" t="s">
        <v>299</v>
      </c>
      <c r="B146" s="2" t="s">
        <v>277</v>
      </c>
      <c r="C146" s="2" t="s">
        <v>300</v>
      </c>
      <c r="D146" s="3" t="s">
        <v>169</v>
      </c>
      <c r="E146" s="4">
        <v>470</v>
      </c>
    </row>
    <row r="147" spans="1:5" ht="19.95" customHeight="1" x14ac:dyDescent="0.3">
      <c r="A147" s="5" t="s">
        <v>301</v>
      </c>
      <c r="B147" s="6" t="s">
        <v>277</v>
      </c>
      <c r="C147" s="6" t="s">
        <v>302</v>
      </c>
      <c r="D147" s="7" t="s">
        <v>169</v>
      </c>
      <c r="E147" s="8">
        <v>300</v>
      </c>
    </row>
    <row r="148" spans="1:5" ht="19.95" customHeight="1" x14ac:dyDescent="0.3">
      <c r="A148" s="1" t="s">
        <v>303</v>
      </c>
      <c r="B148" s="2" t="s">
        <v>277</v>
      </c>
      <c r="C148" s="2" t="s">
        <v>304</v>
      </c>
      <c r="D148" s="3" t="s">
        <v>169</v>
      </c>
      <c r="E148" s="4">
        <v>625</v>
      </c>
    </row>
    <row r="149" spans="1:5" ht="19.95" customHeight="1" x14ac:dyDescent="0.3">
      <c r="A149" s="5" t="s">
        <v>305</v>
      </c>
      <c r="B149" s="6" t="s">
        <v>277</v>
      </c>
      <c r="C149" s="6" t="s">
        <v>306</v>
      </c>
      <c r="D149" s="7" t="s">
        <v>169</v>
      </c>
      <c r="E149" s="8">
        <v>170</v>
      </c>
    </row>
    <row r="150" spans="1:5" ht="19.95" customHeight="1" x14ac:dyDescent="0.3">
      <c r="A150" s="1" t="s">
        <v>307</v>
      </c>
      <c r="B150" s="2" t="s">
        <v>277</v>
      </c>
      <c r="C150" s="2" t="s">
        <v>308</v>
      </c>
      <c r="D150" s="3" t="s">
        <v>169</v>
      </c>
      <c r="E150" s="4">
        <v>195</v>
      </c>
    </row>
    <row r="151" spans="1:5" ht="19.95" customHeight="1" x14ac:dyDescent="0.3">
      <c r="A151" s="5" t="s">
        <v>309</v>
      </c>
      <c r="B151" s="6" t="s">
        <v>277</v>
      </c>
      <c r="C151" s="6" t="s">
        <v>310</v>
      </c>
      <c r="D151" s="7" t="s">
        <v>169</v>
      </c>
      <c r="E151" s="8">
        <v>215</v>
      </c>
    </row>
    <row r="152" spans="1:5" ht="19.95" customHeight="1" x14ac:dyDescent="0.3">
      <c r="A152" s="1" t="s">
        <v>311</v>
      </c>
      <c r="B152" s="2" t="s">
        <v>277</v>
      </c>
      <c r="C152" s="2" t="s">
        <v>312</v>
      </c>
      <c r="D152" s="3" t="s">
        <v>169</v>
      </c>
      <c r="E152" s="4">
        <v>634</v>
      </c>
    </row>
    <row r="153" spans="1:5" ht="19.95" customHeight="1" x14ac:dyDescent="0.3">
      <c r="A153" s="5" t="s">
        <v>313</v>
      </c>
      <c r="B153" s="6" t="s">
        <v>277</v>
      </c>
      <c r="C153" s="6" t="s">
        <v>314</v>
      </c>
      <c r="D153" s="7" t="s">
        <v>169</v>
      </c>
      <c r="E153" s="8">
        <v>789</v>
      </c>
    </row>
    <row r="154" spans="1:5" ht="19.95" customHeight="1" x14ac:dyDescent="0.3">
      <c r="A154" s="1" t="s">
        <v>315</v>
      </c>
      <c r="B154" s="2" t="s">
        <v>277</v>
      </c>
      <c r="C154" s="2" t="s">
        <v>316</v>
      </c>
      <c r="D154" s="3" t="s">
        <v>189</v>
      </c>
      <c r="E154" s="4">
        <v>10</v>
      </c>
    </row>
    <row r="155" spans="1:5" ht="19.95" customHeight="1" x14ac:dyDescent="0.3">
      <c r="A155" s="5" t="s">
        <v>317</v>
      </c>
      <c r="B155" s="6" t="s">
        <v>277</v>
      </c>
      <c r="C155" s="6" t="s">
        <v>318</v>
      </c>
      <c r="D155" s="7" t="s">
        <v>189</v>
      </c>
      <c r="E155" s="8">
        <v>15</v>
      </c>
    </row>
    <row r="156" spans="1:5" ht="19.95" customHeight="1" x14ac:dyDescent="0.3">
      <c r="A156" s="1" t="s">
        <v>319</v>
      </c>
      <c r="B156" s="2" t="s">
        <v>277</v>
      </c>
      <c r="C156" s="2" t="s">
        <v>320</v>
      </c>
      <c r="D156" s="3" t="s">
        <v>189</v>
      </c>
      <c r="E156" s="4">
        <v>25</v>
      </c>
    </row>
    <row r="157" spans="1:5" ht="19.95" customHeight="1" x14ac:dyDescent="0.3">
      <c r="A157" s="5" t="s">
        <v>321</v>
      </c>
      <c r="B157" s="6" t="s">
        <v>277</v>
      </c>
      <c r="C157" s="6" t="s">
        <v>322</v>
      </c>
      <c r="D157" s="7" t="s">
        <v>18</v>
      </c>
      <c r="E157" s="8">
        <v>650</v>
      </c>
    </row>
    <row r="158" spans="1:5" ht="19.95" customHeight="1" x14ac:dyDescent="0.3">
      <c r="A158" s="1" t="s">
        <v>323</v>
      </c>
      <c r="B158" s="2" t="s">
        <v>277</v>
      </c>
      <c r="C158" s="2" t="s">
        <v>324</v>
      </c>
      <c r="D158" s="3" t="s">
        <v>18</v>
      </c>
      <c r="E158" s="4">
        <v>650</v>
      </c>
    </row>
    <row r="159" spans="1:5" ht="19.95" customHeight="1" x14ac:dyDescent="0.3">
      <c r="A159" s="5" t="s">
        <v>325</v>
      </c>
      <c r="B159" s="6" t="s">
        <v>277</v>
      </c>
      <c r="C159" s="6" t="s">
        <v>326</v>
      </c>
      <c r="D159" s="7" t="s">
        <v>18</v>
      </c>
      <c r="E159" s="8">
        <v>650</v>
      </c>
    </row>
    <row r="160" spans="1:5" ht="19.95" customHeight="1" x14ac:dyDescent="0.3">
      <c r="A160" s="1" t="s">
        <v>327</v>
      </c>
      <c r="B160" s="2" t="s">
        <v>277</v>
      </c>
      <c r="C160" s="2" t="s">
        <v>328</v>
      </c>
      <c r="D160" s="3" t="s">
        <v>18</v>
      </c>
      <c r="E160" s="4">
        <v>1000</v>
      </c>
    </row>
    <row r="161" spans="1:5" ht="19.95" customHeight="1" x14ac:dyDescent="0.3">
      <c r="A161" s="5" t="s">
        <v>329</v>
      </c>
      <c r="B161" s="6" t="s">
        <v>277</v>
      </c>
      <c r="C161" s="6" t="s">
        <v>330</v>
      </c>
      <c r="D161" s="7" t="s">
        <v>18</v>
      </c>
      <c r="E161" s="8">
        <v>1000</v>
      </c>
    </row>
    <row r="162" spans="1:5" ht="19.95" customHeight="1" x14ac:dyDescent="0.3">
      <c r="A162" s="1" t="s">
        <v>331</v>
      </c>
      <c r="B162" s="2" t="s">
        <v>277</v>
      </c>
      <c r="C162" s="2" t="s">
        <v>332</v>
      </c>
      <c r="D162" s="3" t="s">
        <v>18</v>
      </c>
      <c r="E162" s="4">
        <v>1300</v>
      </c>
    </row>
    <row r="163" spans="1:5" ht="19.95" customHeight="1" x14ac:dyDescent="0.3">
      <c r="A163" s="5" t="s">
        <v>333</v>
      </c>
      <c r="B163" s="6" t="s">
        <v>277</v>
      </c>
      <c r="C163" s="6" t="s">
        <v>334</v>
      </c>
      <c r="D163" s="7" t="s">
        <v>18</v>
      </c>
      <c r="E163" s="8">
        <v>1350</v>
      </c>
    </row>
    <row r="164" spans="1:5" ht="19.95" customHeight="1" x14ac:dyDescent="0.3">
      <c r="A164" s="1" t="s">
        <v>335</v>
      </c>
      <c r="B164" s="2" t="s">
        <v>277</v>
      </c>
      <c r="C164" s="2" t="s">
        <v>336</v>
      </c>
      <c r="D164" s="3" t="s">
        <v>18</v>
      </c>
      <c r="E164" s="4">
        <v>1350</v>
      </c>
    </row>
    <row r="165" spans="1:5" ht="19.95" customHeight="1" x14ac:dyDescent="0.3">
      <c r="A165" s="5" t="s">
        <v>337</v>
      </c>
      <c r="B165" s="6" t="s">
        <v>277</v>
      </c>
      <c r="C165" s="6" t="s">
        <v>338</v>
      </c>
      <c r="D165" s="7" t="s">
        <v>18</v>
      </c>
      <c r="E165" s="8">
        <v>1350</v>
      </c>
    </row>
    <row r="166" spans="1:5" ht="19.95" customHeight="1" x14ac:dyDescent="0.3">
      <c r="A166" s="1" t="s">
        <v>339</v>
      </c>
      <c r="B166" s="2" t="s">
        <v>277</v>
      </c>
      <c r="C166" s="2" t="s">
        <v>340</v>
      </c>
      <c r="D166" s="3" t="s">
        <v>18</v>
      </c>
      <c r="E166" s="4">
        <v>1350</v>
      </c>
    </row>
    <row r="167" spans="1:5" ht="19.95" customHeight="1" x14ac:dyDescent="0.3">
      <c r="A167" s="5" t="s">
        <v>341</v>
      </c>
      <c r="B167" s="6" t="s">
        <v>277</v>
      </c>
      <c r="C167" s="6" t="s">
        <v>342</v>
      </c>
      <c r="D167" s="7" t="s">
        <v>18</v>
      </c>
      <c r="E167" s="8">
        <v>1400</v>
      </c>
    </row>
    <row r="168" spans="1:5" ht="19.95" customHeight="1" x14ac:dyDescent="0.3">
      <c r="A168" s="1" t="s">
        <v>343</v>
      </c>
      <c r="B168" s="2" t="s">
        <v>277</v>
      </c>
      <c r="C168" s="2" t="s">
        <v>344</v>
      </c>
      <c r="D168" s="3" t="s">
        <v>283</v>
      </c>
      <c r="E168" s="4">
        <v>40</v>
      </c>
    </row>
    <row r="169" spans="1:5" ht="19.95" customHeight="1" x14ac:dyDescent="0.3">
      <c r="A169" s="5" t="s">
        <v>345</v>
      </c>
      <c r="B169" s="6" t="s">
        <v>277</v>
      </c>
      <c r="C169" s="6" t="s">
        <v>346</v>
      </c>
      <c r="D169" s="7" t="s">
        <v>18</v>
      </c>
      <c r="E169" s="8">
        <v>50</v>
      </c>
    </row>
    <row r="170" spans="1:5" ht="19.95" customHeight="1" x14ac:dyDescent="0.3">
      <c r="A170" s="1" t="s">
        <v>347</v>
      </c>
      <c r="B170" s="2" t="s">
        <v>277</v>
      </c>
      <c r="C170" s="2" t="s">
        <v>348</v>
      </c>
      <c r="D170" s="3" t="s">
        <v>18</v>
      </c>
      <c r="E170" s="4">
        <v>1000</v>
      </c>
    </row>
    <row r="171" spans="1:5" ht="19.95" customHeight="1" x14ac:dyDescent="0.3">
      <c r="A171" s="5" t="s">
        <v>349</v>
      </c>
      <c r="B171" s="6" t="s">
        <v>277</v>
      </c>
      <c r="C171" s="6" t="s">
        <v>350</v>
      </c>
      <c r="D171" s="7" t="s">
        <v>351</v>
      </c>
      <c r="E171" s="8">
        <v>400</v>
      </c>
    </row>
    <row r="172" spans="1:5" ht="19.95" customHeight="1" x14ac:dyDescent="0.3">
      <c r="A172" s="1" t="s">
        <v>352</v>
      </c>
      <c r="B172" s="2" t="s">
        <v>277</v>
      </c>
      <c r="C172" s="2" t="s">
        <v>353</v>
      </c>
      <c r="D172" s="3" t="s">
        <v>354</v>
      </c>
      <c r="E172" s="4">
        <v>500</v>
      </c>
    </row>
    <row r="173" spans="1:5" ht="19.95" customHeight="1" x14ac:dyDescent="0.3">
      <c r="A173" s="5" t="s">
        <v>355</v>
      </c>
      <c r="B173" s="6" t="s">
        <v>277</v>
      </c>
      <c r="C173" s="6" t="s">
        <v>356</v>
      </c>
      <c r="D173" s="7" t="s">
        <v>357</v>
      </c>
      <c r="E173" s="8">
        <v>25614</v>
      </c>
    </row>
    <row r="174" spans="1:5" ht="19.95" customHeight="1" x14ac:dyDescent="0.3">
      <c r="A174" s="1" t="s">
        <v>358</v>
      </c>
      <c r="B174" s="2" t="s">
        <v>277</v>
      </c>
      <c r="C174" s="2" t="s">
        <v>359</v>
      </c>
      <c r="D174" s="3" t="s">
        <v>357</v>
      </c>
      <c r="E174" s="4">
        <v>30099</v>
      </c>
    </row>
    <row r="175" spans="1:5" ht="19.95" customHeight="1" x14ac:dyDescent="0.3">
      <c r="A175" s="5" t="s">
        <v>360</v>
      </c>
      <c r="B175" s="6" t="s">
        <v>277</v>
      </c>
      <c r="C175" s="6" t="s">
        <v>361</v>
      </c>
      <c r="D175" s="7" t="s">
        <v>357</v>
      </c>
      <c r="E175" s="8">
        <v>32200</v>
      </c>
    </row>
    <row r="176" spans="1:5" ht="19.95" customHeight="1" x14ac:dyDescent="0.3">
      <c r="A176" s="1" t="s">
        <v>362</v>
      </c>
      <c r="B176" s="2" t="s">
        <v>277</v>
      </c>
      <c r="C176" s="2" t="s">
        <v>363</v>
      </c>
      <c r="D176" s="3" t="s">
        <v>357</v>
      </c>
      <c r="E176" s="4">
        <v>34000</v>
      </c>
    </row>
    <row r="177" spans="1:5" ht="19.95" customHeight="1" x14ac:dyDescent="0.3">
      <c r="A177" s="5" t="s">
        <v>364</v>
      </c>
      <c r="B177" s="6" t="s">
        <v>277</v>
      </c>
      <c r="C177" s="6" t="s">
        <v>365</v>
      </c>
      <c r="D177" s="7" t="s">
        <v>366</v>
      </c>
      <c r="E177" s="8">
        <v>28</v>
      </c>
    </row>
    <row r="178" spans="1:5" ht="19.95" customHeight="1" x14ac:dyDescent="0.3">
      <c r="A178" s="1" t="s">
        <v>367</v>
      </c>
      <c r="B178" s="2" t="s">
        <v>277</v>
      </c>
      <c r="C178" s="2" t="s">
        <v>368</v>
      </c>
      <c r="D178" s="3" t="s">
        <v>369</v>
      </c>
      <c r="E178" s="4">
        <v>45</v>
      </c>
    </row>
    <row r="179" spans="1:5" ht="19.95" customHeight="1" x14ac:dyDescent="0.3">
      <c r="A179" s="5" t="s">
        <v>370</v>
      </c>
      <c r="B179" s="6" t="s">
        <v>277</v>
      </c>
      <c r="C179" s="6" t="s">
        <v>371</v>
      </c>
      <c r="D179" s="7" t="s">
        <v>169</v>
      </c>
      <c r="E179" s="8">
        <v>360</v>
      </c>
    </row>
    <row r="180" spans="1:5" ht="19.95" customHeight="1" x14ac:dyDescent="0.3">
      <c r="A180" s="1" t="s">
        <v>372</v>
      </c>
      <c r="B180" s="2" t="s">
        <v>277</v>
      </c>
      <c r="C180" s="2" t="s">
        <v>373</v>
      </c>
      <c r="D180" s="3" t="s">
        <v>169</v>
      </c>
      <c r="E180" s="4">
        <v>70</v>
      </c>
    </row>
    <row r="181" spans="1:5" ht="19.95" customHeight="1" x14ac:dyDescent="0.3">
      <c r="A181" s="5" t="s">
        <v>374</v>
      </c>
      <c r="B181" s="6" t="s">
        <v>277</v>
      </c>
      <c r="C181" s="6" t="s">
        <v>375</v>
      </c>
      <c r="D181" s="7" t="s">
        <v>169</v>
      </c>
      <c r="E181" s="8">
        <v>80</v>
      </c>
    </row>
    <row r="182" spans="1:5" ht="19.95" customHeight="1" x14ac:dyDescent="0.3">
      <c r="A182" s="1" t="s">
        <v>376</v>
      </c>
      <c r="B182" s="2" t="s">
        <v>277</v>
      </c>
      <c r="C182" s="2" t="s">
        <v>377</v>
      </c>
      <c r="D182" s="3" t="s">
        <v>169</v>
      </c>
      <c r="E182" s="4">
        <v>70</v>
      </c>
    </row>
    <row r="183" spans="1:5" ht="19.95" customHeight="1" x14ac:dyDescent="0.3">
      <c r="A183" s="5" t="s">
        <v>378</v>
      </c>
      <c r="B183" s="6" t="s">
        <v>277</v>
      </c>
      <c r="C183" s="6" t="s">
        <v>379</v>
      </c>
      <c r="D183" s="7" t="s">
        <v>169</v>
      </c>
      <c r="E183" s="8">
        <v>12</v>
      </c>
    </row>
    <row r="184" spans="1:5" ht="19.95" customHeight="1" x14ac:dyDescent="0.3">
      <c r="A184" s="1" t="s">
        <v>380</v>
      </c>
      <c r="B184" s="2" t="s">
        <v>277</v>
      </c>
      <c r="C184" s="2" t="s">
        <v>381</v>
      </c>
      <c r="D184" s="3" t="s">
        <v>369</v>
      </c>
      <c r="E184" s="4">
        <v>30</v>
      </c>
    </row>
    <row r="185" spans="1:5" ht="19.95" customHeight="1" x14ac:dyDescent="0.3">
      <c r="A185" s="5" t="s">
        <v>382</v>
      </c>
      <c r="B185" s="6" t="s">
        <v>277</v>
      </c>
      <c r="C185" s="6" t="s">
        <v>383</v>
      </c>
      <c r="D185" s="7" t="s">
        <v>366</v>
      </c>
      <c r="E185" s="8">
        <v>40</v>
      </c>
    </row>
    <row r="186" spans="1:5" ht="19.95" customHeight="1" x14ac:dyDescent="0.3">
      <c r="A186" s="1" t="s">
        <v>384</v>
      </c>
      <c r="B186" s="2" t="s">
        <v>277</v>
      </c>
      <c r="C186" s="2" t="s">
        <v>385</v>
      </c>
      <c r="D186" s="3" t="s">
        <v>189</v>
      </c>
      <c r="E186" s="4">
        <v>15</v>
      </c>
    </row>
    <row r="187" spans="1:5" ht="19.95" customHeight="1" x14ac:dyDescent="0.3">
      <c r="A187" s="5" t="s">
        <v>386</v>
      </c>
      <c r="B187" s="6" t="s">
        <v>277</v>
      </c>
      <c r="C187" s="6" t="s">
        <v>387</v>
      </c>
      <c r="D187" s="7" t="s">
        <v>169</v>
      </c>
      <c r="E187" s="8">
        <v>235</v>
      </c>
    </row>
    <row r="188" spans="1:5" ht="19.95" customHeight="1" x14ac:dyDescent="0.3">
      <c r="A188" s="1" t="s">
        <v>388</v>
      </c>
      <c r="B188" s="2" t="s">
        <v>277</v>
      </c>
      <c r="C188" s="2" t="s">
        <v>389</v>
      </c>
      <c r="D188" s="3" t="s">
        <v>169</v>
      </c>
      <c r="E188" s="4">
        <v>210</v>
      </c>
    </row>
    <row r="189" spans="1:5" ht="19.95" customHeight="1" x14ac:dyDescent="0.3">
      <c r="A189" s="5" t="s">
        <v>390</v>
      </c>
      <c r="B189" s="6" t="s">
        <v>277</v>
      </c>
      <c r="C189" s="6" t="s">
        <v>391</v>
      </c>
      <c r="D189" s="7" t="s">
        <v>169</v>
      </c>
      <c r="E189" s="8">
        <v>320</v>
      </c>
    </row>
    <row r="190" spans="1:5" ht="19.95" customHeight="1" x14ac:dyDescent="0.3">
      <c r="A190" s="1" t="s">
        <v>392</v>
      </c>
      <c r="B190" s="2" t="s">
        <v>277</v>
      </c>
      <c r="C190" s="2" t="s">
        <v>393</v>
      </c>
      <c r="D190" s="3" t="s">
        <v>169</v>
      </c>
      <c r="E190" s="4">
        <v>375</v>
      </c>
    </row>
    <row r="191" spans="1:5" ht="19.95" customHeight="1" x14ac:dyDescent="0.3">
      <c r="A191" s="5" t="s">
        <v>394</v>
      </c>
      <c r="B191" s="6" t="s">
        <v>277</v>
      </c>
      <c r="C191" s="6" t="s">
        <v>395</v>
      </c>
      <c r="D191" s="7" t="s">
        <v>169</v>
      </c>
      <c r="E191" s="8">
        <v>288</v>
      </c>
    </row>
    <row r="192" spans="1:5" ht="19.95" customHeight="1" x14ac:dyDescent="0.3">
      <c r="A192" s="1" t="s">
        <v>396</v>
      </c>
      <c r="B192" s="2" t="s">
        <v>277</v>
      </c>
      <c r="C192" s="2" t="s">
        <v>397</v>
      </c>
      <c r="D192" s="3" t="s">
        <v>169</v>
      </c>
      <c r="E192" s="4">
        <v>230</v>
      </c>
    </row>
    <row r="193" spans="1:5" ht="19.95" customHeight="1" x14ac:dyDescent="0.3">
      <c r="A193" s="5" t="s">
        <v>398</v>
      </c>
      <c r="B193" s="6" t="s">
        <v>277</v>
      </c>
      <c r="C193" s="6" t="s">
        <v>399</v>
      </c>
      <c r="D193" s="7" t="s">
        <v>169</v>
      </c>
      <c r="E193" s="8">
        <v>155</v>
      </c>
    </row>
    <row r="194" spans="1:5" ht="19.95" customHeight="1" x14ac:dyDescent="0.3">
      <c r="A194" s="1" t="s">
        <v>400</v>
      </c>
      <c r="B194" s="2" t="s">
        <v>277</v>
      </c>
      <c r="C194" s="2" t="s">
        <v>401</v>
      </c>
      <c r="D194" s="3" t="s">
        <v>169</v>
      </c>
      <c r="E194" s="4">
        <v>500</v>
      </c>
    </row>
    <row r="195" spans="1:5" ht="19.95" customHeight="1" x14ac:dyDescent="0.3">
      <c r="A195" s="5" t="s">
        <v>402</v>
      </c>
      <c r="B195" s="6" t="s">
        <v>277</v>
      </c>
      <c r="C195" s="6" t="s">
        <v>403</v>
      </c>
      <c r="D195" s="7" t="s">
        <v>369</v>
      </c>
      <c r="E195" s="8">
        <v>38</v>
      </c>
    </row>
    <row r="196" spans="1:5" ht="19.95" customHeight="1" x14ac:dyDescent="0.3">
      <c r="A196" s="1" t="s">
        <v>404</v>
      </c>
      <c r="B196" s="2" t="s">
        <v>277</v>
      </c>
      <c r="C196" s="2" t="s">
        <v>405</v>
      </c>
      <c r="D196" s="3" t="s">
        <v>366</v>
      </c>
      <c r="E196" s="4">
        <v>238</v>
      </c>
    </row>
    <row r="197" spans="1:5" ht="19.95" customHeight="1" x14ac:dyDescent="0.3">
      <c r="A197" s="5" t="s">
        <v>406</v>
      </c>
      <c r="B197" s="6" t="s">
        <v>277</v>
      </c>
      <c r="C197" s="6" t="s">
        <v>407</v>
      </c>
      <c r="D197" s="7" t="s">
        <v>366</v>
      </c>
      <c r="E197" s="8">
        <v>272</v>
      </c>
    </row>
    <row r="198" spans="1:5" ht="19.95" customHeight="1" x14ac:dyDescent="0.3">
      <c r="A198" s="1" t="s">
        <v>408</v>
      </c>
      <c r="B198" s="2" t="s">
        <v>277</v>
      </c>
      <c r="C198" s="2" t="s">
        <v>409</v>
      </c>
      <c r="D198" s="3" t="s">
        <v>366</v>
      </c>
      <c r="E198" s="4">
        <v>215</v>
      </c>
    </row>
    <row r="199" spans="1:5" ht="19.95" customHeight="1" x14ac:dyDescent="0.3">
      <c r="A199" s="5" t="s">
        <v>410</v>
      </c>
      <c r="B199" s="6" t="s">
        <v>277</v>
      </c>
      <c r="C199" s="6" t="s">
        <v>411</v>
      </c>
      <c r="D199" s="7" t="s">
        <v>366</v>
      </c>
      <c r="E199" s="8">
        <v>360</v>
      </c>
    </row>
    <row r="200" spans="1:5" ht="19.95" customHeight="1" x14ac:dyDescent="0.3">
      <c r="A200" s="1" t="s">
        <v>412</v>
      </c>
      <c r="B200" s="2" t="s">
        <v>277</v>
      </c>
      <c r="C200" s="2" t="s">
        <v>413</v>
      </c>
      <c r="D200" s="3" t="s">
        <v>283</v>
      </c>
      <c r="E200" s="4">
        <v>365</v>
      </c>
    </row>
    <row r="201" spans="1:5" ht="19.95" customHeight="1" x14ac:dyDescent="0.3">
      <c r="A201" s="5" t="s">
        <v>414</v>
      </c>
      <c r="B201" s="6" t="s">
        <v>277</v>
      </c>
      <c r="C201" s="6" t="s">
        <v>415</v>
      </c>
      <c r="D201" s="7" t="s">
        <v>369</v>
      </c>
      <c r="E201" s="8">
        <v>1540</v>
      </c>
    </row>
    <row r="202" spans="1:5" ht="19.95" customHeight="1" x14ac:dyDescent="0.3">
      <c r="A202" s="1" t="s">
        <v>416</v>
      </c>
      <c r="B202" s="2" t="s">
        <v>277</v>
      </c>
      <c r="C202" s="2" t="s">
        <v>417</v>
      </c>
      <c r="D202" s="3" t="s">
        <v>366</v>
      </c>
      <c r="E202" s="4">
        <v>15</v>
      </c>
    </row>
    <row r="203" spans="1:5" ht="19.95" customHeight="1" x14ac:dyDescent="0.3">
      <c r="A203" s="5" t="s">
        <v>418</v>
      </c>
      <c r="B203" s="6" t="s">
        <v>277</v>
      </c>
      <c r="C203" s="6" t="s">
        <v>419</v>
      </c>
      <c r="D203" s="7" t="s">
        <v>18</v>
      </c>
      <c r="E203" s="8">
        <v>450</v>
      </c>
    </row>
    <row r="204" spans="1:5" ht="19.95" customHeight="1" x14ac:dyDescent="0.3">
      <c r="A204" s="1" t="s">
        <v>420</v>
      </c>
      <c r="B204" s="2" t="s">
        <v>277</v>
      </c>
      <c r="C204" s="2" t="s">
        <v>421</v>
      </c>
      <c r="D204" s="3" t="s">
        <v>189</v>
      </c>
      <c r="E204" s="4">
        <v>20</v>
      </c>
    </row>
    <row r="205" spans="1:5" ht="19.95" customHeight="1" x14ac:dyDescent="0.3">
      <c r="A205" s="5" t="s">
        <v>422</v>
      </c>
      <c r="B205" s="6" t="s">
        <v>277</v>
      </c>
      <c r="C205" s="6" t="s">
        <v>423</v>
      </c>
      <c r="D205" s="7" t="s">
        <v>189</v>
      </c>
      <c r="E205" s="8">
        <v>20</v>
      </c>
    </row>
    <row r="206" spans="1:5" ht="19.95" customHeight="1" x14ac:dyDescent="0.3">
      <c r="A206" s="1" t="s">
        <v>424</v>
      </c>
      <c r="B206" s="2" t="s">
        <v>277</v>
      </c>
      <c r="C206" s="2" t="s">
        <v>425</v>
      </c>
      <c r="D206" s="3" t="s">
        <v>357</v>
      </c>
      <c r="E206" s="4">
        <v>4940</v>
      </c>
    </row>
    <row r="207" spans="1:5" ht="19.95" customHeight="1" x14ac:dyDescent="0.3">
      <c r="A207" s="5" t="s">
        <v>426</v>
      </c>
      <c r="B207" s="6" t="s">
        <v>277</v>
      </c>
      <c r="C207" s="6" t="s">
        <v>427</v>
      </c>
      <c r="D207" s="7" t="s">
        <v>357</v>
      </c>
      <c r="E207" s="8">
        <v>11200</v>
      </c>
    </row>
    <row r="208" spans="1:5" ht="19.95" customHeight="1" x14ac:dyDescent="0.3">
      <c r="A208" s="1" t="s">
        <v>428</v>
      </c>
      <c r="B208" s="2" t="s">
        <v>277</v>
      </c>
      <c r="C208" s="2" t="s">
        <v>429</v>
      </c>
      <c r="D208" s="3" t="s">
        <v>169</v>
      </c>
      <c r="E208" s="4">
        <v>25</v>
      </c>
    </row>
    <row r="209" spans="1:5" ht="19.95" customHeight="1" x14ac:dyDescent="0.3">
      <c r="A209" s="5" t="s">
        <v>430</v>
      </c>
      <c r="B209" s="6" t="s">
        <v>277</v>
      </c>
      <c r="C209" s="6" t="s">
        <v>431</v>
      </c>
      <c r="D209" s="7" t="s">
        <v>354</v>
      </c>
      <c r="E209" s="8">
        <v>440</v>
      </c>
    </row>
    <row r="210" spans="1:5" ht="19.95" customHeight="1" x14ac:dyDescent="0.3">
      <c r="A210" s="1" t="s">
        <v>432</v>
      </c>
      <c r="B210" s="2" t="s">
        <v>277</v>
      </c>
      <c r="C210" s="2" t="s">
        <v>433</v>
      </c>
      <c r="D210" s="3" t="s">
        <v>366</v>
      </c>
      <c r="E210" s="4">
        <v>130</v>
      </c>
    </row>
    <row r="211" spans="1:5" ht="19.95" customHeight="1" x14ac:dyDescent="0.3">
      <c r="A211" s="5" t="s">
        <v>434</v>
      </c>
      <c r="B211" s="6" t="s">
        <v>277</v>
      </c>
      <c r="C211" s="6" t="s">
        <v>435</v>
      </c>
      <c r="D211" s="7" t="s">
        <v>189</v>
      </c>
      <c r="E211" s="8">
        <v>80</v>
      </c>
    </row>
    <row r="212" spans="1:5" ht="19.95" customHeight="1" x14ac:dyDescent="0.3">
      <c r="A212" s="1" t="s">
        <v>436</v>
      </c>
      <c r="B212" s="2" t="s">
        <v>277</v>
      </c>
      <c r="C212" s="2" t="s">
        <v>437</v>
      </c>
      <c r="D212" s="3" t="s">
        <v>169</v>
      </c>
      <c r="E212" s="4">
        <v>400</v>
      </c>
    </row>
    <row r="213" spans="1:5" ht="19.95" customHeight="1" x14ac:dyDescent="0.3">
      <c r="A213" s="5" t="s">
        <v>438</v>
      </c>
      <c r="B213" s="6" t="s">
        <v>277</v>
      </c>
      <c r="C213" s="6" t="s">
        <v>439</v>
      </c>
      <c r="D213" s="7" t="s">
        <v>279</v>
      </c>
      <c r="E213" s="8">
        <v>775</v>
      </c>
    </row>
    <row r="214" spans="1:5" ht="19.95" customHeight="1" x14ac:dyDescent="0.3">
      <c r="A214" s="1" t="s">
        <v>440</v>
      </c>
      <c r="B214" s="2" t="s">
        <v>277</v>
      </c>
      <c r="C214" s="2" t="s">
        <v>441</v>
      </c>
      <c r="D214" s="3" t="s">
        <v>279</v>
      </c>
      <c r="E214" s="4">
        <v>625</v>
      </c>
    </row>
    <row r="215" spans="1:5" ht="19.95" customHeight="1" x14ac:dyDescent="0.3">
      <c r="A215" s="5" t="s">
        <v>442</v>
      </c>
      <c r="B215" s="6" t="s">
        <v>277</v>
      </c>
      <c r="C215" s="6" t="s">
        <v>443</v>
      </c>
      <c r="D215" s="7" t="s">
        <v>279</v>
      </c>
      <c r="E215" s="8">
        <v>380</v>
      </c>
    </row>
    <row r="216" spans="1:5" ht="19.95" customHeight="1" x14ac:dyDescent="0.3">
      <c r="A216" s="1" t="s">
        <v>444</v>
      </c>
      <c r="B216" s="2" t="s">
        <v>277</v>
      </c>
      <c r="C216" s="2" t="s">
        <v>445</v>
      </c>
      <c r="D216" s="3" t="s">
        <v>279</v>
      </c>
      <c r="E216" s="4">
        <v>155</v>
      </c>
    </row>
    <row r="217" spans="1:5" ht="19.95" customHeight="1" x14ac:dyDescent="0.3">
      <c r="A217" s="5" t="s">
        <v>446</v>
      </c>
      <c r="B217" s="6" t="s">
        <v>277</v>
      </c>
      <c r="C217" s="6" t="s">
        <v>447</v>
      </c>
      <c r="D217" s="7" t="s">
        <v>279</v>
      </c>
      <c r="E217" s="8">
        <v>1309</v>
      </c>
    </row>
    <row r="218" spans="1:5" ht="19.95" customHeight="1" x14ac:dyDescent="0.3">
      <c r="A218" s="1" t="s">
        <v>448</v>
      </c>
      <c r="B218" s="2" t="s">
        <v>277</v>
      </c>
      <c r="C218" s="2" t="s">
        <v>449</v>
      </c>
      <c r="D218" s="3" t="s">
        <v>279</v>
      </c>
      <c r="E218" s="4">
        <v>997</v>
      </c>
    </row>
    <row r="219" spans="1:5" ht="19.95" customHeight="1" x14ac:dyDescent="0.3">
      <c r="A219" s="5" t="s">
        <v>450</v>
      </c>
      <c r="B219" s="6" t="s">
        <v>277</v>
      </c>
      <c r="C219" s="6" t="s">
        <v>451</v>
      </c>
      <c r="D219" s="7" t="s">
        <v>279</v>
      </c>
      <c r="E219" s="8">
        <v>838</v>
      </c>
    </row>
    <row r="220" spans="1:5" ht="19.95" customHeight="1" x14ac:dyDescent="0.3">
      <c r="A220" s="1" t="s">
        <v>452</v>
      </c>
      <c r="B220" s="2" t="s">
        <v>277</v>
      </c>
      <c r="C220" s="2" t="s">
        <v>453</v>
      </c>
      <c r="D220" s="3" t="s">
        <v>279</v>
      </c>
      <c r="E220" s="4">
        <v>2610</v>
      </c>
    </row>
    <row r="221" spans="1:5" ht="19.95" customHeight="1" x14ac:dyDescent="0.3">
      <c r="A221" s="5" t="s">
        <v>454</v>
      </c>
      <c r="B221" s="6" t="s">
        <v>277</v>
      </c>
      <c r="C221" s="6" t="s">
        <v>455</v>
      </c>
      <c r="D221" s="7" t="s">
        <v>279</v>
      </c>
      <c r="E221" s="8">
        <v>2300</v>
      </c>
    </row>
    <row r="222" spans="1:5" ht="19.95" customHeight="1" x14ac:dyDescent="0.3">
      <c r="A222" s="1" t="s">
        <v>456</v>
      </c>
      <c r="B222" s="2" t="s">
        <v>277</v>
      </c>
      <c r="C222" s="2" t="s">
        <v>457</v>
      </c>
      <c r="D222" s="3" t="s">
        <v>279</v>
      </c>
      <c r="E222" s="4">
        <v>2090</v>
      </c>
    </row>
    <row r="223" spans="1:5" ht="19.95" customHeight="1" x14ac:dyDescent="0.3">
      <c r="A223" s="5" t="s">
        <v>458</v>
      </c>
      <c r="B223" s="6" t="s">
        <v>277</v>
      </c>
      <c r="C223" s="6" t="s">
        <v>459</v>
      </c>
      <c r="D223" s="7" t="s">
        <v>279</v>
      </c>
      <c r="E223" s="8">
        <v>1870</v>
      </c>
    </row>
    <row r="224" spans="1:5" ht="19.95" customHeight="1" x14ac:dyDescent="0.3">
      <c r="A224" s="1" t="s">
        <v>460</v>
      </c>
      <c r="B224" s="2" t="s">
        <v>277</v>
      </c>
      <c r="C224" s="2" t="s">
        <v>461</v>
      </c>
      <c r="D224" s="3" t="s">
        <v>189</v>
      </c>
      <c r="E224" s="4">
        <v>425</v>
      </c>
    </row>
    <row r="225" spans="1:5" ht="19.95" customHeight="1" x14ac:dyDescent="0.3">
      <c r="A225" s="5" t="s">
        <v>462</v>
      </c>
      <c r="B225" s="6" t="s">
        <v>277</v>
      </c>
      <c r="C225" s="6" t="s">
        <v>463</v>
      </c>
      <c r="D225" s="7" t="s">
        <v>189</v>
      </c>
      <c r="E225" s="8">
        <v>285</v>
      </c>
    </row>
    <row r="226" spans="1:5" ht="19.95" customHeight="1" x14ac:dyDescent="0.3">
      <c r="A226" s="1" t="s">
        <v>464</v>
      </c>
      <c r="B226" s="2" t="s">
        <v>277</v>
      </c>
      <c r="C226" s="2" t="s">
        <v>465</v>
      </c>
      <c r="D226" s="3" t="s">
        <v>189</v>
      </c>
      <c r="E226" s="4">
        <v>250</v>
      </c>
    </row>
    <row r="227" spans="1:5" ht="19.95" customHeight="1" x14ac:dyDescent="0.3">
      <c r="A227" s="5" t="s">
        <v>466</v>
      </c>
      <c r="B227" s="6" t="s">
        <v>277</v>
      </c>
      <c r="C227" s="6" t="s">
        <v>467</v>
      </c>
      <c r="D227" s="7" t="s">
        <v>189</v>
      </c>
      <c r="E227" s="8">
        <v>480</v>
      </c>
    </row>
    <row r="228" spans="1:5" ht="19.95" customHeight="1" x14ac:dyDescent="0.3">
      <c r="A228" s="1" t="s">
        <v>468</v>
      </c>
      <c r="B228" s="2" t="s">
        <v>277</v>
      </c>
      <c r="C228" s="2" t="s">
        <v>469</v>
      </c>
      <c r="D228" s="3" t="s">
        <v>189</v>
      </c>
      <c r="E228" s="4">
        <v>400</v>
      </c>
    </row>
    <row r="229" spans="1:5" ht="19.95" customHeight="1" x14ac:dyDescent="0.3">
      <c r="A229" s="5" t="s">
        <v>470</v>
      </c>
      <c r="B229" s="6" t="s">
        <v>277</v>
      </c>
      <c r="C229" s="6" t="s">
        <v>471</v>
      </c>
      <c r="D229" s="7" t="s">
        <v>189</v>
      </c>
      <c r="E229" s="8">
        <v>390</v>
      </c>
    </row>
    <row r="230" spans="1:5" ht="19.95" customHeight="1" x14ac:dyDescent="0.3">
      <c r="A230" s="1" t="s">
        <v>472</v>
      </c>
      <c r="B230" s="2" t="s">
        <v>277</v>
      </c>
      <c r="C230" s="2" t="s">
        <v>473</v>
      </c>
      <c r="D230" s="3" t="s">
        <v>189</v>
      </c>
      <c r="E230" s="4">
        <v>257</v>
      </c>
    </row>
    <row r="231" spans="1:5" ht="19.95" customHeight="1" x14ac:dyDescent="0.3">
      <c r="A231" s="5" t="s">
        <v>474</v>
      </c>
      <c r="B231" s="6" t="s">
        <v>277</v>
      </c>
      <c r="C231" s="6" t="s">
        <v>475</v>
      </c>
      <c r="D231" s="7" t="s">
        <v>189</v>
      </c>
      <c r="E231" s="8">
        <v>205</v>
      </c>
    </row>
    <row r="232" spans="1:5" ht="19.95" customHeight="1" x14ac:dyDescent="0.3">
      <c r="A232" s="1" t="s">
        <v>476</v>
      </c>
      <c r="B232" s="2" t="s">
        <v>277</v>
      </c>
      <c r="C232" s="2" t="s">
        <v>477</v>
      </c>
      <c r="D232" s="3" t="s">
        <v>189</v>
      </c>
      <c r="E232" s="4">
        <v>154</v>
      </c>
    </row>
    <row r="233" spans="1:5" ht="19.95" customHeight="1" x14ac:dyDescent="0.3">
      <c r="A233" s="5" t="s">
        <v>478</v>
      </c>
      <c r="B233" s="6" t="s">
        <v>277</v>
      </c>
      <c r="C233" s="6" t="s">
        <v>479</v>
      </c>
      <c r="D233" s="7" t="s">
        <v>189</v>
      </c>
      <c r="E233" s="8">
        <v>103</v>
      </c>
    </row>
    <row r="234" spans="1:5" ht="19.95" customHeight="1" x14ac:dyDescent="0.3">
      <c r="A234" s="1" t="s">
        <v>480</v>
      </c>
      <c r="B234" s="2" t="s">
        <v>277</v>
      </c>
      <c r="C234" s="2" t="s">
        <v>481</v>
      </c>
      <c r="D234" s="3" t="s">
        <v>189</v>
      </c>
      <c r="E234" s="4">
        <v>150</v>
      </c>
    </row>
    <row r="235" spans="1:5" ht="19.95" customHeight="1" x14ac:dyDescent="0.3">
      <c r="A235" s="5" t="s">
        <v>482</v>
      </c>
      <c r="B235" s="6" t="s">
        <v>277</v>
      </c>
      <c r="C235" s="6" t="s">
        <v>483</v>
      </c>
      <c r="D235" s="7" t="s">
        <v>189</v>
      </c>
      <c r="E235" s="8">
        <v>130</v>
      </c>
    </row>
    <row r="236" spans="1:5" ht="19.95" customHeight="1" x14ac:dyDescent="0.3">
      <c r="A236" s="1" t="s">
        <v>484</v>
      </c>
      <c r="B236" s="2" t="s">
        <v>277</v>
      </c>
      <c r="C236" s="2" t="s">
        <v>485</v>
      </c>
      <c r="D236" s="3" t="s">
        <v>189</v>
      </c>
      <c r="E236" s="4">
        <v>90</v>
      </c>
    </row>
    <row r="237" spans="1:5" ht="19.95" customHeight="1" x14ac:dyDescent="0.3">
      <c r="A237" s="5" t="s">
        <v>486</v>
      </c>
      <c r="B237" s="6" t="s">
        <v>277</v>
      </c>
      <c r="C237" s="6" t="s">
        <v>487</v>
      </c>
      <c r="D237" s="7" t="s">
        <v>189</v>
      </c>
      <c r="E237" s="8">
        <v>144</v>
      </c>
    </row>
    <row r="238" spans="1:5" ht="19.95" customHeight="1" x14ac:dyDescent="0.3">
      <c r="A238" s="1" t="s">
        <v>488</v>
      </c>
      <c r="B238" s="2" t="s">
        <v>277</v>
      </c>
      <c r="C238" s="2" t="s">
        <v>489</v>
      </c>
      <c r="D238" s="3" t="s">
        <v>189</v>
      </c>
      <c r="E238" s="4">
        <v>133</v>
      </c>
    </row>
    <row r="239" spans="1:5" ht="19.95" customHeight="1" x14ac:dyDescent="0.3">
      <c r="A239" s="5" t="s">
        <v>490</v>
      </c>
      <c r="B239" s="6" t="s">
        <v>277</v>
      </c>
      <c r="C239" s="6" t="s">
        <v>491</v>
      </c>
      <c r="D239" s="7" t="s">
        <v>189</v>
      </c>
      <c r="E239" s="8">
        <v>103</v>
      </c>
    </row>
    <row r="240" spans="1:5" ht="19.95" customHeight="1" x14ac:dyDescent="0.3">
      <c r="A240" s="1" t="s">
        <v>492</v>
      </c>
      <c r="B240" s="2" t="s">
        <v>277</v>
      </c>
      <c r="C240" s="2" t="s">
        <v>493</v>
      </c>
      <c r="D240" s="3" t="s">
        <v>189</v>
      </c>
      <c r="E240" s="4">
        <v>185</v>
      </c>
    </row>
    <row r="241" spans="1:5" ht="19.95" customHeight="1" x14ac:dyDescent="0.3">
      <c r="A241" s="5" t="s">
        <v>494</v>
      </c>
      <c r="B241" s="6" t="s">
        <v>277</v>
      </c>
      <c r="C241" s="6" t="s">
        <v>495</v>
      </c>
      <c r="D241" s="7" t="s">
        <v>189</v>
      </c>
      <c r="E241" s="8">
        <v>175</v>
      </c>
    </row>
    <row r="242" spans="1:5" ht="19.95" customHeight="1" x14ac:dyDescent="0.3">
      <c r="A242" s="1" t="s">
        <v>496</v>
      </c>
      <c r="B242" s="2" t="s">
        <v>277</v>
      </c>
      <c r="C242" s="2" t="s">
        <v>497</v>
      </c>
      <c r="D242" s="3" t="s">
        <v>189</v>
      </c>
      <c r="E242" s="4">
        <v>400</v>
      </c>
    </row>
    <row r="243" spans="1:5" ht="19.95" customHeight="1" x14ac:dyDescent="0.3">
      <c r="A243" s="5" t="s">
        <v>498</v>
      </c>
      <c r="B243" s="6" t="s">
        <v>277</v>
      </c>
      <c r="C243" s="6" t="s">
        <v>499</v>
      </c>
      <c r="D243" s="7" t="s">
        <v>189</v>
      </c>
      <c r="E243" s="8">
        <v>310</v>
      </c>
    </row>
    <row r="244" spans="1:5" ht="19.95" customHeight="1" x14ac:dyDescent="0.3">
      <c r="A244" s="1" t="s">
        <v>500</v>
      </c>
      <c r="B244" s="2" t="s">
        <v>277</v>
      </c>
      <c r="C244" s="2" t="s">
        <v>501</v>
      </c>
      <c r="D244" s="3" t="s">
        <v>189</v>
      </c>
      <c r="E244" s="4">
        <v>160</v>
      </c>
    </row>
    <row r="245" spans="1:5" ht="19.95" customHeight="1" x14ac:dyDescent="0.3">
      <c r="A245" s="5" t="s">
        <v>502</v>
      </c>
      <c r="B245" s="6" t="s">
        <v>277</v>
      </c>
      <c r="C245" s="6" t="s">
        <v>503</v>
      </c>
      <c r="D245" s="7" t="s">
        <v>279</v>
      </c>
      <c r="E245" s="8">
        <v>600</v>
      </c>
    </row>
    <row r="246" spans="1:5" ht="19.95" customHeight="1" x14ac:dyDescent="0.3">
      <c r="A246" s="1" t="s">
        <v>504</v>
      </c>
      <c r="B246" s="2" t="s">
        <v>277</v>
      </c>
      <c r="C246" s="2" t="s">
        <v>505</v>
      </c>
      <c r="D246" s="3" t="s">
        <v>279</v>
      </c>
      <c r="E246" s="4">
        <v>574</v>
      </c>
    </row>
    <row r="247" spans="1:5" ht="19.95" customHeight="1" x14ac:dyDescent="0.3">
      <c r="A247" s="5" t="s">
        <v>506</v>
      </c>
      <c r="B247" s="6" t="s">
        <v>277</v>
      </c>
      <c r="C247" s="6" t="s">
        <v>507</v>
      </c>
      <c r="D247" s="7" t="s">
        <v>279</v>
      </c>
      <c r="E247" s="8">
        <v>510</v>
      </c>
    </row>
    <row r="248" spans="1:5" ht="19.95" customHeight="1" x14ac:dyDescent="0.3">
      <c r="A248" s="1" t="s">
        <v>508</v>
      </c>
      <c r="B248" s="2" t="s">
        <v>277</v>
      </c>
      <c r="C248" s="2" t="s">
        <v>509</v>
      </c>
      <c r="D248" s="3" t="s">
        <v>279</v>
      </c>
      <c r="E248" s="4">
        <v>400</v>
      </c>
    </row>
    <row r="249" spans="1:5" ht="19.95" customHeight="1" x14ac:dyDescent="0.3">
      <c r="A249" s="5" t="s">
        <v>510</v>
      </c>
      <c r="B249" s="6" t="s">
        <v>277</v>
      </c>
      <c r="C249" s="6" t="s">
        <v>511</v>
      </c>
      <c r="D249" s="7" t="s">
        <v>279</v>
      </c>
      <c r="E249" s="8">
        <v>345</v>
      </c>
    </row>
    <row r="250" spans="1:5" ht="19.95" customHeight="1" x14ac:dyDescent="0.3">
      <c r="A250" s="1" t="s">
        <v>512</v>
      </c>
      <c r="B250" s="2" t="s">
        <v>277</v>
      </c>
      <c r="C250" s="2" t="s">
        <v>513</v>
      </c>
      <c r="D250" s="3" t="s">
        <v>189</v>
      </c>
      <c r="E250" s="4">
        <v>45</v>
      </c>
    </row>
    <row r="251" spans="1:5" ht="19.95" customHeight="1" x14ac:dyDescent="0.3">
      <c r="A251" s="5" t="s">
        <v>514</v>
      </c>
      <c r="B251" s="6" t="s">
        <v>277</v>
      </c>
      <c r="C251" s="6" t="s">
        <v>515</v>
      </c>
      <c r="D251" s="7" t="s">
        <v>189</v>
      </c>
      <c r="E251" s="8">
        <v>126</v>
      </c>
    </row>
    <row r="252" spans="1:5" ht="19.95" customHeight="1" x14ac:dyDescent="0.3">
      <c r="A252" s="1" t="s">
        <v>516</v>
      </c>
      <c r="B252" s="2" t="s">
        <v>277</v>
      </c>
      <c r="C252" s="2" t="s">
        <v>517</v>
      </c>
      <c r="D252" s="3" t="s">
        <v>189</v>
      </c>
      <c r="E252" s="4">
        <v>100</v>
      </c>
    </row>
    <row r="253" spans="1:5" ht="19.95" customHeight="1" x14ac:dyDescent="0.3">
      <c r="A253" s="5" t="s">
        <v>518</v>
      </c>
      <c r="B253" s="6" t="s">
        <v>277</v>
      </c>
      <c r="C253" s="6" t="s">
        <v>519</v>
      </c>
      <c r="D253" s="7" t="s">
        <v>189</v>
      </c>
      <c r="E253" s="8">
        <v>95</v>
      </c>
    </row>
    <row r="254" spans="1:5" ht="19.95" customHeight="1" x14ac:dyDescent="0.3">
      <c r="A254" s="1" t="s">
        <v>520</v>
      </c>
      <c r="B254" s="2" t="s">
        <v>277</v>
      </c>
      <c r="C254" s="2" t="s">
        <v>521</v>
      </c>
      <c r="D254" s="3" t="s">
        <v>189</v>
      </c>
      <c r="E254" s="4">
        <v>110</v>
      </c>
    </row>
    <row r="255" spans="1:5" ht="19.95" customHeight="1" x14ac:dyDescent="0.3">
      <c r="A255" s="5" t="s">
        <v>522</v>
      </c>
      <c r="B255" s="6" t="s">
        <v>277</v>
      </c>
      <c r="C255" s="6" t="s">
        <v>523</v>
      </c>
      <c r="D255" s="7" t="s">
        <v>279</v>
      </c>
      <c r="E255" s="8">
        <v>170</v>
      </c>
    </row>
    <row r="256" spans="1:5" ht="19.95" customHeight="1" x14ac:dyDescent="0.3">
      <c r="A256" s="1" t="s">
        <v>524</v>
      </c>
      <c r="B256" s="2" t="s">
        <v>277</v>
      </c>
      <c r="C256" s="2" t="s">
        <v>525</v>
      </c>
      <c r="D256" s="3" t="s">
        <v>279</v>
      </c>
      <c r="E256" s="4">
        <v>168</v>
      </c>
    </row>
    <row r="257" spans="1:5" ht="19.95" customHeight="1" x14ac:dyDescent="0.3">
      <c r="A257" s="5" t="s">
        <v>526</v>
      </c>
      <c r="B257" s="6" t="s">
        <v>277</v>
      </c>
      <c r="C257" s="6" t="s">
        <v>527</v>
      </c>
      <c r="D257" s="7" t="s">
        <v>189</v>
      </c>
      <c r="E257" s="8">
        <v>36</v>
      </c>
    </row>
    <row r="258" spans="1:5" ht="19.95" customHeight="1" x14ac:dyDescent="0.3">
      <c r="A258" s="1" t="s">
        <v>528</v>
      </c>
      <c r="B258" s="2" t="s">
        <v>277</v>
      </c>
      <c r="C258" s="2" t="s">
        <v>529</v>
      </c>
      <c r="D258" s="3" t="s">
        <v>279</v>
      </c>
      <c r="E258" s="4">
        <v>740</v>
      </c>
    </row>
    <row r="259" spans="1:5" ht="19.95" customHeight="1" x14ac:dyDescent="0.3">
      <c r="A259" s="5" t="s">
        <v>530</v>
      </c>
      <c r="B259" s="6" t="s">
        <v>277</v>
      </c>
      <c r="C259" s="6" t="s">
        <v>531</v>
      </c>
      <c r="D259" s="7" t="s">
        <v>279</v>
      </c>
      <c r="E259" s="8">
        <v>670</v>
      </c>
    </row>
    <row r="260" spans="1:5" ht="19.95" customHeight="1" x14ac:dyDescent="0.3">
      <c r="A260" s="1" t="s">
        <v>532</v>
      </c>
      <c r="B260" s="2" t="s">
        <v>277</v>
      </c>
      <c r="C260" s="2" t="s">
        <v>533</v>
      </c>
      <c r="D260" s="3" t="s">
        <v>279</v>
      </c>
      <c r="E260" s="4">
        <v>575</v>
      </c>
    </row>
    <row r="261" spans="1:5" ht="19.95" customHeight="1" x14ac:dyDescent="0.3">
      <c r="A261" s="5" t="s">
        <v>534</v>
      </c>
      <c r="B261" s="6" t="s">
        <v>277</v>
      </c>
      <c r="C261" s="6" t="s">
        <v>535</v>
      </c>
      <c r="D261" s="7" t="s">
        <v>189</v>
      </c>
      <c r="E261" s="8">
        <v>610</v>
      </c>
    </row>
    <row r="262" spans="1:5" ht="19.95" customHeight="1" x14ac:dyDescent="0.3">
      <c r="A262" s="1" t="s">
        <v>536</v>
      </c>
      <c r="B262" s="2" t="s">
        <v>277</v>
      </c>
      <c r="C262" s="2" t="s">
        <v>537</v>
      </c>
      <c r="D262" s="3" t="s">
        <v>189</v>
      </c>
      <c r="E262" s="4">
        <v>290</v>
      </c>
    </row>
    <row r="263" spans="1:5" ht="19.95" customHeight="1" x14ac:dyDescent="0.3">
      <c r="A263" s="5" t="s">
        <v>538</v>
      </c>
      <c r="B263" s="6" t="s">
        <v>277</v>
      </c>
      <c r="C263" s="6" t="s">
        <v>539</v>
      </c>
      <c r="D263" s="7" t="s">
        <v>283</v>
      </c>
      <c r="E263" s="8">
        <v>140</v>
      </c>
    </row>
    <row r="264" spans="1:5" ht="19.95" customHeight="1" x14ac:dyDescent="0.3">
      <c r="A264" s="1" t="s">
        <v>540</v>
      </c>
      <c r="B264" s="2" t="s">
        <v>277</v>
      </c>
      <c r="C264" s="2" t="s">
        <v>541</v>
      </c>
      <c r="D264" s="3" t="s">
        <v>283</v>
      </c>
      <c r="E264" s="4">
        <v>190</v>
      </c>
    </row>
    <row r="265" spans="1:5" ht="19.95" customHeight="1" x14ac:dyDescent="0.3">
      <c r="A265" s="5" t="s">
        <v>542</v>
      </c>
      <c r="B265" s="6" t="s">
        <v>277</v>
      </c>
      <c r="C265" s="6" t="s">
        <v>543</v>
      </c>
      <c r="D265" s="7" t="s">
        <v>189</v>
      </c>
      <c r="E265" s="8">
        <v>45</v>
      </c>
    </row>
    <row r="266" spans="1:5" ht="19.95" customHeight="1" x14ac:dyDescent="0.3">
      <c r="A266" s="1" t="s">
        <v>544</v>
      </c>
      <c r="B266" s="2" t="s">
        <v>277</v>
      </c>
      <c r="C266" s="2" t="s">
        <v>545</v>
      </c>
      <c r="D266" s="3" t="s">
        <v>189</v>
      </c>
      <c r="E266" s="4">
        <v>36</v>
      </c>
    </row>
    <row r="267" spans="1:5" ht="19.95" customHeight="1" x14ac:dyDescent="0.3">
      <c r="A267" s="5" t="s">
        <v>546</v>
      </c>
      <c r="B267" s="6" t="s">
        <v>277</v>
      </c>
      <c r="C267" s="6" t="s">
        <v>547</v>
      </c>
      <c r="D267" s="7" t="s">
        <v>548</v>
      </c>
      <c r="E267" s="8">
        <v>220</v>
      </c>
    </row>
    <row r="268" spans="1:5" ht="19.95" customHeight="1" x14ac:dyDescent="0.3">
      <c r="A268" s="1" t="s">
        <v>549</v>
      </c>
      <c r="B268" s="2" t="s">
        <v>277</v>
      </c>
      <c r="C268" s="2" t="s">
        <v>550</v>
      </c>
      <c r="D268" s="3" t="s">
        <v>548</v>
      </c>
      <c r="E268" s="4">
        <v>170</v>
      </c>
    </row>
    <row r="269" spans="1:5" ht="19.95" customHeight="1" x14ac:dyDescent="0.3">
      <c r="A269" s="5" t="s">
        <v>551</v>
      </c>
      <c r="B269" s="6" t="s">
        <v>277</v>
      </c>
      <c r="C269" s="6" t="s">
        <v>552</v>
      </c>
      <c r="D269" s="7" t="s">
        <v>548</v>
      </c>
      <c r="E269" s="8">
        <v>140</v>
      </c>
    </row>
    <row r="270" spans="1:5" ht="19.95" customHeight="1" x14ac:dyDescent="0.3">
      <c r="A270" s="1" t="s">
        <v>553</v>
      </c>
      <c r="B270" s="2" t="s">
        <v>277</v>
      </c>
      <c r="C270" s="2" t="s">
        <v>554</v>
      </c>
      <c r="D270" s="3" t="s">
        <v>548</v>
      </c>
      <c r="E270" s="4">
        <v>100</v>
      </c>
    </row>
    <row r="271" spans="1:5" ht="19.95" customHeight="1" x14ac:dyDescent="0.3">
      <c r="A271" s="5" t="s">
        <v>555</v>
      </c>
      <c r="B271" s="6" t="s">
        <v>277</v>
      </c>
      <c r="C271" s="6" t="s">
        <v>556</v>
      </c>
      <c r="D271" s="7" t="s">
        <v>548</v>
      </c>
      <c r="E271" s="8">
        <v>95</v>
      </c>
    </row>
    <row r="272" spans="1:5" ht="19.95" customHeight="1" x14ac:dyDescent="0.3">
      <c r="A272" s="1" t="s">
        <v>557</v>
      </c>
      <c r="B272" s="2" t="s">
        <v>277</v>
      </c>
      <c r="C272" s="2" t="s">
        <v>558</v>
      </c>
      <c r="D272" s="3" t="s">
        <v>283</v>
      </c>
      <c r="E272" s="4">
        <v>125</v>
      </c>
    </row>
    <row r="273" spans="1:5" ht="19.95" customHeight="1" x14ac:dyDescent="0.3">
      <c r="A273" s="5" t="s">
        <v>559</v>
      </c>
      <c r="B273" s="6" t="s">
        <v>277</v>
      </c>
      <c r="C273" s="6" t="s">
        <v>560</v>
      </c>
      <c r="D273" s="7" t="s">
        <v>283</v>
      </c>
      <c r="E273" s="8">
        <v>170</v>
      </c>
    </row>
    <row r="274" spans="1:5" ht="19.95" customHeight="1" x14ac:dyDescent="0.3">
      <c r="A274" s="1" t="s">
        <v>561</v>
      </c>
      <c r="B274" s="2" t="s">
        <v>277</v>
      </c>
      <c r="C274" s="2" t="s">
        <v>560</v>
      </c>
      <c r="D274" s="3" t="s">
        <v>189</v>
      </c>
      <c r="E274" s="4">
        <v>46</v>
      </c>
    </row>
    <row r="275" spans="1:5" ht="19.95" customHeight="1" x14ac:dyDescent="0.3">
      <c r="A275" s="5" t="s">
        <v>562</v>
      </c>
      <c r="B275" s="6" t="s">
        <v>277</v>
      </c>
      <c r="C275" s="6" t="s">
        <v>560</v>
      </c>
      <c r="D275" s="7" t="s">
        <v>189</v>
      </c>
      <c r="E275" s="8">
        <v>55</v>
      </c>
    </row>
    <row r="276" spans="1:5" ht="19.95" customHeight="1" x14ac:dyDescent="0.3">
      <c r="A276" s="1" t="s">
        <v>563</v>
      </c>
      <c r="B276" s="2" t="s">
        <v>277</v>
      </c>
      <c r="C276" s="2" t="s">
        <v>564</v>
      </c>
      <c r="D276" s="3" t="s">
        <v>189</v>
      </c>
      <c r="E276" s="4">
        <v>2</v>
      </c>
    </row>
    <row r="277" spans="1:5" ht="19.95" customHeight="1" x14ac:dyDescent="0.3">
      <c r="A277" s="5" t="s">
        <v>565</v>
      </c>
      <c r="B277" s="6" t="s">
        <v>277</v>
      </c>
      <c r="C277" s="6" t="s">
        <v>566</v>
      </c>
      <c r="D277" s="7" t="s">
        <v>279</v>
      </c>
      <c r="E277" s="8">
        <v>905</v>
      </c>
    </row>
    <row r="278" spans="1:5" ht="19.95" customHeight="1" x14ac:dyDescent="0.3">
      <c r="A278" s="1" t="s">
        <v>567</v>
      </c>
      <c r="B278" s="2" t="s">
        <v>277</v>
      </c>
      <c r="C278" s="2" t="s">
        <v>568</v>
      </c>
      <c r="D278" s="3" t="s">
        <v>279</v>
      </c>
      <c r="E278" s="4">
        <v>805</v>
      </c>
    </row>
    <row r="279" spans="1:5" ht="19.95" customHeight="1" x14ac:dyDescent="0.3">
      <c r="A279" s="5" t="s">
        <v>569</v>
      </c>
      <c r="B279" s="6" t="s">
        <v>277</v>
      </c>
      <c r="C279" s="6" t="s">
        <v>570</v>
      </c>
      <c r="D279" s="7" t="s">
        <v>279</v>
      </c>
      <c r="E279" s="8">
        <v>690</v>
      </c>
    </row>
    <row r="280" spans="1:5" ht="19.95" customHeight="1" x14ac:dyDescent="0.3">
      <c r="A280" s="1" t="s">
        <v>571</v>
      </c>
      <c r="B280" s="2" t="s">
        <v>277</v>
      </c>
      <c r="C280" s="2" t="s">
        <v>572</v>
      </c>
      <c r="D280" s="3" t="s">
        <v>279</v>
      </c>
      <c r="E280" s="4">
        <v>421</v>
      </c>
    </row>
    <row r="281" spans="1:5" ht="19.95" customHeight="1" x14ac:dyDescent="0.3">
      <c r="A281" s="5" t="s">
        <v>573</v>
      </c>
      <c r="B281" s="6" t="s">
        <v>277</v>
      </c>
      <c r="C281" s="6" t="s">
        <v>574</v>
      </c>
      <c r="D281" s="7" t="s">
        <v>279</v>
      </c>
      <c r="E281" s="8">
        <v>180</v>
      </c>
    </row>
    <row r="282" spans="1:5" ht="19.95" customHeight="1" x14ac:dyDescent="0.3">
      <c r="A282" s="1" t="s">
        <v>575</v>
      </c>
      <c r="B282" s="2" t="s">
        <v>277</v>
      </c>
      <c r="C282" s="2" t="s">
        <v>576</v>
      </c>
      <c r="D282" s="3" t="s">
        <v>577</v>
      </c>
      <c r="E282" s="4">
        <v>255</v>
      </c>
    </row>
    <row r="283" spans="1:5" ht="19.95" customHeight="1" x14ac:dyDescent="0.3">
      <c r="A283" s="5" t="s">
        <v>578</v>
      </c>
      <c r="B283" s="6" t="s">
        <v>277</v>
      </c>
      <c r="C283" s="6" t="s">
        <v>579</v>
      </c>
      <c r="D283" s="7" t="s">
        <v>279</v>
      </c>
      <c r="E283" s="8">
        <v>455</v>
      </c>
    </row>
    <row r="284" spans="1:5" ht="19.95" customHeight="1" x14ac:dyDescent="0.3">
      <c r="A284" s="1" t="s">
        <v>580</v>
      </c>
      <c r="B284" s="2" t="s">
        <v>277</v>
      </c>
      <c r="C284" s="2" t="s">
        <v>581</v>
      </c>
      <c r="D284" s="3" t="s">
        <v>279</v>
      </c>
      <c r="E284" s="4">
        <v>640</v>
      </c>
    </row>
    <row r="285" spans="1:5" ht="19.95" customHeight="1" x14ac:dyDescent="0.3">
      <c r="A285" s="5" t="s">
        <v>582</v>
      </c>
      <c r="B285" s="6" t="s">
        <v>277</v>
      </c>
      <c r="C285" s="6" t="s">
        <v>583</v>
      </c>
      <c r="D285" s="7" t="s">
        <v>189</v>
      </c>
      <c r="E285" s="8">
        <v>160</v>
      </c>
    </row>
    <row r="286" spans="1:5" ht="19.95" customHeight="1" x14ac:dyDescent="0.3">
      <c r="A286" s="1" t="s">
        <v>584</v>
      </c>
      <c r="B286" s="2" t="s">
        <v>277</v>
      </c>
      <c r="C286" s="2" t="s">
        <v>585</v>
      </c>
      <c r="D286" s="3" t="s">
        <v>189</v>
      </c>
      <c r="E286" s="4">
        <v>140</v>
      </c>
    </row>
    <row r="287" spans="1:5" ht="19.95" customHeight="1" x14ac:dyDescent="0.3">
      <c r="A287" s="5" t="s">
        <v>586</v>
      </c>
      <c r="B287" s="6" t="s">
        <v>277</v>
      </c>
      <c r="C287" s="6" t="s">
        <v>587</v>
      </c>
      <c r="D287" s="7" t="s">
        <v>189</v>
      </c>
      <c r="E287" s="8">
        <v>125</v>
      </c>
    </row>
    <row r="288" spans="1:5" ht="19.95" customHeight="1" x14ac:dyDescent="0.3">
      <c r="A288" s="1" t="s">
        <v>588</v>
      </c>
      <c r="B288" s="2" t="s">
        <v>277</v>
      </c>
      <c r="C288" s="2" t="s">
        <v>589</v>
      </c>
      <c r="D288" s="3" t="s">
        <v>189</v>
      </c>
      <c r="E288" s="4">
        <v>470</v>
      </c>
    </row>
    <row r="289" spans="1:5" ht="19.95" customHeight="1" x14ac:dyDescent="0.3">
      <c r="A289" s="5" t="s">
        <v>590</v>
      </c>
      <c r="B289" s="6" t="s">
        <v>277</v>
      </c>
      <c r="C289" s="6" t="s">
        <v>591</v>
      </c>
      <c r="D289" s="7" t="s">
        <v>189</v>
      </c>
      <c r="E289" s="8">
        <v>90</v>
      </c>
    </row>
    <row r="290" spans="1:5" ht="19.95" customHeight="1" x14ac:dyDescent="0.3">
      <c r="A290" s="1" t="s">
        <v>592</v>
      </c>
      <c r="B290" s="2" t="s">
        <v>277</v>
      </c>
      <c r="C290" s="2" t="s">
        <v>593</v>
      </c>
      <c r="D290" s="3" t="s">
        <v>189</v>
      </c>
      <c r="E290" s="4">
        <v>140</v>
      </c>
    </row>
    <row r="291" spans="1:5" ht="19.95" customHeight="1" x14ac:dyDescent="0.3">
      <c r="A291" s="5" t="s">
        <v>594</v>
      </c>
      <c r="B291" s="6" t="s">
        <v>277</v>
      </c>
      <c r="C291" s="6" t="s">
        <v>595</v>
      </c>
      <c r="D291" s="7" t="s">
        <v>189</v>
      </c>
      <c r="E291" s="8">
        <v>120</v>
      </c>
    </row>
    <row r="292" spans="1:5" ht="19.95" customHeight="1" x14ac:dyDescent="0.3">
      <c r="A292" s="1" t="s">
        <v>596</v>
      </c>
      <c r="B292" s="2" t="s">
        <v>277</v>
      </c>
      <c r="C292" s="2" t="s">
        <v>597</v>
      </c>
      <c r="D292" s="3" t="s">
        <v>189</v>
      </c>
      <c r="E292" s="4">
        <v>100</v>
      </c>
    </row>
    <row r="293" spans="1:5" ht="19.95" customHeight="1" x14ac:dyDescent="0.3">
      <c r="A293" s="5" t="s">
        <v>598</v>
      </c>
      <c r="B293" s="6" t="s">
        <v>277</v>
      </c>
      <c r="C293" s="6" t="s">
        <v>599</v>
      </c>
      <c r="D293" s="7" t="s">
        <v>189</v>
      </c>
      <c r="E293" s="8">
        <v>500</v>
      </c>
    </row>
    <row r="294" spans="1:5" ht="19.95" customHeight="1" x14ac:dyDescent="0.3">
      <c r="A294" s="1" t="s">
        <v>600</v>
      </c>
      <c r="B294" s="2" t="s">
        <v>277</v>
      </c>
      <c r="C294" s="2" t="s">
        <v>601</v>
      </c>
      <c r="D294" s="3" t="s">
        <v>189</v>
      </c>
      <c r="E294" s="4">
        <v>80</v>
      </c>
    </row>
    <row r="295" spans="1:5" ht="19.95" customHeight="1" x14ac:dyDescent="0.3">
      <c r="A295" s="5" t="s">
        <v>602</v>
      </c>
      <c r="B295" s="6" t="s">
        <v>277</v>
      </c>
      <c r="C295" s="6" t="s">
        <v>603</v>
      </c>
      <c r="D295" s="7" t="s">
        <v>548</v>
      </c>
      <c r="E295" s="8">
        <v>300</v>
      </c>
    </row>
    <row r="296" spans="1:5" ht="19.95" customHeight="1" x14ac:dyDescent="0.3">
      <c r="A296" s="1" t="s">
        <v>604</v>
      </c>
      <c r="B296" s="2" t="s">
        <v>277</v>
      </c>
      <c r="C296" s="2" t="s">
        <v>605</v>
      </c>
      <c r="D296" s="3" t="s">
        <v>548</v>
      </c>
      <c r="E296" s="4">
        <v>290</v>
      </c>
    </row>
    <row r="297" spans="1:5" ht="19.95" customHeight="1" x14ac:dyDescent="0.3">
      <c r="A297" s="5" t="s">
        <v>606</v>
      </c>
      <c r="B297" s="6" t="s">
        <v>277</v>
      </c>
      <c r="C297" s="6" t="s">
        <v>607</v>
      </c>
      <c r="D297" s="7" t="s">
        <v>548</v>
      </c>
      <c r="E297" s="8">
        <v>240</v>
      </c>
    </row>
    <row r="298" spans="1:5" ht="19.95" customHeight="1" x14ac:dyDescent="0.3">
      <c r="A298" s="1" t="s">
        <v>608</v>
      </c>
      <c r="B298" s="2" t="s">
        <v>277</v>
      </c>
      <c r="C298" s="2" t="s">
        <v>609</v>
      </c>
      <c r="D298" s="3" t="s">
        <v>548</v>
      </c>
      <c r="E298" s="4">
        <v>180</v>
      </c>
    </row>
    <row r="299" spans="1:5" ht="19.95" customHeight="1" x14ac:dyDescent="0.3">
      <c r="A299" s="5" t="s">
        <v>610</v>
      </c>
      <c r="B299" s="6" t="s">
        <v>277</v>
      </c>
      <c r="C299" s="6" t="s">
        <v>611</v>
      </c>
      <c r="D299" s="7" t="s">
        <v>548</v>
      </c>
      <c r="E299" s="8">
        <v>160</v>
      </c>
    </row>
    <row r="300" spans="1:5" ht="19.95" customHeight="1" x14ac:dyDescent="0.3">
      <c r="A300" s="1" t="s">
        <v>612</v>
      </c>
      <c r="B300" s="2" t="s">
        <v>277</v>
      </c>
      <c r="C300" s="2" t="s">
        <v>613</v>
      </c>
      <c r="D300" s="3" t="s">
        <v>283</v>
      </c>
      <c r="E300" s="4">
        <v>185</v>
      </c>
    </row>
    <row r="301" spans="1:5" ht="19.95" customHeight="1" x14ac:dyDescent="0.3">
      <c r="A301" s="5" t="s">
        <v>614</v>
      </c>
      <c r="B301" s="6" t="s">
        <v>277</v>
      </c>
      <c r="C301" s="6" t="s">
        <v>615</v>
      </c>
      <c r="D301" s="7" t="s">
        <v>283</v>
      </c>
      <c r="E301" s="8">
        <v>260</v>
      </c>
    </row>
    <row r="302" spans="1:5" ht="19.95" customHeight="1" x14ac:dyDescent="0.3">
      <c r="A302" s="1" t="s">
        <v>616</v>
      </c>
      <c r="B302" s="2" t="s">
        <v>277</v>
      </c>
      <c r="C302" s="2" t="s">
        <v>617</v>
      </c>
      <c r="D302" s="3" t="s">
        <v>283</v>
      </c>
      <c r="E302" s="4">
        <v>340</v>
      </c>
    </row>
    <row r="303" spans="1:5" ht="19.95" customHeight="1" x14ac:dyDescent="0.3">
      <c r="A303" s="5" t="s">
        <v>618</v>
      </c>
      <c r="B303" s="6" t="s">
        <v>277</v>
      </c>
      <c r="C303" s="6" t="s">
        <v>619</v>
      </c>
      <c r="D303" s="7" t="s">
        <v>189</v>
      </c>
      <c r="E303" s="8">
        <v>40</v>
      </c>
    </row>
    <row r="304" spans="1:5" ht="19.95" customHeight="1" x14ac:dyDescent="0.3">
      <c r="A304" s="1" t="s">
        <v>620</v>
      </c>
      <c r="B304" s="2" t="s">
        <v>277</v>
      </c>
      <c r="C304" s="2" t="s">
        <v>621</v>
      </c>
      <c r="D304" s="3" t="s">
        <v>279</v>
      </c>
      <c r="E304" s="4">
        <v>135</v>
      </c>
    </row>
    <row r="305" spans="1:5" ht="19.95" customHeight="1" x14ac:dyDescent="0.3">
      <c r="A305" s="5" t="s">
        <v>622</v>
      </c>
      <c r="B305" s="6" t="s">
        <v>277</v>
      </c>
      <c r="C305" s="6" t="s">
        <v>623</v>
      </c>
      <c r="D305" s="7" t="s">
        <v>279</v>
      </c>
      <c r="E305" s="8">
        <v>80</v>
      </c>
    </row>
    <row r="306" spans="1:5" ht="19.95" customHeight="1" x14ac:dyDescent="0.3">
      <c r="A306" s="1" t="s">
        <v>624</v>
      </c>
      <c r="B306" s="2" t="s">
        <v>277</v>
      </c>
      <c r="C306" s="2" t="s">
        <v>625</v>
      </c>
      <c r="D306" s="3" t="s">
        <v>279</v>
      </c>
      <c r="E306" s="4">
        <v>56</v>
      </c>
    </row>
    <row r="307" spans="1:5" ht="19.95" customHeight="1" x14ac:dyDescent="0.3">
      <c r="A307" s="5" t="s">
        <v>626</v>
      </c>
      <c r="B307" s="6" t="s">
        <v>277</v>
      </c>
      <c r="C307" s="6" t="s">
        <v>627</v>
      </c>
      <c r="D307" s="7" t="s">
        <v>279</v>
      </c>
      <c r="E307" s="8">
        <v>49</v>
      </c>
    </row>
    <row r="308" spans="1:5" ht="19.95" customHeight="1" x14ac:dyDescent="0.3">
      <c r="A308" s="1" t="s">
        <v>628</v>
      </c>
      <c r="B308" s="2" t="s">
        <v>277</v>
      </c>
      <c r="C308" s="2" t="s">
        <v>629</v>
      </c>
      <c r="D308" s="3" t="s">
        <v>283</v>
      </c>
      <c r="E308" s="4">
        <v>39</v>
      </c>
    </row>
    <row r="309" spans="1:5" ht="19.95" customHeight="1" x14ac:dyDescent="0.3">
      <c r="A309" s="5" t="s">
        <v>630</v>
      </c>
      <c r="B309" s="6" t="s">
        <v>277</v>
      </c>
      <c r="C309" s="6" t="s">
        <v>631</v>
      </c>
      <c r="D309" s="7" t="s">
        <v>548</v>
      </c>
      <c r="E309" s="8">
        <v>75</v>
      </c>
    </row>
    <row r="310" spans="1:5" ht="19.95" customHeight="1" x14ac:dyDescent="0.3">
      <c r="A310" s="1" t="s">
        <v>632</v>
      </c>
      <c r="B310" s="2" t="s">
        <v>277</v>
      </c>
      <c r="C310" s="2" t="s">
        <v>633</v>
      </c>
      <c r="D310" s="3" t="s">
        <v>548</v>
      </c>
      <c r="E310" s="4">
        <v>60</v>
      </c>
    </row>
    <row r="311" spans="1:5" ht="19.95" customHeight="1" x14ac:dyDescent="0.3">
      <c r="A311" s="5" t="s">
        <v>634</v>
      </c>
      <c r="B311" s="6" t="s">
        <v>277</v>
      </c>
      <c r="C311" s="6" t="s">
        <v>635</v>
      </c>
      <c r="D311" s="7" t="s">
        <v>548</v>
      </c>
      <c r="E311" s="8">
        <v>45</v>
      </c>
    </row>
    <row r="312" spans="1:5" ht="19.95" customHeight="1" x14ac:dyDescent="0.3">
      <c r="A312" s="1" t="s">
        <v>636</v>
      </c>
      <c r="B312" s="2" t="s">
        <v>277</v>
      </c>
      <c r="C312" s="2" t="s">
        <v>637</v>
      </c>
      <c r="D312" s="3" t="s">
        <v>548</v>
      </c>
      <c r="E312" s="4">
        <v>36</v>
      </c>
    </row>
    <row r="313" spans="1:5" ht="19.95" customHeight="1" x14ac:dyDescent="0.3">
      <c r="A313" s="5" t="s">
        <v>638</v>
      </c>
      <c r="B313" s="6" t="s">
        <v>277</v>
      </c>
      <c r="C313" s="6" t="s">
        <v>639</v>
      </c>
      <c r="D313" s="7" t="s">
        <v>548</v>
      </c>
      <c r="E313" s="8">
        <v>30</v>
      </c>
    </row>
    <row r="314" spans="1:5" ht="19.95" customHeight="1" x14ac:dyDescent="0.3">
      <c r="A314" s="1" t="s">
        <v>640</v>
      </c>
      <c r="B314" s="2" t="s">
        <v>277</v>
      </c>
      <c r="C314" s="2" t="s">
        <v>641</v>
      </c>
      <c r="D314" s="3" t="s">
        <v>189</v>
      </c>
      <c r="E314" s="4">
        <v>5</v>
      </c>
    </row>
    <row r="315" spans="1:5" ht="19.95" customHeight="1" x14ac:dyDescent="0.3">
      <c r="A315" s="5" t="s">
        <v>642</v>
      </c>
      <c r="B315" s="6" t="s">
        <v>277</v>
      </c>
      <c r="C315" s="6" t="s">
        <v>643</v>
      </c>
      <c r="D315" s="7" t="s">
        <v>279</v>
      </c>
      <c r="E315" s="8">
        <v>130</v>
      </c>
    </row>
    <row r="316" spans="1:5" ht="19.95" customHeight="1" x14ac:dyDescent="0.3">
      <c r="A316" s="1" t="s">
        <v>644</v>
      </c>
      <c r="B316" s="2" t="s">
        <v>277</v>
      </c>
      <c r="C316" s="2" t="s">
        <v>645</v>
      </c>
      <c r="D316" s="3" t="s">
        <v>279</v>
      </c>
      <c r="E316" s="4">
        <v>85</v>
      </c>
    </row>
    <row r="317" spans="1:5" ht="19.95" customHeight="1" x14ac:dyDescent="0.3">
      <c r="A317" s="5" t="s">
        <v>646</v>
      </c>
      <c r="B317" s="6" t="s">
        <v>277</v>
      </c>
      <c r="C317" s="6" t="s">
        <v>647</v>
      </c>
      <c r="D317" s="7" t="s">
        <v>279</v>
      </c>
      <c r="E317" s="8">
        <v>63</v>
      </c>
    </row>
    <row r="318" spans="1:5" ht="19.95" customHeight="1" x14ac:dyDescent="0.3">
      <c r="A318" s="1" t="s">
        <v>648</v>
      </c>
      <c r="B318" s="2" t="s">
        <v>277</v>
      </c>
      <c r="C318" s="2" t="s">
        <v>649</v>
      </c>
      <c r="D318" s="3" t="s">
        <v>279</v>
      </c>
      <c r="E318" s="4">
        <v>53</v>
      </c>
    </row>
    <row r="319" spans="1:5" ht="19.95" customHeight="1" x14ac:dyDescent="0.3">
      <c r="A319" s="5" t="s">
        <v>650</v>
      </c>
      <c r="B319" s="6" t="s">
        <v>277</v>
      </c>
      <c r="C319" s="6" t="s">
        <v>651</v>
      </c>
      <c r="D319" s="7" t="s">
        <v>279</v>
      </c>
      <c r="E319" s="8">
        <v>334</v>
      </c>
    </row>
    <row r="320" spans="1:5" ht="19.95" customHeight="1" x14ac:dyDescent="0.3">
      <c r="A320" s="1" t="s">
        <v>652</v>
      </c>
      <c r="B320" s="2" t="s">
        <v>277</v>
      </c>
      <c r="C320" s="2" t="s">
        <v>653</v>
      </c>
      <c r="D320" s="3" t="s">
        <v>279</v>
      </c>
      <c r="E320" s="4">
        <v>309</v>
      </c>
    </row>
    <row r="321" spans="1:5" ht="19.95" customHeight="1" x14ac:dyDescent="0.3">
      <c r="A321" s="5" t="s">
        <v>654</v>
      </c>
      <c r="B321" s="6" t="s">
        <v>277</v>
      </c>
      <c r="C321" s="6" t="s">
        <v>655</v>
      </c>
      <c r="D321" s="7" t="s">
        <v>279</v>
      </c>
      <c r="E321" s="8">
        <v>231</v>
      </c>
    </row>
    <row r="322" spans="1:5" ht="19.95" customHeight="1" x14ac:dyDescent="0.3">
      <c r="A322" s="1" t="s">
        <v>656</v>
      </c>
      <c r="B322" s="2" t="s">
        <v>277</v>
      </c>
      <c r="C322" s="2" t="s">
        <v>657</v>
      </c>
      <c r="D322" s="3" t="s">
        <v>279</v>
      </c>
      <c r="E322" s="4">
        <v>196</v>
      </c>
    </row>
    <row r="323" spans="1:5" ht="19.95" customHeight="1" x14ac:dyDescent="0.3">
      <c r="A323" s="5" t="s">
        <v>658</v>
      </c>
      <c r="B323" s="6" t="s">
        <v>277</v>
      </c>
      <c r="C323" s="6" t="s">
        <v>659</v>
      </c>
      <c r="D323" s="7" t="s">
        <v>189</v>
      </c>
      <c r="E323" s="8">
        <v>138</v>
      </c>
    </row>
    <row r="324" spans="1:5" ht="19.95" customHeight="1" x14ac:dyDescent="0.3">
      <c r="A324" s="1" t="s">
        <v>660</v>
      </c>
      <c r="B324" s="2" t="s">
        <v>277</v>
      </c>
      <c r="C324" s="2" t="s">
        <v>661</v>
      </c>
      <c r="D324" s="3" t="s">
        <v>189</v>
      </c>
      <c r="E324" s="4">
        <v>118</v>
      </c>
    </row>
    <row r="325" spans="1:5" ht="19.95" customHeight="1" x14ac:dyDescent="0.3">
      <c r="A325" s="5" t="s">
        <v>662</v>
      </c>
      <c r="B325" s="6" t="s">
        <v>277</v>
      </c>
      <c r="C325" s="6" t="s">
        <v>663</v>
      </c>
      <c r="D325" s="7" t="s">
        <v>189</v>
      </c>
      <c r="E325" s="8">
        <v>98</v>
      </c>
    </row>
    <row r="326" spans="1:5" ht="19.95" customHeight="1" x14ac:dyDescent="0.3">
      <c r="A326" s="1" t="s">
        <v>664</v>
      </c>
      <c r="B326" s="2" t="s">
        <v>277</v>
      </c>
      <c r="C326" s="2" t="s">
        <v>665</v>
      </c>
      <c r="D326" s="3" t="s">
        <v>189</v>
      </c>
      <c r="E326" s="4">
        <v>157</v>
      </c>
    </row>
    <row r="327" spans="1:5" ht="19.95" customHeight="1" x14ac:dyDescent="0.3">
      <c r="A327" s="5" t="s">
        <v>666</v>
      </c>
      <c r="B327" s="6" t="s">
        <v>277</v>
      </c>
      <c r="C327" s="6" t="s">
        <v>667</v>
      </c>
      <c r="D327" s="7" t="s">
        <v>189</v>
      </c>
      <c r="E327" s="8">
        <v>135</v>
      </c>
    </row>
    <row r="328" spans="1:5" ht="19.95" customHeight="1" x14ac:dyDescent="0.3">
      <c r="A328" s="1" t="s">
        <v>668</v>
      </c>
      <c r="B328" s="2" t="s">
        <v>277</v>
      </c>
      <c r="C328" s="2" t="s">
        <v>669</v>
      </c>
      <c r="D328" s="3" t="s">
        <v>189</v>
      </c>
      <c r="E328" s="4">
        <v>118</v>
      </c>
    </row>
    <row r="329" spans="1:5" ht="19.95" customHeight="1" x14ac:dyDescent="0.3">
      <c r="A329" s="5" t="s">
        <v>670</v>
      </c>
      <c r="B329" s="6" t="s">
        <v>277</v>
      </c>
      <c r="C329" s="6" t="s">
        <v>671</v>
      </c>
      <c r="D329" s="7" t="s">
        <v>283</v>
      </c>
      <c r="E329" s="8">
        <v>44</v>
      </c>
    </row>
    <row r="330" spans="1:5" ht="19.95" customHeight="1" x14ac:dyDescent="0.3">
      <c r="A330" s="1" t="s">
        <v>672</v>
      </c>
      <c r="B330" s="2" t="s">
        <v>277</v>
      </c>
      <c r="C330" s="2" t="s">
        <v>673</v>
      </c>
      <c r="D330" s="3" t="s">
        <v>189</v>
      </c>
      <c r="E330" s="4">
        <v>93</v>
      </c>
    </row>
    <row r="331" spans="1:5" ht="19.95" customHeight="1" x14ac:dyDescent="0.3">
      <c r="A331" s="5" t="s">
        <v>674</v>
      </c>
      <c r="B331" s="6" t="s">
        <v>277</v>
      </c>
      <c r="C331" s="6" t="s">
        <v>675</v>
      </c>
      <c r="D331" s="7" t="s">
        <v>189</v>
      </c>
      <c r="E331" s="8">
        <v>84</v>
      </c>
    </row>
    <row r="332" spans="1:5" ht="19.95" customHeight="1" x14ac:dyDescent="0.3">
      <c r="A332" s="1" t="s">
        <v>676</v>
      </c>
      <c r="B332" s="2" t="s">
        <v>277</v>
      </c>
      <c r="C332" s="2" t="s">
        <v>677</v>
      </c>
      <c r="D332" s="3" t="s">
        <v>189</v>
      </c>
      <c r="E332" s="4">
        <v>49</v>
      </c>
    </row>
    <row r="333" spans="1:5" ht="19.95" customHeight="1" x14ac:dyDescent="0.3">
      <c r="A333" s="5" t="s">
        <v>678</v>
      </c>
      <c r="B333" s="6" t="s">
        <v>277</v>
      </c>
      <c r="C333" s="6" t="s">
        <v>679</v>
      </c>
      <c r="D333" s="7" t="s">
        <v>189</v>
      </c>
      <c r="E333" s="8">
        <v>39</v>
      </c>
    </row>
    <row r="334" spans="1:5" ht="19.95" customHeight="1" x14ac:dyDescent="0.3">
      <c r="A334" s="1" t="s">
        <v>680</v>
      </c>
      <c r="B334" s="2" t="s">
        <v>277</v>
      </c>
      <c r="C334" s="2" t="s">
        <v>681</v>
      </c>
      <c r="D334" s="3" t="s">
        <v>189</v>
      </c>
      <c r="E334" s="4">
        <v>43</v>
      </c>
    </row>
    <row r="335" spans="1:5" ht="19.95" customHeight="1" x14ac:dyDescent="0.3">
      <c r="A335" s="5" t="s">
        <v>682</v>
      </c>
      <c r="B335" s="6" t="s">
        <v>277</v>
      </c>
      <c r="C335" s="6" t="s">
        <v>683</v>
      </c>
      <c r="D335" s="7" t="s">
        <v>189</v>
      </c>
      <c r="E335" s="8">
        <v>34</v>
      </c>
    </row>
    <row r="336" spans="1:5" ht="19.95" customHeight="1" x14ac:dyDescent="0.3">
      <c r="A336" s="1" t="s">
        <v>684</v>
      </c>
      <c r="B336" s="2" t="s">
        <v>277</v>
      </c>
      <c r="C336" s="2" t="s">
        <v>685</v>
      </c>
      <c r="D336" s="3" t="s">
        <v>189</v>
      </c>
      <c r="E336" s="4">
        <v>29</v>
      </c>
    </row>
    <row r="337" spans="1:5" ht="19.95" customHeight="1" x14ac:dyDescent="0.3">
      <c r="A337" s="5" t="s">
        <v>686</v>
      </c>
      <c r="B337" s="6" t="s">
        <v>277</v>
      </c>
      <c r="C337" s="6" t="s">
        <v>687</v>
      </c>
      <c r="D337" s="7" t="s">
        <v>189</v>
      </c>
      <c r="E337" s="8">
        <v>20</v>
      </c>
    </row>
    <row r="338" spans="1:5" ht="19.95" customHeight="1" x14ac:dyDescent="0.3">
      <c r="A338" s="1" t="s">
        <v>688</v>
      </c>
      <c r="B338" s="2" t="s">
        <v>277</v>
      </c>
      <c r="C338" s="2" t="s">
        <v>689</v>
      </c>
      <c r="D338" s="3" t="s">
        <v>189</v>
      </c>
      <c r="E338" s="4">
        <v>20</v>
      </c>
    </row>
    <row r="339" spans="1:5" ht="19.95" customHeight="1" x14ac:dyDescent="0.3">
      <c r="A339" s="5" t="s">
        <v>690</v>
      </c>
      <c r="B339" s="6" t="s">
        <v>277</v>
      </c>
      <c r="C339" s="6" t="s">
        <v>691</v>
      </c>
      <c r="D339" s="7" t="s">
        <v>189</v>
      </c>
      <c r="E339" s="8">
        <v>15</v>
      </c>
    </row>
    <row r="340" spans="1:5" ht="19.95" customHeight="1" x14ac:dyDescent="0.3">
      <c r="A340" s="1" t="s">
        <v>692</v>
      </c>
      <c r="B340" s="2" t="s">
        <v>277</v>
      </c>
      <c r="C340" s="2" t="s">
        <v>693</v>
      </c>
      <c r="D340" s="3" t="s">
        <v>189</v>
      </c>
      <c r="E340" s="4">
        <v>12</v>
      </c>
    </row>
    <row r="341" spans="1:5" ht="19.95" customHeight="1" x14ac:dyDescent="0.3">
      <c r="A341" s="5" t="s">
        <v>694</v>
      </c>
      <c r="B341" s="6" t="s">
        <v>277</v>
      </c>
      <c r="C341" s="6" t="s">
        <v>695</v>
      </c>
      <c r="D341" s="7" t="s">
        <v>279</v>
      </c>
      <c r="E341" s="8">
        <v>128</v>
      </c>
    </row>
    <row r="342" spans="1:5" ht="19.95" customHeight="1" x14ac:dyDescent="0.3">
      <c r="A342" s="1" t="s">
        <v>696</v>
      </c>
      <c r="B342" s="2" t="s">
        <v>277</v>
      </c>
      <c r="C342" s="2" t="s">
        <v>697</v>
      </c>
      <c r="D342" s="3" t="s">
        <v>279</v>
      </c>
      <c r="E342" s="4">
        <v>108</v>
      </c>
    </row>
    <row r="343" spans="1:5" ht="19.95" customHeight="1" x14ac:dyDescent="0.3">
      <c r="A343" s="5" t="s">
        <v>698</v>
      </c>
      <c r="B343" s="6" t="s">
        <v>277</v>
      </c>
      <c r="C343" s="6" t="s">
        <v>699</v>
      </c>
      <c r="D343" s="7" t="s">
        <v>279</v>
      </c>
      <c r="E343" s="8">
        <v>79</v>
      </c>
    </row>
    <row r="344" spans="1:5" ht="19.95" customHeight="1" x14ac:dyDescent="0.3">
      <c r="A344" s="1" t="s">
        <v>700</v>
      </c>
      <c r="B344" s="2" t="s">
        <v>277</v>
      </c>
      <c r="C344" s="2" t="s">
        <v>701</v>
      </c>
      <c r="D344" s="3" t="s">
        <v>548</v>
      </c>
      <c r="E344" s="4">
        <v>76</v>
      </c>
    </row>
    <row r="345" spans="1:5" ht="19.95" customHeight="1" x14ac:dyDescent="0.3">
      <c r="A345" s="5" t="s">
        <v>702</v>
      </c>
      <c r="B345" s="6" t="s">
        <v>277</v>
      </c>
      <c r="C345" s="6" t="s">
        <v>703</v>
      </c>
      <c r="D345" s="7" t="s">
        <v>548</v>
      </c>
      <c r="E345" s="8">
        <v>62</v>
      </c>
    </row>
    <row r="346" spans="1:5" ht="19.95" customHeight="1" x14ac:dyDescent="0.3">
      <c r="A346" s="1" t="s">
        <v>704</v>
      </c>
      <c r="B346" s="2" t="s">
        <v>277</v>
      </c>
      <c r="C346" s="2" t="s">
        <v>705</v>
      </c>
      <c r="D346" s="3" t="s">
        <v>548</v>
      </c>
      <c r="E346" s="4">
        <v>49</v>
      </c>
    </row>
    <row r="347" spans="1:5" ht="19.95" customHeight="1" x14ac:dyDescent="0.3">
      <c r="A347" s="5" t="s">
        <v>706</v>
      </c>
      <c r="B347" s="6" t="s">
        <v>277</v>
      </c>
      <c r="C347" s="6" t="s">
        <v>707</v>
      </c>
      <c r="D347" s="7" t="s">
        <v>548</v>
      </c>
      <c r="E347" s="8">
        <v>36</v>
      </c>
    </row>
    <row r="348" spans="1:5" ht="19.95" customHeight="1" x14ac:dyDescent="0.3">
      <c r="A348" s="1" t="s">
        <v>708</v>
      </c>
      <c r="B348" s="2" t="s">
        <v>277</v>
      </c>
      <c r="C348" s="2" t="s">
        <v>709</v>
      </c>
      <c r="D348" s="3" t="s">
        <v>548</v>
      </c>
      <c r="E348" s="4">
        <v>32</v>
      </c>
    </row>
    <row r="349" spans="1:5" ht="19.95" customHeight="1" x14ac:dyDescent="0.3">
      <c r="A349" s="5" t="s">
        <v>710</v>
      </c>
      <c r="B349" s="6" t="s">
        <v>277</v>
      </c>
      <c r="C349" s="6" t="s">
        <v>711</v>
      </c>
      <c r="D349" s="7" t="s">
        <v>279</v>
      </c>
      <c r="E349" s="8">
        <v>560</v>
      </c>
    </row>
    <row r="350" spans="1:5" ht="19.95" customHeight="1" x14ac:dyDescent="0.3">
      <c r="A350" s="1" t="s">
        <v>712</v>
      </c>
      <c r="B350" s="2" t="s">
        <v>277</v>
      </c>
      <c r="C350" s="2" t="s">
        <v>713</v>
      </c>
      <c r="D350" s="3" t="s">
        <v>279</v>
      </c>
      <c r="E350" s="4">
        <v>393</v>
      </c>
    </row>
    <row r="351" spans="1:5" ht="19.95" customHeight="1" x14ac:dyDescent="0.3">
      <c r="A351" s="5" t="s">
        <v>714</v>
      </c>
      <c r="B351" s="6" t="s">
        <v>277</v>
      </c>
      <c r="C351" s="6" t="s">
        <v>715</v>
      </c>
      <c r="D351" s="7" t="s">
        <v>279</v>
      </c>
      <c r="E351" s="8">
        <v>393</v>
      </c>
    </row>
    <row r="352" spans="1:5" ht="19.95" customHeight="1" x14ac:dyDescent="0.3">
      <c r="A352" s="1" t="s">
        <v>716</v>
      </c>
      <c r="B352" s="2" t="s">
        <v>277</v>
      </c>
      <c r="C352" s="2" t="s">
        <v>717</v>
      </c>
      <c r="D352" s="3" t="s">
        <v>279</v>
      </c>
      <c r="E352" s="4">
        <v>270</v>
      </c>
    </row>
    <row r="353" spans="1:5" ht="19.95" customHeight="1" x14ac:dyDescent="0.3">
      <c r="A353" s="5" t="s">
        <v>718</v>
      </c>
      <c r="B353" s="6" t="s">
        <v>277</v>
      </c>
      <c r="C353" s="6" t="s">
        <v>719</v>
      </c>
      <c r="D353" s="7" t="s">
        <v>279</v>
      </c>
      <c r="E353" s="8">
        <v>324</v>
      </c>
    </row>
    <row r="354" spans="1:5" ht="19.95" customHeight="1" x14ac:dyDescent="0.3">
      <c r="A354" s="1" t="s">
        <v>720</v>
      </c>
      <c r="B354" s="2" t="s">
        <v>277</v>
      </c>
      <c r="C354" s="2" t="s">
        <v>721</v>
      </c>
      <c r="D354" s="3" t="s">
        <v>279</v>
      </c>
      <c r="E354" s="4">
        <v>275</v>
      </c>
    </row>
    <row r="355" spans="1:5" ht="19.95" customHeight="1" x14ac:dyDescent="0.3">
      <c r="A355" s="5" t="s">
        <v>722</v>
      </c>
      <c r="B355" s="6" t="s">
        <v>277</v>
      </c>
      <c r="C355" s="6" t="s">
        <v>723</v>
      </c>
      <c r="D355" s="7" t="s">
        <v>279</v>
      </c>
      <c r="E355" s="8">
        <v>226</v>
      </c>
    </row>
    <row r="356" spans="1:5" ht="19.95" customHeight="1" x14ac:dyDescent="0.3">
      <c r="A356" s="1" t="s">
        <v>724</v>
      </c>
      <c r="B356" s="2" t="s">
        <v>277</v>
      </c>
      <c r="C356" s="2" t="s">
        <v>725</v>
      </c>
      <c r="D356" s="3" t="s">
        <v>279</v>
      </c>
      <c r="E356" s="4">
        <v>196</v>
      </c>
    </row>
    <row r="357" spans="1:5" ht="19.95" customHeight="1" x14ac:dyDescent="0.3">
      <c r="A357" s="5" t="s">
        <v>726</v>
      </c>
      <c r="B357" s="6" t="s">
        <v>277</v>
      </c>
      <c r="C357" s="6" t="s">
        <v>727</v>
      </c>
      <c r="D357" s="7" t="s">
        <v>189</v>
      </c>
      <c r="E357" s="8">
        <v>147</v>
      </c>
    </row>
    <row r="358" spans="1:5" ht="19.95" customHeight="1" x14ac:dyDescent="0.3">
      <c r="A358" s="1" t="s">
        <v>728</v>
      </c>
      <c r="B358" s="2" t="s">
        <v>277</v>
      </c>
      <c r="C358" s="2" t="s">
        <v>729</v>
      </c>
      <c r="D358" s="3" t="s">
        <v>189</v>
      </c>
      <c r="E358" s="4">
        <v>128</v>
      </c>
    </row>
    <row r="359" spans="1:5" ht="19.95" customHeight="1" x14ac:dyDescent="0.3">
      <c r="A359" s="5" t="s">
        <v>730</v>
      </c>
      <c r="B359" s="6" t="s">
        <v>277</v>
      </c>
      <c r="C359" s="6" t="s">
        <v>731</v>
      </c>
      <c r="D359" s="7" t="s">
        <v>279</v>
      </c>
      <c r="E359" s="8">
        <v>580</v>
      </c>
    </row>
    <row r="360" spans="1:5" ht="19.95" customHeight="1" x14ac:dyDescent="0.3">
      <c r="A360" s="1" t="s">
        <v>732</v>
      </c>
      <c r="B360" s="2" t="s">
        <v>277</v>
      </c>
      <c r="C360" s="2" t="s">
        <v>733</v>
      </c>
      <c r="D360" s="3" t="s">
        <v>279</v>
      </c>
      <c r="E360" s="4">
        <v>481</v>
      </c>
    </row>
    <row r="361" spans="1:5" ht="19.95" customHeight="1" x14ac:dyDescent="0.3">
      <c r="A361" s="5" t="s">
        <v>734</v>
      </c>
      <c r="B361" s="6" t="s">
        <v>277</v>
      </c>
      <c r="C361" s="6" t="s">
        <v>735</v>
      </c>
      <c r="D361" s="7" t="s">
        <v>279</v>
      </c>
      <c r="E361" s="8">
        <v>383</v>
      </c>
    </row>
    <row r="362" spans="1:5" ht="19.95" customHeight="1" x14ac:dyDescent="0.3">
      <c r="A362" s="1" t="s">
        <v>736</v>
      </c>
      <c r="B362" s="2" t="s">
        <v>277</v>
      </c>
      <c r="C362" s="2" t="s">
        <v>737</v>
      </c>
      <c r="D362" s="3" t="s">
        <v>279</v>
      </c>
      <c r="E362" s="4">
        <v>304</v>
      </c>
    </row>
    <row r="363" spans="1:5" ht="19.95" customHeight="1" x14ac:dyDescent="0.3">
      <c r="A363" s="5" t="s">
        <v>738</v>
      </c>
      <c r="B363" s="6" t="s">
        <v>277</v>
      </c>
      <c r="C363" s="6" t="s">
        <v>739</v>
      </c>
      <c r="D363" s="7" t="s">
        <v>279</v>
      </c>
      <c r="E363" s="8">
        <v>226</v>
      </c>
    </row>
    <row r="364" spans="1:5" ht="19.95" customHeight="1" x14ac:dyDescent="0.3">
      <c r="A364" s="1" t="s">
        <v>740</v>
      </c>
      <c r="B364" s="2" t="s">
        <v>277</v>
      </c>
      <c r="C364" s="2" t="s">
        <v>741</v>
      </c>
      <c r="D364" s="3" t="s">
        <v>279</v>
      </c>
      <c r="E364" s="4">
        <v>324</v>
      </c>
    </row>
    <row r="365" spans="1:5" ht="19.95" customHeight="1" x14ac:dyDescent="0.3">
      <c r="A365" s="5" t="s">
        <v>742</v>
      </c>
      <c r="B365" s="6" t="s">
        <v>277</v>
      </c>
      <c r="C365" s="6" t="s">
        <v>743</v>
      </c>
      <c r="D365" s="7" t="s">
        <v>279</v>
      </c>
      <c r="E365" s="8">
        <v>275</v>
      </c>
    </row>
    <row r="366" spans="1:5" ht="19.95" customHeight="1" x14ac:dyDescent="0.3">
      <c r="A366" s="1" t="s">
        <v>744</v>
      </c>
      <c r="B366" s="2" t="s">
        <v>277</v>
      </c>
      <c r="C366" s="2" t="s">
        <v>745</v>
      </c>
      <c r="D366" s="3" t="s">
        <v>279</v>
      </c>
      <c r="E366" s="4">
        <v>231</v>
      </c>
    </row>
    <row r="367" spans="1:5" ht="19.95" customHeight="1" x14ac:dyDescent="0.3">
      <c r="A367" s="5" t="s">
        <v>746</v>
      </c>
      <c r="B367" s="6" t="s">
        <v>277</v>
      </c>
      <c r="C367" s="6" t="s">
        <v>747</v>
      </c>
      <c r="D367" s="7" t="s">
        <v>189</v>
      </c>
      <c r="E367" s="8">
        <v>142</v>
      </c>
    </row>
    <row r="368" spans="1:5" ht="19.95" customHeight="1" x14ac:dyDescent="0.3">
      <c r="A368" s="1" t="s">
        <v>748</v>
      </c>
      <c r="B368" s="2" t="s">
        <v>277</v>
      </c>
      <c r="C368" s="2" t="s">
        <v>749</v>
      </c>
      <c r="D368" s="3" t="s">
        <v>169</v>
      </c>
      <c r="E368" s="4">
        <v>1800</v>
      </c>
    </row>
    <row r="369" spans="1:5" ht="19.95" customHeight="1" x14ac:dyDescent="0.3">
      <c r="A369" s="5" t="s">
        <v>750</v>
      </c>
      <c r="B369" s="6" t="s">
        <v>277</v>
      </c>
      <c r="C369" s="6" t="s">
        <v>749</v>
      </c>
      <c r="D369" s="7" t="s">
        <v>169</v>
      </c>
      <c r="E369" s="8">
        <v>1600</v>
      </c>
    </row>
    <row r="370" spans="1:5" ht="19.95" customHeight="1" x14ac:dyDescent="0.3">
      <c r="A370" s="1" t="s">
        <v>751</v>
      </c>
      <c r="B370" s="2" t="s">
        <v>277</v>
      </c>
      <c r="C370" s="2" t="s">
        <v>749</v>
      </c>
      <c r="D370" s="3" t="s">
        <v>169</v>
      </c>
      <c r="E370" s="4">
        <v>1400</v>
      </c>
    </row>
    <row r="371" spans="1:5" ht="19.95" customHeight="1" x14ac:dyDescent="0.3">
      <c r="A371" s="5" t="s">
        <v>752</v>
      </c>
      <c r="B371" s="6" t="s">
        <v>277</v>
      </c>
      <c r="C371" s="6" t="s">
        <v>753</v>
      </c>
      <c r="D371" s="7" t="s">
        <v>169</v>
      </c>
      <c r="E371" s="8">
        <v>950</v>
      </c>
    </row>
    <row r="372" spans="1:5" ht="19.95" customHeight="1" x14ac:dyDescent="0.3">
      <c r="A372" s="1" t="s">
        <v>754</v>
      </c>
      <c r="B372" s="2" t="s">
        <v>277</v>
      </c>
      <c r="C372" s="2" t="s">
        <v>753</v>
      </c>
      <c r="D372" s="3" t="s">
        <v>169</v>
      </c>
      <c r="E372" s="4">
        <v>900</v>
      </c>
    </row>
    <row r="373" spans="1:5" ht="19.95" customHeight="1" x14ac:dyDescent="0.3">
      <c r="A373" s="5" t="s">
        <v>755</v>
      </c>
      <c r="B373" s="6" t="s">
        <v>277</v>
      </c>
      <c r="C373" s="6" t="s">
        <v>753</v>
      </c>
      <c r="D373" s="7" t="s">
        <v>169</v>
      </c>
      <c r="E373" s="8">
        <v>890</v>
      </c>
    </row>
    <row r="374" spans="1:5" ht="19.95" customHeight="1" x14ac:dyDescent="0.3">
      <c r="A374" s="1" t="s">
        <v>756</v>
      </c>
      <c r="B374" s="2" t="s">
        <v>277</v>
      </c>
      <c r="C374" s="2" t="s">
        <v>757</v>
      </c>
      <c r="D374" s="3" t="s">
        <v>758</v>
      </c>
      <c r="E374" s="4">
        <v>300</v>
      </c>
    </row>
    <row r="375" spans="1:5" ht="19.95" customHeight="1" x14ac:dyDescent="0.3">
      <c r="A375" s="5" t="s">
        <v>759</v>
      </c>
      <c r="B375" s="6" t="s">
        <v>277</v>
      </c>
      <c r="C375" s="6" t="s">
        <v>760</v>
      </c>
      <c r="D375" s="7" t="s">
        <v>758</v>
      </c>
      <c r="E375" s="8">
        <v>135</v>
      </c>
    </row>
    <row r="376" spans="1:5" ht="19.95" customHeight="1" x14ac:dyDescent="0.3">
      <c r="A376" s="1" t="s">
        <v>761</v>
      </c>
      <c r="B376" s="2" t="s">
        <v>277</v>
      </c>
      <c r="C376" s="2" t="s">
        <v>762</v>
      </c>
      <c r="D376" s="3" t="s">
        <v>758</v>
      </c>
      <c r="E376" s="4">
        <v>265</v>
      </c>
    </row>
    <row r="377" spans="1:5" ht="19.95" customHeight="1" x14ac:dyDescent="0.3">
      <c r="A377" s="5" t="s">
        <v>763</v>
      </c>
      <c r="B377" s="6" t="s">
        <v>277</v>
      </c>
      <c r="C377" s="6" t="s">
        <v>764</v>
      </c>
      <c r="D377" s="7" t="s">
        <v>758</v>
      </c>
      <c r="E377" s="8">
        <v>70</v>
      </c>
    </row>
    <row r="378" spans="1:5" ht="19.95" customHeight="1" x14ac:dyDescent="0.3">
      <c r="A378" s="1" t="s">
        <v>765</v>
      </c>
      <c r="B378" s="2" t="s">
        <v>277</v>
      </c>
      <c r="C378" s="2" t="s">
        <v>766</v>
      </c>
      <c r="D378" s="3" t="s">
        <v>169</v>
      </c>
      <c r="E378" s="4">
        <v>320</v>
      </c>
    </row>
    <row r="379" spans="1:5" ht="19.95" customHeight="1" x14ac:dyDescent="0.3">
      <c r="A379" s="5" t="s">
        <v>767</v>
      </c>
      <c r="B379" s="6" t="s">
        <v>277</v>
      </c>
      <c r="C379" s="6" t="s">
        <v>768</v>
      </c>
      <c r="D379" s="7" t="s">
        <v>354</v>
      </c>
      <c r="E379" s="8">
        <v>500</v>
      </c>
    </row>
    <row r="380" spans="1:5" ht="19.95" customHeight="1" x14ac:dyDescent="0.3">
      <c r="A380" s="1" t="s">
        <v>769</v>
      </c>
      <c r="B380" s="2" t="s">
        <v>277</v>
      </c>
      <c r="C380" s="2" t="s">
        <v>770</v>
      </c>
      <c r="D380" s="3" t="s">
        <v>366</v>
      </c>
      <c r="E380" s="4">
        <v>75</v>
      </c>
    </row>
    <row r="381" spans="1:5" ht="19.95" customHeight="1" x14ac:dyDescent="0.3">
      <c r="A381" s="5" t="s">
        <v>771</v>
      </c>
      <c r="B381" s="6" t="s">
        <v>277</v>
      </c>
      <c r="C381" s="6" t="s">
        <v>772</v>
      </c>
      <c r="D381" s="7" t="s">
        <v>366</v>
      </c>
      <c r="E381" s="8">
        <v>26</v>
      </c>
    </row>
    <row r="382" spans="1:5" ht="19.95" customHeight="1" x14ac:dyDescent="0.3">
      <c r="A382" s="1" t="s">
        <v>773</v>
      </c>
      <c r="B382" s="2" t="s">
        <v>277</v>
      </c>
      <c r="C382" s="2" t="s">
        <v>774</v>
      </c>
      <c r="D382" s="3" t="s">
        <v>169</v>
      </c>
      <c r="E382" s="4">
        <v>35</v>
      </c>
    </row>
    <row r="383" spans="1:5" ht="19.95" customHeight="1" x14ac:dyDescent="0.3">
      <c r="A383" s="5" t="s">
        <v>775</v>
      </c>
      <c r="B383" s="6" t="s">
        <v>277</v>
      </c>
      <c r="C383" s="6" t="s">
        <v>776</v>
      </c>
      <c r="D383" s="7" t="s">
        <v>169</v>
      </c>
      <c r="E383" s="8">
        <v>400</v>
      </c>
    </row>
    <row r="384" spans="1:5" ht="19.95" customHeight="1" x14ac:dyDescent="0.3">
      <c r="A384" s="1" t="s">
        <v>777</v>
      </c>
      <c r="B384" s="2" t="s">
        <v>277</v>
      </c>
      <c r="C384" s="2" t="s">
        <v>778</v>
      </c>
      <c r="D384" s="3" t="s">
        <v>169</v>
      </c>
      <c r="E384" s="4">
        <v>350</v>
      </c>
    </row>
    <row r="385" spans="1:5" ht="19.95" customHeight="1" x14ac:dyDescent="0.3">
      <c r="A385" s="5" t="s">
        <v>779</v>
      </c>
      <c r="B385" s="6" t="s">
        <v>277</v>
      </c>
      <c r="C385" s="6" t="s">
        <v>780</v>
      </c>
      <c r="D385" s="7" t="s">
        <v>169</v>
      </c>
      <c r="E385" s="8">
        <v>275</v>
      </c>
    </row>
    <row r="386" spans="1:5" ht="19.95" customHeight="1" x14ac:dyDescent="0.3">
      <c r="A386" s="1" t="s">
        <v>781</v>
      </c>
      <c r="B386" s="2" t="s">
        <v>277</v>
      </c>
      <c r="C386" s="2" t="s">
        <v>782</v>
      </c>
      <c r="D386" s="3" t="s">
        <v>369</v>
      </c>
      <c r="E386" s="4">
        <v>50</v>
      </c>
    </row>
    <row r="387" spans="1:5" ht="19.95" customHeight="1" x14ac:dyDescent="0.3">
      <c r="A387" s="5" t="s">
        <v>783</v>
      </c>
      <c r="B387" s="6" t="s">
        <v>277</v>
      </c>
      <c r="C387" s="6" t="s">
        <v>784</v>
      </c>
      <c r="D387" s="7" t="s">
        <v>366</v>
      </c>
      <c r="E387" s="8">
        <v>15</v>
      </c>
    </row>
    <row r="388" spans="1:5" ht="19.95" customHeight="1" x14ac:dyDescent="0.3">
      <c r="A388" s="1" t="s">
        <v>785</v>
      </c>
      <c r="B388" s="2" t="s">
        <v>277</v>
      </c>
      <c r="C388" s="2" t="s">
        <v>786</v>
      </c>
      <c r="D388" s="3" t="s">
        <v>354</v>
      </c>
      <c r="E388" s="4">
        <v>300</v>
      </c>
    </row>
    <row r="389" spans="1:5" ht="19.95" customHeight="1" x14ac:dyDescent="0.3">
      <c r="A389" s="5" t="s">
        <v>787</v>
      </c>
      <c r="B389" s="6" t="s">
        <v>277</v>
      </c>
      <c r="C389" s="6" t="s">
        <v>788</v>
      </c>
      <c r="D389" s="7" t="s">
        <v>354</v>
      </c>
      <c r="E389" s="8">
        <v>600</v>
      </c>
    </row>
    <row r="390" spans="1:5" ht="19.95" customHeight="1" x14ac:dyDescent="0.3">
      <c r="A390" s="1" t="s">
        <v>789</v>
      </c>
      <c r="B390" s="2" t="s">
        <v>277</v>
      </c>
      <c r="C390" s="2" t="s">
        <v>790</v>
      </c>
      <c r="D390" s="3" t="s">
        <v>354</v>
      </c>
      <c r="E390" s="4">
        <v>370</v>
      </c>
    </row>
    <row r="391" spans="1:5" ht="19.95" customHeight="1" x14ac:dyDescent="0.3">
      <c r="A391" s="5" t="s">
        <v>791</v>
      </c>
      <c r="B391" s="6" t="s">
        <v>277</v>
      </c>
      <c r="C391" s="6" t="s">
        <v>792</v>
      </c>
      <c r="D391" s="7" t="s">
        <v>354</v>
      </c>
      <c r="E391" s="8">
        <v>290</v>
      </c>
    </row>
    <row r="392" spans="1:5" ht="19.95" customHeight="1" x14ac:dyDescent="0.3">
      <c r="A392" s="1" t="s">
        <v>793</v>
      </c>
      <c r="B392" s="2" t="s">
        <v>277</v>
      </c>
      <c r="C392" s="2" t="s">
        <v>794</v>
      </c>
      <c r="D392" s="3" t="s">
        <v>18</v>
      </c>
      <c r="E392" s="4">
        <v>1130</v>
      </c>
    </row>
    <row r="393" spans="1:5" ht="19.95" customHeight="1" x14ac:dyDescent="0.3">
      <c r="A393" s="5" t="s">
        <v>795</v>
      </c>
      <c r="B393" s="6" t="s">
        <v>277</v>
      </c>
      <c r="C393" s="6" t="s">
        <v>796</v>
      </c>
      <c r="D393" s="7" t="s">
        <v>354</v>
      </c>
      <c r="E393" s="8">
        <v>189</v>
      </c>
    </row>
    <row r="394" spans="1:5" ht="19.95" customHeight="1" x14ac:dyDescent="0.3">
      <c r="A394" s="1" t="s">
        <v>797</v>
      </c>
      <c r="B394" s="2" t="s">
        <v>277</v>
      </c>
      <c r="C394" s="2" t="s">
        <v>798</v>
      </c>
      <c r="D394" s="3" t="s">
        <v>354</v>
      </c>
      <c r="E394" s="4">
        <v>250</v>
      </c>
    </row>
    <row r="395" spans="1:5" ht="19.95" customHeight="1" x14ac:dyDescent="0.3">
      <c r="A395" s="5" t="s">
        <v>799</v>
      </c>
      <c r="B395" s="6" t="s">
        <v>277</v>
      </c>
      <c r="C395" s="6" t="s">
        <v>800</v>
      </c>
      <c r="D395" s="7" t="s">
        <v>369</v>
      </c>
      <c r="E395" s="8">
        <v>130</v>
      </c>
    </row>
    <row r="396" spans="1:5" ht="19.95" customHeight="1" x14ac:dyDescent="0.3">
      <c r="A396" s="1" t="s">
        <v>801</v>
      </c>
      <c r="B396" s="2" t="s">
        <v>277</v>
      </c>
      <c r="C396" s="2" t="s">
        <v>802</v>
      </c>
      <c r="D396" s="3" t="s">
        <v>803</v>
      </c>
      <c r="E396" s="4">
        <v>36</v>
      </c>
    </row>
    <row r="397" spans="1:5" ht="19.95" customHeight="1" x14ac:dyDescent="0.3">
      <c r="A397" s="5" t="s">
        <v>804</v>
      </c>
      <c r="B397" s="6" t="s">
        <v>277</v>
      </c>
      <c r="C397" s="6" t="s">
        <v>805</v>
      </c>
      <c r="D397" s="7" t="s">
        <v>369</v>
      </c>
      <c r="E397" s="8">
        <v>94</v>
      </c>
    </row>
    <row r="398" spans="1:5" ht="19.95" customHeight="1" x14ac:dyDescent="0.3">
      <c r="A398" s="1" t="s">
        <v>806</v>
      </c>
      <c r="B398" s="2" t="s">
        <v>277</v>
      </c>
      <c r="C398" s="2" t="s">
        <v>807</v>
      </c>
      <c r="D398" s="3" t="s">
        <v>369</v>
      </c>
      <c r="E398" s="4">
        <v>220</v>
      </c>
    </row>
    <row r="399" spans="1:5" ht="19.95" customHeight="1" x14ac:dyDescent="0.3">
      <c r="A399" s="5" t="s">
        <v>808</v>
      </c>
      <c r="B399" s="6" t="s">
        <v>277</v>
      </c>
      <c r="C399" s="6" t="s">
        <v>809</v>
      </c>
      <c r="D399" s="7" t="s">
        <v>369</v>
      </c>
      <c r="E399" s="8">
        <v>105</v>
      </c>
    </row>
    <row r="400" spans="1:5" ht="19.95" customHeight="1" x14ac:dyDescent="0.3">
      <c r="A400" s="1" t="s">
        <v>810</v>
      </c>
      <c r="B400" s="2" t="s">
        <v>277</v>
      </c>
      <c r="C400" s="2" t="s">
        <v>811</v>
      </c>
      <c r="D400" s="3" t="s">
        <v>369</v>
      </c>
      <c r="E400" s="4">
        <v>50</v>
      </c>
    </row>
    <row r="401" spans="1:5" ht="19.95" customHeight="1" x14ac:dyDescent="0.3">
      <c r="A401" s="5" t="s">
        <v>812</v>
      </c>
      <c r="B401" s="6" t="s">
        <v>277</v>
      </c>
      <c r="C401" s="6" t="s">
        <v>813</v>
      </c>
      <c r="D401" s="7" t="s">
        <v>366</v>
      </c>
      <c r="E401" s="8">
        <v>140</v>
      </c>
    </row>
    <row r="402" spans="1:5" ht="19.95" customHeight="1" x14ac:dyDescent="0.3">
      <c r="A402" s="1" t="s">
        <v>814</v>
      </c>
      <c r="B402" s="2" t="s">
        <v>277</v>
      </c>
      <c r="C402" s="2" t="s">
        <v>815</v>
      </c>
      <c r="D402" s="3" t="s">
        <v>18</v>
      </c>
      <c r="E402" s="4">
        <v>500</v>
      </c>
    </row>
    <row r="403" spans="1:5" ht="19.95" customHeight="1" x14ac:dyDescent="0.3">
      <c r="A403" s="5" t="s">
        <v>816</v>
      </c>
      <c r="B403" s="6" t="s">
        <v>277</v>
      </c>
      <c r="C403" s="6" t="s">
        <v>817</v>
      </c>
      <c r="D403" s="7" t="s">
        <v>18</v>
      </c>
      <c r="E403" s="8">
        <v>165</v>
      </c>
    </row>
    <row r="404" spans="1:5" ht="19.95" customHeight="1" x14ac:dyDescent="0.3">
      <c r="A404" s="1" t="s">
        <v>818</v>
      </c>
      <c r="B404" s="2" t="s">
        <v>277</v>
      </c>
      <c r="C404" s="2" t="s">
        <v>819</v>
      </c>
      <c r="D404" s="3" t="s">
        <v>366</v>
      </c>
      <c r="E404" s="4">
        <v>30</v>
      </c>
    </row>
    <row r="405" spans="1:5" ht="19.95" customHeight="1" x14ac:dyDescent="0.3">
      <c r="A405" s="5" t="s">
        <v>820</v>
      </c>
      <c r="B405" s="6" t="s">
        <v>277</v>
      </c>
      <c r="C405" s="6" t="s">
        <v>821</v>
      </c>
      <c r="D405" s="7" t="s">
        <v>366</v>
      </c>
      <c r="E405" s="8">
        <v>50</v>
      </c>
    </row>
    <row r="406" spans="1:5" ht="19.95" customHeight="1" x14ac:dyDescent="0.3">
      <c r="A406" s="1" t="s">
        <v>822</v>
      </c>
      <c r="B406" s="2" t="s">
        <v>277</v>
      </c>
      <c r="C406" s="2" t="s">
        <v>823</v>
      </c>
      <c r="D406" s="3" t="s">
        <v>369</v>
      </c>
      <c r="E406" s="4">
        <v>200</v>
      </c>
    </row>
    <row r="407" spans="1:5" ht="19.95" customHeight="1" x14ac:dyDescent="0.3">
      <c r="A407" s="5" t="s">
        <v>824</v>
      </c>
      <c r="B407" s="6" t="s">
        <v>277</v>
      </c>
      <c r="C407" s="6" t="s">
        <v>825</v>
      </c>
      <c r="D407" s="7" t="s">
        <v>369</v>
      </c>
      <c r="E407" s="8">
        <v>80</v>
      </c>
    </row>
    <row r="408" spans="1:5" ht="19.95" customHeight="1" x14ac:dyDescent="0.3">
      <c r="A408" s="1" t="s">
        <v>826</v>
      </c>
      <c r="B408" s="2" t="s">
        <v>277</v>
      </c>
      <c r="C408" s="2" t="s">
        <v>827</v>
      </c>
      <c r="D408" s="3" t="s">
        <v>369</v>
      </c>
      <c r="E408" s="4">
        <v>70</v>
      </c>
    </row>
    <row r="409" spans="1:5" ht="19.95" customHeight="1" x14ac:dyDescent="0.3">
      <c r="A409" s="5" t="s">
        <v>828</v>
      </c>
      <c r="B409" s="6" t="s">
        <v>277</v>
      </c>
      <c r="C409" s="6" t="s">
        <v>829</v>
      </c>
      <c r="D409" s="7" t="s">
        <v>369</v>
      </c>
      <c r="E409" s="8">
        <v>105</v>
      </c>
    </row>
    <row r="410" spans="1:5" ht="19.95" customHeight="1" x14ac:dyDescent="0.3">
      <c r="A410" s="1" t="s">
        <v>830</v>
      </c>
      <c r="B410" s="2" t="s">
        <v>277</v>
      </c>
      <c r="C410" s="2" t="s">
        <v>831</v>
      </c>
      <c r="D410" s="3" t="s">
        <v>366</v>
      </c>
      <c r="E410" s="4">
        <v>13</v>
      </c>
    </row>
    <row r="411" spans="1:5" ht="19.95" customHeight="1" x14ac:dyDescent="0.3">
      <c r="A411" s="5" t="s">
        <v>832</v>
      </c>
      <c r="B411" s="6" t="s">
        <v>277</v>
      </c>
      <c r="C411" s="6" t="s">
        <v>833</v>
      </c>
      <c r="D411" s="7" t="s">
        <v>369</v>
      </c>
      <c r="E411" s="8">
        <v>150</v>
      </c>
    </row>
    <row r="412" spans="1:5" ht="19.95" customHeight="1" x14ac:dyDescent="0.3">
      <c r="A412" s="1" t="s">
        <v>834</v>
      </c>
      <c r="B412" s="2" t="s">
        <v>277</v>
      </c>
      <c r="C412" s="2" t="s">
        <v>835</v>
      </c>
      <c r="D412" s="3" t="s">
        <v>369</v>
      </c>
      <c r="E412" s="4">
        <v>225</v>
      </c>
    </row>
    <row r="413" spans="1:5" ht="19.95" customHeight="1" x14ac:dyDescent="0.3">
      <c r="A413" s="5" t="s">
        <v>836</v>
      </c>
      <c r="B413" s="6" t="s">
        <v>277</v>
      </c>
      <c r="C413" s="6" t="s">
        <v>837</v>
      </c>
      <c r="D413" s="7" t="s">
        <v>369</v>
      </c>
      <c r="E413" s="8">
        <v>100</v>
      </c>
    </row>
    <row r="414" spans="1:5" ht="19.95" customHeight="1" x14ac:dyDescent="0.3">
      <c r="A414" s="1" t="s">
        <v>838</v>
      </c>
      <c r="B414" s="2" t="s">
        <v>277</v>
      </c>
      <c r="C414" s="2" t="s">
        <v>839</v>
      </c>
      <c r="D414" s="3" t="s">
        <v>369</v>
      </c>
      <c r="E414" s="4">
        <v>90</v>
      </c>
    </row>
    <row r="415" spans="1:5" ht="19.95" customHeight="1" x14ac:dyDescent="0.3">
      <c r="A415" s="5" t="s">
        <v>840</v>
      </c>
      <c r="B415" s="6" t="s">
        <v>277</v>
      </c>
      <c r="C415" s="6" t="s">
        <v>841</v>
      </c>
      <c r="D415" s="7" t="s">
        <v>369</v>
      </c>
      <c r="E415" s="8">
        <v>165</v>
      </c>
    </row>
    <row r="416" spans="1:5" ht="19.95" customHeight="1" x14ac:dyDescent="0.3">
      <c r="A416" s="1" t="s">
        <v>842</v>
      </c>
      <c r="B416" s="2" t="s">
        <v>277</v>
      </c>
      <c r="C416" s="2" t="s">
        <v>843</v>
      </c>
      <c r="D416" s="3" t="s">
        <v>369</v>
      </c>
      <c r="E416" s="4">
        <v>250</v>
      </c>
    </row>
    <row r="417" spans="1:5" ht="19.95" customHeight="1" x14ac:dyDescent="0.3">
      <c r="A417" s="5" t="s">
        <v>844</v>
      </c>
      <c r="B417" s="6" t="s">
        <v>277</v>
      </c>
      <c r="C417" s="6" t="s">
        <v>845</v>
      </c>
      <c r="D417" s="7" t="s">
        <v>369</v>
      </c>
      <c r="E417" s="8">
        <v>170</v>
      </c>
    </row>
    <row r="418" spans="1:5" ht="19.95" customHeight="1" x14ac:dyDescent="0.3">
      <c r="A418" s="1" t="s">
        <v>846</v>
      </c>
      <c r="B418" s="2" t="s">
        <v>277</v>
      </c>
      <c r="C418" s="2" t="s">
        <v>847</v>
      </c>
      <c r="D418" s="3" t="s">
        <v>369</v>
      </c>
      <c r="E418" s="4">
        <v>160</v>
      </c>
    </row>
    <row r="419" spans="1:5" ht="19.95" customHeight="1" x14ac:dyDescent="0.3">
      <c r="A419" s="5" t="s">
        <v>848</v>
      </c>
      <c r="B419" s="6" t="s">
        <v>277</v>
      </c>
      <c r="C419" s="6" t="s">
        <v>849</v>
      </c>
      <c r="D419" s="7" t="s">
        <v>369</v>
      </c>
      <c r="E419" s="8">
        <v>200</v>
      </c>
    </row>
    <row r="420" spans="1:5" ht="19.95" customHeight="1" x14ac:dyDescent="0.3">
      <c r="A420" s="1" t="s">
        <v>850</v>
      </c>
      <c r="B420" s="2" t="s">
        <v>277</v>
      </c>
      <c r="C420" s="2" t="s">
        <v>851</v>
      </c>
      <c r="D420" s="3" t="s">
        <v>369</v>
      </c>
      <c r="E420" s="4">
        <v>270</v>
      </c>
    </row>
    <row r="421" spans="1:5" ht="19.95" customHeight="1" x14ac:dyDescent="0.3">
      <c r="A421" s="5" t="s">
        <v>852</v>
      </c>
      <c r="B421" s="6" t="s">
        <v>277</v>
      </c>
      <c r="C421" s="6" t="s">
        <v>853</v>
      </c>
      <c r="D421" s="7" t="s">
        <v>369</v>
      </c>
      <c r="E421" s="8">
        <v>100</v>
      </c>
    </row>
    <row r="422" spans="1:5" ht="19.95" customHeight="1" x14ac:dyDescent="0.3">
      <c r="A422" s="1" t="s">
        <v>854</v>
      </c>
      <c r="B422" s="2" t="s">
        <v>277</v>
      </c>
      <c r="C422" s="2" t="s">
        <v>855</v>
      </c>
      <c r="D422" s="3" t="s">
        <v>369</v>
      </c>
      <c r="E422" s="4">
        <v>120</v>
      </c>
    </row>
    <row r="423" spans="1:5" ht="19.95" customHeight="1" x14ac:dyDescent="0.3">
      <c r="A423" s="5" t="s">
        <v>856</v>
      </c>
      <c r="B423" s="6" t="s">
        <v>277</v>
      </c>
      <c r="C423" s="6" t="s">
        <v>857</v>
      </c>
      <c r="D423" s="7" t="s">
        <v>366</v>
      </c>
      <c r="E423" s="8">
        <v>170</v>
      </c>
    </row>
    <row r="424" spans="1:5" ht="19.95" customHeight="1" x14ac:dyDescent="0.3">
      <c r="A424" s="1" t="s">
        <v>858</v>
      </c>
      <c r="B424" s="2" t="s">
        <v>277</v>
      </c>
      <c r="C424" s="2" t="s">
        <v>859</v>
      </c>
      <c r="D424" s="3" t="s">
        <v>366</v>
      </c>
      <c r="E424" s="4">
        <v>38</v>
      </c>
    </row>
    <row r="425" spans="1:5" ht="19.95" customHeight="1" x14ac:dyDescent="0.3">
      <c r="A425" s="5" t="s">
        <v>860</v>
      </c>
      <c r="B425" s="6" t="s">
        <v>277</v>
      </c>
      <c r="C425" s="6" t="s">
        <v>861</v>
      </c>
      <c r="D425" s="7" t="s">
        <v>366</v>
      </c>
      <c r="E425" s="8">
        <v>230</v>
      </c>
    </row>
    <row r="426" spans="1:5" ht="19.95" customHeight="1" x14ac:dyDescent="0.3">
      <c r="A426" s="1" t="s">
        <v>862</v>
      </c>
      <c r="B426" s="2" t="s">
        <v>277</v>
      </c>
      <c r="C426" s="2" t="s">
        <v>863</v>
      </c>
      <c r="D426" s="3" t="s">
        <v>369</v>
      </c>
      <c r="E426" s="4">
        <v>100</v>
      </c>
    </row>
    <row r="427" spans="1:5" ht="19.95" customHeight="1" x14ac:dyDescent="0.3">
      <c r="A427" s="5" t="s">
        <v>864</v>
      </c>
      <c r="B427" s="6" t="s">
        <v>277</v>
      </c>
      <c r="C427" s="6" t="s">
        <v>865</v>
      </c>
      <c r="D427" s="7" t="s">
        <v>369</v>
      </c>
      <c r="E427" s="8">
        <v>115</v>
      </c>
    </row>
    <row r="428" spans="1:5" ht="19.95" customHeight="1" x14ac:dyDescent="0.3">
      <c r="A428" s="1" t="s">
        <v>866</v>
      </c>
      <c r="B428" s="2" t="s">
        <v>277</v>
      </c>
      <c r="C428" s="2" t="s">
        <v>867</v>
      </c>
      <c r="D428" s="3" t="s">
        <v>369</v>
      </c>
      <c r="E428" s="4">
        <v>115</v>
      </c>
    </row>
    <row r="429" spans="1:5" ht="19.95" customHeight="1" x14ac:dyDescent="0.3">
      <c r="A429" s="5" t="s">
        <v>868</v>
      </c>
      <c r="B429" s="6" t="s">
        <v>277</v>
      </c>
      <c r="C429" s="6" t="s">
        <v>869</v>
      </c>
      <c r="D429" s="7" t="s">
        <v>369</v>
      </c>
      <c r="E429" s="8">
        <v>130</v>
      </c>
    </row>
    <row r="430" spans="1:5" ht="19.95" customHeight="1" x14ac:dyDescent="0.3">
      <c r="A430" s="1" t="s">
        <v>870</v>
      </c>
      <c r="B430" s="2" t="s">
        <v>277</v>
      </c>
      <c r="C430" s="2" t="s">
        <v>871</v>
      </c>
      <c r="D430" s="3" t="s">
        <v>366</v>
      </c>
      <c r="E430" s="4">
        <v>30</v>
      </c>
    </row>
    <row r="431" spans="1:5" ht="19.95" customHeight="1" x14ac:dyDescent="0.3">
      <c r="A431" s="5" t="s">
        <v>872</v>
      </c>
      <c r="B431" s="6" t="s">
        <v>277</v>
      </c>
      <c r="C431" s="6" t="s">
        <v>873</v>
      </c>
      <c r="D431" s="7" t="s">
        <v>366</v>
      </c>
      <c r="E431" s="8">
        <v>130</v>
      </c>
    </row>
    <row r="432" spans="1:5" ht="19.95" customHeight="1" x14ac:dyDescent="0.3">
      <c r="A432" s="1" t="s">
        <v>874</v>
      </c>
      <c r="B432" s="2" t="s">
        <v>277</v>
      </c>
      <c r="C432" s="2" t="s">
        <v>875</v>
      </c>
      <c r="D432" s="3" t="s">
        <v>366</v>
      </c>
      <c r="E432" s="4">
        <v>6</v>
      </c>
    </row>
    <row r="433" spans="1:5" ht="19.95" customHeight="1" x14ac:dyDescent="0.3">
      <c r="A433" s="5" t="s">
        <v>876</v>
      </c>
      <c r="B433" s="6" t="s">
        <v>277</v>
      </c>
      <c r="C433" s="6" t="s">
        <v>877</v>
      </c>
      <c r="D433" s="7" t="s">
        <v>366</v>
      </c>
      <c r="E433" s="8">
        <v>5</v>
      </c>
    </row>
    <row r="434" spans="1:5" ht="19.95" customHeight="1" x14ac:dyDescent="0.3">
      <c r="A434" s="1" t="s">
        <v>878</v>
      </c>
      <c r="B434" s="2" t="s">
        <v>277</v>
      </c>
      <c r="C434" s="2" t="s">
        <v>879</v>
      </c>
      <c r="D434" s="3" t="s">
        <v>189</v>
      </c>
      <c r="E434" s="4">
        <v>10</v>
      </c>
    </row>
    <row r="435" spans="1:5" ht="19.95" customHeight="1" x14ac:dyDescent="0.3">
      <c r="A435" s="5" t="s">
        <v>880</v>
      </c>
      <c r="B435" s="6" t="s">
        <v>277</v>
      </c>
      <c r="C435" s="6" t="s">
        <v>881</v>
      </c>
      <c r="D435" s="7" t="s">
        <v>189</v>
      </c>
      <c r="E435" s="8">
        <v>10</v>
      </c>
    </row>
    <row r="436" spans="1:5" ht="19.95" customHeight="1" x14ac:dyDescent="0.3">
      <c r="A436" s="1" t="s">
        <v>882</v>
      </c>
      <c r="B436" s="2" t="s">
        <v>277</v>
      </c>
      <c r="C436" s="2" t="s">
        <v>883</v>
      </c>
      <c r="D436" s="3" t="s">
        <v>366</v>
      </c>
      <c r="E436" s="4">
        <v>70</v>
      </c>
    </row>
    <row r="437" spans="1:5" ht="19.95" customHeight="1" x14ac:dyDescent="0.3">
      <c r="A437" s="5" t="s">
        <v>884</v>
      </c>
      <c r="B437" s="6" t="s">
        <v>277</v>
      </c>
      <c r="C437" s="6" t="s">
        <v>885</v>
      </c>
      <c r="D437" s="7" t="s">
        <v>366</v>
      </c>
      <c r="E437" s="8">
        <v>56</v>
      </c>
    </row>
    <row r="438" spans="1:5" ht="19.95" customHeight="1" x14ac:dyDescent="0.3">
      <c r="A438" s="1" t="s">
        <v>886</v>
      </c>
      <c r="B438" s="2" t="s">
        <v>277</v>
      </c>
      <c r="C438" s="2" t="s">
        <v>887</v>
      </c>
      <c r="D438" s="3" t="s">
        <v>189</v>
      </c>
      <c r="E438" s="4">
        <v>45</v>
      </c>
    </row>
    <row r="439" spans="1:5" ht="19.95" customHeight="1" x14ac:dyDescent="0.3">
      <c r="A439" s="5" t="s">
        <v>888</v>
      </c>
      <c r="B439" s="6" t="s">
        <v>277</v>
      </c>
      <c r="C439" s="6" t="s">
        <v>889</v>
      </c>
      <c r="D439" s="7" t="s">
        <v>189</v>
      </c>
      <c r="E439" s="8">
        <v>285</v>
      </c>
    </row>
    <row r="440" spans="1:5" ht="19.95" customHeight="1" x14ac:dyDescent="0.3">
      <c r="A440" s="1" t="s">
        <v>890</v>
      </c>
      <c r="B440" s="2" t="s">
        <v>277</v>
      </c>
      <c r="C440" s="2" t="s">
        <v>891</v>
      </c>
      <c r="D440" s="3" t="s">
        <v>366</v>
      </c>
      <c r="E440" s="4">
        <v>527</v>
      </c>
    </row>
    <row r="441" spans="1:5" ht="19.95" customHeight="1" x14ac:dyDescent="0.3">
      <c r="A441" s="5" t="s">
        <v>892</v>
      </c>
      <c r="B441" s="6" t="s">
        <v>277</v>
      </c>
      <c r="C441" s="6" t="s">
        <v>893</v>
      </c>
      <c r="D441" s="7" t="s">
        <v>189</v>
      </c>
      <c r="E441" s="8">
        <v>48</v>
      </c>
    </row>
    <row r="442" spans="1:5" ht="19.95" customHeight="1" x14ac:dyDescent="0.3">
      <c r="A442" s="1" t="s">
        <v>894</v>
      </c>
      <c r="B442" s="2" t="s">
        <v>277</v>
      </c>
      <c r="C442" s="2" t="s">
        <v>895</v>
      </c>
      <c r="D442" s="3" t="s">
        <v>169</v>
      </c>
      <c r="E442" s="4">
        <v>1400</v>
      </c>
    </row>
    <row r="443" spans="1:5" ht="19.95" customHeight="1" x14ac:dyDescent="0.3">
      <c r="A443" s="5" t="s">
        <v>896</v>
      </c>
      <c r="B443" s="6" t="s">
        <v>277</v>
      </c>
      <c r="C443" s="6" t="s">
        <v>897</v>
      </c>
      <c r="D443" s="7" t="s">
        <v>283</v>
      </c>
      <c r="E443" s="8">
        <v>800</v>
      </c>
    </row>
    <row r="444" spans="1:5" ht="19.95" customHeight="1" x14ac:dyDescent="0.3">
      <c r="A444" s="1" t="s">
        <v>898</v>
      </c>
      <c r="B444" s="2" t="s">
        <v>277</v>
      </c>
      <c r="C444" s="2" t="s">
        <v>899</v>
      </c>
      <c r="D444" s="3" t="s">
        <v>189</v>
      </c>
      <c r="E444" s="4">
        <v>300</v>
      </c>
    </row>
    <row r="445" spans="1:5" ht="19.95" customHeight="1" x14ac:dyDescent="0.3">
      <c r="A445" s="5" t="s">
        <v>900</v>
      </c>
      <c r="B445" s="6" t="s">
        <v>277</v>
      </c>
      <c r="C445" s="6" t="s">
        <v>901</v>
      </c>
      <c r="D445" s="7" t="s">
        <v>189</v>
      </c>
      <c r="E445" s="8">
        <v>260</v>
      </c>
    </row>
    <row r="446" spans="1:5" ht="19.95" customHeight="1" x14ac:dyDescent="0.3">
      <c r="A446" s="1" t="s">
        <v>902</v>
      </c>
      <c r="B446" s="2" t="s">
        <v>277</v>
      </c>
      <c r="C446" s="2" t="s">
        <v>903</v>
      </c>
      <c r="D446" s="3" t="s">
        <v>169</v>
      </c>
      <c r="E446" s="4">
        <v>800</v>
      </c>
    </row>
    <row r="447" spans="1:5" ht="19.95" customHeight="1" x14ac:dyDescent="0.3">
      <c r="A447" s="5" t="s">
        <v>904</v>
      </c>
      <c r="B447" s="6" t="s">
        <v>277</v>
      </c>
      <c r="C447" s="6" t="s">
        <v>903</v>
      </c>
      <c r="D447" s="7" t="s">
        <v>169</v>
      </c>
      <c r="E447" s="8">
        <v>800</v>
      </c>
    </row>
    <row r="448" spans="1:5" ht="19.95" customHeight="1" x14ac:dyDescent="0.3">
      <c r="A448" s="1" t="s">
        <v>905</v>
      </c>
      <c r="B448" s="2" t="s">
        <v>277</v>
      </c>
      <c r="C448" s="2" t="s">
        <v>906</v>
      </c>
      <c r="D448" s="3" t="s">
        <v>18</v>
      </c>
      <c r="E448" s="4">
        <v>40</v>
      </c>
    </row>
    <row r="449" spans="1:5" ht="19.95" customHeight="1" x14ac:dyDescent="0.3">
      <c r="A449" s="5" t="s">
        <v>907</v>
      </c>
      <c r="B449" s="6" t="s">
        <v>277</v>
      </c>
      <c r="C449" s="6" t="s">
        <v>908</v>
      </c>
      <c r="D449" s="7" t="s">
        <v>18</v>
      </c>
      <c r="E449" s="8">
        <v>90</v>
      </c>
    </row>
    <row r="450" spans="1:5" ht="19.95" customHeight="1" x14ac:dyDescent="0.3">
      <c r="A450" s="1" t="s">
        <v>909</v>
      </c>
      <c r="B450" s="2" t="s">
        <v>277</v>
      </c>
      <c r="C450" s="2" t="s">
        <v>910</v>
      </c>
      <c r="D450" s="3" t="s">
        <v>18</v>
      </c>
      <c r="E450" s="4">
        <v>1350</v>
      </c>
    </row>
    <row r="451" spans="1:5" ht="19.95" customHeight="1" x14ac:dyDescent="0.3">
      <c r="A451" s="5" t="s">
        <v>911</v>
      </c>
      <c r="B451" s="6" t="s">
        <v>277</v>
      </c>
      <c r="C451" s="6" t="s">
        <v>912</v>
      </c>
      <c r="D451" s="7" t="s">
        <v>18</v>
      </c>
      <c r="E451" s="8">
        <v>900</v>
      </c>
    </row>
    <row r="452" spans="1:5" ht="19.95" customHeight="1" x14ac:dyDescent="0.3">
      <c r="A452" s="1" t="s">
        <v>913</v>
      </c>
      <c r="B452" s="2" t="s">
        <v>277</v>
      </c>
      <c r="C452" s="2" t="s">
        <v>914</v>
      </c>
      <c r="D452" s="3" t="s">
        <v>354</v>
      </c>
      <c r="E452" s="4">
        <v>5000</v>
      </c>
    </row>
    <row r="453" spans="1:5" ht="19.95" customHeight="1" x14ac:dyDescent="0.3">
      <c r="A453" s="5" t="s">
        <v>915</v>
      </c>
      <c r="B453" s="6" t="s">
        <v>277</v>
      </c>
      <c r="C453" s="6" t="s">
        <v>916</v>
      </c>
      <c r="D453" s="7" t="s">
        <v>354</v>
      </c>
      <c r="E453" s="8">
        <v>5700</v>
      </c>
    </row>
    <row r="454" spans="1:5" ht="19.95" customHeight="1" x14ac:dyDescent="0.3">
      <c r="A454" s="1" t="s">
        <v>917</v>
      </c>
      <c r="B454" s="2" t="s">
        <v>277</v>
      </c>
      <c r="C454" s="2" t="s">
        <v>918</v>
      </c>
      <c r="D454" s="3" t="s">
        <v>169</v>
      </c>
      <c r="E454" s="4">
        <v>135</v>
      </c>
    </row>
    <row r="455" spans="1:5" ht="19.95" customHeight="1" x14ac:dyDescent="0.3">
      <c r="A455" s="5" t="s">
        <v>919</v>
      </c>
      <c r="B455" s="6" t="s">
        <v>277</v>
      </c>
      <c r="C455" s="6" t="s">
        <v>920</v>
      </c>
      <c r="D455" s="7" t="s">
        <v>169</v>
      </c>
      <c r="E455" s="8">
        <v>210</v>
      </c>
    </row>
    <row r="456" spans="1:5" ht="19.95" customHeight="1" x14ac:dyDescent="0.3">
      <c r="A456" s="1" t="s">
        <v>921</v>
      </c>
      <c r="B456" s="2" t="s">
        <v>277</v>
      </c>
      <c r="C456" s="2" t="s">
        <v>922</v>
      </c>
      <c r="D456" s="3" t="s">
        <v>366</v>
      </c>
      <c r="E456" s="4">
        <v>300</v>
      </c>
    </row>
    <row r="457" spans="1:5" ht="19.95" customHeight="1" x14ac:dyDescent="0.3">
      <c r="A457" s="5" t="s">
        <v>923</v>
      </c>
      <c r="B457" s="6" t="s">
        <v>277</v>
      </c>
      <c r="C457" s="6" t="s">
        <v>924</v>
      </c>
      <c r="D457" s="7" t="s">
        <v>369</v>
      </c>
      <c r="E457" s="8">
        <v>48</v>
      </c>
    </row>
    <row r="458" spans="1:5" ht="19.95" customHeight="1" x14ac:dyDescent="0.3">
      <c r="A458" s="1" t="s">
        <v>925</v>
      </c>
      <c r="B458" s="2" t="s">
        <v>277</v>
      </c>
      <c r="C458" s="2" t="s">
        <v>926</v>
      </c>
      <c r="D458" s="3" t="s">
        <v>366</v>
      </c>
      <c r="E458" s="4">
        <v>50</v>
      </c>
    </row>
    <row r="459" spans="1:5" ht="19.95" customHeight="1" x14ac:dyDescent="0.3">
      <c r="A459" s="5" t="s">
        <v>927</v>
      </c>
      <c r="B459" s="6" t="s">
        <v>277</v>
      </c>
      <c r="C459" s="6" t="s">
        <v>928</v>
      </c>
      <c r="D459" s="7" t="s">
        <v>354</v>
      </c>
      <c r="E459" s="8">
        <v>4500</v>
      </c>
    </row>
    <row r="460" spans="1:5" ht="19.95" customHeight="1" x14ac:dyDescent="0.3">
      <c r="A460" s="1" t="s">
        <v>929</v>
      </c>
      <c r="B460" s="2" t="s">
        <v>277</v>
      </c>
      <c r="C460" s="2" t="s">
        <v>930</v>
      </c>
      <c r="D460" s="3" t="s">
        <v>354</v>
      </c>
      <c r="E460" s="4">
        <v>4400</v>
      </c>
    </row>
    <row r="461" spans="1:5" ht="19.95" customHeight="1" x14ac:dyDescent="0.3">
      <c r="A461" s="5" t="s">
        <v>931</v>
      </c>
      <c r="B461" s="6" t="s">
        <v>277</v>
      </c>
      <c r="C461" s="6" t="s">
        <v>932</v>
      </c>
      <c r="D461" s="7" t="s">
        <v>354</v>
      </c>
      <c r="E461" s="8">
        <v>4500</v>
      </c>
    </row>
    <row r="462" spans="1:5" ht="19.95" customHeight="1" x14ac:dyDescent="0.3">
      <c r="A462" s="1" t="s">
        <v>933</v>
      </c>
      <c r="B462" s="2" t="s">
        <v>277</v>
      </c>
      <c r="C462" s="2" t="s">
        <v>934</v>
      </c>
      <c r="D462" s="3" t="s">
        <v>354</v>
      </c>
      <c r="E462" s="4">
        <v>4600</v>
      </c>
    </row>
    <row r="463" spans="1:5" ht="19.95" customHeight="1" x14ac:dyDescent="0.3">
      <c r="A463" s="5" t="s">
        <v>935</v>
      </c>
      <c r="B463" s="6" t="s">
        <v>277</v>
      </c>
      <c r="C463" s="6" t="s">
        <v>936</v>
      </c>
      <c r="D463" s="7" t="s">
        <v>354</v>
      </c>
      <c r="E463" s="8">
        <v>4500</v>
      </c>
    </row>
    <row r="464" spans="1:5" ht="19.95" customHeight="1" x14ac:dyDescent="0.3">
      <c r="A464" s="1" t="s">
        <v>937</v>
      </c>
      <c r="B464" s="2" t="s">
        <v>277</v>
      </c>
      <c r="C464" s="2" t="s">
        <v>938</v>
      </c>
      <c r="D464" s="3" t="s">
        <v>354</v>
      </c>
      <c r="E464" s="4">
        <v>4600</v>
      </c>
    </row>
    <row r="465" spans="1:5" ht="19.95" customHeight="1" x14ac:dyDescent="0.3">
      <c r="A465" s="5" t="s">
        <v>939</v>
      </c>
      <c r="B465" s="6" t="s">
        <v>277</v>
      </c>
      <c r="C465" s="6" t="s">
        <v>940</v>
      </c>
      <c r="D465" s="7" t="s">
        <v>354</v>
      </c>
      <c r="E465" s="8">
        <v>4500</v>
      </c>
    </row>
    <row r="466" spans="1:5" ht="19.95" customHeight="1" x14ac:dyDescent="0.3">
      <c r="A466" s="1" t="s">
        <v>941</v>
      </c>
      <c r="B466" s="2" t="s">
        <v>277</v>
      </c>
      <c r="C466" s="2" t="s">
        <v>942</v>
      </c>
      <c r="D466" s="3" t="s">
        <v>354</v>
      </c>
      <c r="E466" s="4">
        <v>4600</v>
      </c>
    </row>
    <row r="467" spans="1:5" ht="19.95" customHeight="1" x14ac:dyDescent="0.3">
      <c r="A467" s="5" t="s">
        <v>943</v>
      </c>
      <c r="B467" s="6" t="s">
        <v>277</v>
      </c>
      <c r="C467" s="6" t="s">
        <v>944</v>
      </c>
      <c r="D467" s="7" t="s">
        <v>354</v>
      </c>
      <c r="E467" s="8">
        <v>4800</v>
      </c>
    </row>
    <row r="468" spans="1:5" ht="19.95" customHeight="1" x14ac:dyDescent="0.3">
      <c r="A468" s="1" t="s">
        <v>945</v>
      </c>
      <c r="B468" s="2" t="s">
        <v>277</v>
      </c>
      <c r="C468" s="2" t="s">
        <v>946</v>
      </c>
      <c r="D468" s="3" t="s">
        <v>366</v>
      </c>
      <c r="E468" s="4">
        <v>54</v>
      </c>
    </row>
    <row r="469" spans="1:5" ht="19.95" customHeight="1" x14ac:dyDescent="0.3">
      <c r="A469" s="5" t="s">
        <v>947</v>
      </c>
      <c r="B469" s="6" t="s">
        <v>277</v>
      </c>
      <c r="C469" s="6" t="s">
        <v>948</v>
      </c>
      <c r="D469" s="7" t="s">
        <v>366</v>
      </c>
      <c r="E469" s="8">
        <v>90</v>
      </c>
    </row>
    <row r="470" spans="1:5" ht="19.95" customHeight="1" x14ac:dyDescent="0.3">
      <c r="A470" s="1" t="s">
        <v>949</v>
      </c>
      <c r="B470" s="2" t="s">
        <v>277</v>
      </c>
      <c r="C470" s="2" t="s">
        <v>950</v>
      </c>
      <c r="D470" s="3" t="s">
        <v>354</v>
      </c>
      <c r="E470" s="4">
        <v>4600</v>
      </c>
    </row>
    <row r="471" spans="1:5" ht="19.95" customHeight="1" x14ac:dyDescent="0.3">
      <c r="A471" s="5" t="s">
        <v>951</v>
      </c>
      <c r="B471" s="6" t="s">
        <v>277</v>
      </c>
      <c r="C471" s="6" t="s">
        <v>952</v>
      </c>
      <c r="D471" s="7" t="s">
        <v>169</v>
      </c>
      <c r="E471" s="8">
        <v>280</v>
      </c>
    </row>
    <row r="472" spans="1:5" ht="19.95" customHeight="1" x14ac:dyDescent="0.3">
      <c r="A472" s="1" t="s">
        <v>953</v>
      </c>
      <c r="B472" s="2" t="s">
        <v>277</v>
      </c>
      <c r="C472" s="2" t="s">
        <v>954</v>
      </c>
      <c r="D472" s="3" t="s">
        <v>189</v>
      </c>
      <c r="E472" s="4">
        <v>32</v>
      </c>
    </row>
    <row r="473" spans="1:5" ht="19.95" customHeight="1" x14ac:dyDescent="0.3">
      <c r="A473" s="5" t="s">
        <v>955</v>
      </c>
      <c r="B473" s="6" t="s">
        <v>277</v>
      </c>
      <c r="C473" s="6" t="s">
        <v>956</v>
      </c>
      <c r="D473" s="7" t="s">
        <v>354</v>
      </c>
      <c r="E473" s="8">
        <v>5000</v>
      </c>
    </row>
    <row r="474" spans="1:5" ht="19.95" customHeight="1" x14ac:dyDescent="0.3">
      <c r="A474" s="1" t="s">
        <v>957</v>
      </c>
      <c r="B474" s="2" t="s">
        <v>277</v>
      </c>
      <c r="C474" s="2" t="s">
        <v>958</v>
      </c>
      <c r="D474" s="3" t="s">
        <v>169</v>
      </c>
      <c r="E474" s="4">
        <v>430</v>
      </c>
    </row>
    <row r="475" spans="1:5" ht="19.95" customHeight="1" x14ac:dyDescent="0.3">
      <c r="A475" s="5" t="s">
        <v>959</v>
      </c>
      <c r="B475" s="6" t="s">
        <v>277</v>
      </c>
      <c r="C475" s="6" t="s">
        <v>960</v>
      </c>
      <c r="D475" s="7" t="s">
        <v>279</v>
      </c>
      <c r="E475" s="8">
        <v>38</v>
      </c>
    </row>
    <row r="476" spans="1:5" ht="19.95" customHeight="1" x14ac:dyDescent="0.3">
      <c r="A476" s="1" t="s">
        <v>961</v>
      </c>
      <c r="B476" s="2" t="s">
        <v>277</v>
      </c>
      <c r="C476" s="2" t="s">
        <v>962</v>
      </c>
      <c r="D476" s="3" t="s">
        <v>279</v>
      </c>
      <c r="E476" s="4">
        <v>120</v>
      </c>
    </row>
    <row r="477" spans="1:5" ht="19.95" customHeight="1" x14ac:dyDescent="0.3">
      <c r="A477" s="5" t="s">
        <v>963</v>
      </c>
      <c r="B477" s="6" t="s">
        <v>277</v>
      </c>
      <c r="C477" s="6" t="s">
        <v>964</v>
      </c>
      <c r="D477" s="7" t="s">
        <v>189</v>
      </c>
      <c r="E477" s="8">
        <v>9</v>
      </c>
    </row>
    <row r="478" spans="1:5" ht="19.95" customHeight="1" x14ac:dyDescent="0.3">
      <c r="A478" s="1" t="s">
        <v>965</v>
      </c>
      <c r="B478" s="2" t="s">
        <v>277</v>
      </c>
      <c r="C478" s="2" t="s">
        <v>966</v>
      </c>
      <c r="D478" s="3" t="s">
        <v>279</v>
      </c>
      <c r="E478" s="4">
        <v>10</v>
      </c>
    </row>
    <row r="479" spans="1:5" ht="19.95" customHeight="1" x14ac:dyDescent="0.3">
      <c r="A479" s="5" t="s">
        <v>967</v>
      </c>
      <c r="B479" s="6" t="s">
        <v>277</v>
      </c>
      <c r="C479" s="6" t="s">
        <v>968</v>
      </c>
      <c r="D479" s="7" t="s">
        <v>189</v>
      </c>
      <c r="E479" s="8">
        <v>25</v>
      </c>
    </row>
    <row r="480" spans="1:5" ht="19.95" customHeight="1" x14ac:dyDescent="0.3">
      <c r="A480" s="1" t="s">
        <v>969</v>
      </c>
      <c r="B480" s="2" t="s">
        <v>277</v>
      </c>
      <c r="C480" s="2" t="s">
        <v>970</v>
      </c>
      <c r="D480" s="3" t="s">
        <v>189</v>
      </c>
      <c r="E480" s="4">
        <v>80</v>
      </c>
    </row>
    <row r="481" spans="1:5" ht="19.95" customHeight="1" x14ac:dyDescent="0.3">
      <c r="A481" s="5" t="s">
        <v>971</v>
      </c>
      <c r="B481" s="6" t="s">
        <v>277</v>
      </c>
      <c r="C481" s="6" t="s">
        <v>972</v>
      </c>
      <c r="D481" s="7" t="s">
        <v>354</v>
      </c>
      <c r="E481" s="8">
        <v>5500</v>
      </c>
    </row>
    <row r="482" spans="1:5" ht="19.95" customHeight="1" x14ac:dyDescent="0.3">
      <c r="A482" s="1" t="s">
        <v>973</v>
      </c>
      <c r="B482" s="2" t="s">
        <v>277</v>
      </c>
      <c r="C482" s="2" t="s">
        <v>974</v>
      </c>
      <c r="D482" s="3" t="s">
        <v>189</v>
      </c>
      <c r="E482" s="4">
        <v>25</v>
      </c>
    </row>
    <row r="483" spans="1:5" ht="19.95" customHeight="1" x14ac:dyDescent="0.3">
      <c r="A483" s="5" t="s">
        <v>975</v>
      </c>
      <c r="B483" s="6" t="s">
        <v>277</v>
      </c>
      <c r="C483" s="6" t="s">
        <v>976</v>
      </c>
      <c r="D483" s="7" t="s">
        <v>189</v>
      </c>
      <c r="E483" s="8">
        <v>20</v>
      </c>
    </row>
    <row r="484" spans="1:5" ht="19.95" customHeight="1" x14ac:dyDescent="0.3">
      <c r="A484" s="1" t="s">
        <v>977</v>
      </c>
      <c r="B484" s="2" t="s">
        <v>277</v>
      </c>
      <c r="C484" s="2" t="s">
        <v>978</v>
      </c>
      <c r="D484" s="3" t="s">
        <v>189</v>
      </c>
      <c r="E484" s="4">
        <v>6</v>
      </c>
    </row>
    <row r="485" spans="1:5" ht="19.95" customHeight="1" x14ac:dyDescent="0.3">
      <c r="A485" s="5" t="s">
        <v>979</v>
      </c>
      <c r="B485" s="6" t="s">
        <v>277</v>
      </c>
      <c r="C485" s="6" t="s">
        <v>980</v>
      </c>
      <c r="D485" s="7" t="s">
        <v>354</v>
      </c>
      <c r="E485" s="8">
        <v>4800</v>
      </c>
    </row>
    <row r="486" spans="1:5" ht="19.95" customHeight="1" x14ac:dyDescent="0.3">
      <c r="A486" s="1" t="s">
        <v>981</v>
      </c>
      <c r="B486" s="2" t="s">
        <v>277</v>
      </c>
      <c r="C486" s="2" t="s">
        <v>982</v>
      </c>
      <c r="D486" s="3" t="s">
        <v>354</v>
      </c>
      <c r="E486" s="4">
        <v>5100</v>
      </c>
    </row>
    <row r="487" spans="1:5" ht="19.95" customHeight="1" x14ac:dyDescent="0.3">
      <c r="A487" s="5" t="s">
        <v>983</v>
      </c>
      <c r="B487" s="6" t="s">
        <v>277</v>
      </c>
      <c r="C487" s="6" t="s">
        <v>984</v>
      </c>
      <c r="D487" s="7" t="s">
        <v>189</v>
      </c>
      <c r="E487" s="8">
        <v>37</v>
      </c>
    </row>
    <row r="488" spans="1:5" ht="19.95" customHeight="1" x14ac:dyDescent="0.3">
      <c r="A488" s="1" t="s">
        <v>985</v>
      </c>
      <c r="B488" s="2" t="s">
        <v>277</v>
      </c>
      <c r="C488" s="2" t="s">
        <v>986</v>
      </c>
      <c r="D488" s="3" t="s">
        <v>283</v>
      </c>
      <c r="E488" s="4">
        <v>27</v>
      </c>
    </row>
    <row r="489" spans="1:5" ht="19.95" customHeight="1" x14ac:dyDescent="0.3">
      <c r="A489" s="5" t="s">
        <v>987</v>
      </c>
      <c r="B489" s="6" t="s">
        <v>277</v>
      </c>
      <c r="C489" s="6" t="s">
        <v>988</v>
      </c>
      <c r="D489" s="7" t="s">
        <v>283</v>
      </c>
      <c r="E489" s="8">
        <v>90</v>
      </c>
    </row>
    <row r="490" spans="1:5" ht="19.95" customHeight="1" x14ac:dyDescent="0.3">
      <c r="A490" s="1" t="s">
        <v>989</v>
      </c>
      <c r="B490" s="2" t="s">
        <v>277</v>
      </c>
      <c r="C490" s="2" t="s">
        <v>990</v>
      </c>
      <c r="D490" s="3" t="s">
        <v>283</v>
      </c>
      <c r="E490" s="4">
        <v>20</v>
      </c>
    </row>
    <row r="491" spans="1:5" ht="19.95" customHeight="1" x14ac:dyDescent="0.3">
      <c r="A491" s="5" t="s">
        <v>991</v>
      </c>
      <c r="B491" s="6" t="s">
        <v>277</v>
      </c>
      <c r="C491" s="6" t="s">
        <v>992</v>
      </c>
      <c r="D491" s="7" t="s">
        <v>189</v>
      </c>
      <c r="E491" s="8">
        <v>80</v>
      </c>
    </row>
    <row r="492" spans="1:5" ht="19.95" customHeight="1" x14ac:dyDescent="0.3">
      <c r="A492" s="1" t="s">
        <v>993</v>
      </c>
      <c r="B492" s="2" t="s">
        <v>277</v>
      </c>
      <c r="C492" s="2" t="s">
        <v>994</v>
      </c>
      <c r="D492" s="3" t="s">
        <v>548</v>
      </c>
      <c r="E492" s="4">
        <v>5000</v>
      </c>
    </row>
    <row r="493" spans="1:5" ht="19.95" customHeight="1" x14ac:dyDescent="0.3">
      <c r="A493" s="5" t="s">
        <v>995</v>
      </c>
      <c r="B493" s="6" t="s">
        <v>277</v>
      </c>
      <c r="C493" s="6" t="s">
        <v>996</v>
      </c>
      <c r="D493" s="7" t="s">
        <v>18</v>
      </c>
      <c r="E493" s="8">
        <v>1100</v>
      </c>
    </row>
    <row r="494" spans="1:5" ht="19.95" customHeight="1" x14ac:dyDescent="0.3">
      <c r="A494" s="1" t="s">
        <v>997</v>
      </c>
      <c r="B494" s="2" t="s">
        <v>277</v>
      </c>
      <c r="C494" s="2" t="s">
        <v>998</v>
      </c>
      <c r="D494" s="3" t="s">
        <v>18</v>
      </c>
      <c r="E494" s="4">
        <v>600</v>
      </c>
    </row>
    <row r="495" spans="1:5" ht="19.95" customHeight="1" x14ac:dyDescent="0.3">
      <c r="A495" s="5" t="s">
        <v>999</v>
      </c>
      <c r="B495" s="6" t="s">
        <v>277</v>
      </c>
      <c r="C495" s="6" t="s">
        <v>1000</v>
      </c>
      <c r="D495" s="7" t="s">
        <v>18</v>
      </c>
      <c r="E495" s="8">
        <v>1100</v>
      </c>
    </row>
    <row r="496" spans="1:5" ht="19.95" customHeight="1" x14ac:dyDescent="0.3">
      <c r="A496" s="1" t="s">
        <v>1001</v>
      </c>
      <c r="B496" s="2" t="s">
        <v>277</v>
      </c>
      <c r="C496" s="2" t="s">
        <v>1002</v>
      </c>
      <c r="D496" s="3" t="s">
        <v>1003</v>
      </c>
      <c r="E496" s="4">
        <v>79</v>
      </c>
    </row>
    <row r="497" spans="1:5" ht="19.95" customHeight="1" x14ac:dyDescent="0.3">
      <c r="A497" s="5" t="s">
        <v>1004</v>
      </c>
      <c r="B497" s="6" t="s">
        <v>277</v>
      </c>
      <c r="C497" s="6" t="s">
        <v>1005</v>
      </c>
      <c r="D497" s="7" t="s">
        <v>1003</v>
      </c>
      <c r="E497" s="8">
        <v>205</v>
      </c>
    </row>
    <row r="498" spans="1:5" ht="19.95" customHeight="1" x14ac:dyDescent="0.3">
      <c r="A498" s="1" t="s">
        <v>1006</v>
      </c>
      <c r="B498" s="2" t="s">
        <v>277</v>
      </c>
      <c r="C498" s="2" t="s">
        <v>1007</v>
      </c>
      <c r="D498" s="3" t="s">
        <v>169</v>
      </c>
      <c r="E498" s="4">
        <v>900</v>
      </c>
    </row>
    <row r="499" spans="1:5" ht="19.95" customHeight="1" x14ac:dyDescent="0.3">
      <c r="A499" s="5" t="s">
        <v>1008</v>
      </c>
      <c r="B499" s="6" t="s">
        <v>277</v>
      </c>
      <c r="C499" s="6" t="s">
        <v>1009</v>
      </c>
      <c r="D499" s="7" t="s">
        <v>169</v>
      </c>
      <c r="E499" s="8">
        <v>200</v>
      </c>
    </row>
    <row r="500" spans="1:5" ht="19.95" customHeight="1" x14ac:dyDescent="0.3">
      <c r="A500" s="1" t="s">
        <v>1010</v>
      </c>
      <c r="B500" s="2" t="s">
        <v>277</v>
      </c>
      <c r="C500" s="2" t="s">
        <v>1011</v>
      </c>
      <c r="D500" s="3" t="s">
        <v>169</v>
      </c>
      <c r="E500" s="4">
        <v>200</v>
      </c>
    </row>
    <row r="501" spans="1:5" ht="19.95" customHeight="1" x14ac:dyDescent="0.3">
      <c r="A501" s="5" t="s">
        <v>1012</v>
      </c>
      <c r="B501" s="6" t="s">
        <v>277</v>
      </c>
      <c r="C501" s="6" t="s">
        <v>1013</v>
      </c>
      <c r="D501" s="7" t="s">
        <v>169</v>
      </c>
      <c r="E501" s="8">
        <v>200</v>
      </c>
    </row>
    <row r="502" spans="1:5" ht="19.95" customHeight="1" x14ac:dyDescent="0.3">
      <c r="A502" s="1" t="s">
        <v>1014</v>
      </c>
      <c r="B502" s="2" t="s">
        <v>277</v>
      </c>
      <c r="C502" s="2" t="s">
        <v>1015</v>
      </c>
      <c r="D502" s="3" t="s">
        <v>169</v>
      </c>
      <c r="E502" s="4">
        <v>280</v>
      </c>
    </row>
    <row r="503" spans="1:5" ht="19.95" customHeight="1" x14ac:dyDescent="0.3">
      <c r="A503" s="5" t="s">
        <v>1016</v>
      </c>
      <c r="B503" s="6" t="s">
        <v>277</v>
      </c>
      <c r="C503" s="6" t="s">
        <v>1017</v>
      </c>
      <c r="D503" s="7" t="s">
        <v>169</v>
      </c>
      <c r="E503" s="8">
        <v>301</v>
      </c>
    </row>
    <row r="504" spans="1:5" ht="19.95" customHeight="1" x14ac:dyDescent="0.3">
      <c r="A504" s="1" t="s">
        <v>1018</v>
      </c>
      <c r="B504" s="2" t="s">
        <v>277</v>
      </c>
      <c r="C504" s="2" t="s">
        <v>1019</v>
      </c>
      <c r="D504" s="3" t="s">
        <v>169</v>
      </c>
      <c r="E504" s="4">
        <v>225</v>
      </c>
    </row>
    <row r="505" spans="1:5" ht="19.95" customHeight="1" x14ac:dyDescent="0.3">
      <c r="A505" s="5" t="s">
        <v>1020</v>
      </c>
      <c r="B505" s="6" t="s">
        <v>277</v>
      </c>
      <c r="C505" s="6" t="s">
        <v>1021</v>
      </c>
      <c r="D505" s="7" t="s">
        <v>169</v>
      </c>
      <c r="E505" s="8">
        <v>240</v>
      </c>
    </row>
    <row r="506" spans="1:5" ht="19.95" customHeight="1" x14ac:dyDescent="0.3">
      <c r="A506" s="1" t="s">
        <v>1022</v>
      </c>
      <c r="B506" s="2" t="s">
        <v>277</v>
      </c>
      <c r="C506" s="2" t="s">
        <v>1023</v>
      </c>
      <c r="D506" s="3" t="s">
        <v>18</v>
      </c>
      <c r="E506" s="4">
        <v>800</v>
      </c>
    </row>
    <row r="507" spans="1:5" ht="19.95" customHeight="1" x14ac:dyDescent="0.3">
      <c r="A507" s="5" t="s">
        <v>1024</v>
      </c>
      <c r="B507" s="6" t="s">
        <v>277</v>
      </c>
      <c r="C507" s="6" t="s">
        <v>1025</v>
      </c>
      <c r="D507" s="7" t="s">
        <v>18</v>
      </c>
      <c r="E507" s="8">
        <v>900</v>
      </c>
    </row>
    <row r="508" spans="1:5" ht="19.95" customHeight="1" x14ac:dyDescent="0.3">
      <c r="A508" s="1" t="s">
        <v>1026</v>
      </c>
      <c r="B508" s="2" t="s">
        <v>277</v>
      </c>
      <c r="C508" s="2" t="s">
        <v>1027</v>
      </c>
      <c r="D508" s="3" t="s">
        <v>18</v>
      </c>
      <c r="E508" s="4">
        <v>700</v>
      </c>
    </row>
    <row r="509" spans="1:5" ht="19.95" customHeight="1" x14ac:dyDescent="0.3">
      <c r="A509" s="5" t="s">
        <v>1028</v>
      </c>
      <c r="B509" s="6" t="s">
        <v>277</v>
      </c>
      <c r="C509" s="6" t="s">
        <v>1029</v>
      </c>
      <c r="D509" s="7" t="s">
        <v>1003</v>
      </c>
      <c r="E509" s="8">
        <v>1100</v>
      </c>
    </row>
    <row r="510" spans="1:5" ht="19.95" customHeight="1" x14ac:dyDescent="0.3">
      <c r="A510" s="1" t="s">
        <v>1030</v>
      </c>
      <c r="B510" s="2" t="s">
        <v>277</v>
      </c>
      <c r="C510" s="2" t="s">
        <v>1031</v>
      </c>
      <c r="D510" s="3" t="s">
        <v>1003</v>
      </c>
      <c r="E510" s="4">
        <v>880</v>
      </c>
    </row>
    <row r="511" spans="1:5" ht="19.95" customHeight="1" x14ac:dyDescent="0.3">
      <c r="A511" s="5" t="s">
        <v>1032</v>
      </c>
      <c r="B511" s="6" t="s">
        <v>277</v>
      </c>
      <c r="C511" s="6" t="s">
        <v>1033</v>
      </c>
      <c r="D511" s="7" t="s">
        <v>1003</v>
      </c>
      <c r="E511" s="8">
        <v>850</v>
      </c>
    </row>
    <row r="512" spans="1:5" ht="19.95" customHeight="1" x14ac:dyDescent="0.3">
      <c r="A512" s="1" t="s">
        <v>1034</v>
      </c>
      <c r="B512" s="2" t="s">
        <v>277</v>
      </c>
      <c r="C512" s="2" t="s">
        <v>1035</v>
      </c>
      <c r="D512" s="3" t="s">
        <v>1003</v>
      </c>
      <c r="E512" s="4">
        <v>776</v>
      </c>
    </row>
    <row r="513" spans="1:5" ht="19.95" customHeight="1" x14ac:dyDescent="0.3">
      <c r="A513" s="5" t="s">
        <v>1036</v>
      </c>
      <c r="B513" s="6" t="s">
        <v>277</v>
      </c>
      <c r="C513" s="6" t="s">
        <v>1037</v>
      </c>
      <c r="D513" s="7" t="s">
        <v>1003</v>
      </c>
      <c r="E513" s="8">
        <v>791</v>
      </c>
    </row>
    <row r="514" spans="1:5" ht="19.95" customHeight="1" x14ac:dyDescent="0.3">
      <c r="A514" s="1" t="s">
        <v>1038</v>
      </c>
      <c r="B514" s="2" t="s">
        <v>277</v>
      </c>
      <c r="C514" s="2" t="s">
        <v>1039</v>
      </c>
      <c r="D514" s="3" t="s">
        <v>1003</v>
      </c>
      <c r="E514" s="4">
        <v>440</v>
      </c>
    </row>
    <row r="515" spans="1:5" ht="19.95" customHeight="1" x14ac:dyDescent="0.3">
      <c r="A515" s="5" t="s">
        <v>1040</v>
      </c>
      <c r="B515" s="6" t="s">
        <v>277</v>
      </c>
      <c r="C515" s="6" t="s">
        <v>1041</v>
      </c>
      <c r="D515" s="7" t="s">
        <v>1003</v>
      </c>
      <c r="E515" s="8">
        <v>431</v>
      </c>
    </row>
    <row r="516" spans="1:5" ht="19.95" customHeight="1" x14ac:dyDescent="0.3">
      <c r="A516" s="1" t="s">
        <v>1042</v>
      </c>
      <c r="B516" s="2" t="s">
        <v>277</v>
      </c>
      <c r="C516" s="2" t="s">
        <v>1043</v>
      </c>
      <c r="D516" s="3" t="s">
        <v>1003</v>
      </c>
      <c r="E516" s="4">
        <v>500</v>
      </c>
    </row>
    <row r="517" spans="1:5" ht="19.95" customHeight="1" x14ac:dyDescent="0.3">
      <c r="A517" s="5" t="s">
        <v>1044</v>
      </c>
      <c r="B517" s="6" t="s">
        <v>277</v>
      </c>
      <c r="C517" s="6" t="s">
        <v>1045</v>
      </c>
      <c r="D517" s="7" t="s">
        <v>1003</v>
      </c>
      <c r="E517" s="8">
        <v>300</v>
      </c>
    </row>
    <row r="518" spans="1:5" ht="19.95" customHeight="1" x14ac:dyDescent="0.3">
      <c r="A518" s="1" t="s">
        <v>1046</v>
      </c>
      <c r="B518" s="2" t="s">
        <v>277</v>
      </c>
      <c r="C518" s="2" t="s">
        <v>1047</v>
      </c>
      <c r="D518" s="3" t="s">
        <v>1003</v>
      </c>
      <c r="E518" s="4">
        <v>260</v>
      </c>
    </row>
    <row r="519" spans="1:5" ht="19.95" customHeight="1" x14ac:dyDescent="0.3">
      <c r="A519" s="5" t="s">
        <v>1048</v>
      </c>
      <c r="B519" s="6" t="s">
        <v>277</v>
      </c>
      <c r="C519" s="6" t="s">
        <v>1049</v>
      </c>
      <c r="D519" s="7" t="s">
        <v>1003</v>
      </c>
      <c r="E519" s="8">
        <v>260</v>
      </c>
    </row>
    <row r="520" spans="1:5" ht="19.95" customHeight="1" x14ac:dyDescent="0.3">
      <c r="A520" s="1" t="s">
        <v>1050</v>
      </c>
      <c r="B520" s="2" t="s">
        <v>277</v>
      </c>
      <c r="C520" s="2" t="s">
        <v>1051</v>
      </c>
      <c r="D520" s="3" t="s">
        <v>1003</v>
      </c>
      <c r="E520" s="4">
        <v>600</v>
      </c>
    </row>
    <row r="521" spans="1:5" ht="19.95" customHeight="1" x14ac:dyDescent="0.3">
      <c r="A521" s="5" t="s">
        <v>1052</v>
      </c>
      <c r="B521" s="6" t="s">
        <v>277</v>
      </c>
      <c r="C521" s="6" t="s">
        <v>1053</v>
      </c>
      <c r="D521" s="7" t="s">
        <v>1003</v>
      </c>
      <c r="E521" s="8">
        <v>650</v>
      </c>
    </row>
    <row r="522" spans="1:5" ht="19.95" customHeight="1" x14ac:dyDescent="0.3">
      <c r="A522" s="1" t="s">
        <v>1054</v>
      </c>
      <c r="B522" s="2" t="s">
        <v>277</v>
      </c>
      <c r="C522" s="2" t="s">
        <v>1055</v>
      </c>
      <c r="D522" s="3" t="s">
        <v>169</v>
      </c>
      <c r="E522" s="4">
        <v>285</v>
      </c>
    </row>
    <row r="523" spans="1:5" ht="19.95" customHeight="1" x14ac:dyDescent="0.3">
      <c r="A523" s="5" t="s">
        <v>1056</v>
      </c>
      <c r="B523" s="6" t="s">
        <v>277</v>
      </c>
      <c r="C523" s="6" t="s">
        <v>1057</v>
      </c>
      <c r="D523" s="7" t="s">
        <v>169</v>
      </c>
      <c r="E523" s="8">
        <v>265</v>
      </c>
    </row>
    <row r="524" spans="1:5" ht="19.95" customHeight="1" x14ac:dyDescent="0.3">
      <c r="A524" s="1" t="s">
        <v>1058</v>
      </c>
      <c r="B524" s="2" t="s">
        <v>277</v>
      </c>
      <c r="C524" s="2" t="s">
        <v>1059</v>
      </c>
      <c r="D524" s="3" t="s">
        <v>169</v>
      </c>
      <c r="E524" s="4">
        <v>245</v>
      </c>
    </row>
    <row r="525" spans="1:5" ht="19.95" customHeight="1" x14ac:dyDescent="0.3">
      <c r="A525" s="5" t="s">
        <v>1060</v>
      </c>
      <c r="B525" s="6" t="s">
        <v>277</v>
      </c>
      <c r="C525" s="6" t="s">
        <v>1061</v>
      </c>
      <c r="D525" s="7" t="s">
        <v>169</v>
      </c>
      <c r="E525" s="8">
        <v>409</v>
      </c>
    </row>
    <row r="526" spans="1:5" ht="19.95" customHeight="1" x14ac:dyDescent="0.3">
      <c r="A526" s="1" t="s">
        <v>1062</v>
      </c>
      <c r="B526" s="2" t="s">
        <v>277</v>
      </c>
      <c r="C526" s="2" t="s">
        <v>1063</v>
      </c>
      <c r="D526" s="3" t="s">
        <v>548</v>
      </c>
      <c r="E526" s="4">
        <v>21</v>
      </c>
    </row>
    <row r="527" spans="1:5" ht="19.95" customHeight="1" x14ac:dyDescent="0.3">
      <c r="A527" s="5" t="s">
        <v>1064</v>
      </c>
      <c r="B527" s="6" t="s">
        <v>277</v>
      </c>
      <c r="C527" s="6" t="s">
        <v>1065</v>
      </c>
      <c r="D527" s="7" t="s">
        <v>548</v>
      </c>
      <c r="E527" s="8">
        <v>30</v>
      </c>
    </row>
    <row r="528" spans="1:5" ht="19.95" customHeight="1" x14ac:dyDescent="0.3">
      <c r="A528" s="1" t="s">
        <v>1066</v>
      </c>
      <c r="B528" s="2" t="s">
        <v>277</v>
      </c>
      <c r="C528" s="2" t="s">
        <v>1067</v>
      </c>
      <c r="D528" s="3" t="s">
        <v>548</v>
      </c>
      <c r="E528" s="4">
        <v>35</v>
      </c>
    </row>
    <row r="529" spans="1:5" ht="19.95" customHeight="1" x14ac:dyDescent="0.3">
      <c r="A529" s="5" t="s">
        <v>1068</v>
      </c>
      <c r="B529" s="6" t="s">
        <v>277</v>
      </c>
      <c r="C529" s="6" t="s">
        <v>1069</v>
      </c>
      <c r="D529" s="7" t="s">
        <v>548</v>
      </c>
      <c r="E529" s="8">
        <v>21</v>
      </c>
    </row>
    <row r="530" spans="1:5" ht="19.95" customHeight="1" x14ac:dyDescent="0.3">
      <c r="A530" s="1" t="s">
        <v>1070</v>
      </c>
      <c r="B530" s="2" t="s">
        <v>277</v>
      </c>
      <c r="C530" s="2" t="s">
        <v>1071</v>
      </c>
      <c r="D530" s="3" t="s">
        <v>548</v>
      </c>
      <c r="E530" s="4">
        <v>32</v>
      </c>
    </row>
    <row r="531" spans="1:5" ht="19.95" customHeight="1" x14ac:dyDescent="0.3">
      <c r="A531" s="5" t="s">
        <v>1072</v>
      </c>
      <c r="B531" s="6" t="s">
        <v>277</v>
      </c>
      <c r="C531" s="6" t="s">
        <v>1073</v>
      </c>
      <c r="D531" s="7" t="s">
        <v>1074</v>
      </c>
      <c r="E531" s="8">
        <v>35</v>
      </c>
    </row>
    <row r="532" spans="1:5" ht="19.95" customHeight="1" x14ac:dyDescent="0.3">
      <c r="A532" s="1" t="s">
        <v>1075</v>
      </c>
      <c r="B532" s="2" t="s">
        <v>277</v>
      </c>
      <c r="C532" s="2" t="s">
        <v>1076</v>
      </c>
      <c r="D532" s="3" t="s">
        <v>1077</v>
      </c>
      <c r="E532" s="4">
        <v>2</v>
      </c>
    </row>
    <row r="533" spans="1:5" ht="19.95" customHeight="1" x14ac:dyDescent="0.3">
      <c r="A533" s="5" t="s">
        <v>1078</v>
      </c>
      <c r="B533" s="6" t="s">
        <v>277</v>
      </c>
      <c r="C533" s="6" t="s">
        <v>1079</v>
      </c>
      <c r="D533" s="7" t="s">
        <v>1077</v>
      </c>
      <c r="E533" s="8">
        <v>2</v>
      </c>
    </row>
    <row r="534" spans="1:5" ht="19.95" customHeight="1" x14ac:dyDescent="0.3">
      <c r="A534" s="1" t="s">
        <v>1080</v>
      </c>
      <c r="B534" s="2" t="s">
        <v>277</v>
      </c>
      <c r="C534" s="2" t="s">
        <v>1081</v>
      </c>
      <c r="D534" s="3" t="s">
        <v>354</v>
      </c>
      <c r="E534" s="4">
        <v>600</v>
      </c>
    </row>
    <row r="535" spans="1:5" ht="19.95" customHeight="1" x14ac:dyDescent="0.3">
      <c r="A535" s="5" t="s">
        <v>1082</v>
      </c>
      <c r="B535" s="6" t="s">
        <v>277</v>
      </c>
      <c r="C535" s="6" t="s">
        <v>1083</v>
      </c>
      <c r="D535" s="7" t="s">
        <v>366</v>
      </c>
      <c r="E535" s="8">
        <v>75</v>
      </c>
    </row>
    <row r="536" spans="1:5" ht="19.95" customHeight="1" x14ac:dyDescent="0.3">
      <c r="A536" s="1" t="s">
        <v>1084</v>
      </c>
      <c r="B536" s="2" t="s">
        <v>277</v>
      </c>
      <c r="C536" s="2" t="s">
        <v>1085</v>
      </c>
      <c r="D536" s="3" t="s">
        <v>189</v>
      </c>
      <c r="E536" s="4">
        <v>50</v>
      </c>
    </row>
    <row r="537" spans="1:5" ht="19.95" customHeight="1" x14ac:dyDescent="0.3">
      <c r="A537" s="5" t="s">
        <v>1086</v>
      </c>
      <c r="B537" s="6" t="s">
        <v>277</v>
      </c>
      <c r="C537" s="6" t="s">
        <v>1087</v>
      </c>
      <c r="D537" s="7" t="s">
        <v>1074</v>
      </c>
      <c r="E537" s="8">
        <v>58</v>
      </c>
    </row>
    <row r="538" spans="1:5" ht="19.95" customHeight="1" x14ac:dyDescent="0.3">
      <c r="A538" s="1" t="s">
        <v>1088</v>
      </c>
      <c r="B538" s="2" t="s">
        <v>277</v>
      </c>
      <c r="C538" s="2" t="s">
        <v>1089</v>
      </c>
      <c r="D538" s="3" t="s">
        <v>169</v>
      </c>
      <c r="E538" s="4">
        <v>42</v>
      </c>
    </row>
    <row r="539" spans="1:5" ht="19.95" customHeight="1" x14ac:dyDescent="0.3">
      <c r="A539" s="5" t="s">
        <v>1090</v>
      </c>
      <c r="B539" s="6" t="s">
        <v>277</v>
      </c>
      <c r="C539" s="6" t="s">
        <v>1091</v>
      </c>
      <c r="D539" s="7" t="s">
        <v>354</v>
      </c>
      <c r="E539" s="8">
        <v>6100</v>
      </c>
    </row>
    <row r="540" spans="1:5" ht="19.95" customHeight="1" x14ac:dyDescent="0.3">
      <c r="A540" s="1" t="s">
        <v>1092</v>
      </c>
      <c r="B540" s="2" t="s">
        <v>277</v>
      </c>
      <c r="C540" s="2" t="s">
        <v>1093</v>
      </c>
      <c r="D540" s="3" t="s">
        <v>189</v>
      </c>
      <c r="E540" s="4">
        <v>120</v>
      </c>
    </row>
    <row r="541" spans="1:5" ht="19.95" customHeight="1" x14ac:dyDescent="0.3">
      <c r="A541" s="5" t="s">
        <v>1094</v>
      </c>
      <c r="B541" s="6" t="s">
        <v>277</v>
      </c>
      <c r="C541" s="6" t="s">
        <v>1095</v>
      </c>
      <c r="D541" s="7" t="s">
        <v>169</v>
      </c>
      <c r="E541" s="8">
        <v>150</v>
      </c>
    </row>
    <row r="542" spans="1:5" ht="19.95" customHeight="1" x14ac:dyDescent="0.3">
      <c r="A542" s="1" t="s">
        <v>1096</v>
      </c>
      <c r="B542" s="2" t="s">
        <v>277</v>
      </c>
      <c r="C542" s="2" t="s">
        <v>1097</v>
      </c>
      <c r="D542" s="3" t="s">
        <v>354</v>
      </c>
      <c r="E542" s="4">
        <v>4800</v>
      </c>
    </row>
    <row r="543" spans="1:5" ht="19.95" customHeight="1" x14ac:dyDescent="0.3">
      <c r="A543" s="5" t="s">
        <v>1098</v>
      </c>
      <c r="B543" s="6" t="s">
        <v>277</v>
      </c>
      <c r="C543" s="6" t="s">
        <v>1099</v>
      </c>
      <c r="D543" s="7" t="s">
        <v>354</v>
      </c>
      <c r="E543" s="8">
        <v>4120</v>
      </c>
    </row>
    <row r="544" spans="1:5" ht="19.95" customHeight="1" x14ac:dyDescent="0.3">
      <c r="A544" s="1" t="s">
        <v>1100</v>
      </c>
      <c r="B544" s="2" t="s">
        <v>277</v>
      </c>
      <c r="C544" s="2" t="s">
        <v>1101</v>
      </c>
      <c r="D544" s="3" t="s">
        <v>169</v>
      </c>
      <c r="E544" s="4">
        <v>275</v>
      </c>
    </row>
    <row r="545" spans="1:5" ht="19.95" customHeight="1" x14ac:dyDescent="0.3">
      <c r="A545" s="5" t="s">
        <v>1102</v>
      </c>
      <c r="B545" s="6" t="s">
        <v>277</v>
      </c>
      <c r="C545" s="6" t="s">
        <v>1103</v>
      </c>
      <c r="D545" s="7" t="s">
        <v>169</v>
      </c>
      <c r="E545" s="8">
        <v>300</v>
      </c>
    </row>
    <row r="546" spans="1:5" ht="19.95" customHeight="1" x14ac:dyDescent="0.3">
      <c r="A546" s="1" t="s">
        <v>1104</v>
      </c>
      <c r="B546" s="2" t="s">
        <v>277</v>
      </c>
      <c r="C546" s="2" t="s">
        <v>1105</v>
      </c>
      <c r="D546" s="3" t="s">
        <v>169</v>
      </c>
      <c r="E546" s="4">
        <v>260</v>
      </c>
    </row>
    <row r="547" spans="1:5" ht="19.95" customHeight="1" x14ac:dyDescent="0.3">
      <c r="A547" s="5" t="s">
        <v>1106</v>
      </c>
      <c r="B547" s="6" t="s">
        <v>277</v>
      </c>
      <c r="C547" s="6" t="s">
        <v>1107</v>
      </c>
      <c r="D547" s="7" t="s">
        <v>1003</v>
      </c>
      <c r="E547" s="8">
        <v>150</v>
      </c>
    </row>
    <row r="548" spans="1:5" ht="19.95" customHeight="1" x14ac:dyDescent="0.3">
      <c r="A548" s="1" t="s">
        <v>1108</v>
      </c>
      <c r="B548" s="2" t="s">
        <v>277</v>
      </c>
      <c r="C548" s="2" t="s">
        <v>1109</v>
      </c>
      <c r="D548" s="3" t="s">
        <v>283</v>
      </c>
      <c r="E548" s="4">
        <v>135</v>
      </c>
    </row>
    <row r="549" spans="1:5" ht="19.95" customHeight="1" x14ac:dyDescent="0.3">
      <c r="A549" s="5" t="s">
        <v>1110</v>
      </c>
      <c r="B549" s="6" t="s">
        <v>277</v>
      </c>
      <c r="C549" s="6" t="s">
        <v>1111</v>
      </c>
      <c r="D549" s="7" t="s">
        <v>369</v>
      </c>
      <c r="E549" s="8">
        <v>73.5</v>
      </c>
    </row>
    <row r="550" spans="1:5" ht="19.95" customHeight="1" x14ac:dyDescent="0.3">
      <c r="A550" s="1" t="s">
        <v>1112</v>
      </c>
      <c r="B550" s="2" t="s">
        <v>277</v>
      </c>
      <c r="C550" s="2" t="s">
        <v>1113</v>
      </c>
      <c r="D550" s="3" t="s">
        <v>283</v>
      </c>
      <c r="E550" s="4">
        <v>10</v>
      </c>
    </row>
    <row r="551" spans="1:5" ht="19.95" customHeight="1" x14ac:dyDescent="0.3">
      <c r="A551" s="5" t="s">
        <v>1114</v>
      </c>
      <c r="B551" s="6" t="s">
        <v>277</v>
      </c>
      <c r="C551" s="6" t="s">
        <v>1115</v>
      </c>
      <c r="D551" s="7" t="s">
        <v>1003</v>
      </c>
      <c r="E551" s="8">
        <v>150</v>
      </c>
    </row>
    <row r="552" spans="1:5" ht="19.95" customHeight="1" x14ac:dyDescent="0.3">
      <c r="A552" s="1" t="s">
        <v>1116</v>
      </c>
      <c r="B552" s="2" t="s">
        <v>277</v>
      </c>
      <c r="C552" s="2" t="s">
        <v>1117</v>
      </c>
      <c r="D552" s="3" t="s">
        <v>169</v>
      </c>
      <c r="E552" s="4">
        <v>1000</v>
      </c>
    </row>
    <row r="553" spans="1:5" ht="19.95" customHeight="1" x14ac:dyDescent="0.3">
      <c r="A553" s="5" t="s">
        <v>1118</v>
      </c>
      <c r="B553" s="6" t="s">
        <v>277</v>
      </c>
      <c r="C553" s="6" t="s">
        <v>1119</v>
      </c>
      <c r="D553" s="7" t="s">
        <v>169</v>
      </c>
      <c r="E553" s="8">
        <v>3209</v>
      </c>
    </row>
    <row r="554" spans="1:5" ht="19.95" customHeight="1" x14ac:dyDescent="0.3">
      <c r="A554" s="1" t="s">
        <v>1120</v>
      </c>
      <c r="B554" s="2" t="s">
        <v>277</v>
      </c>
      <c r="C554" s="2" t="s">
        <v>1121</v>
      </c>
      <c r="D554" s="3" t="s">
        <v>366</v>
      </c>
      <c r="E554" s="4">
        <v>82</v>
      </c>
    </row>
    <row r="555" spans="1:5" ht="19.95" customHeight="1" x14ac:dyDescent="0.3">
      <c r="A555" s="5" t="s">
        <v>1122</v>
      </c>
      <c r="B555" s="6" t="s">
        <v>277</v>
      </c>
      <c r="C555" s="6" t="s">
        <v>1123</v>
      </c>
      <c r="D555" s="7" t="s">
        <v>169</v>
      </c>
      <c r="E555" s="8">
        <v>2049</v>
      </c>
    </row>
    <row r="556" spans="1:5" ht="19.95" customHeight="1" x14ac:dyDescent="0.3">
      <c r="A556" s="1" t="s">
        <v>1124</v>
      </c>
      <c r="B556" s="2" t="s">
        <v>277</v>
      </c>
      <c r="C556" s="2" t="s">
        <v>1125</v>
      </c>
      <c r="D556" s="3" t="s">
        <v>366</v>
      </c>
      <c r="E556" s="4">
        <v>8.6999999999999993</v>
      </c>
    </row>
    <row r="557" spans="1:5" ht="19.95" customHeight="1" x14ac:dyDescent="0.3">
      <c r="A557" s="5" t="s">
        <v>1126</v>
      </c>
      <c r="B557" s="6" t="s">
        <v>277</v>
      </c>
      <c r="C557" s="6" t="s">
        <v>1127</v>
      </c>
      <c r="D557" s="7" t="s">
        <v>366</v>
      </c>
      <c r="E557" s="8">
        <v>16</v>
      </c>
    </row>
    <row r="558" spans="1:5" ht="19.95" customHeight="1" x14ac:dyDescent="0.3">
      <c r="A558" s="1" t="s">
        <v>1128</v>
      </c>
      <c r="B558" s="2" t="s">
        <v>277</v>
      </c>
      <c r="C558" s="2" t="s">
        <v>1129</v>
      </c>
      <c r="D558" s="3" t="s">
        <v>369</v>
      </c>
      <c r="E558" s="4">
        <v>18</v>
      </c>
    </row>
    <row r="559" spans="1:5" ht="19.95" customHeight="1" x14ac:dyDescent="0.3">
      <c r="A559" s="5" t="s">
        <v>1130</v>
      </c>
      <c r="B559" s="6" t="s">
        <v>277</v>
      </c>
      <c r="C559" s="6" t="s">
        <v>1131</v>
      </c>
      <c r="D559" s="7" t="s">
        <v>366</v>
      </c>
      <c r="E559" s="8">
        <v>160</v>
      </c>
    </row>
    <row r="560" spans="1:5" ht="19.95" customHeight="1" x14ac:dyDescent="0.3">
      <c r="A560" s="1" t="s">
        <v>1132</v>
      </c>
      <c r="B560" s="2" t="s">
        <v>277</v>
      </c>
      <c r="C560" s="2" t="s">
        <v>1133</v>
      </c>
      <c r="D560" s="3" t="s">
        <v>366</v>
      </c>
      <c r="E560" s="4">
        <v>223</v>
      </c>
    </row>
    <row r="561" spans="1:5" ht="19.95" customHeight="1" x14ac:dyDescent="0.3">
      <c r="A561" s="5" t="s">
        <v>1134</v>
      </c>
      <c r="B561" s="6" t="s">
        <v>277</v>
      </c>
      <c r="C561" s="6" t="s">
        <v>1135</v>
      </c>
      <c r="D561" s="7" t="s">
        <v>366</v>
      </c>
      <c r="E561" s="8">
        <v>535</v>
      </c>
    </row>
    <row r="562" spans="1:5" ht="19.95" customHeight="1" x14ac:dyDescent="0.3">
      <c r="A562" s="1" t="s">
        <v>1136</v>
      </c>
      <c r="B562" s="2" t="s">
        <v>277</v>
      </c>
      <c r="C562" s="2" t="s">
        <v>1137</v>
      </c>
      <c r="D562" s="3" t="s">
        <v>366</v>
      </c>
      <c r="E562" s="4">
        <v>500</v>
      </c>
    </row>
    <row r="563" spans="1:5" ht="19.95" customHeight="1" x14ac:dyDescent="0.3">
      <c r="A563" s="5" t="s">
        <v>1138</v>
      </c>
      <c r="B563" s="6" t="s">
        <v>277</v>
      </c>
      <c r="C563" s="6" t="s">
        <v>1139</v>
      </c>
      <c r="D563" s="7" t="s">
        <v>283</v>
      </c>
      <c r="E563" s="8">
        <v>0.14000000000000001</v>
      </c>
    </row>
    <row r="564" spans="1:5" ht="19.95" customHeight="1" x14ac:dyDescent="0.3">
      <c r="A564" s="1" t="s">
        <v>1140</v>
      </c>
      <c r="B564" s="2" t="s">
        <v>277</v>
      </c>
      <c r="C564" s="2" t="s">
        <v>1141</v>
      </c>
      <c r="D564" s="3" t="s">
        <v>366</v>
      </c>
      <c r="E564" s="4">
        <v>28</v>
      </c>
    </row>
    <row r="565" spans="1:5" ht="19.95" customHeight="1" x14ac:dyDescent="0.3">
      <c r="A565" s="5" t="s">
        <v>1142</v>
      </c>
      <c r="B565" s="6" t="s">
        <v>277</v>
      </c>
      <c r="C565" s="6" t="s">
        <v>1143</v>
      </c>
      <c r="D565" s="7" t="s">
        <v>366</v>
      </c>
      <c r="E565" s="8">
        <v>34</v>
      </c>
    </row>
    <row r="566" spans="1:5" ht="19.95" customHeight="1" x14ac:dyDescent="0.3">
      <c r="A566" s="1" t="s">
        <v>1144</v>
      </c>
      <c r="B566" s="2" t="s">
        <v>277</v>
      </c>
      <c r="C566" s="2" t="s">
        <v>1145</v>
      </c>
      <c r="D566" s="3" t="s">
        <v>189</v>
      </c>
      <c r="E566" s="4">
        <v>30</v>
      </c>
    </row>
    <row r="567" spans="1:5" ht="19.95" customHeight="1" x14ac:dyDescent="0.3">
      <c r="A567" s="5" t="s">
        <v>1146</v>
      </c>
      <c r="B567" s="6" t="s">
        <v>277</v>
      </c>
      <c r="C567" s="6" t="s">
        <v>1147</v>
      </c>
      <c r="D567" s="7" t="s">
        <v>1148</v>
      </c>
      <c r="E567" s="8">
        <v>600</v>
      </c>
    </row>
    <row r="568" spans="1:5" ht="19.95" customHeight="1" x14ac:dyDescent="0.3">
      <c r="A568" s="1" t="s">
        <v>1149</v>
      </c>
      <c r="B568" s="2" t="s">
        <v>277</v>
      </c>
      <c r="C568" s="2" t="s">
        <v>1150</v>
      </c>
      <c r="D568" s="3" t="s">
        <v>283</v>
      </c>
      <c r="E568" s="4">
        <v>90</v>
      </c>
    </row>
    <row r="569" spans="1:5" ht="19.95" customHeight="1" x14ac:dyDescent="0.3">
      <c r="A569" s="5" t="s">
        <v>1151</v>
      </c>
      <c r="B569" s="6" t="s">
        <v>277</v>
      </c>
      <c r="C569" s="6" t="s">
        <v>1152</v>
      </c>
      <c r="D569" s="7" t="s">
        <v>366</v>
      </c>
      <c r="E569" s="8">
        <v>40</v>
      </c>
    </row>
    <row r="570" spans="1:5" ht="19.95" customHeight="1" x14ac:dyDescent="0.3">
      <c r="A570" s="1" t="s">
        <v>1153</v>
      </c>
      <c r="B570" s="2" t="s">
        <v>277</v>
      </c>
      <c r="C570" s="2" t="s">
        <v>1154</v>
      </c>
      <c r="D570" s="3" t="s">
        <v>169</v>
      </c>
      <c r="E570" s="4">
        <v>75</v>
      </c>
    </row>
    <row r="571" spans="1:5" ht="19.95" customHeight="1" x14ac:dyDescent="0.3">
      <c r="A571" s="5" t="s">
        <v>1155</v>
      </c>
      <c r="B571" s="6" t="s">
        <v>277</v>
      </c>
      <c r="C571" s="6" t="s">
        <v>1156</v>
      </c>
      <c r="D571" s="7" t="s">
        <v>354</v>
      </c>
      <c r="E571" s="8">
        <v>1800</v>
      </c>
    </row>
    <row r="572" spans="1:5" ht="19.95" customHeight="1" x14ac:dyDescent="0.3">
      <c r="A572" s="1" t="s">
        <v>1157</v>
      </c>
      <c r="B572" s="2" t="s">
        <v>277</v>
      </c>
      <c r="C572" s="2" t="s">
        <v>1158</v>
      </c>
      <c r="D572" s="3" t="s">
        <v>189</v>
      </c>
      <c r="E572" s="4">
        <v>125</v>
      </c>
    </row>
    <row r="573" spans="1:5" ht="19.95" customHeight="1" x14ac:dyDescent="0.3">
      <c r="A573" s="5" t="s">
        <v>1159</v>
      </c>
      <c r="B573" s="6" t="s">
        <v>277</v>
      </c>
      <c r="C573" s="6" t="s">
        <v>1160</v>
      </c>
      <c r="D573" s="7" t="s">
        <v>189</v>
      </c>
      <c r="E573" s="8">
        <v>210</v>
      </c>
    </row>
    <row r="574" spans="1:5" ht="19.95" customHeight="1" x14ac:dyDescent="0.3">
      <c r="A574" s="1" t="s">
        <v>1161</v>
      </c>
      <c r="B574" s="2" t="s">
        <v>277</v>
      </c>
      <c r="C574" s="2" t="s">
        <v>1162</v>
      </c>
      <c r="D574" s="3" t="s">
        <v>189</v>
      </c>
      <c r="E574" s="4">
        <v>250</v>
      </c>
    </row>
    <row r="575" spans="1:5" ht="19.95" customHeight="1" x14ac:dyDescent="0.3">
      <c r="A575" s="5" t="s">
        <v>1163</v>
      </c>
      <c r="B575" s="6" t="s">
        <v>277</v>
      </c>
      <c r="C575" s="6" t="s">
        <v>1164</v>
      </c>
      <c r="D575" s="7" t="s">
        <v>293</v>
      </c>
      <c r="E575" s="8">
        <v>88</v>
      </c>
    </row>
    <row r="576" spans="1:5" ht="19.95" customHeight="1" x14ac:dyDescent="0.3">
      <c r="A576" s="1" t="s">
        <v>1165</v>
      </c>
      <c r="B576" s="2" t="s">
        <v>277</v>
      </c>
      <c r="C576" s="2" t="s">
        <v>1166</v>
      </c>
      <c r="D576" s="3" t="s">
        <v>189</v>
      </c>
      <c r="E576" s="4">
        <v>200</v>
      </c>
    </row>
    <row r="577" spans="1:5" ht="19.95" customHeight="1" x14ac:dyDescent="0.3">
      <c r="A577" s="5" t="s">
        <v>1167</v>
      </c>
      <c r="B577" s="6" t="s">
        <v>277</v>
      </c>
      <c r="C577" s="6" t="s">
        <v>1168</v>
      </c>
      <c r="D577" s="7" t="s">
        <v>189</v>
      </c>
      <c r="E577" s="8">
        <v>40</v>
      </c>
    </row>
    <row r="578" spans="1:5" ht="19.95" customHeight="1" x14ac:dyDescent="0.3">
      <c r="A578" s="1" t="s">
        <v>1169</v>
      </c>
      <c r="B578" s="2" t="s">
        <v>277</v>
      </c>
      <c r="C578" s="2" t="s">
        <v>1170</v>
      </c>
      <c r="D578" s="3" t="s">
        <v>189</v>
      </c>
      <c r="E578" s="4">
        <v>40</v>
      </c>
    </row>
    <row r="579" spans="1:5" ht="19.95" customHeight="1" x14ac:dyDescent="0.3">
      <c r="A579" s="5" t="s">
        <v>1171</v>
      </c>
      <c r="B579" s="6" t="s">
        <v>277</v>
      </c>
      <c r="C579" s="6" t="s">
        <v>1172</v>
      </c>
      <c r="D579" s="7" t="s">
        <v>189</v>
      </c>
      <c r="E579" s="8">
        <v>75</v>
      </c>
    </row>
    <row r="580" spans="1:5" ht="19.95" customHeight="1" x14ac:dyDescent="0.3">
      <c r="A580" s="1" t="s">
        <v>1173</v>
      </c>
      <c r="B580" s="2" t="s">
        <v>277</v>
      </c>
      <c r="C580" s="2" t="s">
        <v>1174</v>
      </c>
      <c r="D580" s="3" t="s">
        <v>189</v>
      </c>
      <c r="E580" s="4">
        <v>67.5</v>
      </c>
    </row>
    <row r="581" spans="1:5" ht="19.95" customHeight="1" x14ac:dyDescent="0.3">
      <c r="A581" s="5" t="s">
        <v>1175</v>
      </c>
      <c r="B581" s="6" t="s">
        <v>277</v>
      </c>
      <c r="C581" s="6" t="s">
        <v>1176</v>
      </c>
      <c r="D581" s="7" t="s">
        <v>189</v>
      </c>
      <c r="E581" s="8">
        <v>30</v>
      </c>
    </row>
    <row r="582" spans="1:5" ht="19.95" customHeight="1" x14ac:dyDescent="0.3">
      <c r="A582" s="1" t="s">
        <v>1177</v>
      </c>
      <c r="B582" s="2" t="s">
        <v>277</v>
      </c>
      <c r="C582" s="2" t="s">
        <v>1178</v>
      </c>
      <c r="D582" s="3" t="s">
        <v>189</v>
      </c>
      <c r="E582" s="4">
        <v>27</v>
      </c>
    </row>
    <row r="583" spans="1:5" ht="19.95" customHeight="1" x14ac:dyDescent="0.3">
      <c r="A583" s="5" t="s">
        <v>1179</v>
      </c>
      <c r="B583" s="6" t="s">
        <v>277</v>
      </c>
      <c r="C583" s="6" t="s">
        <v>1180</v>
      </c>
      <c r="D583" s="7" t="s">
        <v>189</v>
      </c>
      <c r="E583" s="8">
        <v>35</v>
      </c>
    </row>
    <row r="584" spans="1:5" ht="19.95" customHeight="1" x14ac:dyDescent="0.3">
      <c r="A584" s="1" t="s">
        <v>1181</v>
      </c>
      <c r="B584" s="2" t="s">
        <v>277</v>
      </c>
      <c r="C584" s="2" t="s">
        <v>1182</v>
      </c>
      <c r="D584" s="3" t="s">
        <v>189</v>
      </c>
      <c r="E584" s="4">
        <v>37</v>
      </c>
    </row>
    <row r="585" spans="1:5" ht="19.95" customHeight="1" x14ac:dyDescent="0.3">
      <c r="A585" s="5" t="s">
        <v>1183</v>
      </c>
      <c r="B585" s="6" t="s">
        <v>277</v>
      </c>
      <c r="C585" s="6" t="s">
        <v>1184</v>
      </c>
      <c r="D585" s="7" t="s">
        <v>189</v>
      </c>
      <c r="E585" s="8">
        <v>44</v>
      </c>
    </row>
    <row r="586" spans="1:5" ht="19.95" customHeight="1" x14ac:dyDescent="0.3">
      <c r="A586" s="1" t="s">
        <v>1185</v>
      </c>
      <c r="B586" s="2" t="s">
        <v>277</v>
      </c>
      <c r="C586" s="2" t="s">
        <v>1186</v>
      </c>
      <c r="D586" s="3" t="s">
        <v>189</v>
      </c>
      <c r="E586" s="4">
        <v>50</v>
      </c>
    </row>
    <row r="587" spans="1:5" ht="19.95" customHeight="1" x14ac:dyDescent="0.3">
      <c r="A587" s="5" t="s">
        <v>1187</v>
      </c>
      <c r="B587" s="6" t="s">
        <v>277</v>
      </c>
      <c r="C587" s="6" t="s">
        <v>1188</v>
      </c>
      <c r="D587" s="7" t="s">
        <v>189</v>
      </c>
      <c r="E587" s="8">
        <v>210</v>
      </c>
    </row>
    <row r="588" spans="1:5" ht="19.95" customHeight="1" x14ac:dyDescent="0.3">
      <c r="A588" s="1" t="s">
        <v>1189</v>
      </c>
      <c r="B588" s="2" t="s">
        <v>277</v>
      </c>
      <c r="C588" s="2" t="s">
        <v>1190</v>
      </c>
      <c r="D588" s="3" t="s">
        <v>189</v>
      </c>
      <c r="E588" s="4">
        <v>225</v>
      </c>
    </row>
    <row r="589" spans="1:5" ht="19.95" customHeight="1" x14ac:dyDescent="0.3">
      <c r="A589" s="5" t="s">
        <v>1191</v>
      </c>
      <c r="B589" s="6" t="s">
        <v>277</v>
      </c>
      <c r="C589" s="6" t="s">
        <v>1192</v>
      </c>
      <c r="D589" s="7" t="s">
        <v>189</v>
      </c>
      <c r="E589" s="8">
        <v>210</v>
      </c>
    </row>
    <row r="590" spans="1:5" ht="19.95" customHeight="1" x14ac:dyDescent="0.3">
      <c r="A590" s="1" t="s">
        <v>1193</v>
      </c>
      <c r="B590" s="2" t="s">
        <v>277</v>
      </c>
      <c r="C590" s="2" t="s">
        <v>1194</v>
      </c>
      <c r="D590" s="3" t="s">
        <v>189</v>
      </c>
      <c r="E590" s="4">
        <v>225</v>
      </c>
    </row>
    <row r="591" spans="1:5" ht="19.95" customHeight="1" x14ac:dyDescent="0.3">
      <c r="A591" s="5" t="s">
        <v>1195</v>
      </c>
      <c r="B591" s="6" t="s">
        <v>277</v>
      </c>
      <c r="C591" s="6" t="s">
        <v>1196</v>
      </c>
      <c r="D591" s="7" t="s">
        <v>189</v>
      </c>
      <c r="E591" s="8">
        <v>30</v>
      </c>
    </row>
    <row r="592" spans="1:5" ht="19.95" customHeight="1" x14ac:dyDescent="0.3">
      <c r="A592" s="1" t="s">
        <v>1197</v>
      </c>
      <c r="B592" s="2" t="s">
        <v>277</v>
      </c>
      <c r="C592" s="2" t="s">
        <v>1198</v>
      </c>
      <c r="D592" s="3" t="s">
        <v>189</v>
      </c>
      <c r="E592" s="4">
        <v>477</v>
      </c>
    </row>
    <row r="593" spans="1:5" ht="19.95" customHeight="1" x14ac:dyDescent="0.3">
      <c r="A593" s="5" t="s">
        <v>1199</v>
      </c>
      <c r="B593" s="6" t="s">
        <v>277</v>
      </c>
      <c r="C593" s="6" t="s">
        <v>1200</v>
      </c>
      <c r="D593" s="7" t="s">
        <v>189</v>
      </c>
      <c r="E593" s="8">
        <v>477</v>
      </c>
    </row>
    <row r="594" spans="1:5" ht="19.95" customHeight="1" x14ac:dyDescent="0.3">
      <c r="A594" s="1" t="s">
        <v>1201</v>
      </c>
      <c r="B594" s="2" t="s">
        <v>277</v>
      </c>
      <c r="C594" s="2" t="s">
        <v>1202</v>
      </c>
      <c r="D594" s="3" t="s">
        <v>189</v>
      </c>
      <c r="E594" s="4">
        <v>1400</v>
      </c>
    </row>
    <row r="595" spans="1:5" ht="19.95" customHeight="1" x14ac:dyDescent="0.3">
      <c r="A595" s="5" t="s">
        <v>1203</v>
      </c>
      <c r="B595" s="6" t="s">
        <v>277</v>
      </c>
      <c r="C595" s="6" t="s">
        <v>1204</v>
      </c>
      <c r="D595" s="7" t="s">
        <v>189</v>
      </c>
      <c r="E595" s="8">
        <v>910</v>
      </c>
    </row>
    <row r="596" spans="1:5" ht="19.95" customHeight="1" x14ac:dyDescent="0.3">
      <c r="A596" s="1" t="s">
        <v>1205</v>
      </c>
      <c r="B596" s="2" t="s">
        <v>277</v>
      </c>
      <c r="C596" s="2" t="s">
        <v>1206</v>
      </c>
      <c r="D596" s="3" t="s">
        <v>189</v>
      </c>
      <c r="E596" s="4">
        <v>4400</v>
      </c>
    </row>
    <row r="597" spans="1:5" ht="19.95" customHeight="1" x14ac:dyDescent="0.3">
      <c r="A597" s="5" t="s">
        <v>1207</v>
      </c>
      <c r="B597" s="6" t="s">
        <v>277</v>
      </c>
      <c r="C597" s="6" t="s">
        <v>1208</v>
      </c>
      <c r="D597" s="7" t="s">
        <v>189</v>
      </c>
      <c r="E597" s="8">
        <v>2300</v>
      </c>
    </row>
    <row r="598" spans="1:5" ht="19.95" customHeight="1" x14ac:dyDescent="0.3">
      <c r="A598" s="1" t="s">
        <v>1209</v>
      </c>
      <c r="B598" s="2" t="s">
        <v>277</v>
      </c>
      <c r="C598" s="2" t="s">
        <v>1210</v>
      </c>
      <c r="D598" s="3" t="s">
        <v>189</v>
      </c>
      <c r="E598" s="4">
        <v>140</v>
      </c>
    </row>
    <row r="599" spans="1:5" ht="19.95" customHeight="1" x14ac:dyDescent="0.3">
      <c r="A599" s="5" t="s">
        <v>1211</v>
      </c>
      <c r="B599" s="6" t="s">
        <v>277</v>
      </c>
      <c r="C599" s="6" t="s">
        <v>1212</v>
      </c>
      <c r="D599" s="7" t="s">
        <v>189</v>
      </c>
      <c r="E599" s="8">
        <v>160</v>
      </c>
    </row>
    <row r="600" spans="1:5" ht="19.95" customHeight="1" x14ac:dyDescent="0.3">
      <c r="A600" s="1" t="s">
        <v>1213</v>
      </c>
      <c r="B600" s="2" t="s">
        <v>277</v>
      </c>
      <c r="C600" s="2" t="s">
        <v>1214</v>
      </c>
      <c r="D600" s="3" t="s">
        <v>189</v>
      </c>
      <c r="E600" s="4">
        <v>220</v>
      </c>
    </row>
    <row r="601" spans="1:5" ht="19.95" customHeight="1" x14ac:dyDescent="0.3">
      <c r="A601" s="5" t="s">
        <v>1215</v>
      </c>
      <c r="B601" s="6" t="s">
        <v>277</v>
      </c>
      <c r="C601" s="6" t="s">
        <v>1216</v>
      </c>
      <c r="D601" s="7" t="s">
        <v>293</v>
      </c>
      <c r="E601" s="8">
        <v>100</v>
      </c>
    </row>
    <row r="602" spans="1:5" ht="19.95" customHeight="1" x14ac:dyDescent="0.3">
      <c r="A602" s="1" t="s">
        <v>1217</v>
      </c>
      <c r="B602" s="2" t="s">
        <v>277</v>
      </c>
      <c r="C602" s="2" t="s">
        <v>1218</v>
      </c>
      <c r="D602" s="3" t="s">
        <v>189</v>
      </c>
      <c r="E602" s="4">
        <v>40.22</v>
      </c>
    </row>
    <row r="603" spans="1:5" ht="19.95" customHeight="1" x14ac:dyDescent="0.3">
      <c r="A603" s="5" t="s">
        <v>1219</v>
      </c>
      <c r="B603" s="6" t="s">
        <v>277</v>
      </c>
      <c r="C603" s="6" t="s">
        <v>1220</v>
      </c>
      <c r="D603" s="7" t="s">
        <v>189</v>
      </c>
      <c r="E603" s="8">
        <v>54.42</v>
      </c>
    </row>
    <row r="604" spans="1:5" ht="19.95" customHeight="1" x14ac:dyDescent="0.3">
      <c r="A604" s="1" t="s">
        <v>1221</v>
      </c>
      <c r="B604" s="2" t="s">
        <v>277</v>
      </c>
      <c r="C604" s="2" t="s">
        <v>1222</v>
      </c>
      <c r="D604" s="3" t="s">
        <v>189</v>
      </c>
      <c r="E604" s="4">
        <v>65</v>
      </c>
    </row>
    <row r="605" spans="1:5" ht="19.95" customHeight="1" x14ac:dyDescent="0.3">
      <c r="A605" s="5" t="s">
        <v>1223</v>
      </c>
      <c r="B605" s="6" t="s">
        <v>277</v>
      </c>
      <c r="C605" s="6" t="s">
        <v>1224</v>
      </c>
      <c r="D605" s="7" t="s">
        <v>189</v>
      </c>
      <c r="E605" s="8">
        <v>25</v>
      </c>
    </row>
    <row r="606" spans="1:5" ht="19.95" customHeight="1" x14ac:dyDescent="0.3">
      <c r="A606" s="1" t="s">
        <v>1225</v>
      </c>
      <c r="B606" s="2" t="s">
        <v>277</v>
      </c>
      <c r="C606" s="2" t="s">
        <v>1226</v>
      </c>
      <c r="D606" s="3" t="s">
        <v>189</v>
      </c>
      <c r="E606" s="4">
        <v>16</v>
      </c>
    </row>
    <row r="607" spans="1:5" ht="19.95" customHeight="1" x14ac:dyDescent="0.3">
      <c r="A607" s="5" t="s">
        <v>1227</v>
      </c>
      <c r="B607" s="6" t="s">
        <v>277</v>
      </c>
      <c r="C607" s="6" t="s">
        <v>1228</v>
      </c>
      <c r="D607" s="7" t="s">
        <v>189</v>
      </c>
      <c r="E607" s="8">
        <v>18</v>
      </c>
    </row>
    <row r="608" spans="1:5" ht="19.95" customHeight="1" x14ac:dyDescent="0.3">
      <c r="A608" s="1" t="s">
        <v>1229</v>
      </c>
      <c r="B608" s="2" t="s">
        <v>277</v>
      </c>
      <c r="C608" s="2" t="s">
        <v>1230</v>
      </c>
      <c r="D608" s="3" t="s">
        <v>189</v>
      </c>
      <c r="E608" s="4">
        <v>20</v>
      </c>
    </row>
    <row r="609" spans="1:5" ht="19.95" customHeight="1" x14ac:dyDescent="0.3">
      <c r="A609" s="5" t="s">
        <v>1231</v>
      </c>
      <c r="B609" s="6" t="s">
        <v>277</v>
      </c>
      <c r="C609" s="6" t="s">
        <v>1232</v>
      </c>
      <c r="D609" s="7" t="s">
        <v>189</v>
      </c>
      <c r="E609" s="8">
        <v>20</v>
      </c>
    </row>
    <row r="610" spans="1:5" ht="19.95" customHeight="1" x14ac:dyDescent="0.3">
      <c r="A610" s="1" t="s">
        <v>1233</v>
      </c>
      <c r="B610" s="2" t="s">
        <v>277</v>
      </c>
      <c r="C610" s="2" t="s">
        <v>1234</v>
      </c>
      <c r="D610" s="3" t="s">
        <v>189</v>
      </c>
      <c r="E610" s="4">
        <v>25</v>
      </c>
    </row>
    <row r="611" spans="1:5" ht="19.95" customHeight="1" x14ac:dyDescent="0.3">
      <c r="A611" s="5" t="s">
        <v>1235</v>
      </c>
      <c r="B611" s="6" t="s">
        <v>277</v>
      </c>
      <c r="C611" s="6" t="s">
        <v>1236</v>
      </c>
      <c r="D611" s="7" t="s">
        <v>189</v>
      </c>
      <c r="E611" s="8">
        <v>40</v>
      </c>
    </row>
    <row r="612" spans="1:5" ht="19.95" customHeight="1" x14ac:dyDescent="0.3">
      <c r="A612" s="1" t="s">
        <v>1237</v>
      </c>
      <c r="B612" s="2" t="s">
        <v>277</v>
      </c>
      <c r="C612" s="2" t="s">
        <v>1238</v>
      </c>
      <c r="D612" s="3" t="s">
        <v>189</v>
      </c>
      <c r="E612" s="4">
        <v>45</v>
      </c>
    </row>
    <row r="613" spans="1:5" ht="19.95" customHeight="1" x14ac:dyDescent="0.3">
      <c r="A613" s="5" t="s">
        <v>1239</v>
      </c>
      <c r="B613" s="6" t="s">
        <v>277</v>
      </c>
      <c r="C613" s="6" t="s">
        <v>1240</v>
      </c>
      <c r="D613" s="7" t="s">
        <v>189</v>
      </c>
      <c r="E613" s="8">
        <v>50</v>
      </c>
    </row>
    <row r="614" spans="1:5" ht="19.95" customHeight="1" x14ac:dyDescent="0.3">
      <c r="A614" s="1" t="s">
        <v>1241</v>
      </c>
      <c r="B614" s="2" t="s">
        <v>277</v>
      </c>
      <c r="C614" s="2" t="s">
        <v>1242</v>
      </c>
      <c r="D614" s="3" t="s">
        <v>189</v>
      </c>
      <c r="E614" s="4">
        <v>73</v>
      </c>
    </row>
    <row r="615" spans="1:5" ht="19.95" customHeight="1" x14ac:dyDescent="0.3">
      <c r="A615" s="5" t="s">
        <v>1243</v>
      </c>
      <c r="B615" s="6" t="s">
        <v>277</v>
      </c>
      <c r="C615" s="6" t="s">
        <v>1244</v>
      </c>
      <c r="D615" s="7" t="s">
        <v>189</v>
      </c>
      <c r="E615" s="8">
        <v>92</v>
      </c>
    </row>
    <row r="616" spans="1:5" ht="19.95" customHeight="1" x14ac:dyDescent="0.3">
      <c r="A616" s="1" t="s">
        <v>1245</v>
      </c>
      <c r="B616" s="2" t="s">
        <v>277</v>
      </c>
      <c r="C616" s="2" t="s">
        <v>1246</v>
      </c>
      <c r="D616" s="3" t="s">
        <v>189</v>
      </c>
      <c r="E616" s="4">
        <v>110</v>
      </c>
    </row>
    <row r="617" spans="1:5" ht="19.95" customHeight="1" x14ac:dyDescent="0.3">
      <c r="A617" s="5" t="s">
        <v>1247</v>
      </c>
      <c r="B617" s="6" t="s">
        <v>277</v>
      </c>
      <c r="C617" s="6" t="s">
        <v>1248</v>
      </c>
      <c r="D617" s="7" t="s">
        <v>189</v>
      </c>
      <c r="E617" s="8">
        <v>125</v>
      </c>
    </row>
    <row r="618" spans="1:5" ht="19.95" customHeight="1" x14ac:dyDescent="0.3">
      <c r="A618" s="1" t="s">
        <v>1249</v>
      </c>
      <c r="B618" s="2" t="s">
        <v>277</v>
      </c>
      <c r="C618" s="2" t="s">
        <v>1250</v>
      </c>
      <c r="D618" s="3" t="s">
        <v>189</v>
      </c>
      <c r="E618" s="4">
        <v>400</v>
      </c>
    </row>
    <row r="619" spans="1:5" ht="19.95" customHeight="1" x14ac:dyDescent="0.3">
      <c r="A619" s="5" t="s">
        <v>1251</v>
      </c>
      <c r="B619" s="6" t="s">
        <v>277</v>
      </c>
      <c r="C619" s="6" t="s">
        <v>1252</v>
      </c>
      <c r="D619" s="7" t="s">
        <v>189</v>
      </c>
      <c r="E619" s="8">
        <v>900</v>
      </c>
    </row>
    <row r="620" spans="1:5" ht="19.95" customHeight="1" x14ac:dyDescent="0.3">
      <c r="A620" s="1" t="s">
        <v>1253</v>
      </c>
      <c r="B620" s="2" t="s">
        <v>277</v>
      </c>
      <c r="C620" s="2" t="s">
        <v>873</v>
      </c>
      <c r="D620" s="3" t="s">
        <v>366</v>
      </c>
      <c r="E620" s="4">
        <v>176</v>
      </c>
    </row>
    <row r="621" spans="1:5" ht="19.95" customHeight="1" x14ac:dyDescent="0.3">
      <c r="A621" s="5" t="s">
        <v>1254</v>
      </c>
      <c r="B621" s="6" t="s">
        <v>277</v>
      </c>
      <c r="C621" s="6" t="s">
        <v>1255</v>
      </c>
      <c r="D621" s="7" t="s">
        <v>354</v>
      </c>
      <c r="E621" s="8">
        <v>3600</v>
      </c>
    </row>
    <row r="622" spans="1:5" ht="19.95" customHeight="1" x14ac:dyDescent="0.3">
      <c r="A622" s="1" t="s">
        <v>1256</v>
      </c>
      <c r="B622" s="2" t="s">
        <v>277</v>
      </c>
      <c r="C622" s="2" t="s">
        <v>1257</v>
      </c>
      <c r="D622" s="3" t="s">
        <v>354</v>
      </c>
      <c r="E622" s="4">
        <v>3700</v>
      </c>
    </row>
    <row r="623" spans="1:5" ht="19.95" customHeight="1" x14ac:dyDescent="0.3">
      <c r="A623" s="5" t="s">
        <v>1258</v>
      </c>
      <c r="B623" s="6" t="s">
        <v>277</v>
      </c>
      <c r="C623" s="6" t="s">
        <v>1259</v>
      </c>
      <c r="D623" s="7" t="s">
        <v>354</v>
      </c>
      <c r="E623" s="8">
        <v>5500</v>
      </c>
    </row>
    <row r="624" spans="1:5" ht="19.95" customHeight="1" x14ac:dyDescent="0.3">
      <c r="A624" s="1" t="s">
        <v>1260</v>
      </c>
      <c r="B624" s="2" t="s">
        <v>277</v>
      </c>
      <c r="C624" s="2" t="s">
        <v>1261</v>
      </c>
      <c r="D624" s="3" t="s">
        <v>354</v>
      </c>
      <c r="E624" s="4">
        <v>5500</v>
      </c>
    </row>
    <row r="625" spans="1:5" ht="19.95" customHeight="1" x14ac:dyDescent="0.3">
      <c r="A625" s="5" t="s">
        <v>1262</v>
      </c>
      <c r="B625" s="6" t="s">
        <v>277</v>
      </c>
      <c r="C625" s="6" t="s">
        <v>1263</v>
      </c>
      <c r="D625" s="7" t="s">
        <v>283</v>
      </c>
      <c r="E625" s="8">
        <v>335</v>
      </c>
    </row>
    <row r="626" spans="1:5" ht="19.95" customHeight="1" x14ac:dyDescent="0.3">
      <c r="A626" s="1" t="s">
        <v>1264</v>
      </c>
      <c r="B626" s="2" t="s">
        <v>277</v>
      </c>
      <c r="C626" s="2" t="s">
        <v>1265</v>
      </c>
      <c r="D626" s="3" t="s">
        <v>189</v>
      </c>
      <c r="E626" s="4">
        <v>270</v>
      </c>
    </row>
    <row r="627" spans="1:5" ht="19.95" customHeight="1" x14ac:dyDescent="0.3">
      <c r="A627" s="5" t="s">
        <v>1266</v>
      </c>
      <c r="B627" s="6" t="s">
        <v>277</v>
      </c>
      <c r="C627" s="6" t="s">
        <v>1267</v>
      </c>
      <c r="D627" s="7" t="s">
        <v>189</v>
      </c>
      <c r="E627" s="8">
        <v>400</v>
      </c>
    </row>
    <row r="628" spans="1:5" ht="19.95" customHeight="1" x14ac:dyDescent="0.3">
      <c r="A628" s="1" t="s">
        <v>1268</v>
      </c>
      <c r="B628" s="2" t="s">
        <v>277</v>
      </c>
      <c r="C628" s="2" t="s">
        <v>1269</v>
      </c>
      <c r="D628" s="3" t="s">
        <v>189</v>
      </c>
      <c r="E628" s="4">
        <v>520</v>
      </c>
    </row>
    <row r="629" spans="1:5" ht="19.95" customHeight="1" x14ac:dyDescent="0.3">
      <c r="A629" s="5" t="s">
        <v>1270</v>
      </c>
      <c r="B629" s="6" t="s">
        <v>277</v>
      </c>
      <c r="C629" s="6" t="s">
        <v>1271</v>
      </c>
      <c r="D629" s="7" t="s">
        <v>189</v>
      </c>
      <c r="E629" s="8">
        <v>600</v>
      </c>
    </row>
    <row r="630" spans="1:5" ht="19.95" customHeight="1" x14ac:dyDescent="0.3">
      <c r="A630" s="1" t="s">
        <v>1272</v>
      </c>
      <c r="B630" s="2" t="s">
        <v>277</v>
      </c>
      <c r="C630" s="2" t="s">
        <v>1273</v>
      </c>
      <c r="D630" s="3" t="s">
        <v>189</v>
      </c>
      <c r="E630" s="4">
        <v>175</v>
      </c>
    </row>
    <row r="631" spans="1:5" ht="19.95" customHeight="1" x14ac:dyDescent="0.3">
      <c r="A631" s="5" t="s">
        <v>1274</v>
      </c>
      <c r="B631" s="6" t="s">
        <v>277</v>
      </c>
      <c r="C631" s="6" t="s">
        <v>1275</v>
      </c>
      <c r="D631" s="7" t="s">
        <v>189</v>
      </c>
      <c r="E631" s="8">
        <v>250</v>
      </c>
    </row>
    <row r="632" spans="1:5" ht="19.95" customHeight="1" x14ac:dyDescent="0.3">
      <c r="A632" s="1" t="s">
        <v>1276</v>
      </c>
      <c r="B632" s="2" t="s">
        <v>277</v>
      </c>
      <c r="C632" s="2" t="s">
        <v>1277</v>
      </c>
      <c r="D632" s="3" t="s">
        <v>189</v>
      </c>
      <c r="E632" s="4">
        <v>300</v>
      </c>
    </row>
    <row r="633" spans="1:5" ht="19.95" customHeight="1" x14ac:dyDescent="0.3">
      <c r="A633" s="5" t="s">
        <v>1278</v>
      </c>
      <c r="B633" s="6" t="s">
        <v>277</v>
      </c>
      <c r="C633" s="6" t="s">
        <v>1279</v>
      </c>
      <c r="D633" s="7" t="s">
        <v>189</v>
      </c>
      <c r="E633" s="8">
        <v>390</v>
      </c>
    </row>
    <row r="634" spans="1:5" ht="19.95" customHeight="1" x14ac:dyDescent="0.3">
      <c r="A634" s="1" t="s">
        <v>1280</v>
      </c>
      <c r="B634" s="2" t="s">
        <v>277</v>
      </c>
      <c r="C634" s="2" t="s">
        <v>1281</v>
      </c>
      <c r="D634" s="3" t="s">
        <v>283</v>
      </c>
      <c r="E634" s="4">
        <v>91</v>
      </c>
    </row>
    <row r="635" spans="1:5" ht="19.95" customHeight="1" x14ac:dyDescent="0.3">
      <c r="A635" s="5" t="s">
        <v>1282</v>
      </c>
      <c r="B635" s="6" t="s">
        <v>277</v>
      </c>
      <c r="C635" s="6" t="s">
        <v>1283</v>
      </c>
      <c r="D635" s="7" t="s">
        <v>283</v>
      </c>
      <c r="E635" s="8">
        <v>120</v>
      </c>
    </row>
    <row r="636" spans="1:5" ht="19.95" customHeight="1" x14ac:dyDescent="0.3">
      <c r="A636" s="1" t="s">
        <v>1284</v>
      </c>
      <c r="B636" s="2" t="s">
        <v>277</v>
      </c>
      <c r="C636" s="2" t="s">
        <v>1285</v>
      </c>
      <c r="D636" s="3" t="s">
        <v>283</v>
      </c>
      <c r="E636" s="4">
        <v>171</v>
      </c>
    </row>
    <row r="637" spans="1:5" ht="19.95" customHeight="1" x14ac:dyDescent="0.3">
      <c r="A637" s="5" t="s">
        <v>1286</v>
      </c>
      <c r="B637" s="6" t="s">
        <v>277</v>
      </c>
      <c r="C637" s="6" t="s">
        <v>1287</v>
      </c>
      <c r="D637" s="7" t="s">
        <v>283</v>
      </c>
      <c r="E637" s="8">
        <v>215</v>
      </c>
    </row>
    <row r="638" spans="1:5" ht="19.95" customHeight="1" x14ac:dyDescent="0.3">
      <c r="A638" s="1" t="s">
        <v>1288</v>
      </c>
      <c r="B638" s="2" t="s">
        <v>277</v>
      </c>
      <c r="C638" s="2" t="s">
        <v>1289</v>
      </c>
      <c r="D638" s="3" t="s">
        <v>283</v>
      </c>
      <c r="E638" s="4">
        <v>250</v>
      </c>
    </row>
    <row r="639" spans="1:5" ht="19.95" customHeight="1" x14ac:dyDescent="0.3">
      <c r="A639" s="5" t="s">
        <v>1290</v>
      </c>
      <c r="B639" s="6" t="s">
        <v>277</v>
      </c>
      <c r="C639" s="6" t="s">
        <v>1291</v>
      </c>
      <c r="D639" s="7" t="s">
        <v>283</v>
      </c>
      <c r="E639" s="8">
        <v>310</v>
      </c>
    </row>
    <row r="640" spans="1:5" ht="19.95" customHeight="1" x14ac:dyDescent="0.3">
      <c r="A640" s="1" t="s">
        <v>1292</v>
      </c>
      <c r="B640" s="2" t="s">
        <v>277</v>
      </c>
      <c r="C640" s="2" t="s">
        <v>1293</v>
      </c>
      <c r="D640" s="3" t="s">
        <v>283</v>
      </c>
      <c r="E640" s="4">
        <v>395</v>
      </c>
    </row>
    <row r="641" spans="1:5" ht="19.95" customHeight="1" x14ac:dyDescent="0.3">
      <c r="A641" s="5" t="s">
        <v>1294</v>
      </c>
      <c r="B641" s="6" t="s">
        <v>277</v>
      </c>
      <c r="C641" s="6" t="s">
        <v>1295</v>
      </c>
      <c r="D641" s="7" t="s">
        <v>283</v>
      </c>
      <c r="E641" s="8">
        <v>505</v>
      </c>
    </row>
    <row r="642" spans="1:5" ht="19.95" customHeight="1" x14ac:dyDescent="0.3">
      <c r="A642" s="1" t="s">
        <v>1296</v>
      </c>
      <c r="B642" s="2" t="s">
        <v>277</v>
      </c>
      <c r="C642" s="2" t="s">
        <v>1297</v>
      </c>
      <c r="D642" s="3" t="s">
        <v>189</v>
      </c>
      <c r="E642" s="4">
        <v>15</v>
      </c>
    </row>
    <row r="643" spans="1:5" ht="19.95" customHeight="1" x14ac:dyDescent="0.3">
      <c r="A643" s="5" t="s">
        <v>1298</v>
      </c>
      <c r="B643" s="6" t="s">
        <v>277</v>
      </c>
      <c r="C643" s="6" t="s">
        <v>1299</v>
      </c>
      <c r="D643" s="7" t="s">
        <v>189</v>
      </c>
      <c r="E643" s="8">
        <v>25</v>
      </c>
    </row>
    <row r="644" spans="1:5" ht="19.95" customHeight="1" x14ac:dyDescent="0.3">
      <c r="A644" s="1" t="s">
        <v>1300</v>
      </c>
      <c r="B644" s="2" t="s">
        <v>277</v>
      </c>
      <c r="C644" s="2" t="s">
        <v>1301</v>
      </c>
      <c r="D644" s="3" t="s">
        <v>189</v>
      </c>
      <c r="E644" s="4">
        <v>50</v>
      </c>
    </row>
    <row r="645" spans="1:5" ht="19.95" customHeight="1" x14ac:dyDescent="0.3">
      <c r="A645" s="5" t="s">
        <v>1302</v>
      </c>
      <c r="B645" s="6" t="s">
        <v>277</v>
      </c>
      <c r="C645" s="6" t="s">
        <v>1303</v>
      </c>
      <c r="D645" s="7" t="s">
        <v>189</v>
      </c>
      <c r="E645" s="8">
        <v>452</v>
      </c>
    </row>
    <row r="646" spans="1:5" ht="19.95" customHeight="1" x14ac:dyDescent="0.3">
      <c r="A646" s="1" t="s">
        <v>1304</v>
      </c>
      <c r="B646" s="2" t="s">
        <v>277</v>
      </c>
      <c r="C646" s="2" t="s">
        <v>1305</v>
      </c>
      <c r="D646" s="3" t="s">
        <v>189</v>
      </c>
      <c r="E646" s="4">
        <v>60</v>
      </c>
    </row>
    <row r="647" spans="1:5" ht="19.95" customHeight="1" x14ac:dyDescent="0.3">
      <c r="A647" s="5" t="s">
        <v>1306</v>
      </c>
      <c r="B647" s="6" t="s">
        <v>277</v>
      </c>
      <c r="C647" s="6" t="s">
        <v>1307</v>
      </c>
      <c r="D647" s="7" t="s">
        <v>189</v>
      </c>
      <c r="E647" s="8">
        <v>1050</v>
      </c>
    </row>
    <row r="648" spans="1:5" ht="19.95" customHeight="1" x14ac:dyDescent="0.3">
      <c r="A648" s="1" t="s">
        <v>1308</v>
      </c>
      <c r="B648" s="2" t="s">
        <v>277</v>
      </c>
      <c r="C648" s="2" t="s">
        <v>1307</v>
      </c>
      <c r="D648" s="3" t="s">
        <v>189</v>
      </c>
      <c r="E648" s="4">
        <v>1135</v>
      </c>
    </row>
    <row r="649" spans="1:5" ht="19.95" customHeight="1" x14ac:dyDescent="0.3">
      <c r="A649" s="5" t="s">
        <v>1309</v>
      </c>
      <c r="B649" s="6" t="s">
        <v>277</v>
      </c>
      <c r="C649" s="6" t="s">
        <v>1307</v>
      </c>
      <c r="D649" s="7" t="s">
        <v>189</v>
      </c>
      <c r="E649" s="8">
        <v>1750</v>
      </c>
    </row>
    <row r="650" spans="1:5" ht="19.95" customHeight="1" x14ac:dyDescent="0.3">
      <c r="A650" s="1" t="s">
        <v>1310</v>
      </c>
      <c r="B650" s="2" t="s">
        <v>277</v>
      </c>
      <c r="C650" s="2" t="s">
        <v>1311</v>
      </c>
      <c r="D650" s="3" t="s">
        <v>189</v>
      </c>
      <c r="E650" s="4">
        <v>210</v>
      </c>
    </row>
    <row r="651" spans="1:5" ht="19.95" customHeight="1" x14ac:dyDescent="0.3">
      <c r="A651" s="5" t="s">
        <v>1312</v>
      </c>
      <c r="B651" s="6" t="s">
        <v>277</v>
      </c>
      <c r="C651" s="6" t="s">
        <v>1313</v>
      </c>
      <c r="D651" s="7" t="s">
        <v>189</v>
      </c>
      <c r="E651" s="8">
        <v>258</v>
      </c>
    </row>
    <row r="652" spans="1:5" ht="19.95" customHeight="1" x14ac:dyDescent="0.3">
      <c r="A652" s="1" t="s">
        <v>1314</v>
      </c>
      <c r="B652" s="2" t="s">
        <v>277</v>
      </c>
      <c r="C652" s="2" t="s">
        <v>1315</v>
      </c>
      <c r="D652" s="3" t="s">
        <v>189</v>
      </c>
      <c r="E652" s="4">
        <v>460</v>
      </c>
    </row>
    <row r="653" spans="1:5" ht="19.95" customHeight="1" x14ac:dyDescent="0.3">
      <c r="A653" s="5" t="s">
        <v>1316</v>
      </c>
      <c r="B653" s="6" t="s">
        <v>277</v>
      </c>
      <c r="C653" s="6" t="s">
        <v>1317</v>
      </c>
      <c r="D653" s="7" t="s">
        <v>189</v>
      </c>
      <c r="E653" s="8">
        <v>240</v>
      </c>
    </row>
    <row r="654" spans="1:5" ht="19.95" customHeight="1" x14ac:dyDescent="0.3">
      <c r="A654" s="1" t="s">
        <v>1318</v>
      </c>
      <c r="B654" s="2" t="s">
        <v>277</v>
      </c>
      <c r="C654" s="2" t="s">
        <v>1319</v>
      </c>
      <c r="D654" s="3" t="s">
        <v>189</v>
      </c>
      <c r="E654" s="4">
        <v>300</v>
      </c>
    </row>
    <row r="655" spans="1:5" ht="19.95" customHeight="1" x14ac:dyDescent="0.3">
      <c r="A655" s="5" t="s">
        <v>1320</v>
      </c>
      <c r="B655" s="6" t="s">
        <v>277</v>
      </c>
      <c r="C655" s="6" t="s">
        <v>1321</v>
      </c>
      <c r="D655" s="7" t="s">
        <v>189</v>
      </c>
      <c r="E655" s="8">
        <v>278</v>
      </c>
    </row>
    <row r="656" spans="1:5" ht="19.95" customHeight="1" x14ac:dyDescent="0.3">
      <c r="A656" s="1" t="s">
        <v>1322</v>
      </c>
      <c r="B656" s="2" t="s">
        <v>277</v>
      </c>
      <c r="C656" s="2" t="s">
        <v>1323</v>
      </c>
      <c r="D656" s="3" t="s">
        <v>189</v>
      </c>
      <c r="E656" s="4">
        <v>360</v>
      </c>
    </row>
    <row r="657" spans="1:5" ht="19.95" customHeight="1" x14ac:dyDescent="0.3">
      <c r="A657" s="5" t="s">
        <v>1324</v>
      </c>
      <c r="B657" s="6" t="s">
        <v>277</v>
      </c>
      <c r="C657" s="6" t="s">
        <v>1325</v>
      </c>
      <c r="D657" s="7" t="s">
        <v>189</v>
      </c>
      <c r="E657" s="8">
        <v>320</v>
      </c>
    </row>
    <row r="658" spans="1:5" ht="19.95" customHeight="1" x14ac:dyDescent="0.3">
      <c r="A658" s="1" t="s">
        <v>1326</v>
      </c>
      <c r="B658" s="2" t="s">
        <v>277</v>
      </c>
      <c r="C658" s="2" t="s">
        <v>1327</v>
      </c>
      <c r="D658" s="3" t="s">
        <v>189</v>
      </c>
      <c r="E658" s="4">
        <v>405</v>
      </c>
    </row>
    <row r="659" spans="1:5" ht="19.95" customHeight="1" x14ac:dyDescent="0.3">
      <c r="A659" s="5" t="s">
        <v>1328</v>
      </c>
      <c r="B659" s="6" t="s">
        <v>277</v>
      </c>
      <c r="C659" s="6" t="s">
        <v>1329</v>
      </c>
      <c r="D659" s="7" t="s">
        <v>189</v>
      </c>
      <c r="E659" s="8">
        <v>382</v>
      </c>
    </row>
    <row r="660" spans="1:5" ht="19.95" customHeight="1" x14ac:dyDescent="0.3">
      <c r="A660" s="1" t="s">
        <v>1330</v>
      </c>
      <c r="B660" s="2" t="s">
        <v>277</v>
      </c>
      <c r="C660" s="2" t="s">
        <v>1331</v>
      </c>
      <c r="D660" s="3" t="s">
        <v>189</v>
      </c>
      <c r="E660" s="4">
        <v>590</v>
      </c>
    </row>
    <row r="661" spans="1:5" ht="19.95" customHeight="1" x14ac:dyDescent="0.3">
      <c r="A661" s="5" t="s">
        <v>1332</v>
      </c>
      <c r="B661" s="6" t="s">
        <v>277</v>
      </c>
      <c r="C661" s="6" t="s">
        <v>1333</v>
      </c>
      <c r="D661" s="7" t="s">
        <v>189</v>
      </c>
      <c r="E661" s="8">
        <v>500</v>
      </c>
    </row>
    <row r="662" spans="1:5" ht="19.95" customHeight="1" x14ac:dyDescent="0.3">
      <c r="A662" s="1" t="s">
        <v>1334</v>
      </c>
      <c r="B662" s="2" t="s">
        <v>277</v>
      </c>
      <c r="C662" s="2" t="s">
        <v>1335</v>
      </c>
      <c r="D662" s="3" t="s">
        <v>189</v>
      </c>
      <c r="E662" s="4">
        <v>715</v>
      </c>
    </row>
    <row r="663" spans="1:5" ht="19.95" customHeight="1" x14ac:dyDescent="0.3">
      <c r="A663" s="5" t="s">
        <v>1336</v>
      </c>
      <c r="B663" s="6" t="s">
        <v>277</v>
      </c>
      <c r="C663" s="6" t="s">
        <v>1337</v>
      </c>
      <c r="D663" s="7" t="s">
        <v>189</v>
      </c>
      <c r="E663" s="8">
        <v>191</v>
      </c>
    </row>
    <row r="664" spans="1:5" ht="19.95" customHeight="1" x14ac:dyDescent="0.3">
      <c r="A664" s="1" t="s">
        <v>1338</v>
      </c>
      <c r="B664" s="2" t="s">
        <v>277</v>
      </c>
      <c r="C664" s="2" t="s">
        <v>1339</v>
      </c>
      <c r="D664" s="3" t="s">
        <v>189</v>
      </c>
      <c r="E664" s="4">
        <v>239</v>
      </c>
    </row>
    <row r="665" spans="1:5" ht="19.95" customHeight="1" x14ac:dyDescent="0.3">
      <c r="A665" s="5" t="s">
        <v>1340</v>
      </c>
      <c r="B665" s="6" t="s">
        <v>277</v>
      </c>
      <c r="C665" s="6" t="s">
        <v>1341</v>
      </c>
      <c r="D665" s="7" t="s">
        <v>189</v>
      </c>
      <c r="E665" s="8">
        <v>30</v>
      </c>
    </row>
    <row r="666" spans="1:5" ht="19.95" customHeight="1" x14ac:dyDescent="0.3">
      <c r="A666" s="1" t="s">
        <v>1342</v>
      </c>
      <c r="B666" s="2" t="s">
        <v>277</v>
      </c>
      <c r="C666" s="2" t="s">
        <v>1343</v>
      </c>
      <c r="D666" s="3" t="s">
        <v>189</v>
      </c>
      <c r="E666" s="4">
        <v>49</v>
      </c>
    </row>
    <row r="667" spans="1:5" ht="19.95" customHeight="1" x14ac:dyDescent="0.3">
      <c r="A667" s="5" t="s">
        <v>1344</v>
      </c>
      <c r="B667" s="6" t="s">
        <v>277</v>
      </c>
      <c r="C667" s="6" t="s">
        <v>1345</v>
      </c>
      <c r="D667" s="7" t="s">
        <v>189</v>
      </c>
      <c r="E667" s="8">
        <v>108</v>
      </c>
    </row>
    <row r="668" spans="1:5" ht="19.95" customHeight="1" x14ac:dyDescent="0.3">
      <c r="A668" s="1" t="s">
        <v>1346</v>
      </c>
      <c r="B668" s="2" t="s">
        <v>277</v>
      </c>
      <c r="C668" s="2" t="s">
        <v>1347</v>
      </c>
      <c r="D668" s="3" t="s">
        <v>189</v>
      </c>
      <c r="E668" s="4">
        <v>141</v>
      </c>
    </row>
    <row r="669" spans="1:5" ht="19.95" customHeight="1" x14ac:dyDescent="0.3">
      <c r="A669" s="5" t="s">
        <v>1348</v>
      </c>
      <c r="B669" s="6" t="s">
        <v>277</v>
      </c>
      <c r="C669" s="6" t="s">
        <v>1349</v>
      </c>
      <c r="D669" s="7" t="s">
        <v>189</v>
      </c>
      <c r="E669" s="8">
        <v>192</v>
      </c>
    </row>
    <row r="670" spans="1:5" ht="19.95" customHeight="1" x14ac:dyDescent="0.3">
      <c r="A670" s="1" t="s">
        <v>1350</v>
      </c>
      <c r="B670" s="2" t="s">
        <v>277</v>
      </c>
      <c r="C670" s="2" t="s">
        <v>1351</v>
      </c>
      <c r="D670" s="3" t="s">
        <v>189</v>
      </c>
      <c r="E670" s="4">
        <v>249</v>
      </c>
    </row>
    <row r="671" spans="1:5" ht="19.95" customHeight="1" x14ac:dyDescent="0.3">
      <c r="A671" s="5" t="s">
        <v>1352</v>
      </c>
      <c r="B671" s="6" t="s">
        <v>277</v>
      </c>
      <c r="C671" s="6" t="s">
        <v>1353</v>
      </c>
      <c r="D671" s="7" t="s">
        <v>189</v>
      </c>
      <c r="E671" s="8">
        <v>504</v>
      </c>
    </row>
    <row r="672" spans="1:5" ht="19.95" customHeight="1" x14ac:dyDescent="0.3">
      <c r="A672" s="1" t="s">
        <v>1354</v>
      </c>
      <c r="B672" s="2" t="s">
        <v>277</v>
      </c>
      <c r="C672" s="2" t="s">
        <v>1355</v>
      </c>
      <c r="D672" s="3" t="s">
        <v>189</v>
      </c>
      <c r="E672" s="4">
        <v>563</v>
      </c>
    </row>
    <row r="673" spans="1:5" ht="19.95" customHeight="1" x14ac:dyDescent="0.3">
      <c r="A673" s="5" t="s">
        <v>1356</v>
      </c>
      <c r="B673" s="6" t="s">
        <v>277</v>
      </c>
      <c r="C673" s="6" t="s">
        <v>1357</v>
      </c>
      <c r="D673" s="7" t="s">
        <v>369</v>
      </c>
      <c r="E673" s="8">
        <v>5.5</v>
      </c>
    </row>
    <row r="674" spans="1:5" ht="19.95" customHeight="1" x14ac:dyDescent="0.3">
      <c r="A674" s="1" t="s">
        <v>1358</v>
      </c>
      <c r="B674" s="2" t="s">
        <v>277</v>
      </c>
      <c r="C674" s="2" t="s">
        <v>1359</v>
      </c>
      <c r="D674" s="3" t="s">
        <v>189</v>
      </c>
      <c r="E674" s="4">
        <v>494</v>
      </c>
    </row>
    <row r="675" spans="1:5" ht="19.95" customHeight="1" x14ac:dyDescent="0.3">
      <c r="A675" s="5" t="s">
        <v>1360</v>
      </c>
      <c r="B675" s="6" t="s">
        <v>277</v>
      </c>
      <c r="C675" s="6" t="s">
        <v>1361</v>
      </c>
      <c r="D675" s="7" t="s">
        <v>189</v>
      </c>
      <c r="E675" s="8">
        <v>550</v>
      </c>
    </row>
    <row r="676" spans="1:5" ht="19.95" customHeight="1" x14ac:dyDescent="0.3">
      <c r="A676" s="1" t="s">
        <v>1362</v>
      </c>
      <c r="B676" s="2" t="s">
        <v>277</v>
      </c>
      <c r="C676" s="2" t="s">
        <v>1363</v>
      </c>
      <c r="D676" s="3" t="s">
        <v>189</v>
      </c>
      <c r="E676" s="4">
        <v>615</v>
      </c>
    </row>
    <row r="677" spans="1:5" ht="19.95" customHeight="1" x14ac:dyDescent="0.3">
      <c r="A677" s="5" t="s">
        <v>1364</v>
      </c>
      <c r="B677" s="6" t="s">
        <v>277</v>
      </c>
      <c r="C677" s="6" t="s">
        <v>1365</v>
      </c>
      <c r="D677" s="7" t="s">
        <v>189</v>
      </c>
      <c r="E677" s="8">
        <v>700</v>
      </c>
    </row>
    <row r="678" spans="1:5" ht="19.95" customHeight="1" x14ac:dyDescent="0.3">
      <c r="A678" s="1" t="s">
        <v>1366</v>
      </c>
      <c r="B678" s="2" t="s">
        <v>277</v>
      </c>
      <c r="C678" s="2" t="s">
        <v>1367</v>
      </c>
      <c r="D678" s="3" t="s">
        <v>189</v>
      </c>
      <c r="E678" s="4">
        <v>274</v>
      </c>
    </row>
    <row r="679" spans="1:5" ht="19.95" customHeight="1" x14ac:dyDescent="0.3">
      <c r="A679" s="5" t="s">
        <v>1368</v>
      </c>
      <c r="B679" s="6" t="s">
        <v>277</v>
      </c>
      <c r="C679" s="6" t="s">
        <v>1369</v>
      </c>
      <c r="D679" s="7" t="s">
        <v>189</v>
      </c>
      <c r="E679" s="8">
        <v>347</v>
      </c>
    </row>
    <row r="680" spans="1:5" ht="19.95" customHeight="1" x14ac:dyDescent="0.3">
      <c r="A680" s="1" t="s">
        <v>1370</v>
      </c>
      <c r="B680" s="2" t="s">
        <v>277</v>
      </c>
      <c r="C680" s="2" t="s">
        <v>1371</v>
      </c>
      <c r="D680" s="3" t="s">
        <v>189</v>
      </c>
      <c r="E680" s="4">
        <v>320</v>
      </c>
    </row>
    <row r="681" spans="1:5" ht="19.95" customHeight="1" x14ac:dyDescent="0.3">
      <c r="A681" s="5" t="s">
        <v>1372</v>
      </c>
      <c r="B681" s="6" t="s">
        <v>277</v>
      </c>
      <c r="C681" s="6" t="s">
        <v>1373</v>
      </c>
      <c r="D681" s="7" t="s">
        <v>189</v>
      </c>
      <c r="E681" s="8">
        <v>410</v>
      </c>
    </row>
    <row r="682" spans="1:5" ht="19.95" customHeight="1" x14ac:dyDescent="0.3">
      <c r="A682" s="1" t="s">
        <v>1374</v>
      </c>
      <c r="B682" s="2" t="s">
        <v>277</v>
      </c>
      <c r="C682" s="2" t="s">
        <v>1375</v>
      </c>
      <c r="D682" s="3" t="s">
        <v>189</v>
      </c>
      <c r="E682" s="4">
        <v>410</v>
      </c>
    </row>
    <row r="683" spans="1:5" ht="19.95" customHeight="1" x14ac:dyDescent="0.3">
      <c r="A683" s="5" t="s">
        <v>1376</v>
      </c>
      <c r="B683" s="6" t="s">
        <v>277</v>
      </c>
      <c r="C683" s="6" t="s">
        <v>1377</v>
      </c>
      <c r="D683" s="7" t="s">
        <v>189</v>
      </c>
      <c r="E683" s="8">
        <v>550</v>
      </c>
    </row>
    <row r="684" spans="1:5" ht="19.95" customHeight="1" x14ac:dyDescent="0.3">
      <c r="A684" s="1" t="s">
        <v>1378</v>
      </c>
      <c r="B684" s="2" t="s">
        <v>277</v>
      </c>
      <c r="C684" s="2" t="s">
        <v>1379</v>
      </c>
      <c r="D684" s="3" t="s">
        <v>189</v>
      </c>
      <c r="E684" s="4">
        <v>495</v>
      </c>
    </row>
    <row r="685" spans="1:5" ht="19.95" customHeight="1" x14ac:dyDescent="0.3">
      <c r="A685" s="5" t="s">
        <v>1380</v>
      </c>
      <c r="B685" s="6" t="s">
        <v>277</v>
      </c>
      <c r="C685" s="6" t="s">
        <v>1381</v>
      </c>
      <c r="D685" s="7" t="s">
        <v>189</v>
      </c>
      <c r="E685" s="8">
        <v>570</v>
      </c>
    </row>
    <row r="686" spans="1:5" ht="19.95" customHeight="1" x14ac:dyDescent="0.3">
      <c r="A686" s="1" t="s">
        <v>1382</v>
      </c>
      <c r="B686" s="2" t="s">
        <v>277</v>
      </c>
      <c r="C686" s="2" t="s">
        <v>1383</v>
      </c>
      <c r="D686" s="3" t="s">
        <v>189</v>
      </c>
      <c r="E686" s="4">
        <v>283</v>
      </c>
    </row>
    <row r="687" spans="1:5" ht="19.95" customHeight="1" x14ac:dyDescent="0.3">
      <c r="A687" s="5" t="s">
        <v>1384</v>
      </c>
      <c r="B687" s="6" t="s">
        <v>277</v>
      </c>
      <c r="C687" s="6" t="s">
        <v>1385</v>
      </c>
      <c r="D687" s="7" t="s">
        <v>189</v>
      </c>
      <c r="E687" s="8">
        <v>475</v>
      </c>
    </row>
    <row r="688" spans="1:5" ht="19.95" customHeight="1" x14ac:dyDescent="0.3">
      <c r="A688" s="1" t="s">
        <v>1386</v>
      </c>
      <c r="B688" s="2" t="s">
        <v>277</v>
      </c>
      <c r="C688" s="2" t="s">
        <v>1387</v>
      </c>
      <c r="D688" s="3" t="s">
        <v>189</v>
      </c>
      <c r="E688" s="4">
        <v>177</v>
      </c>
    </row>
    <row r="689" spans="1:5" ht="19.95" customHeight="1" x14ac:dyDescent="0.3">
      <c r="A689" s="5" t="s">
        <v>1388</v>
      </c>
      <c r="B689" s="6" t="s">
        <v>277</v>
      </c>
      <c r="C689" s="6" t="s">
        <v>1389</v>
      </c>
      <c r="D689" s="7" t="s">
        <v>189</v>
      </c>
      <c r="E689" s="8">
        <v>246</v>
      </c>
    </row>
    <row r="690" spans="1:5" ht="19.95" customHeight="1" x14ac:dyDescent="0.3">
      <c r="A690" s="1" t="s">
        <v>1390</v>
      </c>
      <c r="B690" s="2" t="s">
        <v>277</v>
      </c>
      <c r="C690" s="2" t="s">
        <v>1391</v>
      </c>
      <c r="D690" s="3" t="s">
        <v>189</v>
      </c>
      <c r="E690" s="4">
        <v>30</v>
      </c>
    </row>
    <row r="691" spans="1:5" ht="19.95" customHeight="1" x14ac:dyDescent="0.3">
      <c r="A691" s="5" t="s">
        <v>1392</v>
      </c>
      <c r="B691" s="6" t="s">
        <v>277</v>
      </c>
      <c r="C691" s="6" t="s">
        <v>1391</v>
      </c>
      <c r="D691" s="7" t="s">
        <v>189</v>
      </c>
      <c r="E691" s="8">
        <v>35</v>
      </c>
    </row>
    <row r="692" spans="1:5" ht="19.95" customHeight="1" x14ac:dyDescent="0.3">
      <c r="A692" s="1" t="s">
        <v>1393</v>
      </c>
      <c r="B692" s="2" t="s">
        <v>277</v>
      </c>
      <c r="C692" s="2" t="s">
        <v>1394</v>
      </c>
      <c r="D692" s="3" t="s">
        <v>189</v>
      </c>
      <c r="E692" s="4">
        <v>35</v>
      </c>
    </row>
    <row r="693" spans="1:5" ht="19.95" customHeight="1" x14ac:dyDescent="0.3">
      <c r="A693" s="5" t="s">
        <v>1395</v>
      </c>
      <c r="B693" s="6" t="s">
        <v>277</v>
      </c>
      <c r="C693" s="6" t="s">
        <v>1394</v>
      </c>
      <c r="D693" s="7" t="s">
        <v>189</v>
      </c>
      <c r="E693" s="8">
        <v>48</v>
      </c>
    </row>
    <row r="694" spans="1:5" ht="19.95" customHeight="1" x14ac:dyDescent="0.3">
      <c r="A694" s="1" t="s">
        <v>1396</v>
      </c>
      <c r="B694" s="2" t="s">
        <v>277</v>
      </c>
      <c r="C694" s="2" t="s">
        <v>1397</v>
      </c>
      <c r="D694" s="3" t="s">
        <v>189</v>
      </c>
      <c r="E694" s="4">
        <v>670</v>
      </c>
    </row>
    <row r="695" spans="1:5" ht="19.95" customHeight="1" x14ac:dyDescent="0.3">
      <c r="A695" s="5" t="s">
        <v>1398</v>
      </c>
      <c r="B695" s="6" t="s">
        <v>277</v>
      </c>
      <c r="C695" s="6" t="s">
        <v>1399</v>
      </c>
      <c r="D695" s="7" t="s">
        <v>283</v>
      </c>
      <c r="E695" s="8">
        <v>200</v>
      </c>
    </row>
    <row r="696" spans="1:5" ht="19.95" customHeight="1" x14ac:dyDescent="0.3">
      <c r="A696" s="1" t="s">
        <v>1400</v>
      </c>
      <c r="B696" s="2" t="s">
        <v>277</v>
      </c>
      <c r="C696" s="2" t="s">
        <v>1401</v>
      </c>
      <c r="D696" s="3" t="s">
        <v>283</v>
      </c>
      <c r="E696" s="4">
        <v>212</v>
      </c>
    </row>
    <row r="697" spans="1:5" ht="19.95" customHeight="1" x14ac:dyDescent="0.3">
      <c r="A697" s="5" t="s">
        <v>1402</v>
      </c>
      <c r="B697" s="6" t="s">
        <v>277</v>
      </c>
      <c r="C697" s="6" t="s">
        <v>1403</v>
      </c>
      <c r="D697" s="7" t="s">
        <v>283</v>
      </c>
      <c r="E697" s="8">
        <v>350</v>
      </c>
    </row>
    <row r="698" spans="1:5" ht="19.95" customHeight="1" x14ac:dyDescent="0.3">
      <c r="A698" s="1" t="s">
        <v>1404</v>
      </c>
      <c r="B698" s="2" t="s">
        <v>277</v>
      </c>
      <c r="C698" s="2" t="s">
        <v>1405</v>
      </c>
      <c r="D698" s="3" t="s">
        <v>283</v>
      </c>
      <c r="E698" s="4">
        <v>445</v>
      </c>
    </row>
    <row r="699" spans="1:5" ht="19.95" customHeight="1" x14ac:dyDescent="0.3">
      <c r="A699" s="5" t="s">
        <v>1406</v>
      </c>
      <c r="B699" s="6" t="s">
        <v>277</v>
      </c>
      <c r="C699" s="6" t="s">
        <v>1407</v>
      </c>
      <c r="D699" s="7" t="s">
        <v>283</v>
      </c>
      <c r="E699" s="8">
        <v>750</v>
      </c>
    </row>
    <row r="700" spans="1:5" ht="19.95" customHeight="1" x14ac:dyDescent="0.3">
      <c r="A700" s="1" t="s">
        <v>1408</v>
      </c>
      <c r="B700" s="2" t="s">
        <v>277</v>
      </c>
      <c r="C700" s="2" t="s">
        <v>1409</v>
      </c>
      <c r="D700" s="3" t="s">
        <v>283</v>
      </c>
      <c r="E700" s="4">
        <v>925</v>
      </c>
    </row>
    <row r="701" spans="1:5" ht="19.95" customHeight="1" x14ac:dyDescent="0.3">
      <c r="A701" s="5" t="s">
        <v>1410</v>
      </c>
      <c r="B701" s="6" t="s">
        <v>277</v>
      </c>
      <c r="C701" s="6" t="s">
        <v>1411</v>
      </c>
      <c r="D701" s="7" t="s">
        <v>283</v>
      </c>
      <c r="E701" s="8">
        <v>1100</v>
      </c>
    </row>
    <row r="702" spans="1:5" ht="19.95" customHeight="1" x14ac:dyDescent="0.3">
      <c r="A702" s="1" t="s">
        <v>1412</v>
      </c>
      <c r="B702" s="2" t="s">
        <v>277</v>
      </c>
      <c r="C702" s="2" t="s">
        <v>1413</v>
      </c>
      <c r="D702" s="3" t="s">
        <v>283</v>
      </c>
      <c r="E702" s="4">
        <v>1485</v>
      </c>
    </row>
    <row r="703" spans="1:5" ht="19.95" customHeight="1" x14ac:dyDescent="0.3">
      <c r="A703" s="5" t="s">
        <v>1414</v>
      </c>
      <c r="B703" s="6" t="s">
        <v>277</v>
      </c>
      <c r="C703" s="6" t="s">
        <v>1415</v>
      </c>
      <c r="D703" s="7" t="s">
        <v>283</v>
      </c>
      <c r="E703" s="8">
        <v>1800</v>
      </c>
    </row>
    <row r="704" spans="1:5" ht="19.95" customHeight="1" x14ac:dyDescent="0.3">
      <c r="A704" s="1" t="s">
        <v>1416</v>
      </c>
      <c r="B704" s="2" t="s">
        <v>277</v>
      </c>
      <c r="C704" s="2" t="s">
        <v>1417</v>
      </c>
      <c r="D704" s="3" t="s">
        <v>283</v>
      </c>
      <c r="E704" s="4">
        <v>2500</v>
      </c>
    </row>
    <row r="705" spans="1:5" ht="19.95" customHeight="1" x14ac:dyDescent="0.3">
      <c r="A705" s="5" t="s">
        <v>1418</v>
      </c>
      <c r="B705" s="6" t="s">
        <v>277</v>
      </c>
      <c r="C705" s="6" t="s">
        <v>1419</v>
      </c>
      <c r="D705" s="7" t="s">
        <v>283</v>
      </c>
      <c r="E705" s="8">
        <v>2900</v>
      </c>
    </row>
    <row r="706" spans="1:5" ht="19.95" customHeight="1" x14ac:dyDescent="0.3">
      <c r="A706" s="1" t="s">
        <v>1420</v>
      </c>
      <c r="B706" s="2" t="s">
        <v>277</v>
      </c>
      <c r="C706" s="2" t="s">
        <v>1421</v>
      </c>
      <c r="D706" s="3" t="s">
        <v>283</v>
      </c>
      <c r="E706" s="4">
        <v>3200</v>
      </c>
    </row>
    <row r="707" spans="1:5" ht="19.95" customHeight="1" x14ac:dyDescent="0.3">
      <c r="A707" s="5" t="s">
        <v>1422</v>
      </c>
      <c r="B707" s="6" t="s">
        <v>277</v>
      </c>
      <c r="C707" s="6" t="s">
        <v>1423</v>
      </c>
      <c r="D707" s="7" t="s">
        <v>283</v>
      </c>
      <c r="E707" s="8">
        <v>3510</v>
      </c>
    </row>
    <row r="708" spans="1:5" ht="19.95" customHeight="1" x14ac:dyDescent="0.3">
      <c r="A708" s="1" t="s">
        <v>1424</v>
      </c>
      <c r="B708" s="2" t="s">
        <v>277</v>
      </c>
      <c r="C708" s="2" t="s">
        <v>1425</v>
      </c>
      <c r="D708" s="3" t="s">
        <v>189</v>
      </c>
      <c r="E708" s="4">
        <v>30</v>
      </c>
    </row>
    <row r="709" spans="1:5" ht="19.95" customHeight="1" x14ac:dyDescent="0.3">
      <c r="A709" s="5" t="s">
        <v>1426</v>
      </c>
      <c r="B709" s="6" t="s">
        <v>277</v>
      </c>
      <c r="C709" s="6" t="s">
        <v>1427</v>
      </c>
      <c r="D709" s="7" t="s">
        <v>189</v>
      </c>
      <c r="E709" s="8">
        <v>35</v>
      </c>
    </row>
    <row r="710" spans="1:5" ht="19.95" customHeight="1" x14ac:dyDescent="0.3">
      <c r="A710" s="1" t="s">
        <v>1428</v>
      </c>
      <c r="B710" s="2" t="s">
        <v>277</v>
      </c>
      <c r="C710" s="2" t="s">
        <v>1429</v>
      </c>
      <c r="D710" s="3" t="s">
        <v>189</v>
      </c>
      <c r="E710" s="4">
        <v>50</v>
      </c>
    </row>
    <row r="711" spans="1:5" ht="19.95" customHeight="1" x14ac:dyDescent="0.3">
      <c r="A711" s="5" t="s">
        <v>1430</v>
      </c>
      <c r="B711" s="6" t="s">
        <v>277</v>
      </c>
      <c r="C711" s="6" t="s">
        <v>1431</v>
      </c>
      <c r="D711" s="7" t="s">
        <v>189</v>
      </c>
      <c r="E711" s="8">
        <v>55</v>
      </c>
    </row>
    <row r="712" spans="1:5" ht="19.95" customHeight="1" x14ac:dyDescent="0.3">
      <c r="A712" s="1" t="s">
        <v>1432</v>
      </c>
      <c r="B712" s="2" t="s">
        <v>277</v>
      </c>
      <c r="C712" s="2" t="s">
        <v>1433</v>
      </c>
      <c r="D712" s="3" t="s">
        <v>189</v>
      </c>
      <c r="E712" s="4">
        <v>100</v>
      </c>
    </row>
    <row r="713" spans="1:5" ht="19.95" customHeight="1" x14ac:dyDescent="0.3">
      <c r="A713" s="5" t="s">
        <v>1434</v>
      </c>
      <c r="B713" s="6" t="s">
        <v>277</v>
      </c>
      <c r="C713" s="6" t="s">
        <v>1435</v>
      </c>
      <c r="D713" s="7" t="s">
        <v>189</v>
      </c>
      <c r="E713" s="8">
        <v>115</v>
      </c>
    </row>
    <row r="714" spans="1:5" ht="19.95" customHeight="1" x14ac:dyDescent="0.3">
      <c r="A714" s="1" t="s">
        <v>1436</v>
      </c>
      <c r="B714" s="2" t="s">
        <v>277</v>
      </c>
      <c r="C714" s="2" t="s">
        <v>1437</v>
      </c>
      <c r="D714" s="3" t="s">
        <v>189</v>
      </c>
      <c r="E714" s="4">
        <v>140</v>
      </c>
    </row>
    <row r="715" spans="1:5" ht="19.95" customHeight="1" x14ac:dyDescent="0.3">
      <c r="A715" s="5" t="s">
        <v>1438</v>
      </c>
      <c r="B715" s="6" t="s">
        <v>277</v>
      </c>
      <c r="C715" s="6" t="s">
        <v>1439</v>
      </c>
      <c r="D715" s="7" t="s">
        <v>189</v>
      </c>
      <c r="E715" s="8">
        <v>150</v>
      </c>
    </row>
    <row r="716" spans="1:5" ht="19.95" customHeight="1" x14ac:dyDescent="0.3">
      <c r="A716" s="1" t="s">
        <v>1440</v>
      </c>
      <c r="B716" s="2" t="s">
        <v>277</v>
      </c>
      <c r="C716" s="2" t="s">
        <v>1441</v>
      </c>
      <c r="D716" s="3" t="s">
        <v>189</v>
      </c>
      <c r="E716" s="4">
        <v>200</v>
      </c>
    </row>
    <row r="717" spans="1:5" ht="19.95" customHeight="1" x14ac:dyDescent="0.3">
      <c r="A717" s="5" t="s">
        <v>1442</v>
      </c>
      <c r="B717" s="6" t="s">
        <v>277</v>
      </c>
      <c r="C717" s="6" t="s">
        <v>1443</v>
      </c>
      <c r="D717" s="7" t="s">
        <v>189</v>
      </c>
      <c r="E717" s="8">
        <v>235</v>
      </c>
    </row>
    <row r="718" spans="1:5" ht="19.95" customHeight="1" x14ac:dyDescent="0.3">
      <c r="A718" s="1" t="s">
        <v>1444</v>
      </c>
      <c r="B718" s="2" t="s">
        <v>277</v>
      </c>
      <c r="C718" s="2" t="s">
        <v>1445</v>
      </c>
      <c r="D718" s="3" t="s">
        <v>189</v>
      </c>
      <c r="E718" s="4">
        <v>280</v>
      </c>
    </row>
    <row r="719" spans="1:5" ht="19.95" customHeight="1" x14ac:dyDescent="0.3">
      <c r="A719" s="5" t="s">
        <v>1446</v>
      </c>
      <c r="B719" s="6" t="s">
        <v>277</v>
      </c>
      <c r="C719" s="6" t="s">
        <v>1447</v>
      </c>
      <c r="D719" s="7" t="s">
        <v>189</v>
      </c>
      <c r="E719" s="8">
        <v>300</v>
      </c>
    </row>
    <row r="720" spans="1:5" ht="19.95" customHeight="1" x14ac:dyDescent="0.3">
      <c r="A720" s="1" t="s">
        <v>1448</v>
      </c>
      <c r="B720" s="2" t="s">
        <v>277</v>
      </c>
      <c r="C720" s="2" t="s">
        <v>1449</v>
      </c>
      <c r="D720" s="3" t="s">
        <v>189</v>
      </c>
      <c r="E720" s="4">
        <v>350</v>
      </c>
    </row>
    <row r="721" spans="1:5" ht="19.95" customHeight="1" x14ac:dyDescent="0.3">
      <c r="A721" s="5" t="s">
        <v>1450</v>
      </c>
      <c r="B721" s="6" t="s">
        <v>277</v>
      </c>
      <c r="C721" s="6" t="s">
        <v>1451</v>
      </c>
      <c r="D721" s="7" t="s">
        <v>283</v>
      </c>
      <c r="E721" s="8">
        <v>1496</v>
      </c>
    </row>
    <row r="722" spans="1:5" ht="19.95" customHeight="1" x14ac:dyDescent="0.3">
      <c r="A722" s="1" t="s">
        <v>1452</v>
      </c>
      <c r="B722" s="2" t="s">
        <v>277</v>
      </c>
      <c r="C722" s="2" t="s">
        <v>1453</v>
      </c>
      <c r="D722" s="3" t="s">
        <v>283</v>
      </c>
      <c r="E722" s="4">
        <v>1995</v>
      </c>
    </row>
    <row r="723" spans="1:5" ht="19.95" customHeight="1" x14ac:dyDescent="0.3">
      <c r="A723" s="5" t="s">
        <v>1454</v>
      </c>
      <c r="B723" s="6" t="s">
        <v>277</v>
      </c>
      <c r="C723" s="6" t="s">
        <v>1455</v>
      </c>
      <c r="D723" s="7" t="s">
        <v>283</v>
      </c>
      <c r="E723" s="8">
        <v>3150</v>
      </c>
    </row>
    <row r="724" spans="1:5" ht="19.95" customHeight="1" x14ac:dyDescent="0.3">
      <c r="A724" s="1" t="s">
        <v>1456</v>
      </c>
      <c r="B724" s="2" t="s">
        <v>277</v>
      </c>
      <c r="C724" s="2" t="s">
        <v>1457</v>
      </c>
      <c r="D724" s="3" t="s">
        <v>283</v>
      </c>
      <c r="E724" s="4">
        <v>3885</v>
      </c>
    </row>
    <row r="725" spans="1:5" ht="19.95" customHeight="1" x14ac:dyDescent="0.3">
      <c r="A725" s="5" t="s">
        <v>1458</v>
      </c>
      <c r="B725" s="6" t="s">
        <v>277</v>
      </c>
      <c r="C725" s="6" t="s">
        <v>1459</v>
      </c>
      <c r="D725" s="7" t="s">
        <v>283</v>
      </c>
      <c r="E725" s="8">
        <v>5040</v>
      </c>
    </row>
    <row r="726" spans="1:5" ht="19.95" customHeight="1" x14ac:dyDescent="0.3">
      <c r="A726" s="1" t="s">
        <v>1460</v>
      </c>
      <c r="B726" s="2" t="s">
        <v>277</v>
      </c>
      <c r="C726" s="2" t="s">
        <v>1461</v>
      </c>
      <c r="D726" s="3" t="s">
        <v>283</v>
      </c>
      <c r="E726" s="4">
        <v>9450</v>
      </c>
    </row>
    <row r="727" spans="1:5" ht="19.95" customHeight="1" x14ac:dyDescent="0.3">
      <c r="A727" s="5" t="s">
        <v>1462</v>
      </c>
      <c r="B727" s="6" t="s">
        <v>277</v>
      </c>
      <c r="C727" s="6" t="s">
        <v>1463</v>
      </c>
      <c r="D727" s="7" t="s">
        <v>283</v>
      </c>
      <c r="E727" s="8">
        <v>1733</v>
      </c>
    </row>
    <row r="728" spans="1:5" ht="19.95" customHeight="1" x14ac:dyDescent="0.3">
      <c r="A728" s="1" t="s">
        <v>1464</v>
      </c>
      <c r="B728" s="2" t="s">
        <v>277</v>
      </c>
      <c r="C728" s="2" t="s">
        <v>1465</v>
      </c>
      <c r="D728" s="3" t="s">
        <v>283</v>
      </c>
      <c r="E728" s="4">
        <v>2310</v>
      </c>
    </row>
    <row r="729" spans="1:5" ht="19.95" customHeight="1" x14ac:dyDescent="0.3">
      <c r="A729" s="5" t="s">
        <v>1466</v>
      </c>
      <c r="B729" s="6" t="s">
        <v>277</v>
      </c>
      <c r="C729" s="6" t="s">
        <v>1467</v>
      </c>
      <c r="D729" s="7" t="s">
        <v>283</v>
      </c>
      <c r="E729" s="8">
        <v>4494</v>
      </c>
    </row>
    <row r="730" spans="1:5" ht="19.95" customHeight="1" x14ac:dyDescent="0.3">
      <c r="A730" s="1" t="s">
        <v>1468</v>
      </c>
      <c r="B730" s="2" t="s">
        <v>277</v>
      </c>
      <c r="C730" s="2" t="s">
        <v>1469</v>
      </c>
      <c r="D730" s="3" t="s">
        <v>283</v>
      </c>
      <c r="E730" s="4">
        <v>5565</v>
      </c>
    </row>
    <row r="731" spans="1:5" ht="19.95" customHeight="1" x14ac:dyDescent="0.3">
      <c r="A731" s="5" t="s">
        <v>1470</v>
      </c>
      <c r="B731" s="6" t="s">
        <v>277</v>
      </c>
      <c r="C731" s="6" t="s">
        <v>1471</v>
      </c>
      <c r="D731" s="7" t="s">
        <v>283</v>
      </c>
      <c r="E731" s="8">
        <v>6510</v>
      </c>
    </row>
    <row r="732" spans="1:5" ht="19.95" customHeight="1" x14ac:dyDescent="0.3">
      <c r="A732" s="1" t="s">
        <v>1472</v>
      </c>
      <c r="B732" s="2" t="s">
        <v>277</v>
      </c>
      <c r="C732" s="2" t="s">
        <v>1473</v>
      </c>
      <c r="D732" s="3" t="s">
        <v>283</v>
      </c>
      <c r="E732" s="4">
        <v>13650</v>
      </c>
    </row>
    <row r="733" spans="1:5" ht="19.95" customHeight="1" x14ac:dyDescent="0.3">
      <c r="A733" s="5" t="s">
        <v>1474</v>
      </c>
      <c r="B733" s="6" t="s">
        <v>277</v>
      </c>
      <c r="C733" s="6" t="s">
        <v>1475</v>
      </c>
      <c r="D733" s="7" t="s">
        <v>189</v>
      </c>
      <c r="E733" s="8">
        <v>55</v>
      </c>
    </row>
    <row r="734" spans="1:5" ht="19.95" customHeight="1" x14ac:dyDescent="0.3">
      <c r="A734" s="1" t="s">
        <v>1476</v>
      </c>
      <c r="B734" s="2" t="s">
        <v>277</v>
      </c>
      <c r="C734" s="2" t="s">
        <v>1477</v>
      </c>
      <c r="D734" s="3" t="s">
        <v>189</v>
      </c>
      <c r="E734" s="4">
        <v>100</v>
      </c>
    </row>
    <row r="735" spans="1:5" ht="19.95" customHeight="1" x14ac:dyDescent="0.3">
      <c r="A735" s="5" t="s">
        <v>1478</v>
      </c>
      <c r="B735" s="6" t="s">
        <v>277</v>
      </c>
      <c r="C735" s="6" t="s">
        <v>1479</v>
      </c>
      <c r="D735" s="7" t="s">
        <v>189</v>
      </c>
      <c r="E735" s="8">
        <v>200</v>
      </c>
    </row>
    <row r="736" spans="1:5" ht="19.95" customHeight="1" x14ac:dyDescent="0.3">
      <c r="A736" s="1" t="s">
        <v>1480</v>
      </c>
      <c r="B736" s="2" t="s">
        <v>277</v>
      </c>
      <c r="C736" s="2" t="s">
        <v>1481</v>
      </c>
      <c r="D736" s="3" t="s">
        <v>189</v>
      </c>
      <c r="E736" s="4">
        <v>250</v>
      </c>
    </row>
    <row r="737" spans="1:5" ht="19.95" customHeight="1" x14ac:dyDescent="0.3">
      <c r="A737" s="5" t="s">
        <v>1482</v>
      </c>
      <c r="B737" s="6" t="s">
        <v>277</v>
      </c>
      <c r="C737" s="6" t="s">
        <v>1483</v>
      </c>
      <c r="D737" s="7" t="s">
        <v>189</v>
      </c>
      <c r="E737" s="8">
        <v>320</v>
      </c>
    </row>
    <row r="738" spans="1:5" ht="19.95" customHeight="1" x14ac:dyDescent="0.3">
      <c r="A738" s="1" t="s">
        <v>1484</v>
      </c>
      <c r="B738" s="2" t="s">
        <v>277</v>
      </c>
      <c r="C738" s="2" t="s">
        <v>1485</v>
      </c>
      <c r="D738" s="3" t="s">
        <v>189</v>
      </c>
      <c r="E738" s="4">
        <v>478</v>
      </c>
    </row>
    <row r="739" spans="1:5" ht="19.95" customHeight="1" x14ac:dyDescent="0.3">
      <c r="A739" s="5" t="s">
        <v>1486</v>
      </c>
      <c r="B739" s="6" t="s">
        <v>277</v>
      </c>
      <c r="C739" s="6" t="s">
        <v>1487</v>
      </c>
      <c r="D739" s="7" t="s">
        <v>189</v>
      </c>
      <c r="E739" s="8">
        <v>1283</v>
      </c>
    </row>
    <row r="740" spans="1:5" ht="19.95" customHeight="1" x14ac:dyDescent="0.3">
      <c r="A740" s="1" t="s">
        <v>1488</v>
      </c>
      <c r="B740" s="2" t="s">
        <v>277</v>
      </c>
      <c r="C740" s="2" t="s">
        <v>1489</v>
      </c>
      <c r="D740" s="3" t="s">
        <v>189</v>
      </c>
      <c r="E740" s="4">
        <v>1500</v>
      </c>
    </row>
    <row r="741" spans="1:5" ht="19.95" customHeight="1" x14ac:dyDescent="0.3">
      <c r="A741" s="5" t="s">
        <v>1490</v>
      </c>
      <c r="B741" s="6" t="s">
        <v>277</v>
      </c>
      <c r="C741" s="6" t="s">
        <v>1491</v>
      </c>
      <c r="D741" s="7" t="s">
        <v>189</v>
      </c>
      <c r="E741" s="8">
        <v>2500</v>
      </c>
    </row>
    <row r="742" spans="1:5" ht="19.95" customHeight="1" x14ac:dyDescent="0.3">
      <c r="A742" s="1" t="s">
        <v>1492</v>
      </c>
      <c r="B742" s="2" t="s">
        <v>277</v>
      </c>
      <c r="C742" s="2" t="s">
        <v>1493</v>
      </c>
      <c r="D742" s="3" t="s">
        <v>189</v>
      </c>
      <c r="E742" s="4">
        <v>400</v>
      </c>
    </row>
    <row r="743" spans="1:5" ht="19.95" customHeight="1" x14ac:dyDescent="0.3">
      <c r="A743" s="5" t="s">
        <v>1494</v>
      </c>
      <c r="B743" s="6" t="s">
        <v>277</v>
      </c>
      <c r="C743" s="6" t="s">
        <v>1495</v>
      </c>
      <c r="D743" s="7" t="s">
        <v>189</v>
      </c>
      <c r="E743" s="8">
        <v>310</v>
      </c>
    </row>
    <row r="744" spans="1:5" ht="19.95" customHeight="1" x14ac:dyDescent="0.3">
      <c r="A744" s="1" t="s">
        <v>1496</v>
      </c>
      <c r="B744" s="2" t="s">
        <v>277</v>
      </c>
      <c r="C744" s="2" t="s">
        <v>1497</v>
      </c>
      <c r="D744" s="3" t="s">
        <v>189</v>
      </c>
      <c r="E744" s="4">
        <v>100</v>
      </c>
    </row>
    <row r="745" spans="1:5" ht="19.95" customHeight="1" x14ac:dyDescent="0.3">
      <c r="A745" s="5" t="s">
        <v>1498</v>
      </c>
      <c r="B745" s="6" t="s">
        <v>277</v>
      </c>
      <c r="C745" s="6" t="s">
        <v>1499</v>
      </c>
      <c r="D745" s="7" t="s">
        <v>189</v>
      </c>
      <c r="E745" s="8">
        <v>125</v>
      </c>
    </row>
    <row r="746" spans="1:5" ht="19.95" customHeight="1" x14ac:dyDescent="0.3">
      <c r="A746" s="1" t="s">
        <v>1500</v>
      </c>
      <c r="B746" s="2" t="s">
        <v>277</v>
      </c>
      <c r="C746" s="2" t="s">
        <v>1501</v>
      </c>
      <c r="D746" s="3" t="s">
        <v>366</v>
      </c>
      <c r="E746" s="4">
        <v>22</v>
      </c>
    </row>
    <row r="747" spans="1:5" ht="19.95" customHeight="1" x14ac:dyDescent="0.3">
      <c r="A747" s="5" t="s">
        <v>1502</v>
      </c>
      <c r="B747" s="6" t="s">
        <v>277</v>
      </c>
      <c r="C747" s="6" t="s">
        <v>926</v>
      </c>
      <c r="D747" s="7" t="s">
        <v>366</v>
      </c>
      <c r="E747" s="8">
        <v>50</v>
      </c>
    </row>
    <row r="748" spans="1:5" ht="19.95" customHeight="1" x14ac:dyDescent="0.3">
      <c r="A748" s="1" t="s">
        <v>1503</v>
      </c>
      <c r="B748" s="2" t="s">
        <v>277</v>
      </c>
      <c r="C748" s="2" t="s">
        <v>1504</v>
      </c>
      <c r="D748" s="3" t="s">
        <v>189</v>
      </c>
      <c r="E748" s="4">
        <v>600</v>
      </c>
    </row>
    <row r="749" spans="1:5" ht="19.95" customHeight="1" x14ac:dyDescent="0.3">
      <c r="A749" s="5" t="s">
        <v>1505</v>
      </c>
      <c r="B749" s="6" t="s">
        <v>277</v>
      </c>
      <c r="C749" s="6" t="s">
        <v>1506</v>
      </c>
      <c r="D749" s="7" t="s">
        <v>189</v>
      </c>
      <c r="E749" s="8">
        <v>207</v>
      </c>
    </row>
    <row r="750" spans="1:5" ht="19.95" customHeight="1" x14ac:dyDescent="0.3">
      <c r="A750" s="1" t="s">
        <v>1507</v>
      </c>
      <c r="B750" s="2" t="s">
        <v>277</v>
      </c>
      <c r="C750" s="2" t="s">
        <v>1508</v>
      </c>
      <c r="D750" s="3" t="s">
        <v>189</v>
      </c>
      <c r="E750" s="4">
        <v>225</v>
      </c>
    </row>
    <row r="751" spans="1:5" ht="19.95" customHeight="1" x14ac:dyDescent="0.3">
      <c r="A751" s="5" t="s">
        <v>1509</v>
      </c>
      <c r="B751" s="6" t="s">
        <v>277</v>
      </c>
      <c r="C751" s="6" t="s">
        <v>1510</v>
      </c>
      <c r="D751" s="7" t="s">
        <v>189</v>
      </c>
      <c r="E751" s="8">
        <v>300</v>
      </c>
    </row>
    <row r="752" spans="1:5" ht="19.95" customHeight="1" x14ac:dyDescent="0.3">
      <c r="A752" s="1" t="s">
        <v>1511</v>
      </c>
      <c r="B752" s="2" t="s">
        <v>277</v>
      </c>
      <c r="C752" s="2" t="s">
        <v>1512</v>
      </c>
      <c r="D752" s="3" t="s">
        <v>189</v>
      </c>
      <c r="E752" s="4">
        <v>170</v>
      </c>
    </row>
    <row r="753" spans="1:5" ht="19.95" customHeight="1" x14ac:dyDescent="0.3">
      <c r="A753" s="5" t="s">
        <v>1513</v>
      </c>
      <c r="B753" s="6" t="s">
        <v>277</v>
      </c>
      <c r="C753" s="6" t="s">
        <v>1512</v>
      </c>
      <c r="D753" s="7" t="s">
        <v>189</v>
      </c>
      <c r="E753" s="8">
        <v>225</v>
      </c>
    </row>
    <row r="754" spans="1:5" ht="19.95" customHeight="1" x14ac:dyDescent="0.3">
      <c r="A754" s="1" t="s">
        <v>1514</v>
      </c>
      <c r="B754" s="2" t="s">
        <v>277</v>
      </c>
      <c r="C754" s="2" t="s">
        <v>1515</v>
      </c>
      <c r="D754" s="3" t="s">
        <v>189</v>
      </c>
      <c r="E754" s="4">
        <v>300</v>
      </c>
    </row>
    <row r="755" spans="1:5" ht="19.95" customHeight="1" x14ac:dyDescent="0.3">
      <c r="A755" s="5" t="s">
        <v>1516</v>
      </c>
      <c r="B755" s="6" t="s">
        <v>277</v>
      </c>
      <c r="C755" s="6" t="s">
        <v>1517</v>
      </c>
      <c r="D755" s="7" t="s">
        <v>189</v>
      </c>
      <c r="E755" s="8">
        <v>320</v>
      </c>
    </row>
    <row r="756" spans="1:5" ht="19.95" customHeight="1" x14ac:dyDescent="0.3">
      <c r="A756" s="1" t="s">
        <v>1518</v>
      </c>
      <c r="B756" s="2" t="s">
        <v>277</v>
      </c>
      <c r="C756" s="2" t="s">
        <v>1519</v>
      </c>
      <c r="D756" s="3" t="s">
        <v>189</v>
      </c>
      <c r="E756" s="4">
        <v>271</v>
      </c>
    </row>
    <row r="757" spans="1:5" ht="19.95" customHeight="1" x14ac:dyDescent="0.3">
      <c r="A757" s="5" t="s">
        <v>1520</v>
      </c>
      <c r="B757" s="6" t="s">
        <v>277</v>
      </c>
      <c r="C757" s="6" t="s">
        <v>1521</v>
      </c>
      <c r="D757" s="7" t="s">
        <v>189</v>
      </c>
      <c r="E757" s="8">
        <v>218</v>
      </c>
    </row>
    <row r="758" spans="1:5" ht="19.95" customHeight="1" x14ac:dyDescent="0.3">
      <c r="A758" s="1" t="s">
        <v>1522</v>
      </c>
      <c r="B758" s="2" t="s">
        <v>277</v>
      </c>
      <c r="C758" s="2" t="s">
        <v>1523</v>
      </c>
      <c r="D758" s="3" t="s">
        <v>189</v>
      </c>
      <c r="E758" s="4">
        <v>100</v>
      </c>
    </row>
    <row r="759" spans="1:5" ht="19.95" customHeight="1" x14ac:dyDescent="0.3">
      <c r="A759" s="5" t="s">
        <v>1524</v>
      </c>
      <c r="B759" s="6" t="s">
        <v>277</v>
      </c>
      <c r="C759" s="6" t="s">
        <v>1525</v>
      </c>
      <c r="D759" s="7" t="s">
        <v>189</v>
      </c>
      <c r="E759" s="8">
        <v>130</v>
      </c>
    </row>
    <row r="760" spans="1:5" ht="19.95" customHeight="1" x14ac:dyDescent="0.3">
      <c r="A760" s="1" t="s">
        <v>1526</v>
      </c>
      <c r="B760" s="2" t="s">
        <v>277</v>
      </c>
      <c r="C760" s="2" t="s">
        <v>1527</v>
      </c>
      <c r="D760" s="3" t="s">
        <v>189</v>
      </c>
      <c r="E760" s="4">
        <v>225</v>
      </c>
    </row>
    <row r="761" spans="1:5" ht="19.95" customHeight="1" x14ac:dyDescent="0.3">
      <c r="A761" s="5" t="s">
        <v>1528</v>
      </c>
      <c r="B761" s="6" t="s">
        <v>277</v>
      </c>
      <c r="C761" s="6" t="s">
        <v>1529</v>
      </c>
      <c r="D761" s="7" t="s">
        <v>189</v>
      </c>
      <c r="E761" s="8">
        <v>460</v>
      </c>
    </row>
    <row r="762" spans="1:5" ht="19.95" customHeight="1" x14ac:dyDescent="0.3">
      <c r="A762" s="1" t="s">
        <v>1530</v>
      </c>
      <c r="B762" s="2" t="s">
        <v>277</v>
      </c>
      <c r="C762" s="2" t="s">
        <v>1531</v>
      </c>
      <c r="D762" s="3" t="s">
        <v>189</v>
      </c>
      <c r="E762" s="4">
        <v>1053</v>
      </c>
    </row>
    <row r="763" spans="1:5" ht="19.95" customHeight="1" x14ac:dyDescent="0.3">
      <c r="A763" s="5" t="s">
        <v>1532</v>
      </c>
      <c r="B763" s="6" t="s">
        <v>277</v>
      </c>
      <c r="C763" s="6" t="s">
        <v>1533</v>
      </c>
      <c r="D763" s="7" t="s">
        <v>189</v>
      </c>
      <c r="E763" s="8">
        <v>210</v>
      </c>
    </row>
    <row r="764" spans="1:5" ht="19.95" customHeight="1" x14ac:dyDescent="0.3">
      <c r="A764" s="1" t="s">
        <v>1534</v>
      </c>
      <c r="B764" s="2" t="s">
        <v>277</v>
      </c>
      <c r="C764" s="2" t="s">
        <v>1535</v>
      </c>
      <c r="D764" s="3" t="s">
        <v>189</v>
      </c>
      <c r="E764" s="4">
        <v>235</v>
      </c>
    </row>
    <row r="765" spans="1:5" ht="19.95" customHeight="1" x14ac:dyDescent="0.3">
      <c r="A765" s="5" t="s">
        <v>1536</v>
      </c>
      <c r="B765" s="6" t="s">
        <v>277</v>
      </c>
      <c r="C765" s="6" t="s">
        <v>1537</v>
      </c>
      <c r="D765" s="7" t="s">
        <v>189</v>
      </c>
      <c r="E765" s="8">
        <v>230</v>
      </c>
    </row>
    <row r="766" spans="1:5" ht="19.95" customHeight="1" x14ac:dyDescent="0.3">
      <c r="A766" s="1" t="s">
        <v>1538</v>
      </c>
      <c r="B766" s="2" t="s">
        <v>277</v>
      </c>
      <c r="C766" s="2" t="s">
        <v>1539</v>
      </c>
      <c r="D766" s="3" t="s">
        <v>189</v>
      </c>
      <c r="E766" s="4">
        <v>325</v>
      </c>
    </row>
    <row r="767" spans="1:5" ht="19.95" customHeight="1" x14ac:dyDescent="0.3">
      <c r="A767" s="5" t="s">
        <v>1540</v>
      </c>
      <c r="B767" s="6" t="s">
        <v>277</v>
      </c>
      <c r="C767" s="6" t="s">
        <v>1541</v>
      </c>
      <c r="D767" s="7" t="s">
        <v>189</v>
      </c>
      <c r="E767" s="8">
        <v>350</v>
      </c>
    </row>
    <row r="768" spans="1:5" ht="19.95" customHeight="1" x14ac:dyDescent="0.3">
      <c r="A768" s="1" t="s">
        <v>1542</v>
      </c>
      <c r="B768" s="2" t="s">
        <v>277</v>
      </c>
      <c r="C768" s="2" t="s">
        <v>1543</v>
      </c>
      <c r="D768" s="3" t="s">
        <v>189</v>
      </c>
      <c r="E768" s="4">
        <v>410</v>
      </c>
    </row>
    <row r="769" spans="1:5" ht="19.95" customHeight="1" x14ac:dyDescent="0.3">
      <c r="A769" s="5" t="s">
        <v>1544</v>
      </c>
      <c r="B769" s="6" t="s">
        <v>277</v>
      </c>
      <c r="C769" s="6" t="s">
        <v>1545</v>
      </c>
      <c r="D769" s="7" t="s">
        <v>189</v>
      </c>
      <c r="E769" s="8">
        <v>480</v>
      </c>
    </row>
    <row r="770" spans="1:5" ht="19.95" customHeight="1" x14ac:dyDescent="0.3">
      <c r="A770" s="1" t="s">
        <v>1546</v>
      </c>
      <c r="B770" s="2" t="s">
        <v>277</v>
      </c>
      <c r="C770" s="2" t="s">
        <v>1547</v>
      </c>
      <c r="D770" s="3" t="s">
        <v>189</v>
      </c>
      <c r="E770" s="4">
        <v>620</v>
      </c>
    </row>
    <row r="771" spans="1:5" ht="19.95" customHeight="1" x14ac:dyDescent="0.3">
      <c r="A771" s="5" t="s">
        <v>1548</v>
      </c>
      <c r="B771" s="6" t="s">
        <v>277</v>
      </c>
      <c r="C771" s="6" t="s">
        <v>1549</v>
      </c>
      <c r="D771" s="7" t="s">
        <v>189</v>
      </c>
      <c r="E771" s="8">
        <v>1080</v>
      </c>
    </row>
    <row r="772" spans="1:5" ht="19.95" customHeight="1" x14ac:dyDescent="0.3">
      <c r="A772" s="1" t="s">
        <v>1550</v>
      </c>
      <c r="B772" s="2" t="s">
        <v>277</v>
      </c>
      <c r="C772" s="2" t="s">
        <v>1551</v>
      </c>
      <c r="D772" s="3" t="s">
        <v>189</v>
      </c>
      <c r="E772" s="4">
        <v>1620</v>
      </c>
    </row>
    <row r="773" spans="1:5" ht="19.95" customHeight="1" x14ac:dyDescent="0.3">
      <c r="A773" s="5" t="s">
        <v>1552</v>
      </c>
      <c r="B773" s="6" t="s">
        <v>277</v>
      </c>
      <c r="C773" s="6" t="s">
        <v>1553</v>
      </c>
      <c r="D773" s="7" t="s">
        <v>189</v>
      </c>
      <c r="E773" s="8">
        <v>330</v>
      </c>
    </row>
    <row r="774" spans="1:5" ht="19.95" customHeight="1" x14ac:dyDescent="0.3">
      <c r="A774" s="1" t="s">
        <v>1554</v>
      </c>
      <c r="B774" s="2" t="s">
        <v>277</v>
      </c>
      <c r="C774" s="2" t="s">
        <v>1555</v>
      </c>
      <c r="D774" s="3" t="s">
        <v>189</v>
      </c>
      <c r="E774" s="4">
        <v>450</v>
      </c>
    </row>
    <row r="775" spans="1:5" ht="19.95" customHeight="1" x14ac:dyDescent="0.3">
      <c r="A775" s="5" t="s">
        <v>1556</v>
      </c>
      <c r="B775" s="6" t="s">
        <v>277</v>
      </c>
      <c r="C775" s="6" t="s">
        <v>1557</v>
      </c>
      <c r="D775" s="7" t="s">
        <v>189</v>
      </c>
      <c r="E775" s="8">
        <v>560</v>
      </c>
    </row>
    <row r="776" spans="1:5" ht="19.95" customHeight="1" x14ac:dyDescent="0.3">
      <c r="A776" s="1" t="s">
        <v>1558</v>
      </c>
      <c r="B776" s="2" t="s">
        <v>277</v>
      </c>
      <c r="C776" s="2" t="s">
        <v>1559</v>
      </c>
      <c r="D776" s="3" t="s">
        <v>189</v>
      </c>
      <c r="E776" s="4">
        <v>820</v>
      </c>
    </row>
    <row r="777" spans="1:5" ht="19.95" customHeight="1" x14ac:dyDescent="0.3">
      <c r="A777" s="5" t="s">
        <v>1560</v>
      </c>
      <c r="B777" s="6" t="s">
        <v>277</v>
      </c>
      <c r="C777" s="6" t="s">
        <v>1561</v>
      </c>
      <c r="D777" s="7" t="s">
        <v>189</v>
      </c>
      <c r="E777" s="8">
        <v>1490</v>
      </c>
    </row>
    <row r="778" spans="1:5" ht="19.95" customHeight="1" x14ac:dyDescent="0.3">
      <c r="A778" s="1" t="s">
        <v>1562</v>
      </c>
      <c r="B778" s="2" t="s">
        <v>277</v>
      </c>
      <c r="C778" s="2" t="s">
        <v>1563</v>
      </c>
      <c r="D778" s="3" t="s">
        <v>189</v>
      </c>
      <c r="E778" s="4">
        <v>2120</v>
      </c>
    </row>
    <row r="779" spans="1:5" ht="19.95" customHeight="1" x14ac:dyDescent="0.3">
      <c r="A779" s="5" t="s">
        <v>1564</v>
      </c>
      <c r="B779" s="6" t="s">
        <v>277</v>
      </c>
      <c r="C779" s="6" t="s">
        <v>1565</v>
      </c>
      <c r="D779" s="7" t="s">
        <v>189</v>
      </c>
      <c r="E779" s="8">
        <v>2410</v>
      </c>
    </row>
    <row r="780" spans="1:5" ht="19.95" customHeight="1" x14ac:dyDescent="0.3">
      <c r="A780" s="1" t="s">
        <v>1566</v>
      </c>
      <c r="B780" s="2" t="s">
        <v>277</v>
      </c>
      <c r="C780" s="2" t="s">
        <v>1567</v>
      </c>
      <c r="D780" s="3" t="s">
        <v>189</v>
      </c>
      <c r="E780" s="4">
        <v>2600</v>
      </c>
    </row>
    <row r="781" spans="1:5" ht="19.95" customHeight="1" x14ac:dyDescent="0.3">
      <c r="A781" s="5" t="s">
        <v>1568</v>
      </c>
      <c r="B781" s="6" t="s">
        <v>277</v>
      </c>
      <c r="C781" s="6" t="s">
        <v>1569</v>
      </c>
      <c r="D781" s="7" t="s">
        <v>189</v>
      </c>
      <c r="E781" s="8">
        <v>3600</v>
      </c>
    </row>
    <row r="782" spans="1:5" ht="19.95" customHeight="1" x14ac:dyDescent="0.3">
      <c r="A782" s="1" t="s">
        <v>1570</v>
      </c>
      <c r="B782" s="2" t="s">
        <v>277</v>
      </c>
      <c r="C782" s="2" t="s">
        <v>1571</v>
      </c>
      <c r="D782" s="3" t="s">
        <v>189</v>
      </c>
      <c r="E782" s="4">
        <v>7500</v>
      </c>
    </row>
    <row r="783" spans="1:5" ht="19.95" customHeight="1" x14ac:dyDescent="0.3">
      <c r="A783" s="5" t="s">
        <v>1572</v>
      </c>
      <c r="B783" s="6" t="s">
        <v>277</v>
      </c>
      <c r="C783" s="6" t="s">
        <v>1573</v>
      </c>
      <c r="D783" s="7" t="s">
        <v>189</v>
      </c>
      <c r="E783" s="8">
        <v>10980</v>
      </c>
    </row>
    <row r="784" spans="1:5" ht="19.95" customHeight="1" x14ac:dyDescent="0.3">
      <c r="A784" s="1" t="s">
        <v>1574</v>
      </c>
      <c r="B784" s="2" t="s">
        <v>277</v>
      </c>
      <c r="C784" s="2" t="s">
        <v>1575</v>
      </c>
      <c r="D784" s="3" t="s">
        <v>189</v>
      </c>
      <c r="E784" s="4">
        <v>15500</v>
      </c>
    </row>
    <row r="785" spans="1:5" ht="19.95" customHeight="1" x14ac:dyDescent="0.3">
      <c r="A785" s="5" t="s">
        <v>1576</v>
      </c>
      <c r="B785" s="6" t="s">
        <v>277</v>
      </c>
      <c r="C785" s="6" t="s">
        <v>1577</v>
      </c>
      <c r="D785" s="7" t="s">
        <v>189</v>
      </c>
      <c r="E785" s="8">
        <v>725</v>
      </c>
    </row>
    <row r="786" spans="1:5" ht="19.95" customHeight="1" x14ac:dyDescent="0.3">
      <c r="A786" s="1" t="s">
        <v>1578</v>
      </c>
      <c r="B786" s="2" t="s">
        <v>277</v>
      </c>
      <c r="C786" s="2" t="s">
        <v>1579</v>
      </c>
      <c r="D786" s="3" t="s">
        <v>189</v>
      </c>
      <c r="E786" s="4">
        <v>725</v>
      </c>
    </row>
    <row r="787" spans="1:5" ht="19.95" customHeight="1" x14ac:dyDescent="0.3">
      <c r="A787" s="5" t="s">
        <v>1580</v>
      </c>
      <c r="B787" s="6" t="s">
        <v>277</v>
      </c>
      <c r="C787" s="6" t="s">
        <v>1581</v>
      </c>
      <c r="D787" s="7" t="s">
        <v>189</v>
      </c>
      <c r="E787" s="8">
        <v>425</v>
      </c>
    </row>
    <row r="788" spans="1:5" ht="19.95" customHeight="1" x14ac:dyDescent="0.3">
      <c r="A788" s="1" t="s">
        <v>1582</v>
      </c>
      <c r="B788" s="2" t="s">
        <v>277</v>
      </c>
      <c r="C788" s="2" t="s">
        <v>1583</v>
      </c>
      <c r="D788" s="3" t="s">
        <v>189</v>
      </c>
      <c r="E788" s="4">
        <v>80</v>
      </c>
    </row>
    <row r="789" spans="1:5" ht="19.95" customHeight="1" x14ac:dyDescent="0.3">
      <c r="A789" s="5" t="s">
        <v>1584</v>
      </c>
      <c r="B789" s="6" t="s">
        <v>277</v>
      </c>
      <c r="C789" s="6" t="s">
        <v>1585</v>
      </c>
      <c r="D789" s="7" t="s">
        <v>189</v>
      </c>
      <c r="E789" s="8">
        <v>95</v>
      </c>
    </row>
    <row r="790" spans="1:5" ht="19.95" customHeight="1" x14ac:dyDescent="0.3">
      <c r="A790" s="1" t="s">
        <v>1586</v>
      </c>
      <c r="B790" s="2" t="s">
        <v>277</v>
      </c>
      <c r="C790" s="2" t="s">
        <v>1587</v>
      </c>
      <c r="D790" s="3" t="s">
        <v>189</v>
      </c>
      <c r="E790" s="4">
        <v>450</v>
      </c>
    </row>
    <row r="791" spans="1:5" ht="19.95" customHeight="1" x14ac:dyDescent="0.3">
      <c r="A791" s="5" t="s">
        <v>1588</v>
      </c>
      <c r="B791" s="6" t="s">
        <v>277</v>
      </c>
      <c r="C791" s="6" t="s">
        <v>1589</v>
      </c>
      <c r="D791" s="7" t="s">
        <v>189</v>
      </c>
      <c r="E791" s="8">
        <v>1200</v>
      </c>
    </row>
    <row r="792" spans="1:5" ht="19.95" customHeight="1" x14ac:dyDescent="0.3">
      <c r="A792" s="1" t="s">
        <v>1590</v>
      </c>
      <c r="B792" s="2" t="s">
        <v>277</v>
      </c>
      <c r="C792" s="2" t="s">
        <v>1591</v>
      </c>
      <c r="D792" s="3" t="s">
        <v>189</v>
      </c>
      <c r="E792" s="4">
        <v>1000</v>
      </c>
    </row>
    <row r="793" spans="1:5" ht="19.95" customHeight="1" x14ac:dyDescent="0.3">
      <c r="A793" s="5" t="s">
        <v>1592</v>
      </c>
      <c r="B793" s="6" t="s">
        <v>277</v>
      </c>
      <c r="C793" s="6" t="s">
        <v>1593</v>
      </c>
      <c r="D793" s="7" t="s">
        <v>189</v>
      </c>
      <c r="E793" s="8">
        <v>11</v>
      </c>
    </row>
    <row r="794" spans="1:5" ht="19.95" customHeight="1" x14ac:dyDescent="0.3">
      <c r="A794" s="1" t="s">
        <v>1594</v>
      </c>
      <c r="B794" s="2" t="s">
        <v>277</v>
      </c>
      <c r="C794" s="2" t="s">
        <v>1595</v>
      </c>
      <c r="D794" s="3" t="s">
        <v>189</v>
      </c>
      <c r="E794" s="4">
        <v>12</v>
      </c>
    </row>
    <row r="795" spans="1:5" ht="19.95" customHeight="1" x14ac:dyDescent="0.3">
      <c r="A795" s="5" t="s">
        <v>1596</v>
      </c>
      <c r="B795" s="6" t="s">
        <v>277</v>
      </c>
      <c r="C795" s="6" t="s">
        <v>1597</v>
      </c>
      <c r="D795" s="7" t="s">
        <v>189</v>
      </c>
      <c r="E795" s="8">
        <v>15</v>
      </c>
    </row>
    <row r="796" spans="1:5" ht="19.95" customHeight="1" x14ac:dyDescent="0.3">
      <c r="A796" s="1" t="s">
        <v>1598</v>
      </c>
      <c r="B796" s="2" t="s">
        <v>277</v>
      </c>
      <c r="C796" s="2" t="s">
        <v>1599</v>
      </c>
      <c r="D796" s="3" t="s">
        <v>189</v>
      </c>
      <c r="E796" s="4">
        <v>17</v>
      </c>
    </row>
    <row r="797" spans="1:5" ht="19.95" customHeight="1" x14ac:dyDescent="0.3">
      <c r="A797" s="5" t="s">
        <v>1600</v>
      </c>
      <c r="B797" s="6" t="s">
        <v>277</v>
      </c>
      <c r="C797" s="6" t="s">
        <v>1601</v>
      </c>
      <c r="D797" s="7" t="s">
        <v>189</v>
      </c>
      <c r="E797" s="8">
        <v>16</v>
      </c>
    </row>
    <row r="798" spans="1:5" ht="19.95" customHeight="1" x14ac:dyDescent="0.3">
      <c r="A798" s="1" t="s">
        <v>1602</v>
      </c>
      <c r="B798" s="2" t="s">
        <v>277</v>
      </c>
      <c r="C798" s="2" t="s">
        <v>1603</v>
      </c>
      <c r="D798" s="3" t="s">
        <v>189</v>
      </c>
      <c r="E798" s="4">
        <v>18</v>
      </c>
    </row>
    <row r="799" spans="1:5" ht="19.95" customHeight="1" x14ac:dyDescent="0.3">
      <c r="A799" s="5" t="s">
        <v>1604</v>
      </c>
      <c r="B799" s="6" t="s">
        <v>277</v>
      </c>
      <c r="C799" s="6" t="s">
        <v>1605</v>
      </c>
      <c r="D799" s="7" t="s">
        <v>189</v>
      </c>
      <c r="E799" s="8">
        <v>28</v>
      </c>
    </row>
    <row r="800" spans="1:5" ht="19.95" customHeight="1" x14ac:dyDescent="0.3">
      <c r="A800" s="1" t="s">
        <v>1606</v>
      </c>
      <c r="B800" s="2" t="s">
        <v>277</v>
      </c>
      <c r="C800" s="2" t="s">
        <v>1607</v>
      </c>
      <c r="D800" s="3" t="s">
        <v>189</v>
      </c>
      <c r="E800" s="4">
        <v>32</v>
      </c>
    </row>
    <row r="801" spans="1:5" ht="19.95" customHeight="1" x14ac:dyDescent="0.3">
      <c r="A801" s="5" t="s">
        <v>1608</v>
      </c>
      <c r="B801" s="6" t="s">
        <v>277</v>
      </c>
      <c r="C801" s="6" t="s">
        <v>1609</v>
      </c>
      <c r="D801" s="7" t="s">
        <v>189</v>
      </c>
      <c r="E801" s="8">
        <v>38</v>
      </c>
    </row>
    <row r="802" spans="1:5" ht="19.95" customHeight="1" x14ac:dyDescent="0.3">
      <c r="A802" s="1" t="s">
        <v>1610</v>
      </c>
      <c r="B802" s="2" t="s">
        <v>277</v>
      </c>
      <c r="C802" s="2" t="s">
        <v>1611</v>
      </c>
      <c r="D802" s="3" t="s">
        <v>189</v>
      </c>
      <c r="E802" s="4">
        <v>2500</v>
      </c>
    </row>
    <row r="803" spans="1:5" ht="19.95" customHeight="1" x14ac:dyDescent="0.3">
      <c r="A803" s="5" t="s">
        <v>1612</v>
      </c>
      <c r="B803" s="6" t="s">
        <v>277</v>
      </c>
      <c r="C803" s="6" t="s">
        <v>1613</v>
      </c>
      <c r="D803" s="7" t="s">
        <v>189</v>
      </c>
      <c r="E803" s="8">
        <v>9500</v>
      </c>
    </row>
    <row r="804" spans="1:5" ht="19.95" customHeight="1" x14ac:dyDescent="0.3">
      <c r="A804" s="1" t="s">
        <v>1614</v>
      </c>
      <c r="B804" s="2" t="s">
        <v>277</v>
      </c>
      <c r="C804" s="2" t="s">
        <v>1615</v>
      </c>
      <c r="D804" s="3" t="s">
        <v>293</v>
      </c>
      <c r="E804" s="4">
        <v>100</v>
      </c>
    </row>
    <row r="805" spans="1:5" ht="19.95" customHeight="1" x14ac:dyDescent="0.3">
      <c r="A805" s="5" t="s">
        <v>1616</v>
      </c>
      <c r="B805" s="6" t="s">
        <v>277</v>
      </c>
      <c r="C805" s="6" t="s">
        <v>1617</v>
      </c>
      <c r="D805" s="7" t="s">
        <v>18</v>
      </c>
      <c r="E805" s="8">
        <v>10</v>
      </c>
    </row>
    <row r="806" spans="1:5" ht="19.95" customHeight="1" x14ac:dyDescent="0.3">
      <c r="A806" s="1" t="s">
        <v>1618</v>
      </c>
      <c r="B806" s="2" t="s">
        <v>277</v>
      </c>
      <c r="C806" s="2" t="s">
        <v>1619</v>
      </c>
      <c r="D806" s="3" t="s">
        <v>1620</v>
      </c>
      <c r="E806" s="4">
        <v>4500</v>
      </c>
    </row>
    <row r="807" spans="1:5" ht="19.95" customHeight="1" x14ac:dyDescent="0.3">
      <c r="A807" s="5" t="s">
        <v>1621</v>
      </c>
      <c r="B807" s="6" t="s">
        <v>277</v>
      </c>
      <c r="C807" s="6" t="s">
        <v>1622</v>
      </c>
      <c r="D807" s="7" t="s">
        <v>1620</v>
      </c>
      <c r="E807" s="8">
        <v>5000</v>
      </c>
    </row>
    <row r="808" spans="1:5" ht="19.95" customHeight="1" x14ac:dyDescent="0.3">
      <c r="A808" s="1" t="s">
        <v>1623</v>
      </c>
      <c r="B808" s="2" t="s">
        <v>1624</v>
      </c>
      <c r="C808" s="2" t="s">
        <v>1625</v>
      </c>
      <c r="D808" s="3" t="s">
        <v>357</v>
      </c>
      <c r="E808" s="4">
        <v>120</v>
      </c>
    </row>
    <row r="809" spans="1:5" ht="19.95" customHeight="1" x14ac:dyDescent="0.3">
      <c r="A809" s="5" t="s">
        <v>1626</v>
      </c>
      <c r="B809" s="6" t="s">
        <v>1624</v>
      </c>
      <c r="C809" s="6" t="s">
        <v>1627</v>
      </c>
      <c r="D809" s="7" t="s">
        <v>1620</v>
      </c>
      <c r="E809" s="8">
        <v>276.72000000000003</v>
      </c>
    </row>
    <row r="810" spans="1:5" ht="19.95" customHeight="1" x14ac:dyDescent="0.3">
      <c r="A810" s="1" t="s">
        <v>1628</v>
      </c>
      <c r="B810" s="2" t="s">
        <v>1624</v>
      </c>
      <c r="C810" s="2" t="s">
        <v>1629</v>
      </c>
      <c r="D810" s="3" t="s">
        <v>18</v>
      </c>
      <c r="E810" s="4">
        <v>103.77</v>
      </c>
    </row>
    <row r="811" spans="1:5" ht="19.95" customHeight="1" x14ac:dyDescent="0.3">
      <c r="A811" s="5" t="s">
        <v>1630</v>
      </c>
      <c r="B811" s="6" t="s">
        <v>1624</v>
      </c>
      <c r="C811" s="6" t="s">
        <v>1631</v>
      </c>
      <c r="D811" s="7" t="s">
        <v>18</v>
      </c>
      <c r="E811" s="8">
        <v>103.77</v>
      </c>
    </row>
    <row r="812" spans="1:5" ht="19.95" customHeight="1" x14ac:dyDescent="0.3">
      <c r="A812" s="1" t="s">
        <v>1632</v>
      </c>
      <c r="B812" s="2" t="s">
        <v>1624</v>
      </c>
      <c r="C812" s="2" t="s">
        <v>1633</v>
      </c>
      <c r="D812" s="3" t="s">
        <v>18</v>
      </c>
      <c r="E812" s="4">
        <v>118.59</v>
      </c>
    </row>
    <row r="813" spans="1:5" ht="19.95" customHeight="1" x14ac:dyDescent="0.3">
      <c r="A813" s="5" t="s">
        <v>1634</v>
      </c>
      <c r="B813" s="6" t="s">
        <v>1624</v>
      </c>
      <c r="C813" s="6" t="s">
        <v>1635</v>
      </c>
      <c r="D813" s="7" t="s">
        <v>357</v>
      </c>
      <c r="E813" s="8">
        <v>92.24</v>
      </c>
    </row>
    <row r="814" spans="1:5" ht="19.95" customHeight="1" x14ac:dyDescent="0.3">
      <c r="A814" s="1" t="s">
        <v>1636</v>
      </c>
      <c r="B814" s="2" t="s">
        <v>1624</v>
      </c>
      <c r="C814" s="2" t="s">
        <v>1637</v>
      </c>
      <c r="D814" s="3" t="s">
        <v>18</v>
      </c>
      <c r="E814" s="4">
        <v>112.79</v>
      </c>
    </row>
    <row r="815" spans="1:5" ht="19.95" customHeight="1" x14ac:dyDescent="0.3">
      <c r="A815" s="5" t="s">
        <v>1638</v>
      </c>
      <c r="B815" s="6" t="s">
        <v>1624</v>
      </c>
      <c r="C815" s="6" t="s">
        <v>1639</v>
      </c>
      <c r="D815" s="7" t="s">
        <v>1620</v>
      </c>
      <c r="E815" s="8">
        <v>166.03</v>
      </c>
    </row>
    <row r="816" spans="1:5" ht="19.95" customHeight="1" x14ac:dyDescent="0.3">
      <c r="A816" s="1" t="s">
        <v>1640</v>
      </c>
      <c r="B816" s="2" t="s">
        <v>1624</v>
      </c>
      <c r="C816" s="2" t="s">
        <v>1641</v>
      </c>
      <c r="D816" s="3" t="s">
        <v>18</v>
      </c>
      <c r="E816" s="4">
        <v>103.77</v>
      </c>
    </row>
    <row r="817" spans="1:5" ht="19.95" customHeight="1" x14ac:dyDescent="0.3">
      <c r="A817" s="5" t="s">
        <v>1642</v>
      </c>
      <c r="B817" s="6" t="s">
        <v>1624</v>
      </c>
      <c r="C817" s="6" t="s">
        <v>1643</v>
      </c>
      <c r="D817" s="7" t="s">
        <v>357</v>
      </c>
      <c r="E817" s="8">
        <v>92.24</v>
      </c>
    </row>
    <row r="818" spans="1:5" ht="19.95" customHeight="1" x14ac:dyDescent="0.3">
      <c r="A818" s="1" t="s">
        <v>1644</v>
      </c>
      <c r="B818" s="2" t="s">
        <v>1624</v>
      </c>
      <c r="C818" s="2" t="s">
        <v>1645</v>
      </c>
      <c r="D818" s="3" t="s">
        <v>357</v>
      </c>
      <c r="E818" s="4">
        <v>103.77</v>
      </c>
    </row>
    <row r="819" spans="1:5" ht="19.95" customHeight="1" x14ac:dyDescent="0.3">
      <c r="A819" s="5" t="s">
        <v>1646</v>
      </c>
      <c r="B819" s="6" t="s">
        <v>1624</v>
      </c>
      <c r="C819" s="6" t="s">
        <v>1647</v>
      </c>
      <c r="D819" s="7" t="s">
        <v>18</v>
      </c>
      <c r="E819" s="8">
        <v>122.08</v>
      </c>
    </row>
    <row r="820" spans="1:5" ht="19.95" customHeight="1" x14ac:dyDescent="0.3">
      <c r="A820" s="1" t="s">
        <v>1648</v>
      </c>
      <c r="B820" s="2" t="s">
        <v>1624</v>
      </c>
      <c r="C820" s="2" t="s">
        <v>1649</v>
      </c>
      <c r="D820" s="3" t="s">
        <v>357</v>
      </c>
      <c r="E820" s="4">
        <v>92.24</v>
      </c>
    </row>
    <row r="821" spans="1:5" ht="19.95" customHeight="1" x14ac:dyDescent="0.3">
      <c r="A821" s="5" t="s">
        <v>1650</v>
      </c>
      <c r="B821" s="6" t="s">
        <v>1624</v>
      </c>
      <c r="C821" s="6" t="s">
        <v>1651</v>
      </c>
      <c r="D821" s="7" t="s">
        <v>1652</v>
      </c>
      <c r="E821" s="8">
        <v>138.36000000000001</v>
      </c>
    </row>
    <row r="822" spans="1:5" ht="19.95" customHeight="1" x14ac:dyDescent="0.3">
      <c r="A822" s="1" t="s">
        <v>1653</v>
      </c>
      <c r="B822" s="2" t="s">
        <v>1624</v>
      </c>
      <c r="C822" s="2" t="s">
        <v>1654</v>
      </c>
      <c r="D822" s="3" t="s">
        <v>1652</v>
      </c>
      <c r="E822" s="4">
        <v>276.72000000000003</v>
      </c>
    </row>
    <row r="823" spans="1:5" ht="19.95" customHeight="1" x14ac:dyDescent="0.3">
      <c r="A823" s="5" t="s">
        <v>1655</v>
      </c>
      <c r="B823" s="6" t="s">
        <v>1624</v>
      </c>
      <c r="C823" s="6" t="s">
        <v>1656</v>
      </c>
      <c r="D823" s="7" t="s">
        <v>1652</v>
      </c>
      <c r="E823" s="8">
        <v>461.19</v>
      </c>
    </row>
    <row r="824" spans="1:5" ht="19.95" customHeight="1" x14ac:dyDescent="0.3">
      <c r="A824" s="1" t="s">
        <v>1657</v>
      </c>
      <c r="B824" s="2" t="s">
        <v>1624</v>
      </c>
      <c r="C824" s="2" t="s">
        <v>1658</v>
      </c>
      <c r="D824" s="3" t="s">
        <v>1652</v>
      </c>
      <c r="E824" s="4">
        <v>790.62</v>
      </c>
    </row>
    <row r="825" spans="1:5" ht="19.95" customHeight="1" x14ac:dyDescent="0.3">
      <c r="A825" s="5" t="s">
        <v>1659</v>
      </c>
      <c r="B825" s="6" t="s">
        <v>1624</v>
      </c>
      <c r="C825" s="6" t="s">
        <v>1660</v>
      </c>
      <c r="D825" s="7" t="s">
        <v>1652</v>
      </c>
      <c r="E825" s="8">
        <v>988.27</v>
      </c>
    </row>
    <row r="826" spans="1:5" ht="19.95" customHeight="1" x14ac:dyDescent="0.3">
      <c r="A826" s="1" t="s">
        <v>1661</v>
      </c>
      <c r="B826" s="2" t="s">
        <v>1624</v>
      </c>
      <c r="C826" s="2" t="s">
        <v>1662</v>
      </c>
      <c r="D826" s="3" t="s">
        <v>18</v>
      </c>
      <c r="E826" s="4">
        <v>129.71</v>
      </c>
    </row>
    <row r="827" spans="1:5" ht="19.95" customHeight="1" x14ac:dyDescent="0.3">
      <c r="A827" s="5" t="s">
        <v>1663</v>
      </c>
      <c r="B827" s="6" t="s">
        <v>1624</v>
      </c>
      <c r="C827" s="6" t="s">
        <v>1664</v>
      </c>
      <c r="D827" s="7" t="s">
        <v>18</v>
      </c>
      <c r="E827" s="8">
        <v>112.79</v>
      </c>
    </row>
    <row r="828" spans="1:5" ht="19.95" customHeight="1" x14ac:dyDescent="0.3">
      <c r="A828" s="1" t="s">
        <v>1665</v>
      </c>
      <c r="B828" s="2" t="s">
        <v>1624</v>
      </c>
      <c r="C828" s="2" t="s">
        <v>1666</v>
      </c>
      <c r="D828" s="3" t="s">
        <v>18</v>
      </c>
      <c r="E828" s="4">
        <v>112.79</v>
      </c>
    </row>
    <row r="829" spans="1:5" ht="19.95" customHeight="1" x14ac:dyDescent="0.3">
      <c r="A829" s="5" t="s">
        <v>1667</v>
      </c>
      <c r="B829" s="6" t="s">
        <v>1624</v>
      </c>
      <c r="C829" s="6" t="s">
        <v>1668</v>
      </c>
      <c r="D829" s="7" t="s">
        <v>18</v>
      </c>
      <c r="E829" s="8">
        <v>103.77</v>
      </c>
    </row>
    <row r="830" spans="1:5" ht="19.95" customHeight="1" x14ac:dyDescent="0.3">
      <c r="A830" s="1" t="s">
        <v>1669</v>
      </c>
      <c r="B830" s="2" t="s">
        <v>1624</v>
      </c>
      <c r="C830" s="2" t="s">
        <v>1670</v>
      </c>
      <c r="D830" s="3" t="s">
        <v>18</v>
      </c>
      <c r="E830" s="4">
        <v>103.77</v>
      </c>
    </row>
    <row r="831" spans="1:5" ht="19.95" customHeight="1" x14ac:dyDescent="0.3">
      <c r="A831" s="5" t="s">
        <v>1671</v>
      </c>
      <c r="B831" s="6" t="s">
        <v>1624</v>
      </c>
      <c r="C831" s="6" t="s">
        <v>1672</v>
      </c>
      <c r="D831" s="7" t="s">
        <v>18</v>
      </c>
      <c r="E831" s="8">
        <v>103.77</v>
      </c>
    </row>
    <row r="832" spans="1:5" ht="19.95" customHeight="1" x14ac:dyDescent="0.3">
      <c r="A832" s="1" t="s">
        <v>1673</v>
      </c>
      <c r="B832" s="2" t="s">
        <v>1624</v>
      </c>
      <c r="C832" s="2" t="s">
        <v>1674</v>
      </c>
      <c r="D832" s="3" t="s">
        <v>18</v>
      </c>
      <c r="E832" s="4">
        <v>103.77</v>
      </c>
    </row>
    <row r="833" spans="1:5" ht="19.95" customHeight="1" x14ac:dyDescent="0.3">
      <c r="A833" s="5" t="s">
        <v>1675</v>
      </c>
      <c r="B833" s="6" t="s">
        <v>1624</v>
      </c>
      <c r="C833" s="6" t="s">
        <v>1676</v>
      </c>
      <c r="D833" s="7" t="s">
        <v>18</v>
      </c>
      <c r="E833" s="8">
        <v>103.77</v>
      </c>
    </row>
    <row r="834" spans="1:5" ht="19.95" customHeight="1" x14ac:dyDescent="0.3">
      <c r="A834" s="1" t="s">
        <v>1677</v>
      </c>
      <c r="B834" s="2" t="s">
        <v>1624</v>
      </c>
      <c r="C834" s="2" t="s">
        <v>1678</v>
      </c>
      <c r="D834" s="3" t="s">
        <v>18</v>
      </c>
      <c r="E834" s="4">
        <v>103.77</v>
      </c>
    </row>
    <row r="835" spans="1:5" ht="19.95" customHeight="1" x14ac:dyDescent="0.3">
      <c r="A835" s="5" t="s">
        <v>1679</v>
      </c>
      <c r="B835" s="6" t="s">
        <v>1624</v>
      </c>
      <c r="C835" s="6" t="s">
        <v>1680</v>
      </c>
      <c r="D835" s="7" t="s">
        <v>18</v>
      </c>
      <c r="E835" s="8">
        <v>103.77</v>
      </c>
    </row>
    <row r="836" spans="1:5" ht="19.95" customHeight="1" x14ac:dyDescent="0.3">
      <c r="A836" s="1" t="s">
        <v>1681</v>
      </c>
      <c r="B836" s="2" t="s">
        <v>1624</v>
      </c>
      <c r="C836" s="2" t="s">
        <v>1682</v>
      </c>
      <c r="D836" s="3" t="s">
        <v>357</v>
      </c>
      <c r="E836" s="4">
        <v>92.24</v>
      </c>
    </row>
    <row r="837" spans="1:5" ht="19.95" customHeight="1" x14ac:dyDescent="0.3">
      <c r="A837" s="5" t="s">
        <v>1683</v>
      </c>
      <c r="B837" s="6" t="s">
        <v>1624</v>
      </c>
      <c r="C837" s="6" t="s">
        <v>1684</v>
      </c>
      <c r="D837" s="7" t="s">
        <v>357</v>
      </c>
      <c r="E837" s="8">
        <v>92.24</v>
      </c>
    </row>
    <row r="838" spans="1:5" ht="19.95" customHeight="1" x14ac:dyDescent="0.3">
      <c r="A838" s="1" t="s">
        <v>1685</v>
      </c>
      <c r="B838" s="2" t="s">
        <v>1624</v>
      </c>
      <c r="C838" s="2" t="s">
        <v>1686</v>
      </c>
      <c r="D838" s="3" t="s">
        <v>357</v>
      </c>
      <c r="E838" s="4">
        <v>92.24</v>
      </c>
    </row>
    <row r="839" spans="1:5" ht="19.95" customHeight="1" x14ac:dyDescent="0.3">
      <c r="A839" s="5" t="s">
        <v>1687</v>
      </c>
      <c r="B839" s="6" t="s">
        <v>1624</v>
      </c>
      <c r="C839" s="6" t="s">
        <v>1688</v>
      </c>
      <c r="D839" s="7" t="s">
        <v>1652</v>
      </c>
      <c r="E839" s="8">
        <v>226.82</v>
      </c>
    </row>
    <row r="840" spans="1:5" ht="19.95" customHeight="1" x14ac:dyDescent="0.3">
      <c r="A840" s="1" t="s">
        <v>1689</v>
      </c>
      <c r="B840" s="2" t="s">
        <v>1624</v>
      </c>
      <c r="C840" s="2" t="s">
        <v>1690</v>
      </c>
      <c r="D840" s="3" t="s">
        <v>1652</v>
      </c>
      <c r="E840" s="4">
        <v>378.03</v>
      </c>
    </row>
    <row r="841" spans="1:5" ht="19.95" customHeight="1" x14ac:dyDescent="0.3">
      <c r="A841" s="5" t="s">
        <v>1691</v>
      </c>
      <c r="B841" s="6" t="s">
        <v>1624</v>
      </c>
      <c r="C841" s="6" t="s">
        <v>1692</v>
      </c>
      <c r="D841" s="7" t="s">
        <v>1652</v>
      </c>
      <c r="E841" s="8">
        <v>873.84</v>
      </c>
    </row>
    <row r="842" spans="1:5" ht="19.95" customHeight="1" x14ac:dyDescent="0.3">
      <c r="A842" s="1" t="s">
        <v>1693</v>
      </c>
      <c r="B842" s="2" t="s">
        <v>1624</v>
      </c>
      <c r="C842" s="2" t="s">
        <v>1694</v>
      </c>
      <c r="D842" s="3" t="s">
        <v>1652</v>
      </c>
      <c r="E842" s="4">
        <v>1080.08</v>
      </c>
    </row>
    <row r="843" spans="1:5" ht="19.95" customHeight="1" x14ac:dyDescent="0.3">
      <c r="A843" s="5" t="s">
        <v>1695</v>
      </c>
      <c r="B843" s="6" t="s">
        <v>1624</v>
      </c>
      <c r="C843" s="6" t="s">
        <v>1696</v>
      </c>
      <c r="D843" s="7" t="s">
        <v>1652</v>
      </c>
      <c r="E843" s="8">
        <v>2520.19</v>
      </c>
    </row>
    <row r="844" spans="1:5" ht="19.95" customHeight="1" x14ac:dyDescent="0.3">
      <c r="A844" s="1" t="s">
        <v>1697</v>
      </c>
      <c r="B844" s="2" t="s">
        <v>1624</v>
      </c>
      <c r="C844" s="2" t="s">
        <v>1698</v>
      </c>
      <c r="D844" s="3" t="s">
        <v>357</v>
      </c>
      <c r="E844" s="4">
        <v>92.24</v>
      </c>
    </row>
    <row r="845" spans="1:5" ht="19.95" customHeight="1" x14ac:dyDescent="0.3">
      <c r="A845" s="5" t="s">
        <v>1699</v>
      </c>
      <c r="B845" s="6" t="s">
        <v>1624</v>
      </c>
      <c r="C845" s="6" t="s">
        <v>1700</v>
      </c>
      <c r="D845" s="7" t="s">
        <v>1652</v>
      </c>
      <c r="E845" s="8">
        <v>3780.28</v>
      </c>
    </row>
    <row r="846" spans="1:5" ht="19.95" customHeight="1" x14ac:dyDescent="0.3">
      <c r="A846" s="1" t="s">
        <v>1701</v>
      </c>
      <c r="B846" s="2" t="s">
        <v>1624</v>
      </c>
      <c r="C846" s="2" t="s">
        <v>1702</v>
      </c>
      <c r="D846" s="3" t="s">
        <v>357</v>
      </c>
      <c r="E846" s="4">
        <v>92.24</v>
      </c>
    </row>
    <row r="847" spans="1:5" ht="19.95" customHeight="1" x14ac:dyDescent="0.3">
      <c r="A847" s="5" t="s">
        <v>1703</v>
      </c>
      <c r="B847" s="6" t="s">
        <v>1624</v>
      </c>
      <c r="C847" s="6" t="s">
        <v>1704</v>
      </c>
      <c r="D847" s="7" t="s">
        <v>357</v>
      </c>
      <c r="E847" s="8">
        <v>92.24</v>
      </c>
    </row>
    <row r="848" spans="1:5" ht="19.95" customHeight="1" x14ac:dyDescent="0.3">
      <c r="A848" s="1" t="s">
        <v>1705</v>
      </c>
      <c r="B848" s="2" t="s">
        <v>1624</v>
      </c>
      <c r="C848" s="2" t="s">
        <v>1706</v>
      </c>
      <c r="D848" s="3" t="s">
        <v>18</v>
      </c>
      <c r="E848" s="4">
        <v>103.77</v>
      </c>
    </row>
    <row r="849" spans="1:5" ht="19.95" customHeight="1" x14ac:dyDescent="0.3">
      <c r="A849" s="5" t="s">
        <v>1707</v>
      </c>
      <c r="B849" s="6" t="s">
        <v>1624</v>
      </c>
      <c r="C849" s="6" t="s">
        <v>1708</v>
      </c>
      <c r="D849" s="7" t="s">
        <v>357</v>
      </c>
      <c r="E849" s="8">
        <v>92.24</v>
      </c>
    </row>
    <row r="850" spans="1:5" ht="19.95" customHeight="1" x14ac:dyDescent="0.3">
      <c r="A850" s="1" t="s">
        <v>1709</v>
      </c>
      <c r="B850" s="2" t="s">
        <v>1624</v>
      </c>
      <c r="C850" s="2" t="s">
        <v>1710</v>
      </c>
      <c r="D850" s="3" t="s">
        <v>18</v>
      </c>
      <c r="E850" s="4">
        <v>112.79</v>
      </c>
    </row>
    <row r="851" spans="1:5" ht="19.95" customHeight="1" x14ac:dyDescent="0.3">
      <c r="A851" s="5" t="s">
        <v>1711</v>
      </c>
      <c r="B851" s="6" t="s">
        <v>1624</v>
      </c>
      <c r="C851" s="6" t="s">
        <v>1712</v>
      </c>
      <c r="D851" s="7" t="s">
        <v>1652</v>
      </c>
      <c r="E851" s="8">
        <v>226.82</v>
      </c>
    </row>
    <row r="852" spans="1:5" ht="19.95" customHeight="1" x14ac:dyDescent="0.3">
      <c r="A852" s="1" t="s">
        <v>1713</v>
      </c>
      <c r="B852" s="2" t="s">
        <v>1624</v>
      </c>
      <c r="C852" s="2" t="s">
        <v>1714</v>
      </c>
      <c r="D852" s="3" t="s">
        <v>1652</v>
      </c>
      <c r="E852" s="4">
        <v>302.97000000000003</v>
      </c>
    </row>
    <row r="853" spans="1:5" ht="19.95" customHeight="1" x14ac:dyDescent="0.3">
      <c r="A853" s="5" t="s">
        <v>1715</v>
      </c>
      <c r="B853" s="6" t="s">
        <v>1624</v>
      </c>
      <c r="C853" s="6" t="s">
        <v>1716</v>
      </c>
      <c r="D853" s="7" t="s">
        <v>1652</v>
      </c>
      <c r="E853" s="8">
        <v>378.03</v>
      </c>
    </row>
    <row r="854" spans="1:5" ht="19.95" customHeight="1" x14ac:dyDescent="0.3">
      <c r="A854" s="1" t="s">
        <v>1717</v>
      </c>
      <c r="B854" s="2" t="s">
        <v>1624</v>
      </c>
      <c r="C854" s="2" t="s">
        <v>1718</v>
      </c>
      <c r="D854" s="3" t="s">
        <v>1652</v>
      </c>
      <c r="E854" s="4">
        <v>614.92999999999995</v>
      </c>
    </row>
    <row r="855" spans="1:5" ht="19.95" customHeight="1" x14ac:dyDescent="0.3">
      <c r="A855" s="5" t="s">
        <v>1719</v>
      </c>
      <c r="B855" s="6" t="s">
        <v>1624</v>
      </c>
      <c r="C855" s="6" t="s">
        <v>1720</v>
      </c>
      <c r="D855" s="7" t="s">
        <v>1652</v>
      </c>
      <c r="E855" s="8">
        <v>873.84</v>
      </c>
    </row>
    <row r="856" spans="1:5" ht="19.95" customHeight="1" x14ac:dyDescent="0.3">
      <c r="A856" s="1" t="s">
        <v>1721</v>
      </c>
      <c r="B856" s="2" t="s">
        <v>1624</v>
      </c>
      <c r="C856" s="2" t="s">
        <v>1722</v>
      </c>
      <c r="D856" s="3" t="s">
        <v>1652</v>
      </c>
      <c r="E856" s="4">
        <v>1080.08</v>
      </c>
    </row>
    <row r="857" spans="1:5" ht="19.95" customHeight="1" x14ac:dyDescent="0.3">
      <c r="A857" s="5" t="s">
        <v>1723</v>
      </c>
      <c r="B857" s="6" t="s">
        <v>1624</v>
      </c>
      <c r="C857" s="6" t="s">
        <v>1724</v>
      </c>
      <c r="D857" s="7" t="s">
        <v>1652</v>
      </c>
      <c r="E857" s="8">
        <v>1512.11</v>
      </c>
    </row>
    <row r="858" spans="1:5" ht="19.95" customHeight="1" x14ac:dyDescent="0.3">
      <c r="A858" s="1" t="s">
        <v>1725</v>
      </c>
      <c r="B858" s="2" t="s">
        <v>1624</v>
      </c>
      <c r="C858" s="2" t="s">
        <v>1726</v>
      </c>
      <c r="D858" s="3" t="s">
        <v>1652</v>
      </c>
      <c r="E858" s="4">
        <v>2061.9699999999998</v>
      </c>
    </row>
    <row r="859" spans="1:5" ht="19.95" customHeight="1" x14ac:dyDescent="0.3">
      <c r="A859" s="5" t="s">
        <v>1727</v>
      </c>
      <c r="B859" s="6" t="s">
        <v>1624</v>
      </c>
      <c r="C859" s="6" t="s">
        <v>1728</v>
      </c>
      <c r="D859" s="7" t="s">
        <v>1652</v>
      </c>
      <c r="E859" s="8">
        <v>2520.19</v>
      </c>
    </row>
    <row r="860" spans="1:5" ht="19.95" customHeight="1" x14ac:dyDescent="0.3">
      <c r="A860" s="1" t="s">
        <v>1729</v>
      </c>
      <c r="B860" s="2" t="s">
        <v>1624</v>
      </c>
      <c r="C860" s="2" t="s">
        <v>1730</v>
      </c>
      <c r="D860" s="3" t="s">
        <v>1652</v>
      </c>
      <c r="E860" s="4">
        <v>2520.19</v>
      </c>
    </row>
    <row r="861" spans="1:5" ht="19.95" customHeight="1" x14ac:dyDescent="0.3">
      <c r="A861" s="5" t="s">
        <v>1731</v>
      </c>
      <c r="B861" s="6" t="s">
        <v>1624</v>
      </c>
      <c r="C861" s="6" t="s">
        <v>1732</v>
      </c>
      <c r="D861" s="7" t="s">
        <v>1652</v>
      </c>
      <c r="E861" s="8">
        <v>3780.28</v>
      </c>
    </row>
    <row r="862" spans="1:5" ht="19.95" customHeight="1" x14ac:dyDescent="0.3">
      <c r="A862" s="1" t="s">
        <v>1733</v>
      </c>
      <c r="B862" s="2" t="s">
        <v>1624</v>
      </c>
      <c r="C862" s="2" t="s">
        <v>1734</v>
      </c>
      <c r="D862" s="3" t="s">
        <v>1652</v>
      </c>
      <c r="E862" s="4">
        <v>2520.19</v>
      </c>
    </row>
    <row r="863" spans="1:5" ht="19.95" customHeight="1" x14ac:dyDescent="0.3">
      <c r="A863" s="5" t="s">
        <v>1735</v>
      </c>
      <c r="B863" s="6" t="s">
        <v>1624</v>
      </c>
      <c r="C863" s="6" t="s">
        <v>1736</v>
      </c>
      <c r="D863" s="7" t="s">
        <v>1652</v>
      </c>
      <c r="E863" s="8">
        <v>5670.42</v>
      </c>
    </row>
    <row r="864" spans="1:5" ht="19.95" customHeight="1" x14ac:dyDescent="0.3">
      <c r="A864" s="1" t="s">
        <v>1737</v>
      </c>
      <c r="B864" s="2" t="s">
        <v>1624</v>
      </c>
      <c r="C864" s="2" t="s">
        <v>1738</v>
      </c>
      <c r="D864" s="3" t="s">
        <v>1652</v>
      </c>
      <c r="E864" s="4">
        <v>7560.57</v>
      </c>
    </row>
    <row r="865" spans="1:5" ht="19.95" customHeight="1" x14ac:dyDescent="0.3">
      <c r="A865" s="5" t="s">
        <v>1739</v>
      </c>
      <c r="B865" s="6" t="s">
        <v>1624</v>
      </c>
      <c r="C865" s="6" t="s">
        <v>1740</v>
      </c>
      <c r="D865" s="7" t="s">
        <v>1652</v>
      </c>
      <c r="E865" s="8">
        <v>7560.57</v>
      </c>
    </row>
    <row r="866" spans="1:5" ht="19.95" customHeight="1" x14ac:dyDescent="0.3">
      <c r="A866" s="1" t="s">
        <v>1741</v>
      </c>
      <c r="B866" s="2" t="s">
        <v>1624</v>
      </c>
      <c r="C866" s="2" t="s">
        <v>1742</v>
      </c>
      <c r="D866" s="3" t="s">
        <v>1652</v>
      </c>
      <c r="E866" s="4">
        <v>7560.57</v>
      </c>
    </row>
    <row r="867" spans="1:5" ht="19.95" customHeight="1" x14ac:dyDescent="0.3">
      <c r="A867" s="5" t="s">
        <v>1743</v>
      </c>
      <c r="B867" s="6" t="s">
        <v>1624</v>
      </c>
      <c r="C867" s="6" t="s">
        <v>1744</v>
      </c>
      <c r="D867" s="7" t="s">
        <v>18</v>
      </c>
      <c r="E867" s="8">
        <v>103.77</v>
      </c>
    </row>
    <row r="868" spans="1:5" ht="19.95" customHeight="1" x14ac:dyDescent="0.3">
      <c r="A868" s="1" t="s">
        <v>1745</v>
      </c>
      <c r="B868" s="2" t="s">
        <v>1624</v>
      </c>
      <c r="C868" s="2" t="s">
        <v>1746</v>
      </c>
      <c r="D868" s="3" t="s">
        <v>1652</v>
      </c>
      <c r="E868" s="4">
        <v>7560.57</v>
      </c>
    </row>
    <row r="869" spans="1:5" ht="19.95" customHeight="1" x14ac:dyDescent="0.3">
      <c r="A869" s="5" t="s">
        <v>1747</v>
      </c>
      <c r="B869" s="6" t="s">
        <v>1624</v>
      </c>
      <c r="C869" s="6" t="s">
        <v>1748</v>
      </c>
      <c r="D869" s="7" t="s">
        <v>357</v>
      </c>
      <c r="E869" s="8">
        <v>92.24</v>
      </c>
    </row>
    <row r="870" spans="1:5" ht="19.95" customHeight="1" x14ac:dyDescent="0.3">
      <c r="A870" s="1" t="s">
        <v>1749</v>
      </c>
      <c r="B870" s="2" t="s">
        <v>1624</v>
      </c>
      <c r="C870" s="2" t="s">
        <v>1750</v>
      </c>
      <c r="D870" s="3" t="s">
        <v>354</v>
      </c>
      <c r="E870" s="4">
        <v>10.38</v>
      </c>
    </row>
    <row r="871" spans="1:5" ht="19.95" customHeight="1" x14ac:dyDescent="0.3">
      <c r="A871" s="5" t="s">
        <v>1751</v>
      </c>
      <c r="B871" s="6" t="s">
        <v>1624</v>
      </c>
      <c r="C871" s="6" t="s">
        <v>1752</v>
      </c>
      <c r="D871" s="7" t="s">
        <v>1652</v>
      </c>
      <c r="E871" s="8">
        <v>226.82</v>
      </c>
    </row>
    <row r="872" spans="1:5" ht="19.95" customHeight="1" x14ac:dyDescent="0.3">
      <c r="A872" s="1" t="s">
        <v>1753</v>
      </c>
      <c r="B872" s="2" t="s">
        <v>1624</v>
      </c>
      <c r="C872" s="2" t="s">
        <v>1754</v>
      </c>
      <c r="D872" s="3" t="s">
        <v>1652</v>
      </c>
      <c r="E872" s="4">
        <v>378.03</v>
      </c>
    </row>
    <row r="873" spans="1:5" ht="19.95" customHeight="1" x14ac:dyDescent="0.3">
      <c r="A873" s="5" t="s">
        <v>1755</v>
      </c>
      <c r="B873" s="6" t="s">
        <v>1624</v>
      </c>
      <c r="C873" s="6" t="s">
        <v>1756</v>
      </c>
      <c r="D873" s="7" t="s">
        <v>1652</v>
      </c>
      <c r="E873" s="8">
        <v>614.92999999999995</v>
      </c>
    </row>
    <row r="874" spans="1:5" ht="19.95" customHeight="1" x14ac:dyDescent="0.3">
      <c r="A874" s="1" t="s">
        <v>1757</v>
      </c>
      <c r="B874" s="2" t="s">
        <v>1624</v>
      </c>
      <c r="C874" s="2" t="s">
        <v>1758</v>
      </c>
      <c r="D874" s="3" t="s">
        <v>1652</v>
      </c>
      <c r="E874" s="4">
        <v>873.84</v>
      </c>
    </row>
    <row r="875" spans="1:5" ht="19.95" customHeight="1" x14ac:dyDescent="0.3">
      <c r="A875" s="5" t="s">
        <v>1759</v>
      </c>
      <c r="B875" s="6" t="s">
        <v>1624</v>
      </c>
      <c r="C875" s="6" t="s">
        <v>1760</v>
      </c>
      <c r="D875" s="7" t="s">
        <v>1652</v>
      </c>
      <c r="E875" s="8">
        <v>1080.08</v>
      </c>
    </row>
    <row r="876" spans="1:5" ht="19.95" customHeight="1" x14ac:dyDescent="0.3">
      <c r="A876" s="1" t="s">
        <v>1761</v>
      </c>
      <c r="B876" s="2" t="s">
        <v>1624</v>
      </c>
      <c r="C876" s="2" t="s">
        <v>1762</v>
      </c>
      <c r="D876" s="3" t="s">
        <v>1652</v>
      </c>
      <c r="E876" s="4">
        <v>1512.11</v>
      </c>
    </row>
    <row r="877" spans="1:5" ht="19.95" customHeight="1" x14ac:dyDescent="0.3">
      <c r="A877" s="5" t="s">
        <v>1763</v>
      </c>
      <c r="B877" s="6" t="s">
        <v>1624</v>
      </c>
      <c r="C877" s="6" t="s">
        <v>1764</v>
      </c>
      <c r="D877" s="7" t="s">
        <v>1652</v>
      </c>
      <c r="E877" s="8">
        <v>2061.9699999999998</v>
      </c>
    </row>
    <row r="878" spans="1:5" ht="19.95" customHeight="1" x14ac:dyDescent="0.3">
      <c r="A878" s="1" t="s">
        <v>1765</v>
      </c>
      <c r="B878" s="2" t="s">
        <v>1624</v>
      </c>
      <c r="C878" s="2" t="s">
        <v>1766</v>
      </c>
      <c r="D878" s="3" t="s">
        <v>1652</v>
      </c>
      <c r="E878" s="4">
        <v>2520.19</v>
      </c>
    </row>
    <row r="879" spans="1:5" ht="19.95" customHeight="1" x14ac:dyDescent="0.3">
      <c r="A879" s="5" t="s">
        <v>1767</v>
      </c>
      <c r="B879" s="6" t="s">
        <v>1624</v>
      </c>
      <c r="C879" s="6" t="s">
        <v>1768</v>
      </c>
      <c r="D879" s="7" t="s">
        <v>1652</v>
      </c>
      <c r="E879" s="8">
        <v>2520.19</v>
      </c>
    </row>
    <row r="880" spans="1:5" ht="19.95" customHeight="1" x14ac:dyDescent="0.3">
      <c r="A880" s="1" t="s">
        <v>1769</v>
      </c>
      <c r="B880" s="2" t="s">
        <v>1624</v>
      </c>
      <c r="C880" s="2" t="s">
        <v>1770</v>
      </c>
      <c r="D880" s="3" t="s">
        <v>1652</v>
      </c>
      <c r="E880" s="4">
        <v>3780.28</v>
      </c>
    </row>
    <row r="881" spans="1:5" ht="19.95" customHeight="1" x14ac:dyDescent="0.3">
      <c r="A881" s="5" t="s">
        <v>1771</v>
      </c>
      <c r="B881" s="6" t="s">
        <v>1624</v>
      </c>
      <c r="C881" s="6" t="s">
        <v>1772</v>
      </c>
      <c r="D881" s="7" t="s">
        <v>1652</v>
      </c>
      <c r="E881" s="8">
        <v>3780.28</v>
      </c>
    </row>
    <row r="882" spans="1:5" ht="19.95" customHeight="1" x14ac:dyDescent="0.3">
      <c r="A882" s="1" t="s">
        <v>1773</v>
      </c>
      <c r="B882" s="2" t="s">
        <v>1624</v>
      </c>
      <c r="C882" s="2" t="s">
        <v>1774</v>
      </c>
      <c r="D882" s="3" t="s">
        <v>1652</v>
      </c>
      <c r="E882" s="4">
        <v>3780.28</v>
      </c>
    </row>
    <row r="883" spans="1:5" ht="19.95" customHeight="1" x14ac:dyDescent="0.3">
      <c r="A883" s="5" t="s">
        <v>1775</v>
      </c>
      <c r="B883" s="6" t="s">
        <v>1624</v>
      </c>
      <c r="C883" s="6" t="s">
        <v>1776</v>
      </c>
      <c r="D883" s="7" t="s">
        <v>1652</v>
      </c>
      <c r="E883" s="8">
        <v>5670.42</v>
      </c>
    </row>
    <row r="884" spans="1:5" ht="19.95" customHeight="1" x14ac:dyDescent="0.3">
      <c r="A884" s="1" t="s">
        <v>1777</v>
      </c>
      <c r="B884" s="2" t="s">
        <v>1624</v>
      </c>
      <c r="C884" s="2" t="s">
        <v>1778</v>
      </c>
      <c r="D884" s="3" t="s">
        <v>1652</v>
      </c>
      <c r="E884" s="4">
        <v>7560.57</v>
      </c>
    </row>
    <row r="885" spans="1:5" ht="19.95" customHeight="1" x14ac:dyDescent="0.3">
      <c r="A885" s="5" t="s">
        <v>1779</v>
      </c>
      <c r="B885" s="6" t="s">
        <v>1624</v>
      </c>
      <c r="C885" s="6" t="s">
        <v>1780</v>
      </c>
      <c r="D885" s="7" t="s">
        <v>357</v>
      </c>
      <c r="E885" s="8">
        <v>11500</v>
      </c>
    </row>
    <row r="886" spans="1:5" ht="19.95" customHeight="1" x14ac:dyDescent="0.3">
      <c r="A886" s="1" t="s">
        <v>1781</v>
      </c>
      <c r="B886" s="2" t="s">
        <v>1624</v>
      </c>
      <c r="C886" s="2" t="s">
        <v>1782</v>
      </c>
      <c r="D886" s="3" t="s">
        <v>283</v>
      </c>
      <c r="E886" s="4">
        <v>278</v>
      </c>
    </row>
    <row r="887" spans="1:5" ht="19.95" customHeight="1" x14ac:dyDescent="0.3">
      <c r="A887" s="5" t="s">
        <v>1783</v>
      </c>
      <c r="B887" s="6" t="s">
        <v>1624</v>
      </c>
      <c r="C887" s="6" t="s">
        <v>1784</v>
      </c>
      <c r="D887" s="7" t="s">
        <v>283</v>
      </c>
      <c r="E887" s="8">
        <v>370</v>
      </c>
    </row>
    <row r="888" spans="1:5" ht="19.95" customHeight="1" x14ac:dyDescent="0.3">
      <c r="A888" s="1" t="s">
        <v>1785</v>
      </c>
      <c r="B888" s="2" t="s">
        <v>1624</v>
      </c>
      <c r="C888" s="2" t="s">
        <v>1786</v>
      </c>
      <c r="D888" s="3" t="s">
        <v>366</v>
      </c>
      <c r="E888" s="4">
        <v>275</v>
      </c>
    </row>
    <row r="889" spans="1:5" ht="19.95" customHeight="1" x14ac:dyDescent="0.3">
      <c r="A889" s="5" t="s">
        <v>1787</v>
      </c>
      <c r="B889" s="6" t="s">
        <v>1624</v>
      </c>
      <c r="C889" s="6" t="s">
        <v>1788</v>
      </c>
      <c r="D889" s="7" t="s">
        <v>189</v>
      </c>
      <c r="E889" s="8">
        <v>30</v>
      </c>
    </row>
    <row r="890" spans="1:5" ht="19.95" customHeight="1" x14ac:dyDescent="0.3">
      <c r="A890" s="1" t="s">
        <v>1789</v>
      </c>
      <c r="B890" s="2" t="s">
        <v>1624</v>
      </c>
      <c r="C890" s="2" t="s">
        <v>1790</v>
      </c>
      <c r="D890" s="3" t="s">
        <v>189</v>
      </c>
      <c r="E890" s="4">
        <v>39</v>
      </c>
    </row>
    <row r="891" spans="1:5" ht="19.95" customHeight="1" x14ac:dyDescent="0.3">
      <c r="A891" s="5" t="s">
        <v>1791</v>
      </c>
      <c r="B891" s="6" t="s">
        <v>1624</v>
      </c>
      <c r="C891" s="6" t="s">
        <v>1792</v>
      </c>
      <c r="D891" s="7" t="s">
        <v>189</v>
      </c>
      <c r="E891" s="8">
        <v>69.5</v>
      </c>
    </row>
    <row r="892" spans="1:5" ht="19.95" customHeight="1" x14ac:dyDescent="0.3">
      <c r="A892" s="1" t="s">
        <v>1793</v>
      </c>
      <c r="B892" s="2" t="s">
        <v>1624</v>
      </c>
      <c r="C892" s="2" t="s">
        <v>1794</v>
      </c>
      <c r="D892" s="3" t="s">
        <v>189</v>
      </c>
      <c r="E892" s="4">
        <v>80</v>
      </c>
    </row>
    <row r="893" spans="1:5" ht="19.95" customHeight="1" x14ac:dyDescent="0.3">
      <c r="A893" s="5" t="s">
        <v>1795</v>
      </c>
      <c r="B893" s="6" t="s">
        <v>1624</v>
      </c>
      <c r="C893" s="6" t="s">
        <v>1796</v>
      </c>
      <c r="D893" s="7" t="s">
        <v>189</v>
      </c>
      <c r="E893" s="8">
        <v>110</v>
      </c>
    </row>
    <row r="894" spans="1:5" ht="19.95" customHeight="1" x14ac:dyDescent="0.3">
      <c r="A894" s="1" t="s">
        <v>1797</v>
      </c>
      <c r="B894" s="2" t="s">
        <v>1624</v>
      </c>
      <c r="C894" s="2" t="s">
        <v>1798</v>
      </c>
      <c r="D894" s="3" t="s">
        <v>283</v>
      </c>
      <c r="E894" s="4">
        <v>2800</v>
      </c>
    </row>
    <row r="895" spans="1:5" ht="19.95" customHeight="1" x14ac:dyDescent="0.3">
      <c r="A895" s="5" t="s">
        <v>1799</v>
      </c>
      <c r="B895" s="6" t="s">
        <v>277</v>
      </c>
      <c r="C895" s="6" t="s">
        <v>1800</v>
      </c>
      <c r="D895" s="7" t="s">
        <v>283</v>
      </c>
      <c r="E895" s="8">
        <v>3200</v>
      </c>
    </row>
    <row r="896" spans="1:5" ht="19.95" customHeight="1" x14ac:dyDescent="0.3">
      <c r="A896" s="1" t="s">
        <v>1801</v>
      </c>
      <c r="B896" s="2" t="s">
        <v>277</v>
      </c>
      <c r="C896" s="2" t="s">
        <v>1802</v>
      </c>
      <c r="D896" s="3" t="s">
        <v>283</v>
      </c>
      <c r="E896" s="4">
        <v>4000</v>
      </c>
    </row>
    <row r="897" spans="1:5" ht="19.95" customHeight="1" x14ac:dyDescent="0.3">
      <c r="A897" s="5" t="s">
        <v>1803</v>
      </c>
      <c r="B897" s="6" t="s">
        <v>277</v>
      </c>
      <c r="C897" s="6" t="s">
        <v>1804</v>
      </c>
      <c r="D897" s="7" t="s">
        <v>366</v>
      </c>
      <c r="E897" s="8">
        <v>150</v>
      </c>
    </row>
    <row r="898" spans="1:5" ht="19.95" customHeight="1" x14ac:dyDescent="0.3">
      <c r="A898" s="1" t="s">
        <v>1805</v>
      </c>
      <c r="B898" s="2" t="s">
        <v>277</v>
      </c>
      <c r="C898" s="2" t="s">
        <v>1806</v>
      </c>
      <c r="D898" s="3" t="s">
        <v>283</v>
      </c>
      <c r="E898" s="4">
        <v>3100</v>
      </c>
    </row>
    <row r="899" spans="1:5" ht="19.95" customHeight="1" x14ac:dyDescent="0.3">
      <c r="A899" s="5" t="s">
        <v>1807</v>
      </c>
      <c r="B899" s="6" t="s">
        <v>277</v>
      </c>
      <c r="C899" s="6" t="s">
        <v>1808</v>
      </c>
      <c r="D899" s="7" t="s">
        <v>283</v>
      </c>
      <c r="E899" s="8">
        <v>4000</v>
      </c>
    </row>
    <row r="900" spans="1:5" ht="19.95" customHeight="1" x14ac:dyDescent="0.3">
      <c r="A900" s="1" t="s">
        <v>1809</v>
      </c>
      <c r="B900" s="2" t="s">
        <v>277</v>
      </c>
      <c r="C900" s="2" t="s">
        <v>1810</v>
      </c>
      <c r="D900" s="3" t="s">
        <v>283</v>
      </c>
      <c r="E900" s="4">
        <v>5400</v>
      </c>
    </row>
    <row r="901" spans="1:5" ht="19.95" customHeight="1" x14ac:dyDescent="0.3">
      <c r="A901" s="5" t="s">
        <v>1811</v>
      </c>
      <c r="B901" s="6" t="s">
        <v>277</v>
      </c>
      <c r="C901" s="6" t="s">
        <v>1812</v>
      </c>
      <c r="D901" s="7" t="s">
        <v>169</v>
      </c>
      <c r="E901" s="8">
        <v>300</v>
      </c>
    </row>
    <row r="902" spans="1:5" ht="19.95" customHeight="1" x14ac:dyDescent="0.3">
      <c r="A902" s="1" t="s">
        <v>1813</v>
      </c>
      <c r="B902" s="2" t="s">
        <v>277</v>
      </c>
      <c r="C902" s="2" t="s">
        <v>1814</v>
      </c>
      <c r="D902" s="3" t="s">
        <v>169</v>
      </c>
      <c r="E902" s="4">
        <v>500</v>
      </c>
    </row>
    <row r="903" spans="1:5" ht="19.95" customHeight="1" x14ac:dyDescent="0.3">
      <c r="A903" s="5" t="s">
        <v>1815</v>
      </c>
      <c r="B903" s="6" t="s">
        <v>277</v>
      </c>
      <c r="C903" s="6" t="s">
        <v>1816</v>
      </c>
      <c r="D903" s="7" t="s">
        <v>169</v>
      </c>
      <c r="E903" s="8">
        <v>610</v>
      </c>
    </row>
    <row r="904" spans="1:5" ht="19.95" customHeight="1" x14ac:dyDescent="0.3">
      <c r="A904" s="1" t="s">
        <v>1817</v>
      </c>
      <c r="B904" s="2" t="s">
        <v>277</v>
      </c>
      <c r="C904" s="2" t="s">
        <v>1818</v>
      </c>
      <c r="D904" s="3" t="s">
        <v>283</v>
      </c>
      <c r="E904" s="4">
        <v>2400</v>
      </c>
    </row>
    <row r="905" spans="1:5" ht="19.95" customHeight="1" x14ac:dyDescent="0.3">
      <c r="A905" s="5" t="s">
        <v>1819</v>
      </c>
      <c r="B905" s="6" t="s">
        <v>277</v>
      </c>
      <c r="C905" s="6" t="s">
        <v>1820</v>
      </c>
      <c r="D905" s="7" t="s">
        <v>283</v>
      </c>
      <c r="E905" s="8">
        <v>2800</v>
      </c>
    </row>
    <row r="906" spans="1:5" ht="19.95" customHeight="1" x14ac:dyDescent="0.3">
      <c r="A906" s="1" t="s">
        <v>1821</v>
      </c>
      <c r="B906" s="2" t="s">
        <v>277</v>
      </c>
      <c r="C906" s="2" t="s">
        <v>1822</v>
      </c>
      <c r="D906" s="3" t="s">
        <v>283</v>
      </c>
      <c r="E906" s="4">
        <v>3400</v>
      </c>
    </row>
    <row r="907" spans="1:5" ht="19.95" customHeight="1" x14ac:dyDescent="0.3">
      <c r="A907" s="5" t="s">
        <v>1823</v>
      </c>
      <c r="B907" s="6" t="s">
        <v>277</v>
      </c>
      <c r="C907" s="6" t="s">
        <v>1824</v>
      </c>
      <c r="D907" s="7" t="s">
        <v>169</v>
      </c>
      <c r="E907" s="8">
        <v>300</v>
      </c>
    </row>
    <row r="908" spans="1:5" ht="19.95" customHeight="1" x14ac:dyDescent="0.3">
      <c r="A908" s="1" t="s">
        <v>1825</v>
      </c>
      <c r="B908" s="2" t="s">
        <v>277</v>
      </c>
      <c r="C908" s="2" t="s">
        <v>1826</v>
      </c>
      <c r="D908" s="3" t="s">
        <v>169</v>
      </c>
      <c r="E908" s="4">
        <v>500</v>
      </c>
    </row>
    <row r="909" spans="1:5" ht="19.95" customHeight="1" x14ac:dyDescent="0.3">
      <c r="A909" s="5" t="s">
        <v>1827</v>
      </c>
      <c r="B909" s="6" t="s">
        <v>277</v>
      </c>
      <c r="C909" s="6" t="s">
        <v>1828</v>
      </c>
      <c r="D909" s="7" t="s">
        <v>169</v>
      </c>
      <c r="E909" s="8">
        <v>760</v>
      </c>
    </row>
    <row r="910" spans="1:5" ht="19.95" customHeight="1" x14ac:dyDescent="0.3">
      <c r="A910" s="1" t="s">
        <v>1829</v>
      </c>
      <c r="B910" s="2" t="s">
        <v>277</v>
      </c>
      <c r="C910" s="2" t="s">
        <v>1830</v>
      </c>
      <c r="D910" s="3" t="s">
        <v>169</v>
      </c>
      <c r="E910" s="4">
        <v>6000</v>
      </c>
    </row>
    <row r="911" spans="1:5" ht="19.95" customHeight="1" x14ac:dyDescent="0.3">
      <c r="A911" s="5" t="s">
        <v>1831</v>
      </c>
      <c r="B911" s="6" t="s">
        <v>277</v>
      </c>
      <c r="C911" s="6" t="s">
        <v>1832</v>
      </c>
      <c r="D911" s="7" t="s">
        <v>283</v>
      </c>
      <c r="E911" s="8">
        <v>35</v>
      </c>
    </row>
    <row r="912" spans="1:5" ht="19.95" customHeight="1" x14ac:dyDescent="0.3">
      <c r="A912" s="1" t="s">
        <v>1833</v>
      </c>
      <c r="B912" s="2" t="s">
        <v>277</v>
      </c>
      <c r="C912" s="2" t="s">
        <v>1834</v>
      </c>
      <c r="D912" s="3" t="s">
        <v>189</v>
      </c>
      <c r="E912" s="4">
        <v>60</v>
      </c>
    </row>
    <row r="913" spans="1:5" ht="19.95" customHeight="1" x14ac:dyDescent="0.3">
      <c r="A913" s="5" t="s">
        <v>1835</v>
      </c>
      <c r="B913" s="6" t="s">
        <v>277</v>
      </c>
      <c r="C913" s="6" t="s">
        <v>1836</v>
      </c>
      <c r="D913" s="7" t="s">
        <v>189</v>
      </c>
      <c r="E913" s="8">
        <v>55</v>
      </c>
    </row>
    <row r="914" spans="1:5" ht="19.95" customHeight="1" x14ac:dyDescent="0.3">
      <c r="A914" s="1" t="s">
        <v>1837</v>
      </c>
      <c r="B914" s="2" t="s">
        <v>277</v>
      </c>
      <c r="C914" s="2" t="s">
        <v>1838</v>
      </c>
      <c r="D914" s="3" t="s">
        <v>189</v>
      </c>
      <c r="E914" s="4">
        <v>85</v>
      </c>
    </row>
    <row r="915" spans="1:5" ht="19.95" customHeight="1" x14ac:dyDescent="0.3">
      <c r="A915" s="5" t="s">
        <v>1839</v>
      </c>
      <c r="B915" s="6" t="s">
        <v>277</v>
      </c>
      <c r="C915" s="6" t="s">
        <v>1840</v>
      </c>
      <c r="D915" s="7" t="s">
        <v>189</v>
      </c>
      <c r="E915" s="8">
        <v>90</v>
      </c>
    </row>
    <row r="916" spans="1:5" ht="19.95" customHeight="1" x14ac:dyDescent="0.3">
      <c r="A916" s="1" t="s">
        <v>1841</v>
      </c>
      <c r="B916" s="2" t="s">
        <v>277</v>
      </c>
      <c r="C916" s="2" t="s">
        <v>1842</v>
      </c>
      <c r="D916" s="3" t="s">
        <v>189</v>
      </c>
      <c r="E916" s="4">
        <v>105</v>
      </c>
    </row>
    <row r="917" spans="1:5" ht="19.95" customHeight="1" x14ac:dyDescent="0.3">
      <c r="A917" s="5" t="s">
        <v>1843</v>
      </c>
      <c r="B917" s="6" t="s">
        <v>277</v>
      </c>
      <c r="C917" s="6" t="s">
        <v>1844</v>
      </c>
      <c r="D917" s="7" t="s">
        <v>189</v>
      </c>
      <c r="E917" s="8">
        <v>75</v>
      </c>
    </row>
    <row r="918" spans="1:5" ht="19.95" customHeight="1" x14ac:dyDescent="0.3">
      <c r="A918" s="1" t="s">
        <v>1845</v>
      </c>
      <c r="B918" s="2" t="s">
        <v>277</v>
      </c>
      <c r="C918" s="2" t="s">
        <v>1846</v>
      </c>
      <c r="D918" s="3" t="s">
        <v>189</v>
      </c>
      <c r="E918" s="4">
        <v>673</v>
      </c>
    </row>
    <row r="919" spans="1:5" ht="19.95" customHeight="1" x14ac:dyDescent="0.3">
      <c r="A919" s="5" t="s">
        <v>1847</v>
      </c>
      <c r="B919" s="6" t="s">
        <v>277</v>
      </c>
      <c r="C919" s="6" t="s">
        <v>1848</v>
      </c>
      <c r="D919" s="7" t="s">
        <v>189</v>
      </c>
      <c r="E919" s="8">
        <v>19</v>
      </c>
    </row>
    <row r="920" spans="1:5" ht="19.95" customHeight="1" x14ac:dyDescent="0.3">
      <c r="A920" s="1" t="s">
        <v>1849</v>
      </c>
      <c r="B920" s="2" t="s">
        <v>277</v>
      </c>
      <c r="C920" s="2" t="s">
        <v>1850</v>
      </c>
      <c r="D920" s="3" t="s">
        <v>189</v>
      </c>
      <c r="E920" s="4">
        <v>46</v>
      </c>
    </row>
    <row r="921" spans="1:5" ht="19.95" customHeight="1" x14ac:dyDescent="0.3">
      <c r="A921" s="5" t="s">
        <v>1851</v>
      </c>
      <c r="B921" s="6" t="s">
        <v>277</v>
      </c>
      <c r="C921" s="6" t="s">
        <v>1852</v>
      </c>
      <c r="D921" s="7" t="s">
        <v>189</v>
      </c>
      <c r="E921" s="8">
        <v>32</v>
      </c>
    </row>
    <row r="922" spans="1:5" ht="19.95" customHeight="1" x14ac:dyDescent="0.3">
      <c r="A922" s="1" t="s">
        <v>1853</v>
      </c>
      <c r="B922" s="2" t="s">
        <v>277</v>
      </c>
      <c r="C922" s="2" t="s">
        <v>1854</v>
      </c>
      <c r="D922" s="3" t="s">
        <v>1003</v>
      </c>
      <c r="E922" s="4">
        <v>350</v>
      </c>
    </row>
    <row r="923" spans="1:5" ht="19.95" customHeight="1" x14ac:dyDescent="0.3">
      <c r="A923" s="5" t="s">
        <v>1855</v>
      </c>
      <c r="B923" s="6" t="s">
        <v>277</v>
      </c>
      <c r="C923" s="6" t="s">
        <v>1856</v>
      </c>
      <c r="D923" s="7" t="s">
        <v>189</v>
      </c>
      <c r="E923" s="8">
        <v>165</v>
      </c>
    </row>
    <row r="924" spans="1:5" ht="19.95" customHeight="1" x14ac:dyDescent="0.3">
      <c r="A924" s="1" t="s">
        <v>1857</v>
      </c>
      <c r="B924" s="2" t="s">
        <v>277</v>
      </c>
      <c r="C924" s="2" t="s">
        <v>1858</v>
      </c>
      <c r="D924" s="3" t="s">
        <v>189</v>
      </c>
      <c r="E924" s="4">
        <v>60</v>
      </c>
    </row>
    <row r="925" spans="1:5" ht="19.95" customHeight="1" x14ac:dyDescent="0.3">
      <c r="A925" s="5" t="s">
        <v>1859</v>
      </c>
      <c r="B925" s="6" t="s">
        <v>277</v>
      </c>
      <c r="C925" s="6" t="s">
        <v>1860</v>
      </c>
      <c r="D925" s="7" t="s">
        <v>189</v>
      </c>
      <c r="E925" s="8">
        <v>70</v>
      </c>
    </row>
    <row r="926" spans="1:5" ht="19.95" customHeight="1" x14ac:dyDescent="0.3">
      <c r="A926" s="1" t="s">
        <v>1861</v>
      </c>
      <c r="B926" s="2" t="s">
        <v>277</v>
      </c>
      <c r="C926" s="2" t="s">
        <v>1862</v>
      </c>
      <c r="D926" s="3" t="s">
        <v>189</v>
      </c>
      <c r="E926" s="4">
        <v>95</v>
      </c>
    </row>
    <row r="927" spans="1:5" ht="19.95" customHeight="1" x14ac:dyDescent="0.3">
      <c r="A927" s="5" t="s">
        <v>1863</v>
      </c>
      <c r="B927" s="6" t="s">
        <v>277</v>
      </c>
      <c r="C927" s="6" t="s">
        <v>1864</v>
      </c>
      <c r="D927" s="7" t="s">
        <v>189</v>
      </c>
      <c r="E927" s="8">
        <v>120</v>
      </c>
    </row>
    <row r="928" spans="1:5" ht="19.95" customHeight="1" x14ac:dyDescent="0.3">
      <c r="A928" s="1" t="s">
        <v>1865</v>
      </c>
      <c r="B928" s="2" t="s">
        <v>277</v>
      </c>
      <c r="C928" s="2" t="s">
        <v>1866</v>
      </c>
      <c r="D928" s="3" t="s">
        <v>169</v>
      </c>
      <c r="E928" s="4">
        <v>850</v>
      </c>
    </row>
    <row r="929" spans="1:5" ht="19.95" customHeight="1" x14ac:dyDescent="0.3">
      <c r="A929" s="5" t="s">
        <v>1867</v>
      </c>
      <c r="B929" s="6" t="s">
        <v>277</v>
      </c>
      <c r="C929" s="6" t="s">
        <v>1868</v>
      </c>
      <c r="D929" s="7" t="s">
        <v>169</v>
      </c>
      <c r="E929" s="8">
        <v>870</v>
      </c>
    </row>
    <row r="930" spans="1:5" ht="19.95" customHeight="1" x14ac:dyDescent="0.3">
      <c r="A930" s="1" t="s">
        <v>1869</v>
      </c>
      <c r="B930" s="2" t="s">
        <v>277</v>
      </c>
      <c r="C930" s="2" t="s">
        <v>1870</v>
      </c>
      <c r="D930" s="3" t="s">
        <v>169</v>
      </c>
      <c r="E930" s="4">
        <v>950</v>
      </c>
    </row>
    <row r="931" spans="1:5" ht="19.95" customHeight="1" x14ac:dyDescent="0.3">
      <c r="A931" s="5" t="s">
        <v>1871</v>
      </c>
      <c r="B931" s="6" t="s">
        <v>277</v>
      </c>
      <c r="C931" s="6" t="s">
        <v>1872</v>
      </c>
      <c r="D931" s="7" t="s">
        <v>169</v>
      </c>
      <c r="E931" s="8">
        <v>460</v>
      </c>
    </row>
    <row r="932" spans="1:5" ht="19.95" customHeight="1" x14ac:dyDescent="0.3">
      <c r="A932" s="1" t="s">
        <v>1873</v>
      </c>
      <c r="B932" s="2" t="s">
        <v>277</v>
      </c>
      <c r="C932" s="2" t="s">
        <v>1872</v>
      </c>
      <c r="D932" s="3" t="s">
        <v>169</v>
      </c>
      <c r="E932" s="4">
        <v>597</v>
      </c>
    </row>
    <row r="933" spans="1:5" ht="19.95" customHeight="1" x14ac:dyDescent="0.3">
      <c r="A933" s="5" t="s">
        <v>1874</v>
      </c>
      <c r="B933" s="6" t="s">
        <v>277</v>
      </c>
      <c r="C933" s="6" t="s">
        <v>1875</v>
      </c>
      <c r="D933" s="7" t="s">
        <v>169</v>
      </c>
      <c r="E933" s="8">
        <v>860</v>
      </c>
    </row>
    <row r="934" spans="1:5" ht="19.95" customHeight="1" x14ac:dyDescent="0.3">
      <c r="A934" s="1" t="s">
        <v>1876</v>
      </c>
      <c r="B934" s="2" t="s">
        <v>277</v>
      </c>
      <c r="C934" s="2" t="s">
        <v>1877</v>
      </c>
      <c r="D934" s="3" t="s">
        <v>169</v>
      </c>
      <c r="E934" s="4">
        <v>430</v>
      </c>
    </row>
    <row r="935" spans="1:5" ht="19.95" customHeight="1" x14ac:dyDescent="0.3">
      <c r="A935" s="5" t="s">
        <v>1878</v>
      </c>
      <c r="B935" s="6" t="s">
        <v>277</v>
      </c>
      <c r="C935" s="6" t="s">
        <v>1879</v>
      </c>
      <c r="D935" s="7" t="s">
        <v>169</v>
      </c>
      <c r="E935" s="8">
        <v>565</v>
      </c>
    </row>
    <row r="936" spans="1:5" ht="19.95" customHeight="1" x14ac:dyDescent="0.3">
      <c r="A936" s="1" t="s">
        <v>1880</v>
      </c>
      <c r="B936" s="2" t="s">
        <v>277</v>
      </c>
      <c r="C936" s="2" t="s">
        <v>1881</v>
      </c>
      <c r="D936" s="3" t="s">
        <v>283</v>
      </c>
      <c r="E936" s="4">
        <v>20</v>
      </c>
    </row>
    <row r="937" spans="1:5" ht="19.95" customHeight="1" x14ac:dyDescent="0.3">
      <c r="A937" s="5" t="s">
        <v>1882</v>
      </c>
      <c r="B937" s="6" t="s">
        <v>277</v>
      </c>
      <c r="C937" s="6" t="s">
        <v>1883</v>
      </c>
      <c r="D937" s="7" t="s">
        <v>283</v>
      </c>
      <c r="E937" s="8">
        <v>130</v>
      </c>
    </row>
    <row r="938" spans="1:5" ht="19.95" customHeight="1" x14ac:dyDescent="0.3">
      <c r="A938" s="1" t="s">
        <v>1884</v>
      </c>
      <c r="B938" s="2" t="s">
        <v>277</v>
      </c>
      <c r="C938" s="2" t="s">
        <v>1885</v>
      </c>
      <c r="D938" s="3" t="s">
        <v>169</v>
      </c>
      <c r="E938" s="4">
        <v>2090</v>
      </c>
    </row>
    <row r="939" spans="1:5" ht="19.95" customHeight="1" x14ac:dyDescent="0.3">
      <c r="A939" s="5" t="s">
        <v>1886</v>
      </c>
      <c r="B939" s="6" t="s">
        <v>277</v>
      </c>
      <c r="C939" s="6" t="s">
        <v>1887</v>
      </c>
      <c r="D939" s="7" t="s">
        <v>283</v>
      </c>
      <c r="E939" s="8">
        <v>31</v>
      </c>
    </row>
    <row r="940" spans="1:5" ht="19.95" customHeight="1" x14ac:dyDescent="0.3">
      <c r="A940" s="1" t="s">
        <v>1888</v>
      </c>
      <c r="B940" s="2" t="s">
        <v>277</v>
      </c>
      <c r="C940" s="2" t="s">
        <v>1889</v>
      </c>
      <c r="D940" s="3" t="s">
        <v>189</v>
      </c>
      <c r="E940" s="4">
        <v>5</v>
      </c>
    </row>
    <row r="941" spans="1:5" ht="19.95" customHeight="1" x14ac:dyDescent="0.3">
      <c r="A941" s="5" t="s">
        <v>1890</v>
      </c>
      <c r="B941" s="6" t="s">
        <v>277</v>
      </c>
      <c r="C941" s="6" t="s">
        <v>1891</v>
      </c>
      <c r="D941" s="7" t="s">
        <v>1003</v>
      </c>
      <c r="E941" s="8">
        <v>110</v>
      </c>
    </row>
    <row r="942" spans="1:5" ht="19.95" customHeight="1" x14ac:dyDescent="0.3">
      <c r="A942" s="1" t="s">
        <v>1892</v>
      </c>
      <c r="B942" s="2" t="s">
        <v>277</v>
      </c>
      <c r="C942" s="2" t="s">
        <v>1893</v>
      </c>
      <c r="D942" s="3" t="s">
        <v>18</v>
      </c>
      <c r="E942" s="4">
        <v>750</v>
      </c>
    </row>
    <row r="943" spans="1:5" ht="19.95" customHeight="1" x14ac:dyDescent="0.3">
      <c r="A943" s="5" t="s">
        <v>1894</v>
      </c>
      <c r="B943" s="6" t="s">
        <v>277</v>
      </c>
      <c r="C943" s="6" t="s">
        <v>1895</v>
      </c>
      <c r="D943" s="7" t="s">
        <v>1003</v>
      </c>
      <c r="E943" s="8">
        <v>390</v>
      </c>
    </row>
    <row r="944" spans="1:5" ht="19.95" customHeight="1" x14ac:dyDescent="0.3">
      <c r="A944" s="1" t="s">
        <v>1896</v>
      </c>
      <c r="B944" s="2" t="s">
        <v>277</v>
      </c>
      <c r="C944" s="2" t="s">
        <v>1897</v>
      </c>
      <c r="D944" s="3" t="s">
        <v>279</v>
      </c>
      <c r="E944" s="4">
        <v>260</v>
      </c>
    </row>
    <row r="945" spans="1:5" ht="19.95" customHeight="1" x14ac:dyDescent="0.3">
      <c r="A945" s="5" t="s">
        <v>1898</v>
      </c>
      <c r="B945" s="6" t="s">
        <v>277</v>
      </c>
      <c r="C945" s="6" t="s">
        <v>1899</v>
      </c>
      <c r="D945" s="7" t="s">
        <v>279</v>
      </c>
      <c r="E945" s="8">
        <v>300</v>
      </c>
    </row>
    <row r="946" spans="1:5" ht="19.95" customHeight="1" x14ac:dyDescent="0.3">
      <c r="A946" s="1" t="s">
        <v>1900</v>
      </c>
      <c r="B946" s="2" t="s">
        <v>277</v>
      </c>
      <c r="C946" s="2" t="s">
        <v>1901</v>
      </c>
      <c r="D946" s="3" t="s">
        <v>279</v>
      </c>
      <c r="E946" s="4">
        <v>365</v>
      </c>
    </row>
    <row r="947" spans="1:5" ht="19.95" customHeight="1" x14ac:dyDescent="0.3">
      <c r="A947" s="5" t="s">
        <v>1902</v>
      </c>
      <c r="B947" s="6" t="s">
        <v>277</v>
      </c>
      <c r="C947" s="6" t="s">
        <v>1897</v>
      </c>
      <c r="D947" s="7" t="s">
        <v>279</v>
      </c>
      <c r="E947" s="8">
        <v>450</v>
      </c>
    </row>
    <row r="948" spans="1:5" ht="19.95" customHeight="1" x14ac:dyDescent="0.3">
      <c r="A948" s="1" t="s">
        <v>1903</v>
      </c>
      <c r="B948" s="2" t="s">
        <v>277</v>
      </c>
      <c r="C948" s="2" t="s">
        <v>1897</v>
      </c>
      <c r="D948" s="3" t="s">
        <v>279</v>
      </c>
      <c r="E948" s="4">
        <v>575</v>
      </c>
    </row>
    <row r="949" spans="1:5" ht="19.95" customHeight="1" x14ac:dyDescent="0.3">
      <c r="A949" s="5" t="s">
        <v>1904</v>
      </c>
      <c r="B949" s="6" t="s">
        <v>277</v>
      </c>
      <c r="C949" s="6" t="s">
        <v>1905</v>
      </c>
      <c r="D949" s="7" t="s">
        <v>1620</v>
      </c>
      <c r="E949" s="8">
        <v>4500</v>
      </c>
    </row>
    <row r="950" spans="1:5" ht="19.95" customHeight="1" x14ac:dyDescent="0.3">
      <c r="A950" s="1" t="s">
        <v>1906</v>
      </c>
      <c r="B950" s="2" t="s">
        <v>277</v>
      </c>
      <c r="C950" s="2" t="s">
        <v>1907</v>
      </c>
      <c r="D950" s="3" t="s">
        <v>1620</v>
      </c>
      <c r="E950" s="4">
        <v>4000</v>
      </c>
    </row>
    <row r="951" spans="1:5" ht="19.95" customHeight="1" x14ac:dyDescent="0.3">
      <c r="A951" s="5" t="s">
        <v>1908</v>
      </c>
      <c r="B951" s="6" t="s">
        <v>277</v>
      </c>
      <c r="C951" s="6" t="s">
        <v>1909</v>
      </c>
      <c r="D951" s="7" t="s">
        <v>189</v>
      </c>
      <c r="E951" s="8">
        <v>532</v>
      </c>
    </row>
    <row r="952" spans="1:5" ht="19.95" customHeight="1" x14ac:dyDescent="0.3">
      <c r="A952" s="1" t="s">
        <v>1910</v>
      </c>
      <c r="B952" s="2" t="s">
        <v>277</v>
      </c>
      <c r="C952" s="2" t="s">
        <v>1911</v>
      </c>
      <c r="D952" s="3" t="s">
        <v>283</v>
      </c>
      <c r="E952" s="4">
        <v>30</v>
      </c>
    </row>
    <row r="953" spans="1:5" ht="19.95" customHeight="1" x14ac:dyDescent="0.3">
      <c r="A953" s="5" t="s">
        <v>1912</v>
      </c>
      <c r="B953" s="6" t="s">
        <v>277</v>
      </c>
      <c r="C953" s="6" t="s">
        <v>1913</v>
      </c>
      <c r="D953" s="7" t="s">
        <v>283</v>
      </c>
      <c r="E953" s="8">
        <v>20</v>
      </c>
    </row>
    <row r="954" spans="1:5" ht="19.95" customHeight="1" x14ac:dyDescent="0.3">
      <c r="A954" s="1" t="s">
        <v>1914</v>
      </c>
      <c r="B954" s="2" t="s">
        <v>277</v>
      </c>
      <c r="C954" s="2" t="s">
        <v>1915</v>
      </c>
      <c r="D954" s="3" t="s">
        <v>189</v>
      </c>
      <c r="E954" s="4">
        <v>325</v>
      </c>
    </row>
    <row r="955" spans="1:5" ht="19.95" customHeight="1" x14ac:dyDescent="0.3">
      <c r="A955" s="5" t="s">
        <v>1916</v>
      </c>
      <c r="B955" s="6" t="s">
        <v>277</v>
      </c>
      <c r="C955" s="6" t="s">
        <v>1917</v>
      </c>
      <c r="D955" s="7" t="s">
        <v>189</v>
      </c>
      <c r="E955" s="8">
        <v>98</v>
      </c>
    </row>
    <row r="956" spans="1:5" ht="19.95" customHeight="1" x14ac:dyDescent="0.3">
      <c r="A956" s="1" t="s">
        <v>1918</v>
      </c>
      <c r="B956" s="2" t="s">
        <v>277</v>
      </c>
      <c r="C956" s="2" t="s">
        <v>1919</v>
      </c>
      <c r="D956" s="3" t="s">
        <v>366</v>
      </c>
      <c r="E956" s="4">
        <v>100</v>
      </c>
    </row>
    <row r="957" spans="1:5" ht="19.95" customHeight="1" x14ac:dyDescent="0.3">
      <c r="A957" s="5" t="s">
        <v>1920</v>
      </c>
      <c r="B957" s="6" t="s">
        <v>277</v>
      </c>
      <c r="C957" s="6" t="s">
        <v>1921</v>
      </c>
      <c r="D957" s="7" t="s">
        <v>366</v>
      </c>
      <c r="E957" s="8">
        <v>465</v>
      </c>
    </row>
    <row r="958" spans="1:5" ht="19.95" customHeight="1" x14ac:dyDescent="0.3">
      <c r="A958" s="1" t="s">
        <v>1922</v>
      </c>
      <c r="B958" s="2" t="s">
        <v>277</v>
      </c>
      <c r="C958" s="2" t="s">
        <v>1923</v>
      </c>
      <c r="D958" s="3" t="s">
        <v>366</v>
      </c>
      <c r="E958" s="4">
        <v>150</v>
      </c>
    </row>
    <row r="959" spans="1:5" ht="19.95" customHeight="1" x14ac:dyDescent="0.3">
      <c r="A959" s="5" t="s">
        <v>1924</v>
      </c>
      <c r="B959" s="6" t="s">
        <v>277</v>
      </c>
      <c r="C959" s="6" t="s">
        <v>1925</v>
      </c>
      <c r="D959" s="7" t="s">
        <v>189</v>
      </c>
      <c r="E959" s="8">
        <v>10</v>
      </c>
    </row>
    <row r="960" spans="1:5" ht="19.95" customHeight="1" x14ac:dyDescent="0.3">
      <c r="A960" s="1" t="s">
        <v>1926</v>
      </c>
      <c r="B960" s="2" t="s">
        <v>277</v>
      </c>
      <c r="C960" s="2" t="s">
        <v>1927</v>
      </c>
      <c r="D960" s="3" t="s">
        <v>189</v>
      </c>
      <c r="E960" s="4">
        <v>35</v>
      </c>
    </row>
    <row r="961" spans="1:5" ht="19.95" customHeight="1" x14ac:dyDescent="0.3">
      <c r="A961" s="5" t="s">
        <v>1928</v>
      </c>
      <c r="B961" s="6" t="s">
        <v>277</v>
      </c>
      <c r="C961" s="6" t="s">
        <v>1929</v>
      </c>
      <c r="D961" s="7" t="s">
        <v>189</v>
      </c>
      <c r="E961" s="8">
        <v>3</v>
      </c>
    </row>
    <row r="962" spans="1:5" ht="19.95" customHeight="1" x14ac:dyDescent="0.3">
      <c r="A962" s="1" t="s">
        <v>1930</v>
      </c>
      <c r="B962" s="2" t="s">
        <v>277</v>
      </c>
      <c r="C962" s="2" t="s">
        <v>1931</v>
      </c>
      <c r="D962" s="3" t="s">
        <v>283</v>
      </c>
      <c r="E962" s="4">
        <v>20</v>
      </c>
    </row>
    <row r="963" spans="1:5" ht="19.95" customHeight="1" x14ac:dyDescent="0.3">
      <c r="A963" s="5" t="s">
        <v>1932</v>
      </c>
      <c r="B963" s="6" t="s">
        <v>277</v>
      </c>
      <c r="C963" s="6" t="s">
        <v>1933</v>
      </c>
      <c r="D963" s="7" t="s">
        <v>366</v>
      </c>
      <c r="E963" s="8">
        <v>59</v>
      </c>
    </row>
    <row r="964" spans="1:5" ht="19.95" customHeight="1" x14ac:dyDescent="0.3">
      <c r="A964" s="1" t="s">
        <v>1934</v>
      </c>
      <c r="B964" s="2" t="s">
        <v>277</v>
      </c>
      <c r="C964" s="2" t="s">
        <v>1935</v>
      </c>
      <c r="D964" s="3" t="s">
        <v>169</v>
      </c>
      <c r="E964" s="4">
        <v>1000</v>
      </c>
    </row>
    <row r="965" spans="1:5" ht="19.95" customHeight="1" x14ac:dyDescent="0.3">
      <c r="A965" s="5" t="s">
        <v>1936</v>
      </c>
      <c r="B965" s="6" t="s">
        <v>277</v>
      </c>
      <c r="C965" s="6" t="s">
        <v>1937</v>
      </c>
      <c r="D965" s="7" t="s">
        <v>169</v>
      </c>
      <c r="E965" s="8">
        <v>650</v>
      </c>
    </row>
    <row r="966" spans="1:5" ht="19.95" customHeight="1" x14ac:dyDescent="0.3">
      <c r="A966" s="1" t="s">
        <v>1938</v>
      </c>
      <c r="B966" s="2" t="s">
        <v>277</v>
      </c>
      <c r="C966" s="2" t="s">
        <v>1937</v>
      </c>
      <c r="D966" s="3" t="s">
        <v>189</v>
      </c>
      <c r="E966" s="4">
        <v>128</v>
      </c>
    </row>
    <row r="967" spans="1:5" ht="19.95" customHeight="1" x14ac:dyDescent="0.3">
      <c r="A967" s="5" t="s">
        <v>1939</v>
      </c>
      <c r="B967" s="6" t="s">
        <v>277</v>
      </c>
      <c r="C967" s="6" t="s">
        <v>1940</v>
      </c>
      <c r="D967" s="7" t="s">
        <v>293</v>
      </c>
      <c r="E967" s="8">
        <v>1350</v>
      </c>
    </row>
    <row r="968" spans="1:5" ht="19.95" customHeight="1" x14ac:dyDescent="0.3">
      <c r="A968" s="1" t="s">
        <v>1941</v>
      </c>
      <c r="B968" s="2" t="s">
        <v>277</v>
      </c>
      <c r="C968" s="2" t="s">
        <v>1942</v>
      </c>
      <c r="D968" s="3" t="s">
        <v>189</v>
      </c>
      <c r="E968" s="4">
        <v>35</v>
      </c>
    </row>
    <row r="969" spans="1:5" ht="19.95" customHeight="1" x14ac:dyDescent="0.3">
      <c r="A969" s="5" t="s">
        <v>1943</v>
      </c>
      <c r="B969" s="6" t="s">
        <v>277</v>
      </c>
      <c r="C969" s="6" t="s">
        <v>1944</v>
      </c>
      <c r="D969" s="7" t="s">
        <v>189</v>
      </c>
      <c r="E969" s="8">
        <v>85</v>
      </c>
    </row>
    <row r="970" spans="1:5" ht="19.95" customHeight="1" x14ac:dyDescent="0.3">
      <c r="A970" s="1" t="s">
        <v>1945</v>
      </c>
      <c r="B970" s="2" t="s">
        <v>277</v>
      </c>
      <c r="C970" s="2" t="s">
        <v>1946</v>
      </c>
      <c r="D970" s="3" t="s">
        <v>189</v>
      </c>
      <c r="E970" s="4">
        <v>35</v>
      </c>
    </row>
    <row r="971" spans="1:5" ht="19.95" customHeight="1" x14ac:dyDescent="0.3">
      <c r="A971" s="5" t="s">
        <v>1947</v>
      </c>
      <c r="B971" s="6" t="s">
        <v>277</v>
      </c>
      <c r="C971" s="6" t="s">
        <v>1948</v>
      </c>
      <c r="D971" s="7" t="s">
        <v>189</v>
      </c>
      <c r="E971" s="8">
        <v>255</v>
      </c>
    </row>
    <row r="972" spans="1:5" ht="19.95" customHeight="1" x14ac:dyDescent="0.3">
      <c r="A972" s="1" t="s">
        <v>1949</v>
      </c>
      <c r="B972" s="2" t="s">
        <v>277</v>
      </c>
      <c r="C972" s="2" t="s">
        <v>1950</v>
      </c>
      <c r="D972" s="3" t="s">
        <v>189</v>
      </c>
      <c r="E972" s="4">
        <v>120</v>
      </c>
    </row>
    <row r="973" spans="1:5" ht="19.95" customHeight="1" x14ac:dyDescent="0.3">
      <c r="A973" s="5" t="s">
        <v>1951</v>
      </c>
      <c r="B973" s="6" t="s">
        <v>277</v>
      </c>
      <c r="C973" s="6" t="s">
        <v>1952</v>
      </c>
      <c r="D973" s="7" t="s">
        <v>169</v>
      </c>
      <c r="E973" s="8">
        <v>250</v>
      </c>
    </row>
    <row r="974" spans="1:5" ht="19.95" customHeight="1" x14ac:dyDescent="0.3">
      <c r="A974" s="1" t="s">
        <v>1953</v>
      </c>
      <c r="B974" s="2" t="s">
        <v>277</v>
      </c>
      <c r="C974" s="2" t="s">
        <v>1954</v>
      </c>
      <c r="D974" s="3" t="s">
        <v>189</v>
      </c>
      <c r="E974" s="4">
        <v>6</v>
      </c>
    </row>
    <row r="975" spans="1:5" ht="19.95" customHeight="1" x14ac:dyDescent="0.3">
      <c r="A975" s="5" t="s">
        <v>1955</v>
      </c>
      <c r="B975" s="6" t="s">
        <v>277</v>
      </c>
      <c r="C975" s="6" t="s">
        <v>1956</v>
      </c>
      <c r="D975" s="7" t="s">
        <v>1957</v>
      </c>
      <c r="E975" s="8">
        <v>120</v>
      </c>
    </row>
    <row r="976" spans="1:5" ht="19.95" customHeight="1" x14ac:dyDescent="0.3">
      <c r="A976" s="1" t="s">
        <v>1958</v>
      </c>
      <c r="B976" s="2" t="s">
        <v>277</v>
      </c>
      <c r="C976" s="2" t="s">
        <v>1959</v>
      </c>
      <c r="D976" s="3" t="s">
        <v>169</v>
      </c>
      <c r="E976" s="4">
        <v>235</v>
      </c>
    </row>
    <row r="977" spans="1:5" ht="19.95" customHeight="1" x14ac:dyDescent="0.3">
      <c r="A977" s="5" t="s">
        <v>1960</v>
      </c>
      <c r="B977" s="6" t="s">
        <v>277</v>
      </c>
      <c r="C977" s="6" t="s">
        <v>1961</v>
      </c>
      <c r="D977" s="7" t="s">
        <v>283</v>
      </c>
      <c r="E977" s="8">
        <v>5</v>
      </c>
    </row>
    <row r="978" spans="1:5" ht="19.95" customHeight="1" x14ac:dyDescent="0.3">
      <c r="A978" s="1" t="s">
        <v>1962</v>
      </c>
      <c r="B978" s="2" t="s">
        <v>277</v>
      </c>
      <c r="C978" s="2" t="s">
        <v>1963</v>
      </c>
      <c r="D978" s="3" t="s">
        <v>169</v>
      </c>
      <c r="E978" s="4">
        <v>1100</v>
      </c>
    </row>
    <row r="979" spans="1:5" ht="19.95" customHeight="1" x14ac:dyDescent="0.3">
      <c r="A979" s="5" t="s">
        <v>1964</v>
      </c>
      <c r="B979" s="6" t="s">
        <v>277</v>
      </c>
      <c r="C979" s="6" t="s">
        <v>1965</v>
      </c>
      <c r="D979" s="7" t="s">
        <v>283</v>
      </c>
      <c r="E979" s="8">
        <v>480</v>
      </c>
    </row>
    <row r="980" spans="1:5" ht="19.95" customHeight="1" x14ac:dyDescent="0.3">
      <c r="A980" s="1" t="s">
        <v>1966</v>
      </c>
      <c r="B980" s="2" t="s">
        <v>277</v>
      </c>
      <c r="C980" s="2" t="s">
        <v>1967</v>
      </c>
      <c r="D980" s="3" t="s">
        <v>366</v>
      </c>
      <c r="E980" s="4">
        <v>55</v>
      </c>
    </row>
    <row r="981" spans="1:5" ht="19.95" customHeight="1" x14ac:dyDescent="0.3">
      <c r="A981" s="5" t="s">
        <v>1968</v>
      </c>
      <c r="B981" s="6" t="s">
        <v>1969</v>
      </c>
      <c r="C981" s="6" t="s">
        <v>1970</v>
      </c>
      <c r="D981" s="7" t="s">
        <v>189</v>
      </c>
      <c r="E981" s="8">
        <v>3</v>
      </c>
    </row>
    <row r="982" spans="1:5" ht="19.95" customHeight="1" x14ac:dyDescent="0.3">
      <c r="A982" s="1" t="s">
        <v>1971</v>
      </c>
      <c r="B982" s="2" t="s">
        <v>1969</v>
      </c>
      <c r="C982" s="2" t="s">
        <v>1972</v>
      </c>
      <c r="D982" s="3" t="s">
        <v>189</v>
      </c>
      <c r="E982" s="4">
        <v>3</v>
      </c>
    </row>
    <row r="983" spans="1:5" ht="19.95" customHeight="1" x14ac:dyDescent="0.3">
      <c r="A983" s="5" t="s">
        <v>1973</v>
      </c>
      <c r="B983" s="6" t="s">
        <v>277</v>
      </c>
      <c r="C983" s="6" t="s">
        <v>1974</v>
      </c>
      <c r="D983" s="7" t="s">
        <v>169</v>
      </c>
      <c r="E983" s="8">
        <v>175</v>
      </c>
    </row>
    <row r="984" spans="1:5" ht="19.95" customHeight="1" x14ac:dyDescent="0.3">
      <c r="A984" s="1" t="s">
        <v>1975</v>
      </c>
      <c r="B984" s="2" t="s">
        <v>277</v>
      </c>
      <c r="C984" s="2" t="s">
        <v>1976</v>
      </c>
      <c r="D984" s="3" t="s">
        <v>169</v>
      </c>
      <c r="E984" s="4">
        <v>25000</v>
      </c>
    </row>
    <row r="985" spans="1:5" ht="19.95" customHeight="1" x14ac:dyDescent="0.3">
      <c r="A985" s="5" t="s">
        <v>1977</v>
      </c>
      <c r="B985" s="6" t="s">
        <v>277</v>
      </c>
      <c r="C985" s="6" t="s">
        <v>1978</v>
      </c>
      <c r="D985" s="7" t="s">
        <v>283</v>
      </c>
      <c r="E985" s="8">
        <v>245</v>
      </c>
    </row>
    <row r="986" spans="1:5" ht="19.95" customHeight="1" x14ac:dyDescent="0.3">
      <c r="A986" s="1" t="s">
        <v>1979</v>
      </c>
      <c r="B986" s="2" t="s">
        <v>277</v>
      </c>
      <c r="C986" s="2" t="s">
        <v>1980</v>
      </c>
      <c r="D986" s="3" t="s">
        <v>283</v>
      </c>
      <c r="E986" s="4">
        <v>410</v>
      </c>
    </row>
    <row r="987" spans="1:5" ht="19.95" customHeight="1" x14ac:dyDescent="0.3">
      <c r="A987" s="5" t="s">
        <v>1981</v>
      </c>
      <c r="B987" s="6" t="s">
        <v>277</v>
      </c>
      <c r="C987" s="6" t="s">
        <v>1982</v>
      </c>
      <c r="D987" s="7" t="s">
        <v>366</v>
      </c>
      <c r="E987" s="8">
        <v>240</v>
      </c>
    </row>
    <row r="988" spans="1:5" ht="19.95" customHeight="1" x14ac:dyDescent="0.3">
      <c r="A988" s="1" t="s">
        <v>1983</v>
      </c>
      <c r="B988" s="2" t="s">
        <v>277</v>
      </c>
      <c r="C988" s="2" t="s">
        <v>1984</v>
      </c>
      <c r="D988" s="3" t="s">
        <v>169</v>
      </c>
      <c r="E988" s="4">
        <v>500</v>
      </c>
    </row>
    <row r="989" spans="1:5" ht="19.95" customHeight="1" x14ac:dyDescent="0.3">
      <c r="A989" s="5" t="s">
        <v>1985</v>
      </c>
      <c r="B989" s="6" t="s">
        <v>277</v>
      </c>
      <c r="C989" s="6" t="s">
        <v>1986</v>
      </c>
      <c r="D989" s="7" t="s">
        <v>354</v>
      </c>
      <c r="E989" s="8">
        <v>135</v>
      </c>
    </row>
    <row r="990" spans="1:5" ht="19.95" customHeight="1" x14ac:dyDescent="0.3">
      <c r="A990" s="1" t="s">
        <v>1987</v>
      </c>
      <c r="B990" s="2" t="s">
        <v>277</v>
      </c>
      <c r="C990" s="2" t="s">
        <v>1988</v>
      </c>
      <c r="D990" s="3" t="s">
        <v>354</v>
      </c>
      <c r="E990" s="4">
        <v>150</v>
      </c>
    </row>
    <row r="991" spans="1:5" ht="19.95" customHeight="1" x14ac:dyDescent="0.3">
      <c r="A991" s="5" t="s">
        <v>1989</v>
      </c>
      <c r="B991" s="6" t="s">
        <v>277</v>
      </c>
      <c r="C991" s="6" t="s">
        <v>1990</v>
      </c>
      <c r="D991" s="7" t="s">
        <v>189</v>
      </c>
      <c r="E991" s="8">
        <v>750</v>
      </c>
    </row>
    <row r="992" spans="1:5" ht="19.95" customHeight="1" x14ac:dyDescent="0.3">
      <c r="A992" s="1" t="s">
        <v>1991</v>
      </c>
      <c r="B992" s="2" t="s">
        <v>277</v>
      </c>
      <c r="C992" s="2" t="s">
        <v>1992</v>
      </c>
      <c r="D992" s="3" t="s">
        <v>189</v>
      </c>
      <c r="E992" s="4">
        <v>140</v>
      </c>
    </row>
    <row r="993" spans="1:5" ht="19.95" customHeight="1" x14ac:dyDescent="0.3">
      <c r="A993" s="5" t="s">
        <v>1993</v>
      </c>
      <c r="B993" s="6" t="s">
        <v>277</v>
      </c>
      <c r="C993" s="6" t="s">
        <v>1994</v>
      </c>
      <c r="D993" s="7" t="s">
        <v>189</v>
      </c>
      <c r="E993" s="8">
        <v>200</v>
      </c>
    </row>
    <row r="994" spans="1:5" ht="19.95" customHeight="1" x14ac:dyDescent="0.3">
      <c r="A994" s="1" t="s">
        <v>1995</v>
      </c>
      <c r="B994" s="2" t="s">
        <v>277</v>
      </c>
      <c r="C994" s="2" t="s">
        <v>1996</v>
      </c>
      <c r="D994" s="3" t="s">
        <v>189</v>
      </c>
      <c r="E994" s="4">
        <v>66</v>
      </c>
    </row>
    <row r="995" spans="1:5" ht="19.95" customHeight="1" x14ac:dyDescent="0.3">
      <c r="A995" s="5" t="s">
        <v>1997</v>
      </c>
      <c r="B995" s="6" t="s">
        <v>277</v>
      </c>
      <c r="C995" s="6" t="s">
        <v>1998</v>
      </c>
      <c r="D995" s="7" t="s">
        <v>189</v>
      </c>
      <c r="E995" s="8">
        <v>2</v>
      </c>
    </row>
    <row r="996" spans="1:5" ht="19.95" customHeight="1" x14ac:dyDescent="0.3">
      <c r="A996" s="1" t="s">
        <v>1999</v>
      </c>
      <c r="B996" s="2" t="s">
        <v>277</v>
      </c>
      <c r="C996" s="2" t="s">
        <v>2000</v>
      </c>
      <c r="D996" s="3" t="s">
        <v>169</v>
      </c>
      <c r="E996" s="4">
        <v>700</v>
      </c>
    </row>
    <row r="997" spans="1:5" ht="19.95" customHeight="1" x14ac:dyDescent="0.3">
      <c r="A997" s="5" t="s">
        <v>2001</v>
      </c>
      <c r="B997" s="6" t="s">
        <v>277</v>
      </c>
      <c r="C997" s="6" t="s">
        <v>2002</v>
      </c>
      <c r="D997" s="7" t="s">
        <v>169</v>
      </c>
      <c r="E997" s="8">
        <v>400</v>
      </c>
    </row>
    <row r="998" spans="1:5" ht="19.95" customHeight="1" x14ac:dyDescent="0.3">
      <c r="A998" s="1" t="s">
        <v>2003</v>
      </c>
      <c r="B998" s="2" t="s">
        <v>277</v>
      </c>
      <c r="C998" s="2" t="s">
        <v>2004</v>
      </c>
      <c r="D998" s="3" t="s">
        <v>18</v>
      </c>
      <c r="E998" s="4">
        <v>1350</v>
      </c>
    </row>
    <row r="999" spans="1:5" ht="19.95" customHeight="1" x14ac:dyDescent="0.3">
      <c r="A999" s="5" t="s">
        <v>2005</v>
      </c>
      <c r="B999" s="6" t="s">
        <v>277</v>
      </c>
      <c r="C999" s="6" t="s">
        <v>2006</v>
      </c>
      <c r="D999" s="7" t="s">
        <v>18</v>
      </c>
      <c r="E999" s="8">
        <v>1350</v>
      </c>
    </row>
    <row r="1000" spans="1:5" ht="19.95" customHeight="1" x14ac:dyDescent="0.3">
      <c r="A1000" s="1" t="s">
        <v>2007</v>
      </c>
      <c r="B1000" s="2" t="s">
        <v>277</v>
      </c>
      <c r="C1000" s="2" t="s">
        <v>2008</v>
      </c>
      <c r="D1000" s="3" t="s">
        <v>18</v>
      </c>
      <c r="E1000" s="4">
        <v>1400</v>
      </c>
    </row>
    <row r="1001" spans="1:5" ht="19.95" customHeight="1" x14ac:dyDescent="0.3">
      <c r="A1001" s="5" t="s">
        <v>2009</v>
      </c>
      <c r="B1001" s="6" t="s">
        <v>277</v>
      </c>
      <c r="C1001" s="6" t="s">
        <v>2010</v>
      </c>
      <c r="D1001" s="7" t="s">
        <v>18</v>
      </c>
      <c r="E1001" s="8">
        <v>1400</v>
      </c>
    </row>
    <row r="1002" spans="1:5" ht="19.95" customHeight="1" x14ac:dyDescent="0.3">
      <c r="A1002" s="1" t="s">
        <v>2011</v>
      </c>
      <c r="B1002" s="2" t="s">
        <v>277</v>
      </c>
      <c r="C1002" s="2" t="s">
        <v>2012</v>
      </c>
      <c r="D1002" s="3" t="s">
        <v>18</v>
      </c>
      <c r="E1002" s="4">
        <v>500</v>
      </c>
    </row>
    <row r="1003" spans="1:5" ht="19.95" customHeight="1" x14ac:dyDescent="0.3">
      <c r="A1003" s="5" t="s">
        <v>2013</v>
      </c>
      <c r="B1003" s="6" t="s">
        <v>277</v>
      </c>
      <c r="C1003" s="6" t="s">
        <v>2014</v>
      </c>
      <c r="D1003" s="7" t="s">
        <v>18</v>
      </c>
      <c r="E1003" s="8">
        <v>480</v>
      </c>
    </row>
    <row r="1004" spans="1:5" ht="19.95" customHeight="1" x14ac:dyDescent="0.3">
      <c r="A1004" s="1" t="s">
        <v>2015</v>
      </c>
      <c r="B1004" s="2" t="s">
        <v>277</v>
      </c>
      <c r="C1004" s="2" t="s">
        <v>2016</v>
      </c>
      <c r="D1004" s="3" t="s">
        <v>18</v>
      </c>
      <c r="E1004" s="4">
        <v>1150</v>
      </c>
    </row>
    <row r="1005" spans="1:5" ht="19.95" customHeight="1" x14ac:dyDescent="0.3">
      <c r="A1005" s="5" t="s">
        <v>2017</v>
      </c>
      <c r="B1005" s="6" t="s">
        <v>277</v>
      </c>
      <c r="C1005" s="6" t="s">
        <v>2018</v>
      </c>
      <c r="D1005" s="7" t="s">
        <v>18</v>
      </c>
      <c r="E1005" s="8">
        <v>1150</v>
      </c>
    </row>
    <row r="1006" spans="1:5" ht="19.95" customHeight="1" x14ac:dyDescent="0.3">
      <c r="A1006" s="1" t="s">
        <v>2019</v>
      </c>
      <c r="B1006" s="2" t="s">
        <v>277</v>
      </c>
      <c r="C1006" s="2" t="s">
        <v>2020</v>
      </c>
      <c r="D1006" s="3" t="s">
        <v>366</v>
      </c>
      <c r="E1006" s="4">
        <v>25</v>
      </c>
    </row>
    <row r="1007" spans="1:5" ht="19.95" customHeight="1" x14ac:dyDescent="0.3">
      <c r="A1007" s="5" t="s">
        <v>2021</v>
      </c>
      <c r="B1007" s="6" t="s">
        <v>277</v>
      </c>
      <c r="C1007" s="6" t="s">
        <v>2022</v>
      </c>
      <c r="D1007" s="7" t="s">
        <v>357</v>
      </c>
      <c r="E1007" s="8">
        <v>24000</v>
      </c>
    </row>
    <row r="1008" spans="1:5" ht="19.95" customHeight="1" x14ac:dyDescent="0.3">
      <c r="A1008" s="1" t="s">
        <v>2023</v>
      </c>
      <c r="B1008" s="2" t="s">
        <v>277</v>
      </c>
      <c r="C1008" s="2" t="s">
        <v>2024</v>
      </c>
      <c r="D1008" s="3" t="s">
        <v>169</v>
      </c>
      <c r="E1008" s="4">
        <v>40</v>
      </c>
    </row>
    <row r="1009" spans="1:5" ht="19.95" customHeight="1" x14ac:dyDescent="0.3">
      <c r="A1009" s="5" t="s">
        <v>2025</v>
      </c>
      <c r="B1009" s="6" t="s">
        <v>277</v>
      </c>
      <c r="C1009" s="6" t="s">
        <v>2026</v>
      </c>
      <c r="D1009" s="7" t="s">
        <v>189</v>
      </c>
      <c r="E1009" s="8">
        <v>40</v>
      </c>
    </row>
    <row r="1010" spans="1:5" ht="19.95" customHeight="1" x14ac:dyDescent="0.3">
      <c r="A1010" s="1" t="s">
        <v>2027</v>
      </c>
      <c r="B1010" s="2" t="s">
        <v>277</v>
      </c>
      <c r="C1010" s="2" t="s">
        <v>2028</v>
      </c>
      <c r="D1010" s="3" t="s">
        <v>354</v>
      </c>
      <c r="E1010" s="4">
        <v>5600</v>
      </c>
    </row>
    <row r="1011" spans="1:5" ht="19.95" customHeight="1" x14ac:dyDescent="0.3">
      <c r="A1011" s="5" t="s">
        <v>2029</v>
      </c>
      <c r="B1011" s="6" t="s">
        <v>277</v>
      </c>
      <c r="C1011" s="6" t="s">
        <v>2030</v>
      </c>
      <c r="D1011" s="7" t="s">
        <v>189</v>
      </c>
      <c r="E1011" s="8">
        <v>350</v>
      </c>
    </row>
    <row r="1012" spans="1:5" ht="19.95" customHeight="1" x14ac:dyDescent="0.3">
      <c r="A1012" s="1" t="s">
        <v>2031</v>
      </c>
      <c r="B1012" s="2" t="s">
        <v>277</v>
      </c>
      <c r="C1012" s="2" t="s">
        <v>2032</v>
      </c>
      <c r="D1012" s="3" t="s">
        <v>189</v>
      </c>
      <c r="E1012" s="4">
        <v>500</v>
      </c>
    </row>
    <row r="1013" spans="1:5" ht="19.95" customHeight="1" x14ac:dyDescent="0.3">
      <c r="A1013" s="5" t="s">
        <v>2033</v>
      </c>
      <c r="B1013" s="6" t="s">
        <v>277</v>
      </c>
      <c r="C1013" s="6" t="s">
        <v>2034</v>
      </c>
      <c r="D1013" s="7" t="s">
        <v>189</v>
      </c>
      <c r="E1013" s="8">
        <v>700</v>
      </c>
    </row>
    <row r="1014" spans="1:5" ht="19.95" customHeight="1" x14ac:dyDescent="0.3">
      <c r="A1014" s="1" t="s">
        <v>2035</v>
      </c>
      <c r="B1014" s="2" t="s">
        <v>277</v>
      </c>
      <c r="C1014" s="2" t="s">
        <v>2036</v>
      </c>
      <c r="D1014" s="3" t="s">
        <v>189</v>
      </c>
      <c r="E1014" s="4">
        <v>900</v>
      </c>
    </row>
    <row r="1015" spans="1:5" ht="19.95" customHeight="1" x14ac:dyDescent="0.3">
      <c r="A1015" s="5" t="s">
        <v>2037</v>
      </c>
      <c r="B1015" s="6" t="s">
        <v>277</v>
      </c>
      <c r="C1015" s="6" t="s">
        <v>2038</v>
      </c>
      <c r="D1015" s="7" t="s">
        <v>189</v>
      </c>
      <c r="E1015" s="8">
        <v>1500</v>
      </c>
    </row>
    <row r="1016" spans="1:5" ht="19.95" customHeight="1" x14ac:dyDescent="0.3">
      <c r="A1016" s="1" t="s">
        <v>2039</v>
      </c>
      <c r="B1016" s="2" t="s">
        <v>277</v>
      </c>
      <c r="C1016" s="2" t="s">
        <v>2040</v>
      </c>
      <c r="D1016" s="3" t="s">
        <v>189</v>
      </c>
      <c r="E1016" s="4">
        <v>1000</v>
      </c>
    </row>
    <row r="1017" spans="1:5" ht="19.95" customHeight="1" x14ac:dyDescent="0.3">
      <c r="A1017" s="5" t="s">
        <v>2041</v>
      </c>
      <c r="B1017" s="6" t="s">
        <v>277</v>
      </c>
      <c r="C1017" s="6" t="s">
        <v>2042</v>
      </c>
      <c r="D1017" s="7" t="s">
        <v>189</v>
      </c>
      <c r="E1017" s="8">
        <v>250</v>
      </c>
    </row>
    <row r="1018" spans="1:5" ht="19.95" customHeight="1" x14ac:dyDescent="0.3">
      <c r="A1018" s="1" t="s">
        <v>2043</v>
      </c>
      <c r="B1018" s="2" t="s">
        <v>277</v>
      </c>
      <c r="C1018" s="2" t="s">
        <v>2044</v>
      </c>
      <c r="D1018" s="3" t="s">
        <v>189</v>
      </c>
      <c r="E1018" s="4">
        <v>545</v>
      </c>
    </row>
    <row r="1019" spans="1:5" ht="19.95" customHeight="1" x14ac:dyDescent="0.3">
      <c r="A1019" s="5" t="s">
        <v>2045</v>
      </c>
      <c r="B1019" s="6" t="s">
        <v>277</v>
      </c>
      <c r="C1019" s="6" t="s">
        <v>2046</v>
      </c>
      <c r="D1019" s="7" t="s">
        <v>189</v>
      </c>
      <c r="E1019" s="8">
        <v>2500</v>
      </c>
    </row>
    <row r="1020" spans="1:5" ht="19.95" customHeight="1" x14ac:dyDescent="0.3">
      <c r="A1020" s="1" t="s">
        <v>2047</v>
      </c>
      <c r="B1020" s="2" t="s">
        <v>277</v>
      </c>
      <c r="C1020" s="2" t="s">
        <v>2048</v>
      </c>
      <c r="D1020" s="3" t="s">
        <v>189</v>
      </c>
      <c r="E1020" s="4">
        <v>2700</v>
      </c>
    </row>
    <row r="1021" spans="1:5" ht="19.95" customHeight="1" x14ac:dyDescent="0.3">
      <c r="A1021" s="5" t="s">
        <v>2049</v>
      </c>
      <c r="B1021" s="6" t="s">
        <v>277</v>
      </c>
      <c r="C1021" s="6" t="s">
        <v>2050</v>
      </c>
      <c r="D1021" s="7" t="s">
        <v>189</v>
      </c>
      <c r="E1021" s="8">
        <v>3200</v>
      </c>
    </row>
    <row r="1022" spans="1:5" ht="19.95" customHeight="1" x14ac:dyDescent="0.3">
      <c r="A1022" s="1" t="s">
        <v>2051</v>
      </c>
      <c r="B1022" s="2" t="s">
        <v>277</v>
      </c>
      <c r="C1022" s="2" t="s">
        <v>2052</v>
      </c>
      <c r="D1022" s="3" t="s">
        <v>189</v>
      </c>
      <c r="E1022" s="4">
        <v>4000</v>
      </c>
    </row>
    <row r="1023" spans="1:5" ht="19.95" customHeight="1" x14ac:dyDescent="0.3">
      <c r="A1023" s="5" t="s">
        <v>2053</v>
      </c>
      <c r="B1023" s="6" t="s">
        <v>277</v>
      </c>
      <c r="C1023" s="6" t="s">
        <v>2054</v>
      </c>
      <c r="D1023" s="7" t="s">
        <v>189</v>
      </c>
      <c r="E1023" s="8">
        <v>8900</v>
      </c>
    </row>
    <row r="1024" spans="1:5" ht="19.95" customHeight="1" x14ac:dyDescent="0.3">
      <c r="A1024" s="1" t="s">
        <v>2055</v>
      </c>
      <c r="B1024" s="2" t="s">
        <v>277</v>
      </c>
      <c r="C1024" s="2" t="s">
        <v>2056</v>
      </c>
      <c r="D1024" s="3" t="s">
        <v>189</v>
      </c>
      <c r="E1024" s="4">
        <v>14500</v>
      </c>
    </row>
    <row r="1025" spans="1:5" ht="19.95" customHeight="1" x14ac:dyDescent="0.3">
      <c r="A1025" s="5" t="s">
        <v>2057</v>
      </c>
      <c r="B1025" s="6" t="s">
        <v>277</v>
      </c>
      <c r="C1025" s="6" t="s">
        <v>2058</v>
      </c>
      <c r="D1025" s="7" t="s">
        <v>189</v>
      </c>
      <c r="E1025" s="8">
        <v>18200</v>
      </c>
    </row>
    <row r="1026" spans="1:5" ht="19.95" customHeight="1" x14ac:dyDescent="0.3">
      <c r="A1026" s="1" t="s">
        <v>2059</v>
      </c>
      <c r="B1026" s="2" t="s">
        <v>277</v>
      </c>
      <c r="C1026" s="2" t="s">
        <v>2060</v>
      </c>
      <c r="D1026" s="3" t="s">
        <v>189</v>
      </c>
      <c r="E1026" s="4">
        <v>5800</v>
      </c>
    </row>
    <row r="1027" spans="1:5" ht="19.95" customHeight="1" x14ac:dyDescent="0.3">
      <c r="A1027" s="5" t="s">
        <v>2061</v>
      </c>
      <c r="B1027" s="6" t="s">
        <v>277</v>
      </c>
      <c r="C1027" s="6" t="s">
        <v>2062</v>
      </c>
      <c r="D1027" s="7" t="s">
        <v>189</v>
      </c>
      <c r="E1027" s="8">
        <v>200</v>
      </c>
    </row>
    <row r="1028" spans="1:5" ht="19.95" customHeight="1" x14ac:dyDescent="0.3">
      <c r="A1028" s="1" t="s">
        <v>2063</v>
      </c>
      <c r="B1028" s="2" t="s">
        <v>277</v>
      </c>
      <c r="C1028" s="2" t="s">
        <v>2064</v>
      </c>
      <c r="D1028" s="3" t="s">
        <v>189</v>
      </c>
      <c r="E1028" s="4">
        <v>1200</v>
      </c>
    </row>
    <row r="1029" spans="1:5" ht="19.95" customHeight="1" x14ac:dyDescent="0.3">
      <c r="A1029" s="5" t="s">
        <v>2065</v>
      </c>
      <c r="B1029" s="6" t="s">
        <v>277</v>
      </c>
      <c r="C1029" s="6" t="s">
        <v>2064</v>
      </c>
      <c r="D1029" s="7" t="s">
        <v>189</v>
      </c>
      <c r="E1029" s="8">
        <v>1100</v>
      </c>
    </row>
    <row r="1030" spans="1:5" ht="19.95" customHeight="1" x14ac:dyDescent="0.3">
      <c r="A1030" s="1" t="s">
        <v>2066</v>
      </c>
      <c r="B1030" s="2" t="s">
        <v>277</v>
      </c>
      <c r="C1030" s="2" t="s">
        <v>2067</v>
      </c>
      <c r="D1030" s="3" t="s">
        <v>189</v>
      </c>
      <c r="E1030" s="4">
        <v>300</v>
      </c>
    </row>
    <row r="1031" spans="1:5" ht="19.95" customHeight="1" x14ac:dyDescent="0.3">
      <c r="A1031" s="5" t="s">
        <v>2068</v>
      </c>
      <c r="B1031" s="6" t="s">
        <v>277</v>
      </c>
      <c r="C1031" s="6" t="s">
        <v>2069</v>
      </c>
      <c r="D1031" s="7" t="s">
        <v>189</v>
      </c>
      <c r="E1031" s="8">
        <v>250</v>
      </c>
    </row>
    <row r="1032" spans="1:5" ht="19.95" customHeight="1" x14ac:dyDescent="0.3">
      <c r="A1032" s="1" t="s">
        <v>2070</v>
      </c>
      <c r="B1032" s="2" t="s">
        <v>277</v>
      </c>
      <c r="C1032" s="2" t="s">
        <v>2071</v>
      </c>
      <c r="D1032" s="3" t="s">
        <v>189</v>
      </c>
      <c r="E1032" s="4">
        <v>265</v>
      </c>
    </row>
    <row r="1033" spans="1:5" ht="19.95" customHeight="1" x14ac:dyDescent="0.3">
      <c r="A1033" s="5" t="s">
        <v>2072</v>
      </c>
      <c r="B1033" s="6" t="s">
        <v>277</v>
      </c>
      <c r="C1033" s="6" t="s">
        <v>2073</v>
      </c>
      <c r="D1033" s="7" t="s">
        <v>189</v>
      </c>
      <c r="E1033" s="8">
        <v>195</v>
      </c>
    </row>
    <row r="1034" spans="1:5" ht="19.95" customHeight="1" x14ac:dyDescent="0.3">
      <c r="A1034" s="1" t="s">
        <v>2074</v>
      </c>
      <c r="B1034" s="2" t="s">
        <v>277</v>
      </c>
      <c r="C1034" s="2" t="s">
        <v>2075</v>
      </c>
      <c r="D1034" s="3" t="s">
        <v>189</v>
      </c>
      <c r="E1034" s="4">
        <v>296</v>
      </c>
    </row>
    <row r="1035" spans="1:5" ht="19.95" customHeight="1" x14ac:dyDescent="0.3">
      <c r="A1035" s="5" t="s">
        <v>2076</v>
      </c>
      <c r="B1035" s="6" t="s">
        <v>277</v>
      </c>
      <c r="C1035" s="6" t="s">
        <v>2077</v>
      </c>
      <c r="D1035" s="7" t="s">
        <v>189</v>
      </c>
      <c r="E1035" s="8">
        <v>250</v>
      </c>
    </row>
    <row r="1036" spans="1:5" ht="19.95" customHeight="1" x14ac:dyDescent="0.3">
      <c r="A1036" s="1" t="s">
        <v>2078</v>
      </c>
      <c r="B1036" s="2" t="s">
        <v>277</v>
      </c>
      <c r="C1036" s="2" t="s">
        <v>2079</v>
      </c>
      <c r="D1036" s="3" t="s">
        <v>189</v>
      </c>
      <c r="E1036" s="4">
        <v>472</v>
      </c>
    </row>
    <row r="1037" spans="1:5" ht="19.95" customHeight="1" x14ac:dyDescent="0.3">
      <c r="A1037" s="5" t="s">
        <v>2080</v>
      </c>
      <c r="B1037" s="6" t="s">
        <v>277</v>
      </c>
      <c r="C1037" s="6" t="s">
        <v>2081</v>
      </c>
      <c r="D1037" s="7" t="s">
        <v>189</v>
      </c>
      <c r="E1037" s="8">
        <v>330</v>
      </c>
    </row>
    <row r="1038" spans="1:5" ht="19.95" customHeight="1" x14ac:dyDescent="0.3">
      <c r="A1038" s="1" t="s">
        <v>2082</v>
      </c>
      <c r="B1038" s="2" t="s">
        <v>277</v>
      </c>
      <c r="C1038" s="2" t="s">
        <v>2083</v>
      </c>
      <c r="D1038" s="3" t="s">
        <v>189</v>
      </c>
      <c r="E1038" s="4">
        <v>495</v>
      </c>
    </row>
    <row r="1039" spans="1:5" ht="19.95" customHeight="1" x14ac:dyDescent="0.3">
      <c r="A1039" s="5" t="s">
        <v>2084</v>
      </c>
      <c r="B1039" s="6" t="s">
        <v>277</v>
      </c>
      <c r="C1039" s="6" t="s">
        <v>2085</v>
      </c>
      <c r="D1039" s="7" t="s">
        <v>189</v>
      </c>
      <c r="E1039" s="8">
        <v>373</v>
      </c>
    </row>
    <row r="1040" spans="1:5" ht="19.95" customHeight="1" x14ac:dyDescent="0.3">
      <c r="A1040" s="1" t="s">
        <v>2086</v>
      </c>
      <c r="B1040" s="2" t="s">
        <v>277</v>
      </c>
      <c r="C1040" s="2" t="s">
        <v>2087</v>
      </c>
      <c r="D1040" s="3" t="s">
        <v>189</v>
      </c>
      <c r="E1040" s="4">
        <v>620</v>
      </c>
    </row>
    <row r="1041" spans="1:5" ht="19.95" customHeight="1" x14ac:dyDescent="0.3">
      <c r="A1041" s="5" t="s">
        <v>2088</v>
      </c>
      <c r="B1041" s="6" t="s">
        <v>277</v>
      </c>
      <c r="C1041" s="6" t="s">
        <v>2089</v>
      </c>
      <c r="D1041" s="7" t="s">
        <v>189</v>
      </c>
      <c r="E1041" s="8">
        <v>462</v>
      </c>
    </row>
    <row r="1042" spans="1:5" ht="19.95" customHeight="1" x14ac:dyDescent="0.3">
      <c r="A1042" s="1" t="s">
        <v>2090</v>
      </c>
      <c r="B1042" s="2" t="s">
        <v>277</v>
      </c>
      <c r="C1042" s="2" t="s">
        <v>2091</v>
      </c>
      <c r="D1042" s="3" t="s">
        <v>189</v>
      </c>
      <c r="E1042" s="4">
        <v>615</v>
      </c>
    </row>
    <row r="1043" spans="1:5" ht="19.95" customHeight="1" x14ac:dyDescent="0.3">
      <c r="A1043" s="5" t="s">
        <v>2092</v>
      </c>
      <c r="B1043" s="6" t="s">
        <v>277</v>
      </c>
      <c r="C1043" s="6" t="s">
        <v>2093</v>
      </c>
      <c r="D1043" s="7" t="s">
        <v>2094</v>
      </c>
      <c r="E1043" s="8">
        <v>480</v>
      </c>
    </row>
    <row r="1044" spans="1:5" ht="19.95" customHeight="1" x14ac:dyDescent="0.3">
      <c r="A1044" s="1" t="s">
        <v>2095</v>
      </c>
      <c r="B1044" s="2" t="s">
        <v>277</v>
      </c>
      <c r="C1044" s="2" t="s">
        <v>2096</v>
      </c>
      <c r="D1044" s="3" t="s">
        <v>189</v>
      </c>
      <c r="E1044" s="4">
        <v>570</v>
      </c>
    </row>
    <row r="1045" spans="1:5" ht="19.95" customHeight="1" x14ac:dyDescent="0.3">
      <c r="A1045" s="5" t="s">
        <v>2097</v>
      </c>
      <c r="B1045" s="6" t="s">
        <v>277</v>
      </c>
      <c r="C1045" s="6" t="s">
        <v>2098</v>
      </c>
      <c r="D1045" s="7" t="s">
        <v>2094</v>
      </c>
      <c r="E1045" s="8">
        <v>640</v>
      </c>
    </row>
    <row r="1046" spans="1:5" ht="19.95" customHeight="1" x14ac:dyDescent="0.3">
      <c r="A1046" s="1" t="s">
        <v>2099</v>
      </c>
      <c r="B1046" s="2" t="s">
        <v>277</v>
      </c>
      <c r="C1046" s="2" t="s">
        <v>2100</v>
      </c>
      <c r="D1046" s="3" t="s">
        <v>189</v>
      </c>
      <c r="E1046" s="4">
        <v>800</v>
      </c>
    </row>
    <row r="1047" spans="1:5" ht="19.95" customHeight="1" x14ac:dyDescent="0.3">
      <c r="A1047" s="5" t="s">
        <v>2101</v>
      </c>
      <c r="B1047" s="6" t="s">
        <v>277</v>
      </c>
      <c r="C1047" s="6" t="s">
        <v>2102</v>
      </c>
      <c r="D1047" s="7" t="s">
        <v>189</v>
      </c>
      <c r="E1047" s="8">
        <v>850</v>
      </c>
    </row>
    <row r="1048" spans="1:5" ht="19.95" customHeight="1" x14ac:dyDescent="0.3">
      <c r="A1048" s="1" t="s">
        <v>2103</v>
      </c>
      <c r="B1048" s="2" t="s">
        <v>277</v>
      </c>
      <c r="C1048" s="2" t="s">
        <v>2104</v>
      </c>
      <c r="D1048" s="3" t="s">
        <v>189</v>
      </c>
      <c r="E1048" s="4">
        <v>425</v>
      </c>
    </row>
    <row r="1049" spans="1:5" ht="19.95" customHeight="1" x14ac:dyDescent="0.3">
      <c r="A1049" s="5" t="s">
        <v>2105</v>
      </c>
      <c r="B1049" s="6" t="s">
        <v>277</v>
      </c>
      <c r="C1049" s="6" t="s">
        <v>2106</v>
      </c>
      <c r="D1049" s="7" t="s">
        <v>189</v>
      </c>
      <c r="E1049" s="8">
        <v>323</v>
      </c>
    </row>
    <row r="1050" spans="1:5" ht="19.95" customHeight="1" x14ac:dyDescent="0.3">
      <c r="A1050" s="1" t="s">
        <v>2107</v>
      </c>
      <c r="B1050" s="2" t="s">
        <v>277</v>
      </c>
      <c r="C1050" s="2" t="s">
        <v>2108</v>
      </c>
      <c r="D1050" s="3" t="s">
        <v>189</v>
      </c>
      <c r="E1050" s="4">
        <v>530</v>
      </c>
    </row>
    <row r="1051" spans="1:5" ht="19.95" customHeight="1" x14ac:dyDescent="0.3">
      <c r="A1051" s="5" t="s">
        <v>2109</v>
      </c>
      <c r="B1051" s="6" t="s">
        <v>277</v>
      </c>
      <c r="C1051" s="6" t="s">
        <v>2110</v>
      </c>
      <c r="D1051" s="7" t="s">
        <v>189</v>
      </c>
      <c r="E1051" s="8">
        <v>425</v>
      </c>
    </row>
    <row r="1052" spans="1:5" ht="19.95" customHeight="1" x14ac:dyDescent="0.3">
      <c r="A1052" s="1" t="s">
        <v>2111</v>
      </c>
      <c r="B1052" s="2" t="s">
        <v>277</v>
      </c>
      <c r="C1052" s="2" t="s">
        <v>2112</v>
      </c>
      <c r="D1052" s="3" t="s">
        <v>189</v>
      </c>
      <c r="E1052" s="4">
        <v>545</v>
      </c>
    </row>
    <row r="1053" spans="1:5" ht="19.95" customHeight="1" x14ac:dyDescent="0.3">
      <c r="A1053" s="5" t="s">
        <v>2113</v>
      </c>
      <c r="B1053" s="6" t="s">
        <v>277</v>
      </c>
      <c r="C1053" s="6" t="s">
        <v>2114</v>
      </c>
      <c r="D1053" s="7" t="s">
        <v>189</v>
      </c>
      <c r="E1053" s="8">
        <v>725</v>
      </c>
    </row>
    <row r="1054" spans="1:5" ht="19.95" customHeight="1" x14ac:dyDescent="0.3">
      <c r="A1054" s="1" t="s">
        <v>2115</v>
      </c>
      <c r="B1054" s="2" t="s">
        <v>277</v>
      </c>
      <c r="C1054" s="2" t="s">
        <v>2116</v>
      </c>
      <c r="D1054" s="3" t="s">
        <v>189</v>
      </c>
      <c r="E1054" s="4">
        <v>225</v>
      </c>
    </row>
    <row r="1055" spans="1:5" ht="19.95" customHeight="1" x14ac:dyDescent="0.3">
      <c r="A1055" s="5" t="s">
        <v>2117</v>
      </c>
      <c r="B1055" s="6" t="s">
        <v>277</v>
      </c>
      <c r="C1055" s="6" t="s">
        <v>2118</v>
      </c>
      <c r="D1055" s="7" t="s">
        <v>189</v>
      </c>
      <c r="E1055" s="8">
        <v>285</v>
      </c>
    </row>
    <row r="1056" spans="1:5" ht="19.95" customHeight="1" x14ac:dyDescent="0.3">
      <c r="A1056" s="1" t="s">
        <v>2119</v>
      </c>
      <c r="B1056" s="2" t="s">
        <v>277</v>
      </c>
      <c r="C1056" s="2" t="s">
        <v>2120</v>
      </c>
      <c r="D1056" s="3" t="s">
        <v>189</v>
      </c>
      <c r="E1056" s="4">
        <v>390</v>
      </c>
    </row>
    <row r="1057" spans="1:5" ht="19.95" customHeight="1" x14ac:dyDescent="0.3">
      <c r="A1057" s="5" t="s">
        <v>2121</v>
      </c>
      <c r="B1057" s="6" t="s">
        <v>277</v>
      </c>
      <c r="C1057" s="6" t="s">
        <v>2122</v>
      </c>
      <c r="D1057" s="7" t="s">
        <v>189</v>
      </c>
      <c r="E1057" s="8">
        <v>300</v>
      </c>
    </row>
    <row r="1058" spans="1:5" ht="19.95" customHeight="1" x14ac:dyDescent="0.3">
      <c r="A1058" s="1" t="s">
        <v>2123</v>
      </c>
      <c r="B1058" s="2" t="s">
        <v>277</v>
      </c>
      <c r="C1058" s="2" t="s">
        <v>2124</v>
      </c>
      <c r="D1058" s="3" t="s">
        <v>189</v>
      </c>
      <c r="E1058" s="4">
        <v>383</v>
      </c>
    </row>
    <row r="1059" spans="1:5" ht="19.95" customHeight="1" x14ac:dyDescent="0.3">
      <c r="A1059" s="5" t="s">
        <v>2125</v>
      </c>
      <c r="B1059" s="6" t="s">
        <v>277</v>
      </c>
      <c r="C1059" s="6" t="s">
        <v>2126</v>
      </c>
      <c r="D1059" s="7" t="s">
        <v>189</v>
      </c>
      <c r="E1059" s="8">
        <v>358</v>
      </c>
    </row>
    <row r="1060" spans="1:5" ht="19.95" customHeight="1" x14ac:dyDescent="0.3">
      <c r="A1060" s="1" t="s">
        <v>2127</v>
      </c>
      <c r="B1060" s="2" t="s">
        <v>277</v>
      </c>
      <c r="C1060" s="2" t="s">
        <v>2128</v>
      </c>
      <c r="D1060" s="3" t="s">
        <v>189</v>
      </c>
      <c r="E1060" s="4">
        <v>455</v>
      </c>
    </row>
    <row r="1061" spans="1:5" ht="19.95" customHeight="1" x14ac:dyDescent="0.3">
      <c r="A1061" s="5" t="s">
        <v>2129</v>
      </c>
      <c r="B1061" s="6" t="s">
        <v>277</v>
      </c>
      <c r="C1061" s="6" t="s">
        <v>2130</v>
      </c>
      <c r="D1061" s="7" t="s">
        <v>189</v>
      </c>
      <c r="E1061" s="8">
        <v>400</v>
      </c>
    </row>
    <row r="1062" spans="1:5" ht="19.95" customHeight="1" x14ac:dyDescent="0.3">
      <c r="A1062" s="1" t="s">
        <v>2131</v>
      </c>
      <c r="B1062" s="2" t="s">
        <v>277</v>
      </c>
      <c r="C1062" s="2" t="s">
        <v>2132</v>
      </c>
      <c r="D1062" s="3" t="s">
        <v>189</v>
      </c>
      <c r="E1062" s="4">
        <v>295</v>
      </c>
    </row>
    <row r="1063" spans="1:5" ht="19.95" customHeight="1" x14ac:dyDescent="0.3">
      <c r="A1063" s="5" t="s">
        <v>2133</v>
      </c>
      <c r="B1063" s="6" t="s">
        <v>277</v>
      </c>
      <c r="C1063" s="6" t="s">
        <v>2134</v>
      </c>
      <c r="D1063" s="7" t="s">
        <v>189</v>
      </c>
      <c r="E1063" s="8">
        <v>264</v>
      </c>
    </row>
    <row r="1064" spans="1:5" ht="19.95" customHeight="1" x14ac:dyDescent="0.3">
      <c r="A1064" s="1" t="s">
        <v>2135</v>
      </c>
      <c r="B1064" s="2" t="s">
        <v>277</v>
      </c>
      <c r="C1064" s="2" t="s">
        <v>2136</v>
      </c>
      <c r="D1064" s="3" t="s">
        <v>189</v>
      </c>
      <c r="E1064" s="4">
        <v>210</v>
      </c>
    </row>
    <row r="1065" spans="1:5" ht="19.95" customHeight="1" x14ac:dyDescent="0.3">
      <c r="A1065" s="5" t="s">
        <v>2137</v>
      </c>
      <c r="B1065" s="6" t="s">
        <v>277</v>
      </c>
      <c r="C1065" s="6" t="s">
        <v>2138</v>
      </c>
      <c r="D1065" s="7" t="s">
        <v>189</v>
      </c>
      <c r="E1065" s="8">
        <v>279</v>
      </c>
    </row>
    <row r="1066" spans="1:5" ht="19.95" customHeight="1" x14ac:dyDescent="0.3">
      <c r="A1066" s="1" t="s">
        <v>2139</v>
      </c>
      <c r="B1066" s="2" t="s">
        <v>277</v>
      </c>
      <c r="C1066" s="2" t="s">
        <v>2140</v>
      </c>
      <c r="D1066" s="3" t="s">
        <v>189</v>
      </c>
      <c r="E1066" s="4">
        <v>170</v>
      </c>
    </row>
    <row r="1067" spans="1:5" ht="19.95" customHeight="1" x14ac:dyDescent="0.3">
      <c r="A1067" s="5" t="s">
        <v>2141</v>
      </c>
      <c r="B1067" s="6" t="s">
        <v>277</v>
      </c>
      <c r="C1067" s="6" t="s">
        <v>2142</v>
      </c>
      <c r="D1067" s="7" t="s">
        <v>189</v>
      </c>
      <c r="E1067" s="8">
        <v>218</v>
      </c>
    </row>
    <row r="1068" spans="1:5" ht="19.95" customHeight="1" x14ac:dyDescent="0.3">
      <c r="A1068" s="1" t="s">
        <v>2143</v>
      </c>
      <c r="B1068" s="2" t="s">
        <v>277</v>
      </c>
      <c r="C1068" s="2" t="s">
        <v>2144</v>
      </c>
      <c r="D1068" s="3" t="s">
        <v>189</v>
      </c>
      <c r="E1068" s="4">
        <v>363</v>
      </c>
    </row>
    <row r="1069" spans="1:5" ht="19.95" customHeight="1" x14ac:dyDescent="0.3">
      <c r="A1069" s="5" t="s">
        <v>2145</v>
      </c>
      <c r="B1069" s="6" t="s">
        <v>277</v>
      </c>
      <c r="C1069" s="6" t="s">
        <v>2146</v>
      </c>
      <c r="D1069" s="7" t="s">
        <v>189</v>
      </c>
      <c r="E1069" s="8">
        <v>100</v>
      </c>
    </row>
    <row r="1070" spans="1:5" ht="19.95" customHeight="1" x14ac:dyDescent="0.3">
      <c r="A1070" s="1" t="s">
        <v>2147</v>
      </c>
      <c r="B1070" s="2" t="s">
        <v>277</v>
      </c>
      <c r="C1070" s="2" t="s">
        <v>2148</v>
      </c>
      <c r="D1070" s="3" t="s">
        <v>189</v>
      </c>
      <c r="E1070" s="4">
        <v>9000</v>
      </c>
    </row>
    <row r="1071" spans="1:5" ht="19.95" customHeight="1" x14ac:dyDescent="0.3">
      <c r="A1071" s="5" t="s">
        <v>2149</v>
      </c>
      <c r="B1071" s="6" t="s">
        <v>277</v>
      </c>
      <c r="C1071" s="6" t="s">
        <v>2150</v>
      </c>
      <c r="D1071" s="7" t="s">
        <v>189</v>
      </c>
      <c r="E1071" s="8">
        <v>5000</v>
      </c>
    </row>
    <row r="1072" spans="1:5" ht="19.95" customHeight="1" x14ac:dyDescent="0.3">
      <c r="A1072" s="1" t="s">
        <v>2151</v>
      </c>
      <c r="B1072" s="2" t="s">
        <v>277</v>
      </c>
      <c r="C1072" s="2" t="s">
        <v>2152</v>
      </c>
      <c r="D1072" s="3" t="s">
        <v>283</v>
      </c>
      <c r="E1072" s="4">
        <v>66</v>
      </c>
    </row>
    <row r="1073" spans="1:5" ht="19.95" customHeight="1" x14ac:dyDescent="0.3">
      <c r="A1073" s="5" t="s">
        <v>2153</v>
      </c>
      <c r="B1073" s="6" t="s">
        <v>277</v>
      </c>
      <c r="C1073" s="6" t="s">
        <v>2154</v>
      </c>
      <c r="D1073" s="7" t="s">
        <v>283</v>
      </c>
      <c r="E1073" s="8">
        <v>71</v>
      </c>
    </row>
    <row r="1074" spans="1:5" ht="19.95" customHeight="1" x14ac:dyDescent="0.3">
      <c r="A1074" s="1" t="s">
        <v>2155</v>
      </c>
      <c r="B1074" s="2" t="s">
        <v>277</v>
      </c>
      <c r="C1074" s="2" t="s">
        <v>2156</v>
      </c>
      <c r="D1074" s="3" t="s">
        <v>189</v>
      </c>
      <c r="E1074" s="4">
        <v>14</v>
      </c>
    </row>
    <row r="1075" spans="1:5" ht="19.95" customHeight="1" x14ac:dyDescent="0.3">
      <c r="A1075" s="5" t="s">
        <v>2157</v>
      </c>
      <c r="B1075" s="6" t="s">
        <v>277</v>
      </c>
      <c r="C1075" s="6" t="s">
        <v>2158</v>
      </c>
      <c r="D1075" s="7" t="s">
        <v>366</v>
      </c>
      <c r="E1075" s="8">
        <v>220</v>
      </c>
    </row>
    <row r="1076" spans="1:5" ht="19.95" customHeight="1" x14ac:dyDescent="0.3">
      <c r="A1076" s="1" t="s">
        <v>2159</v>
      </c>
      <c r="B1076" s="2" t="s">
        <v>277</v>
      </c>
      <c r="C1076" s="2" t="s">
        <v>2160</v>
      </c>
      <c r="D1076" s="3" t="s">
        <v>366</v>
      </c>
      <c r="E1076" s="4">
        <v>115</v>
      </c>
    </row>
    <row r="1077" spans="1:5" ht="19.95" customHeight="1" x14ac:dyDescent="0.3">
      <c r="A1077" s="5" t="s">
        <v>2161</v>
      </c>
      <c r="B1077" s="6" t="s">
        <v>277</v>
      </c>
      <c r="C1077" s="6" t="s">
        <v>2162</v>
      </c>
      <c r="D1077" s="7" t="s">
        <v>283</v>
      </c>
      <c r="E1077" s="8">
        <v>190</v>
      </c>
    </row>
    <row r="1078" spans="1:5" ht="19.95" customHeight="1" x14ac:dyDescent="0.3">
      <c r="A1078" s="1" t="s">
        <v>2163</v>
      </c>
      <c r="B1078" s="2" t="s">
        <v>277</v>
      </c>
      <c r="C1078" s="2" t="s">
        <v>2164</v>
      </c>
      <c r="D1078" s="3" t="s">
        <v>283</v>
      </c>
      <c r="E1078" s="4">
        <v>210</v>
      </c>
    </row>
    <row r="1079" spans="1:5" ht="19.95" customHeight="1" x14ac:dyDescent="0.3">
      <c r="A1079" s="5" t="s">
        <v>2165</v>
      </c>
      <c r="B1079" s="6" t="s">
        <v>277</v>
      </c>
      <c r="C1079" s="6" t="s">
        <v>2166</v>
      </c>
      <c r="D1079" s="7" t="s">
        <v>283</v>
      </c>
      <c r="E1079" s="8">
        <v>240</v>
      </c>
    </row>
    <row r="1080" spans="1:5" ht="19.95" customHeight="1" x14ac:dyDescent="0.3">
      <c r="A1080" s="1" t="s">
        <v>2167</v>
      </c>
      <c r="B1080" s="2" t="s">
        <v>277</v>
      </c>
      <c r="C1080" s="2" t="s">
        <v>2168</v>
      </c>
      <c r="D1080" s="3" t="s">
        <v>366</v>
      </c>
      <c r="E1080" s="4">
        <v>57</v>
      </c>
    </row>
    <row r="1081" spans="1:5" ht="19.95" customHeight="1" x14ac:dyDescent="0.3">
      <c r="A1081" s="5" t="s">
        <v>2169</v>
      </c>
      <c r="B1081" s="6" t="s">
        <v>277</v>
      </c>
      <c r="C1081" s="6" t="s">
        <v>2170</v>
      </c>
      <c r="D1081" s="7" t="s">
        <v>366</v>
      </c>
      <c r="E1081" s="8">
        <v>67</v>
      </c>
    </row>
    <row r="1082" spans="1:5" ht="19.95" customHeight="1" x14ac:dyDescent="0.3">
      <c r="A1082" s="1" t="s">
        <v>2171</v>
      </c>
      <c r="B1082" s="2" t="s">
        <v>277</v>
      </c>
      <c r="C1082" s="2" t="s">
        <v>2172</v>
      </c>
      <c r="D1082" s="3" t="s">
        <v>366</v>
      </c>
      <c r="E1082" s="4">
        <v>47</v>
      </c>
    </row>
    <row r="1083" spans="1:5" ht="19.95" customHeight="1" x14ac:dyDescent="0.3">
      <c r="A1083" s="5" t="s">
        <v>2173</v>
      </c>
      <c r="B1083" s="6" t="s">
        <v>277</v>
      </c>
      <c r="C1083" s="6" t="s">
        <v>2174</v>
      </c>
      <c r="D1083" s="7" t="s">
        <v>189</v>
      </c>
      <c r="E1083" s="8">
        <v>52</v>
      </c>
    </row>
    <row r="1084" spans="1:5" ht="19.95" customHeight="1" x14ac:dyDescent="0.3">
      <c r="A1084" s="1" t="s">
        <v>2175</v>
      </c>
      <c r="B1084" s="2" t="s">
        <v>277</v>
      </c>
      <c r="C1084" s="2" t="s">
        <v>2176</v>
      </c>
      <c r="D1084" s="3" t="s">
        <v>189</v>
      </c>
      <c r="E1084" s="4">
        <v>30</v>
      </c>
    </row>
    <row r="1085" spans="1:5" ht="19.95" customHeight="1" x14ac:dyDescent="0.3">
      <c r="A1085" s="5" t="s">
        <v>2177</v>
      </c>
      <c r="B1085" s="6" t="s">
        <v>277</v>
      </c>
      <c r="C1085" s="6" t="s">
        <v>2178</v>
      </c>
      <c r="D1085" s="7" t="s">
        <v>369</v>
      </c>
      <c r="E1085" s="8">
        <v>110</v>
      </c>
    </row>
    <row r="1086" spans="1:5" ht="19.95" customHeight="1" x14ac:dyDescent="0.3">
      <c r="A1086" s="1" t="s">
        <v>2179</v>
      </c>
      <c r="B1086" s="2" t="s">
        <v>277</v>
      </c>
      <c r="C1086" s="2" t="s">
        <v>2180</v>
      </c>
      <c r="D1086" s="3" t="s">
        <v>369</v>
      </c>
      <c r="E1086" s="4">
        <v>110</v>
      </c>
    </row>
    <row r="1087" spans="1:5" ht="19.95" customHeight="1" x14ac:dyDescent="0.3">
      <c r="A1087" s="5" t="s">
        <v>2181</v>
      </c>
      <c r="B1087" s="6" t="s">
        <v>277</v>
      </c>
      <c r="C1087" s="6" t="s">
        <v>2182</v>
      </c>
      <c r="D1087" s="7" t="s">
        <v>366</v>
      </c>
      <c r="E1087" s="8">
        <v>285</v>
      </c>
    </row>
    <row r="1088" spans="1:5" ht="19.95" customHeight="1" x14ac:dyDescent="0.3">
      <c r="A1088" s="1" t="s">
        <v>2183</v>
      </c>
      <c r="B1088" s="2" t="s">
        <v>277</v>
      </c>
      <c r="C1088" s="2" t="s">
        <v>2184</v>
      </c>
      <c r="D1088" s="3" t="s">
        <v>366</v>
      </c>
      <c r="E1088" s="4">
        <v>33</v>
      </c>
    </row>
    <row r="1089" spans="1:5" ht="19.95" customHeight="1" x14ac:dyDescent="0.3">
      <c r="A1089" s="5" t="s">
        <v>2185</v>
      </c>
      <c r="B1089" s="6" t="s">
        <v>277</v>
      </c>
      <c r="C1089" s="6" t="s">
        <v>2186</v>
      </c>
      <c r="D1089" s="7" t="s">
        <v>366</v>
      </c>
      <c r="E1089" s="8">
        <v>270</v>
      </c>
    </row>
    <row r="1090" spans="1:5" ht="19.95" customHeight="1" x14ac:dyDescent="0.3">
      <c r="A1090" s="1" t="s">
        <v>2187</v>
      </c>
      <c r="B1090" s="2" t="s">
        <v>277</v>
      </c>
      <c r="C1090" s="2" t="s">
        <v>2188</v>
      </c>
      <c r="D1090" s="3" t="s">
        <v>366</v>
      </c>
      <c r="E1090" s="4">
        <v>210</v>
      </c>
    </row>
    <row r="1091" spans="1:5" ht="19.95" customHeight="1" x14ac:dyDescent="0.3">
      <c r="A1091" s="5" t="s">
        <v>2189</v>
      </c>
      <c r="B1091" s="6" t="s">
        <v>277</v>
      </c>
      <c r="C1091" s="6" t="s">
        <v>2190</v>
      </c>
      <c r="D1091" s="7" t="s">
        <v>366</v>
      </c>
      <c r="E1091" s="8">
        <v>20</v>
      </c>
    </row>
    <row r="1092" spans="1:5" ht="19.95" customHeight="1" x14ac:dyDescent="0.3">
      <c r="A1092" s="1" t="s">
        <v>2191</v>
      </c>
      <c r="B1092" s="2" t="s">
        <v>277</v>
      </c>
      <c r="C1092" s="2" t="s">
        <v>2192</v>
      </c>
      <c r="D1092" s="3" t="s">
        <v>369</v>
      </c>
      <c r="E1092" s="4">
        <v>315</v>
      </c>
    </row>
    <row r="1093" spans="1:5" ht="19.95" customHeight="1" x14ac:dyDescent="0.3">
      <c r="A1093" s="5" t="s">
        <v>2193</v>
      </c>
      <c r="B1093" s="6" t="s">
        <v>277</v>
      </c>
      <c r="C1093" s="6" t="s">
        <v>2194</v>
      </c>
      <c r="D1093" s="7" t="s">
        <v>283</v>
      </c>
      <c r="E1093" s="8">
        <v>650</v>
      </c>
    </row>
    <row r="1094" spans="1:5" ht="19.95" customHeight="1" x14ac:dyDescent="0.3">
      <c r="A1094" s="1" t="s">
        <v>2195</v>
      </c>
      <c r="B1094" s="2" t="s">
        <v>277</v>
      </c>
      <c r="C1094" s="2" t="s">
        <v>2196</v>
      </c>
      <c r="D1094" s="3" t="s">
        <v>169</v>
      </c>
      <c r="E1094" s="4">
        <v>480</v>
      </c>
    </row>
    <row r="1095" spans="1:5" ht="19.95" customHeight="1" x14ac:dyDescent="0.3">
      <c r="A1095" s="5" t="s">
        <v>2197</v>
      </c>
      <c r="B1095" s="6" t="s">
        <v>277</v>
      </c>
      <c r="C1095" s="6" t="s">
        <v>2198</v>
      </c>
      <c r="D1095" s="7" t="s">
        <v>169</v>
      </c>
      <c r="E1095" s="8">
        <v>1430</v>
      </c>
    </row>
    <row r="1096" spans="1:5" ht="19.95" customHeight="1" x14ac:dyDescent="0.3">
      <c r="A1096" s="1" t="s">
        <v>2199</v>
      </c>
      <c r="B1096" s="2" t="s">
        <v>277</v>
      </c>
      <c r="C1096" s="2" t="s">
        <v>2200</v>
      </c>
      <c r="D1096" s="3" t="s">
        <v>169</v>
      </c>
      <c r="E1096" s="4">
        <v>645</v>
      </c>
    </row>
    <row r="1097" spans="1:5" ht="19.95" customHeight="1" x14ac:dyDescent="0.3">
      <c r="A1097" s="5" t="s">
        <v>2201</v>
      </c>
      <c r="B1097" s="6" t="s">
        <v>277</v>
      </c>
      <c r="C1097" s="6" t="s">
        <v>2202</v>
      </c>
      <c r="D1097" s="7" t="s">
        <v>169</v>
      </c>
      <c r="E1097" s="8">
        <v>620</v>
      </c>
    </row>
    <row r="1098" spans="1:5" ht="19.95" customHeight="1" x14ac:dyDescent="0.3">
      <c r="A1098" s="1" t="s">
        <v>2203</v>
      </c>
      <c r="B1098" s="2" t="s">
        <v>277</v>
      </c>
      <c r="C1098" s="2" t="s">
        <v>2204</v>
      </c>
      <c r="D1098" s="3" t="s">
        <v>169</v>
      </c>
      <c r="E1098" s="4">
        <v>900</v>
      </c>
    </row>
    <row r="1099" spans="1:5" ht="19.95" customHeight="1" x14ac:dyDescent="0.3">
      <c r="A1099" s="5" t="s">
        <v>2205</v>
      </c>
      <c r="B1099" s="6" t="s">
        <v>277</v>
      </c>
      <c r="C1099" s="6" t="s">
        <v>2206</v>
      </c>
      <c r="D1099" s="7" t="s">
        <v>18</v>
      </c>
      <c r="E1099" s="8">
        <v>1225</v>
      </c>
    </row>
    <row r="1100" spans="1:5" ht="19.95" customHeight="1" x14ac:dyDescent="0.3">
      <c r="A1100" s="1" t="s">
        <v>2207</v>
      </c>
      <c r="B1100" s="2" t="s">
        <v>277</v>
      </c>
      <c r="C1100" s="2" t="s">
        <v>2208</v>
      </c>
      <c r="D1100" s="3" t="s">
        <v>189</v>
      </c>
      <c r="E1100" s="4">
        <v>210</v>
      </c>
    </row>
    <row r="1101" spans="1:5" ht="19.95" customHeight="1" x14ac:dyDescent="0.3">
      <c r="A1101" s="5" t="s">
        <v>2209</v>
      </c>
      <c r="B1101" s="6" t="s">
        <v>277</v>
      </c>
      <c r="C1101" s="6" t="s">
        <v>2210</v>
      </c>
      <c r="D1101" s="7" t="s">
        <v>189</v>
      </c>
      <c r="E1101" s="8">
        <v>215</v>
      </c>
    </row>
    <row r="1102" spans="1:5" ht="19.95" customHeight="1" x14ac:dyDescent="0.3">
      <c r="A1102" s="1" t="s">
        <v>2211</v>
      </c>
      <c r="B1102" s="2" t="s">
        <v>277</v>
      </c>
      <c r="C1102" s="2" t="s">
        <v>2212</v>
      </c>
      <c r="D1102" s="3" t="s">
        <v>189</v>
      </c>
      <c r="E1102" s="4">
        <v>310</v>
      </c>
    </row>
    <row r="1103" spans="1:5" ht="19.95" customHeight="1" x14ac:dyDescent="0.3">
      <c r="A1103" s="5" t="s">
        <v>2213</v>
      </c>
      <c r="B1103" s="6" t="s">
        <v>277</v>
      </c>
      <c r="C1103" s="6" t="s">
        <v>2214</v>
      </c>
      <c r="D1103" s="7" t="s">
        <v>189</v>
      </c>
      <c r="E1103" s="8">
        <v>715</v>
      </c>
    </row>
    <row r="1104" spans="1:5" ht="19.95" customHeight="1" x14ac:dyDescent="0.3">
      <c r="A1104" s="1" t="s">
        <v>2215</v>
      </c>
      <c r="B1104" s="2" t="s">
        <v>277</v>
      </c>
      <c r="C1104" s="2" t="s">
        <v>2216</v>
      </c>
      <c r="D1104" s="3" t="s">
        <v>189</v>
      </c>
      <c r="E1104" s="4">
        <v>1240</v>
      </c>
    </row>
    <row r="1105" spans="1:5" ht="19.95" customHeight="1" x14ac:dyDescent="0.3">
      <c r="A1105" s="5" t="s">
        <v>2217</v>
      </c>
      <c r="B1105" s="6" t="s">
        <v>277</v>
      </c>
      <c r="C1105" s="6" t="s">
        <v>2218</v>
      </c>
      <c r="D1105" s="7" t="s">
        <v>1620</v>
      </c>
      <c r="E1105" s="8">
        <v>4800</v>
      </c>
    </row>
    <row r="1106" spans="1:5" ht="19.95" customHeight="1" x14ac:dyDescent="0.3">
      <c r="A1106" s="1" t="s">
        <v>2219</v>
      </c>
      <c r="B1106" s="2" t="s">
        <v>277</v>
      </c>
      <c r="C1106" s="2" t="s">
        <v>2220</v>
      </c>
      <c r="D1106" s="3" t="s">
        <v>169</v>
      </c>
      <c r="E1106" s="4">
        <v>155</v>
      </c>
    </row>
    <row r="1107" spans="1:5" ht="19.95" customHeight="1" x14ac:dyDescent="0.3">
      <c r="A1107" s="5" t="s">
        <v>2221</v>
      </c>
      <c r="B1107" s="6" t="s">
        <v>277</v>
      </c>
      <c r="C1107" s="6" t="s">
        <v>2222</v>
      </c>
      <c r="D1107" s="7" t="s">
        <v>283</v>
      </c>
      <c r="E1107" s="8">
        <v>46</v>
      </c>
    </row>
    <row r="1108" spans="1:5" ht="19.95" customHeight="1" x14ac:dyDescent="0.3">
      <c r="A1108" s="1" t="s">
        <v>2223</v>
      </c>
      <c r="B1108" s="2" t="s">
        <v>277</v>
      </c>
      <c r="C1108" s="2" t="s">
        <v>2224</v>
      </c>
      <c r="D1108" s="3" t="s">
        <v>283</v>
      </c>
      <c r="E1108" s="4">
        <v>22</v>
      </c>
    </row>
    <row r="1109" spans="1:5" ht="19.95" customHeight="1" x14ac:dyDescent="0.3">
      <c r="A1109" s="5" t="s">
        <v>2225</v>
      </c>
      <c r="B1109" s="6" t="s">
        <v>277</v>
      </c>
      <c r="C1109" s="6" t="s">
        <v>2226</v>
      </c>
      <c r="D1109" s="7" t="s">
        <v>283</v>
      </c>
      <c r="E1109" s="8">
        <v>38</v>
      </c>
    </row>
    <row r="1110" spans="1:5" ht="19.95" customHeight="1" x14ac:dyDescent="0.3">
      <c r="A1110" s="1" t="s">
        <v>2227</v>
      </c>
      <c r="B1110" s="2" t="s">
        <v>277</v>
      </c>
      <c r="C1110" s="2" t="s">
        <v>2228</v>
      </c>
      <c r="D1110" s="3" t="s">
        <v>283</v>
      </c>
      <c r="E1110" s="4">
        <v>12</v>
      </c>
    </row>
    <row r="1111" spans="1:5" ht="19.95" customHeight="1" x14ac:dyDescent="0.3">
      <c r="A1111" s="5" t="s">
        <v>2229</v>
      </c>
      <c r="B1111" s="6" t="s">
        <v>277</v>
      </c>
      <c r="C1111" s="6" t="s">
        <v>2230</v>
      </c>
      <c r="D1111" s="7" t="s">
        <v>189</v>
      </c>
      <c r="E1111" s="8">
        <v>4</v>
      </c>
    </row>
    <row r="1112" spans="1:5" ht="19.95" customHeight="1" x14ac:dyDescent="0.3">
      <c r="A1112" s="1" t="s">
        <v>2231</v>
      </c>
      <c r="B1112" s="2" t="s">
        <v>277</v>
      </c>
      <c r="C1112" s="2" t="s">
        <v>2232</v>
      </c>
      <c r="D1112" s="3" t="s">
        <v>189</v>
      </c>
      <c r="E1112" s="4">
        <v>3</v>
      </c>
    </row>
    <row r="1113" spans="1:5" ht="19.95" customHeight="1" x14ac:dyDescent="0.3">
      <c r="A1113" s="5" t="s">
        <v>2233</v>
      </c>
      <c r="B1113" s="6" t="s">
        <v>277</v>
      </c>
      <c r="C1113" s="6" t="s">
        <v>2234</v>
      </c>
      <c r="D1113" s="7" t="s">
        <v>366</v>
      </c>
      <c r="E1113" s="8">
        <v>26</v>
      </c>
    </row>
    <row r="1114" spans="1:5" ht="19.95" customHeight="1" x14ac:dyDescent="0.3">
      <c r="A1114" s="1" t="s">
        <v>2235</v>
      </c>
      <c r="B1114" s="2" t="s">
        <v>277</v>
      </c>
      <c r="C1114" s="2" t="s">
        <v>2236</v>
      </c>
      <c r="D1114" s="3" t="s">
        <v>366</v>
      </c>
      <c r="E1114" s="4">
        <v>23</v>
      </c>
    </row>
    <row r="1115" spans="1:5" ht="19.95" customHeight="1" x14ac:dyDescent="0.3">
      <c r="A1115" s="5" t="s">
        <v>2237</v>
      </c>
      <c r="B1115" s="6" t="s">
        <v>277</v>
      </c>
      <c r="C1115" s="6" t="s">
        <v>2238</v>
      </c>
      <c r="D1115" s="7" t="s">
        <v>2239</v>
      </c>
      <c r="E1115" s="8">
        <v>100</v>
      </c>
    </row>
    <row r="1116" spans="1:5" ht="19.95" customHeight="1" x14ac:dyDescent="0.3">
      <c r="A1116" s="1" t="s">
        <v>2240</v>
      </c>
      <c r="B1116" s="2" t="s">
        <v>277</v>
      </c>
      <c r="C1116" s="2" t="s">
        <v>2241</v>
      </c>
      <c r="D1116" s="3" t="s">
        <v>189</v>
      </c>
      <c r="E1116" s="4">
        <v>14</v>
      </c>
    </row>
    <row r="1117" spans="1:5" ht="19.95" customHeight="1" x14ac:dyDescent="0.3">
      <c r="A1117" s="5" t="s">
        <v>2242</v>
      </c>
      <c r="B1117" s="6" t="s">
        <v>277</v>
      </c>
      <c r="C1117" s="6" t="s">
        <v>2243</v>
      </c>
      <c r="D1117" s="7" t="s">
        <v>548</v>
      </c>
      <c r="E1117" s="8">
        <v>58</v>
      </c>
    </row>
    <row r="1118" spans="1:5" ht="19.95" customHeight="1" x14ac:dyDescent="0.3">
      <c r="A1118" s="1" t="s">
        <v>2244</v>
      </c>
      <c r="B1118" s="2" t="s">
        <v>277</v>
      </c>
      <c r="C1118" s="2" t="s">
        <v>2245</v>
      </c>
      <c r="D1118" s="3" t="s">
        <v>369</v>
      </c>
      <c r="E1118" s="4">
        <v>85</v>
      </c>
    </row>
    <row r="1119" spans="1:5" ht="19.95" customHeight="1" x14ac:dyDescent="0.3">
      <c r="A1119" s="5" t="s">
        <v>2246</v>
      </c>
      <c r="B1119" s="6" t="s">
        <v>277</v>
      </c>
      <c r="C1119" s="6" t="s">
        <v>2247</v>
      </c>
      <c r="D1119" s="7" t="s">
        <v>369</v>
      </c>
      <c r="E1119" s="8">
        <v>150</v>
      </c>
    </row>
    <row r="1120" spans="1:5" ht="19.95" customHeight="1" x14ac:dyDescent="0.3">
      <c r="A1120" s="1" t="s">
        <v>2248</v>
      </c>
      <c r="B1120" s="2" t="s">
        <v>277</v>
      </c>
      <c r="C1120" s="2" t="s">
        <v>2249</v>
      </c>
      <c r="D1120" s="3" t="s">
        <v>189</v>
      </c>
      <c r="E1120" s="4">
        <v>7</v>
      </c>
    </row>
    <row r="1121" spans="1:5" ht="19.95" customHeight="1" x14ac:dyDescent="0.3">
      <c r="A1121" s="5" t="s">
        <v>2250</v>
      </c>
      <c r="B1121" s="6" t="s">
        <v>277</v>
      </c>
      <c r="C1121" s="6" t="s">
        <v>2251</v>
      </c>
      <c r="D1121" s="7" t="s">
        <v>357</v>
      </c>
      <c r="E1121" s="8">
        <v>7800</v>
      </c>
    </row>
    <row r="1122" spans="1:5" ht="19.95" customHeight="1" x14ac:dyDescent="0.3">
      <c r="A1122" s="1" t="s">
        <v>2252</v>
      </c>
      <c r="B1122" s="2" t="s">
        <v>277</v>
      </c>
      <c r="C1122" s="2" t="s">
        <v>2253</v>
      </c>
      <c r="D1122" s="3" t="s">
        <v>1620</v>
      </c>
      <c r="E1122" s="4">
        <v>525</v>
      </c>
    </row>
    <row r="1123" spans="1:5" ht="19.95" customHeight="1" x14ac:dyDescent="0.3">
      <c r="A1123" s="5" t="s">
        <v>2254</v>
      </c>
      <c r="B1123" s="6" t="s">
        <v>277</v>
      </c>
      <c r="C1123" s="6" t="s">
        <v>2255</v>
      </c>
      <c r="D1123" s="7" t="s">
        <v>2256</v>
      </c>
      <c r="E1123" s="8">
        <v>165</v>
      </c>
    </row>
    <row r="1124" spans="1:5" ht="19.95" customHeight="1" x14ac:dyDescent="0.3">
      <c r="A1124" s="1" t="s">
        <v>2257</v>
      </c>
      <c r="B1124" s="2" t="s">
        <v>277</v>
      </c>
      <c r="C1124" s="2" t="s">
        <v>2258</v>
      </c>
      <c r="D1124" s="3" t="s">
        <v>279</v>
      </c>
      <c r="E1124" s="4">
        <v>105</v>
      </c>
    </row>
    <row r="1125" spans="1:5" ht="19.95" customHeight="1" x14ac:dyDescent="0.3">
      <c r="A1125" s="5" t="s">
        <v>2259</v>
      </c>
      <c r="B1125" s="6" t="s">
        <v>277</v>
      </c>
      <c r="C1125" s="6" t="s">
        <v>2260</v>
      </c>
      <c r="D1125" s="7" t="s">
        <v>169</v>
      </c>
      <c r="E1125" s="8">
        <v>410</v>
      </c>
    </row>
    <row r="1126" spans="1:5" ht="19.95" customHeight="1" x14ac:dyDescent="0.3">
      <c r="A1126" s="1" t="s">
        <v>2261</v>
      </c>
      <c r="B1126" s="2" t="s">
        <v>277</v>
      </c>
      <c r="C1126" s="2" t="s">
        <v>2262</v>
      </c>
      <c r="D1126" s="3" t="s">
        <v>169</v>
      </c>
      <c r="E1126" s="4">
        <v>250</v>
      </c>
    </row>
    <row r="1127" spans="1:5" ht="19.95" customHeight="1" x14ac:dyDescent="0.3">
      <c r="A1127" s="5" t="s">
        <v>2263</v>
      </c>
      <c r="B1127" s="6" t="s">
        <v>277</v>
      </c>
      <c r="C1127" s="6" t="s">
        <v>2264</v>
      </c>
      <c r="D1127" s="7" t="s">
        <v>169</v>
      </c>
      <c r="E1127" s="8">
        <v>275</v>
      </c>
    </row>
    <row r="1128" spans="1:5" ht="19.95" customHeight="1" x14ac:dyDescent="0.3">
      <c r="A1128" s="1" t="s">
        <v>2265</v>
      </c>
      <c r="B1128" s="2" t="s">
        <v>277</v>
      </c>
      <c r="C1128" s="2" t="s">
        <v>2266</v>
      </c>
      <c r="D1128" s="3" t="s">
        <v>169</v>
      </c>
      <c r="E1128" s="4">
        <v>460</v>
      </c>
    </row>
    <row r="1129" spans="1:5" ht="19.95" customHeight="1" x14ac:dyDescent="0.3">
      <c r="A1129" s="5" t="s">
        <v>2267</v>
      </c>
      <c r="B1129" s="6" t="s">
        <v>277</v>
      </c>
      <c r="C1129" s="6" t="s">
        <v>2268</v>
      </c>
      <c r="D1129" s="7" t="s">
        <v>283</v>
      </c>
      <c r="E1129" s="8">
        <v>76</v>
      </c>
    </row>
    <row r="1130" spans="1:5" ht="19.95" customHeight="1" x14ac:dyDescent="0.3">
      <c r="A1130" s="1" t="s">
        <v>2269</v>
      </c>
      <c r="B1130" s="2" t="s">
        <v>277</v>
      </c>
      <c r="C1130" s="2" t="s">
        <v>2270</v>
      </c>
      <c r="D1130" s="3" t="s">
        <v>283</v>
      </c>
      <c r="E1130" s="4">
        <v>72</v>
      </c>
    </row>
    <row r="1131" spans="1:5" ht="19.95" customHeight="1" x14ac:dyDescent="0.3">
      <c r="A1131" s="5" t="s">
        <v>2271</v>
      </c>
      <c r="B1131" s="6" t="s">
        <v>277</v>
      </c>
      <c r="C1131" s="6" t="s">
        <v>2272</v>
      </c>
      <c r="D1131" s="7" t="s">
        <v>189</v>
      </c>
      <c r="E1131" s="8">
        <v>7</v>
      </c>
    </row>
    <row r="1132" spans="1:5" ht="19.95" customHeight="1" x14ac:dyDescent="0.3">
      <c r="A1132" s="1" t="s">
        <v>2273</v>
      </c>
      <c r="B1132" s="2" t="s">
        <v>277</v>
      </c>
      <c r="C1132" s="2" t="s">
        <v>2274</v>
      </c>
      <c r="D1132" s="3" t="s">
        <v>189</v>
      </c>
      <c r="E1132" s="4">
        <v>8</v>
      </c>
    </row>
    <row r="1133" spans="1:5" ht="19.95" customHeight="1" x14ac:dyDescent="0.3">
      <c r="A1133" s="5" t="s">
        <v>2275</v>
      </c>
      <c r="B1133" s="6" t="s">
        <v>277</v>
      </c>
      <c r="C1133" s="6" t="s">
        <v>2276</v>
      </c>
      <c r="D1133" s="7" t="s">
        <v>548</v>
      </c>
      <c r="E1133" s="8">
        <v>48</v>
      </c>
    </row>
    <row r="1134" spans="1:5" ht="19.95" customHeight="1" x14ac:dyDescent="0.3">
      <c r="A1134" s="1" t="s">
        <v>2277</v>
      </c>
      <c r="B1134" s="2" t="s">
        <v>277</v>
      </c>
      <c r="C1134" s="2" t="s">
        <v>2278</v>
      </c>
      <c r="D1134" s="3" t="s">
        <v>283</v>
      </c>
      <c r="E1134" s="4">
        <v>42</v>
      </c>
    </row>
    <row r="1135" spans="1:5" ht="19.95" customHeight="1" x14ac:dyDescent="0.3">
      <c r="A1135" s="5" t="s">
        <v>2279</v>
      </c>
      <c r="B1135" s="6" t="s">
        <v>277</v>
      </c>
      <c r="C1135" s="6" t="s">
        <v>2280</v>
      </c>
      <c r="D1135" s="7" t="s">
        <v>283</v>
      </c>
      <c r="E1135" s="8">
        <v>54</v>
      </c>
    </row>
    <row r="1136" spans="1:5" ht="19.95" customHeight="1" x14ac:dyDescent="0.3">
      <c r="A1136" s="1" t="s">
        <v>2281</v>
      </c>
      <c r="B1136" s="2" t="s">
        <v>277</v>
      </c>
      <c r="C1136" s="2" t="s">
        <v>2282</v>
      </c>
      <c r="D1136" s="3" t="s">
        <v>169</v>
      </c>
      <c r="E1136" s="4">
        <v>1300</v>
      </c>
    </row>
    <row r="1137" spans="1:5" ht="19.95" customHeight="1" x14ac:dyDescent="0.3">
      <c r="A1137" s="5" t="s">
        <v>2283</v>
      </c>
      <c r="B1137" s="6" t="s">
        <v>277</v>
      </c>
      <c r="C1137" s="6" t="s">
        <v>2284</v>
      </c>
      <c r="D1137" s="7" t="s">
        <v>169</v>
      </c>
      <c r="E1137" s="8">
        <v>1375</v>
      </c>
    </row>
    <row r="1138" spans="1:5" ht="19.95" customHeight="1" x14ac:dyDescent="0.3">
      <c r="A1138" s="1" t="s">
        <v>2285</v>
      </c>
      <c r="B1138" s="2" t="s">
        <v>277</v>
      </c>
      <c r="C1138" s="2" t="s">
        <v>2286</v>
      </c>
      <c r="D1138" s="3" t="s">
        <v>283</v>
      </c>
      <c r="E1138" s="4">
        <v>450</v>
      </c>
    </row>
    <row r="1139" spans="1:5" ht="19.95" customHeight="1" x14ac:dyDescent="0.3">
      <c r="A1139" s="5" t="s">
        <v>2287</v>
      </c>
      <c r="B1139" s="6" t="s">
        <v>277</v>
      </c>
      <c r="C1139" s="6" t="s">
        <v>2288</v>
      </c>
      <c r="D1139" s="7" t="s">
        <v>283</v>
      </c>
      <c r="E1139" s="8">
        <v>560</v>
      </c>
    </row>
    <row r="1140" spans="1:5" ht="19.95" customHeight="1" x14ac:dyDescent="0.3">
      <c r="A1140" s="1" t="s">
        <v>2289</v>
      </c>
      <c r="B1140" s="2" t="s">
        <v>277</v>
      </c>
      <c r="C1140" s="2" t="s">
        <v>2290</v>
      </c>
      <c r="D1140" s="3" t="s">
        <v>189</v>
      </c>
      <c r="E1140" s="4">
        <v>25</v>
      </c>
    </row>
    <row r="1141" spans="1:5" ht="19.95" customHeight="1" x14ac:dyDescent="0.3">
      <c r="A1141" s="5" t="s">
        <v>2291</v>
      </c>
      <c r="B1141" s="6" t="s">
        <v>277</v>
      </c>
      <c r="C1141" s="6" t="s">
        <v>2292</v>
      </c>
      <c r="D1141" s="7" t="s">
        <v>283</v>
      </c>
      <c r="E1141" s="8">
        <v>14</v>
      </c>
    </row>
    <row r="1142" spans="1:5" ht="19.95" customHeight="1" x14ac:dyDescent="0.3">
      <c r="A1142" s="1" t="s">
        <v>2293</v>
      </c>
      <c r="B1142" s="2" t="s">
        <v>277</v>
      </c>
      <c r="C1142" s="2" t="s">
        <v>2294</v>
      </c>
      <c r="D1142" s="3" t="s">
        <v>169</v>
      </c>
      <c r="E1142" s="4">
        <v>60</v>
      </c>
    </row>
    <row r="1143" spans="1:5" ht="19.95" customHeight="1" x14ac:dyDescent="0.3">
      <c r="A1143" s="5" t="s">
        <v>2295</v>
      </c>
      <c r="B1143" s="6" t="s">
        <v>277</v>
      </c>
      <c r="C1143" s="6" t="s">
        <v>2296</v>
      </c>
      <c r="D1143" s="7" t="s">
        <v>169</v>
      </c>
      <c r="E1143" s="8">
        <v>400</v>
      </c>
    </row>
    <row r="1144" spans="1:5" ht="19.95" customHeight="1" x14ac:dyDescent="0.3">
      <c r="A1144" s="1" t="s">
        <v>2297</v>
      </c>
      <c r="B1144" s="2" t="s">
        <v>277</v>
      </c>
      <c r="C1144" s="2" t="s">
        <v>2298</v>
      </c>
      <c r="D1144" s="3" t="s">
        <v>169</v>
      </c>
      <c r="E1144" s="4">
        <v>26</v>
      </c>
    </row>
    <row r="1145" spans="1:5" ht="19.95" customHeight="1" x14ac:dyDescent="0.3">
      <c r="A1145" s="5" t="s">
        <v>2299</v>
      </c>
      <c r="B1145" s="6" t="s">
        <v>277</v>
      </c>
      <c r="C1145" s="6" t="s">
        <v>2300</v>
      </c>
      <c r="D1145" s="7" t="s">
        <v>169</v>
      </c>
      <c r="E1145" s="8">
        <v>14</v>
      </c>
    </row>
    <row r="1146" spans="1:5" ht="19.95" customHeight="1" x14ac:dyDescent="0.3">
      <c r="A1146" s="1" t="s">
        <v>2301</v>
      </c>
      <c r="B1146" s="2" t="s">
        <v>277</v>
      </c>
      <c r="C1146" s="2" t="s">
        <v>2302</v>
      </c>
      <c r="D1146" s="3" t="s">
        <v>169</v>
      </c>
      <c r="E1146" s="4">
        <v>480</v>
      </c>
    </row>
    <row r="1147" spans="1:5" ht="19.95" customHeight="1" x14ac:dyDescent="0.3">
      <c r="A1147" s="5" t="s">
        <v>2303</v>
      </c>
      <c r="B1147" s="6" t="s">
        <v>277</v>
      </c>
      <c r="C1147" s="6" t="s">
        <v>2304</v>
      </c>
      <c r="D1147" s="7" t="s">
        <v>283</v>
      </c>
      <c r="E1147" s="8">
        <v>100</v>
      </c>
    </row>
    <row r="1148" spans="1:5" ht="19.95" customHeight="1" x14ac:dyDescent="0.3">
      <c r="A1148" s="1" t="s">
        <v>2305</v>
      </c>
      <c r="B1148" s="2" t="s">
        <v>277</v>
      </c>
      <c r="C1148" s="2" t="s">
        <v>2306</v>
      </c>
      <c r="D1148" s="3" t="s">
        <v>189</v>
      </c>
      <c r="E1148" s="4">
        <v>40</v>
      </c>
    </row>
    <row r="1149" spans="1:5" ht="19.95" customHeight="1" x14ac:dyDescent="0.3">
      <c r="A1149" s="5" t="s">
        <v>2307</v>
      </c>
      <c r="B1149" s="6" t="s">
        <v>277</v>
      </c>
      <c r="C1149" s="6" t="s">
        <v>2308</v>
      </c>
      <c r="D1149" s="7" t="s">
        <v>189</v>
      </c>
      <c r="E1149" s="8">
        <v>560</v>
      </c>
    </row>
    <row r="1150" spans="1:5" ht="19.95" customHeight="1" x14ac:dyDescent="0.3">
      <c r="A1150" s="1" t="s">
        <v>2309</v>
      </c>
      <c r="B1150" s="2" t="s">
        <v>277</v>
      </c>
      <c r="C1150" s="2" t="s">
        <v>2310</v>
      </c>
      <c r="D1150" s="3" t="s">
        <v>189</v>
      </c>
      <c r="E1150" s="4">
        <v>35</v>
      </c>
    </row>
    <row r="1151" spans="1:5" ht="19.95" customHeight="1" x14ac:dyDescent="0.3">
      <c r="A1151" s="5" t="s">
        <v>2311</v>
      </c>
      <c r="B1151" s="6" t="s">
        <v>277</v>
      </c>
      <c r="C1151" s="6" t="s">
        <v>2312</v>
      </c>
      <c r="D1151" s="7" t="s">
        <v>189</v>
      </c>
      <c r="E1151" s="8">
        <v>30</v>
      </c>
    </row>
    <row r="1152" spans="1:5" ht="19.95" customHeight="1" x14ac:dyDescent="0.3">
      <c r="A1152" s="1" t="s">
        <v>2313</v>
      </c>
      <c r="B1152" s="2" t="s">
        <v>277</v>
      </c>
      <c r="C1152" s="2" t="s">
        <v>2314</v>
      </c>
      <c r="D1152" s="3" t="s">
        <v>189</v>
      </c>
      <c r="E1152" s="4">
        <v>25</v>
      </c>
    </row>
    <row r="1153" spans="1:5" ht="19.95" customHeight="1" x14ac:dyDescent="0.3">
      <c r="A1153" s="5" t="s">
        <v>2315</v>
      </c>
      <c r="B1153" s="6" t="s">
        <v>277</v>
      </c>
      <c r="C1153" s="6" t="s">
        <v>2316</v>
      </c>
      <c r="D1153" s="7" t="s">
        <v>169</v>
      </c>
      <c r="E1153" s="8">
        <v>500</v>
      </c>
    </row>
    <row r="1154" spans="1:5" ht="19.95" customHeight="1" x14ac:dyDescent="0.3">
      <c r="A1154" s="1" t="s">
        <v>2317</v>
      </c>
      <c r="B1154" s="2" t="s">
        <v>277</v>
      </c>
      <c r="C1154" s="2" t="s">
        <v>2318</v>
      </c>
      <c r="D1154" s="3" t="s">
        <v>169</v>
      </c>
      <c r="E1154" s="4">
        <v>400</v>
      </c>
    </row>
    <row r="1155" spans="1:5" ht="19.95" customHeight="1" x14ac:dyDescent="0.3">
      <c r="A1155" s="5" t="s">
        <v>2319</v>
      </c>
      <c r="B1155" s="6" t="s">
        <v>277</v>
      </c>
      <c r="C1155" s="6" t="s">
        <v>2320</v>
      </c>
      <c r="D1155" s="7" t="s">
        <v>169</v>
      </c>
      <c r="E1155" s="8">
        <v>600</v>
      </c>
    </row>
    <row r="1156" spans="1:5" ht="19.95" customHeight="1" x14ac:dyDescent="0.3">
      <c r="A1156" s="1" t="s">
        <v>2321</v>
      </c>
      <c r="B1156" s="2" t="s">
        <v>277</v>
      </c>
      <c r="C1156" s="2" t="s">
        <v>2322</v>
      </c>
      <c r="D1156" s="3" t="s">
        <v>189</v>
      </c>
      <c r="E1156" s="4">
        <v>6000</v>
      </c>
    </row>
    <row r="1157" spans="1:5" ht="19.95" customHeight="1" x14ac:dyDescent="0.3">
      <c r="A1157" s="5" t="s">
        <v>2323</v>
      </c>
      <c r="B1157" s="6" t="s">
        <v>277</v>
      </c>
      <c r="C1157" s="6" t="s">
        <v>2324</v>
      </c>
      <c r="D1157" s="7" t="s">
        <v>189</v>
      </c>
      <c r="E1157" s="8">
        <v>1900</v>
      </c>
    </row>
    <row r="1158" spans="1:5" ht="19.95" customHeight="1" x14ac:dyDescent="0.3">
      <c r="A1158" s="1" t="s">
        <v>2325</v>
      </c>
      <c r="B1158" s="2" t="s">
        <v>277</v>
      </c>
      <c r="C1158" s="2" t="s">
        <v>2326</v>
      </c>
      <c r="D1158" s="3" t="s">
        <v>189</v>
      </c>
      <c r="E1158" s="4">
        <v>9650</v>
      </c>
    </row>
    <row r="1159" spans="1:5" ht="19.95" customHeight="1" x14ac:dyDescent="0.3">
      <c r="A1159" s="5" t="s">
        <v>2327</v>
      </c>
      <c r="B1159" s="6" t="s">
        <v>277</v>
      </c>
      <c r="C1159" s="6" t="s">
        <v>2328</v>
      </c>
      <c r="D1159" s="7" t="s">
        <v>189</v>
      </c>
      <c r="E1159" s="8">
        <v>2290</v>
      </c>
    </row>
    <row r="1160" spans="1:5" ht="19.95" customHeight="1" x14ac:dyDescent="0.3">
      <c r="A1160" s="1" t="s">
        <v>2329</v>
      </c>
      <c r="B1160" s="2" t="s">
        <v>277</v>
      </c>
      <c r="C1160" s="2" t="s">
        <v>2330</v>
      </c>
      <c r="D1160" s="3" t="s">
        <v>189</v>
      </c>
      <c r="E1160" s="4">
        <v>4500</v>
      </c>
    </row>
    <row r="1161" spans="1:5" ht="19.95" customHeight="1" x14ac:dyDescent="0.3">
      <c r="A1161" s="5" t="s">
        <v>2331</v>
      </c>
      <c r="B1161" s="6" t="s">
        <v>277</v>
      </c>
      <c r="C1161" s="6" t="s">
        <v>2332</v>
      </c>
      <c r="D1161" s="7" t="s">
        <v>279</v>
      </c>
      <c r="E1161" s="8">
        <v>520</v>
      </c>
    </row>
    <row r="1162" spans="1:5" ht="19.95" customHeight="1" x14ac:dyDescent="0.3">
      <c r="A1162" s="1" t="s">
        <v>2333</v>
      </c>
      <c r="B1162" s="2" t="s">
        <v>277</v>
      </c>
      <c r="C1162" s="2" t="s">
        <v>2334</v>
      </c>
      <c r="D1162" s="3" t="s">
        <v>189</v>
      </c>
      <c r="E1162" s="4">
        <v>570</v>
      </c>
    </row>
    <row r="1163" spans="1:5" ht="19.95" customHeight="1" x14ac:dyDescent="0.3">
      <c r="A1163" s="5" t="s">
        <v>2335</v>
      </c>
      <c r="B1163" s="6" t="s">
        <v>277</v>
      </c>
      <c r="C1163" s="6" t="s">
        <v>2336</v>
      </c>
      <c r="D1163" s="7" t="s">
        <v>169</v>
      </c>
      <c r="E1163" s="8">
        <v>125</v>
      </c>
    </row>
    <row r="1164" spans="1:5" ht="19.95" customHeight="1" x14ac:dyDescent="0.3">
      <c r="A1164" s="1" t="s">
        <v>2337</v>
      </c>
      <c r="B1164" s="2" t="s">
        <v>277</v>
      </c>
      <c r="C1164" s="2" t="s">
        <v>2338</v>
      </c>
      <c r="D1164" s="3" t="s">
        <v>169</v>
      </c>
      <c r="E1164" s="4">
        <v>150</v>
      </c>
    </row>
    <row r="1165" spans="1:5" ht="19.95" customHeight="1" x14ac:dyDescent="0.3">
      <c r="A1165" s="5" t="s">
        <v>2339</v>
      </c>
      <c r="B1165" s="6" t="s">
        <v>277</v>
      </c>
      <c r="C1165" s="6" t="s">
        <v>2340</v>
      </c>
      <c r="D1165" s="7" t="s">
        <v>189</v>
      </c>
      <c r="E1165" s="8">
        <v>2480</v>
      </c>
    </row>
    <row r="1166" spans="1:5" ht="19.95" customHeight="1" x14ac:dyDescent="0.3">
      <c r="A1166" s="1" t="s">
        <v>2341</v>
      </c>
      <c r="B1166" s="2" t="s">
        <v>277</v>
      </c>
      <c r="C1166" s="2" t="s">
        <v>2340</v>
      </c>
      <c r="D1166" s="3" t="s">
        <v>189</v>
      </c>
      <c r="E1166" s="4">
        <v>3000</v>
      </c>
    </row>
    <row r="1167" spans="1:5" ht="19.95" customHeight="1" x14ac:dyDescent="0.3">
      <c r="A1167" s="5" t="s">
        <v>2342</v>
      </c>
      <c r="B1167" s="6" t="s">
        <v>277</v>
      </c>
      <c r="C1167" s="6" t="s">
        <v>2340</v>
      </c>
      <c r="D1167" s="7" t="s">
        <v>189</v>
      </c>
      <c r="E1167" s="8">
        <v>2800</v>
      </c>
    </row>
    <row r="1168" spans="1:5" ht="19.95" customHeight="1" x14ac:dyDescent="0.3">
      <c r="A1168" s="1" t="s">
        <v>2343</v>
      </c>
      <c r="B1168" s="2" t="s">
        <v>277</v>
      </c>
      <c r="C1168" s="2" t="s">
        <v>2344</v>
      </c>
      <c r="D1168" s="3" t="s">
        <v>189</v>
      </c>
      <c r="E1168" s="4">
        <v>2500</v>
      </c>
    </row>
    <row r="1169" spans="1:5" ht="19.95" customHeight="1" x14ac:dyDescent="0.3">
      <c r="A1169" s="5" t="s">
        <v>2345</v>
      </c>
      <c r="B1169" s="6" t="s">
        <v>277</v>
      </c>
      <c r="C1169" s="6" t="s">
        <v>2346</v>
      </c>
      <c r="D1169" s="7" t="s">
        <v>189</v>
      </c>
      <c r="E1169" s="8">
        <v>1800</v>
      </c>
    </row>
    <row r="1170" spans="1:5" ht="19.95" customHeight="1" x14ac:dyDescent="0.3">
      <c r="A1170" s="1" t="s">
        <v>2347</v>
      </c>
      <c r="B1170" s="2" t="s">
        <v>277</v>
      </c>
      <c r="C1170" s="2" t="s">
        <v>2348</v>
      </c>
      <c r="D1170" s="3" t="s">
        <v>189</v>
      </c>
      <c r="E1170" s="4">
        <v>1200</v>
      </c>
    </row>
    <row r="1171" spans="1:5" ht="19.95" customHeight="1" x14ac:dyDescent="0.3">
      <c r="A1171" s="5" t="s">
        <v>2349</v>
      </c>
      <c r="B1171" s="6" t="s">
        <v>277</v>
      </c>
      <c r="C1171" s="6" t="s">
        <v>2350</v>
      </c>
      <c r="D1171" s="7" t="s">
        <v>189</v>
      </c>
      <c r="E1171" s="8">
        <v>1050</v>
      </c>
    </row>
    <row r="1172" spans="1:5" ht="19.95" customHeight="1" x14ac:dyDescent="0.3">
      <c r="A1172" s="1" t="s">
        <v>2351</v>
      </c>
      <c r="B1172" s="2" t="s">
        <v>277</v>
      </c>
      <c r="C1172" s="2" t="s">
        <v>2352</v>
      </c>
      <c r="D1172" s="3" t="s">
        <v>189</v>
      </c>
      <c r="E1172" s="4">
        <v>1830</v>
      </c>
    </row>
    <row r="1173" spans="1:5" ht="19.95" customHeight="1" x14ac:dyDescent="0.3">
      <c r="A1173" s="5" t="s">
        <v>2353</v>
      </c>
      <c r="B1173" s="6" t="s">
        <v>277</v>
      </c>
      <c r="C1173" s="6" t="s">
        <v>2354</v>
      </c>
      <c r="D1173" s="7" t="s">
        <v>189</v>
      </c>
      <c r="E1173" s="8">
        <v>860</v>
      </c>
    </row>
    <row r="1174" spans="1:5" ht="19.95" customHeight="1" x14ac:dyDescent="0.3">
      <c r="A1174" s="1" t="s">
        <v>2355</v>
      </c>
      <c r="B1174" s="2" t="s">
        <v>277</v>
      </c>
      <c r="C1174" s="2" t="s">
        <v>2356</v>
      </c>
      <c r="D1174" s="3" t="s">
        <v>189</v>
      </c>
      <c r="E1174" s="4">
        <v>1050</v>
      </c>
    </row>
    <row r="1175" spans="1:5" ht="19.95" customHeight="1" x14ac:dyDescent="0.3">
      <c r="A1175" s="5" t="s">
        <v>2357</v>
      </c>
      <c r="B1175" s="6" t="s">
        <v>277</v>
      </c>
      <c r="C1175" s="6" t="s">
        <v>2358</v>
      </c>
      <c r="D1175" s="7" t="s">
        <v>189</v>
      </c>
      <c r="E1175" s="8">
        <v>390</v>
      </c>
    </row>
    <row r="1176" spans="1:5" ht="19.95" customHeight="1" x14ac:dyDescent="0.3">
      <c r="A1176" s="1" t="s">
        <v>2359</v>
      </c>
      <c r="B1176" s="2" t="s">
        <v>277</v>
      </c>
      <c r="C1176" s="2" t="s">
        <v>2360</v>
      </c>
      <c r="D1176" s="3" t="s">
        <v>189</v>
      </c>
      <c r="E1176" s="4">
        <v>430</v>
      </c>
    </row>
    <row r="1177" spans="1:5" ht="19.95" customHeight="1" x14ac:dyDescent="0.3">
      <c r="A1177" s="5" t="s">
        <v>2361</v>
      </c>
      <c r="B1177" s="6" t="s">
        <v>277</v>
      </c>
      <c r="C1177" s="6" t="s">
        <v>2362</v>
      </c>
      <c r="D1177" s="7" t="s">
        <v>189</v>
      </c>
      <c r="E1177" s="8">
        <v>290</v>
      </c>
    </row>
    <row r="1178" spans="1:5" ht="19.95" customHeight="1" x14ac:dyDescent="0.3">
      <c r="A1178" s="1" t="s">
        <v>2363</v>
      </c>
      <c r="B1178" s="2" t="s">
        <v>277</v>
      </c>
      <c r="C1178" s="2" t="s">
        <v>2364</v>
      </c>
      <c r="D1178" s="3" t="s">
        <v>189</v>
      </c>
      <c r="E1178" s="4">
        <v>340</v>
      </c>
    </row>
    <row r="1179" spans="1:5" ht="19.95" customHeight="1" x14ac:dyDescent="0.3">
      <c r="A1179" s="5" t="s">
        <v>2365</v>
      </c>
      <c r="B1179" s="6" t="s">
        <v>277</v>
      </c>
      <c r="C1179" s="6" t="s">
        <v>2366</v>
      </c>
      <c r="D1179" s="7" t="s">
        <v>189</v>
      </c>
      <c r="E1179" s="8">
        <v>670</v>
      </c>
    </row>
    <row r="1180" spans="1:5" ht="19.95" customHeight="1" x14ac:dyDescent="0.3">
      <c r="A1180" s="1" t="s">
        <v>2367</v>
      </c>
      <c r="B1180" s="2" t="s">
        <v>277</v>
      </c>
      <c r="C1180" s="2" t="s">
        <v>2368</v>
      </c>
      <c r="D1180" s="3" t="s">
        <v>169</v>
      </c>
      <c r="E1180" s="4">
        <v>115</v>
      </c>
    </row>
    <row r="1181" spans="1:5" ht="19.95" customHeight="1" x14ac:dyDescent="0.3">
      <c r="A1181" s="5" t="s">
        <v>2369</v>
      </c>
      <c r="B1181" s="6" t="s">
        <v>277</v>
      </c>
      <c r="C1181" s="6" t="s">
        <v>2370</v>
      </c>
      <c r="D1181" s="7" t="s">
        <v>189</v>
      </c>
      <c r="E1181" s="8">
        <v>25</v>
      </c>
    </row>
    <row r="1182" spans="1:5" ht="19.95" customHeight="1" x14ac:dyDescent="0.3">
      <c r="A1182" s="1" t="s">
        <v>2371</v>
      </c>
      <c r="B1182" s="2" t="s">
        <v>277</v>
      </c>
      <c r="C1182" s="2" t="s">
        <v>2372</v>
      </c>
      <c r="D1182" s="3" t="s">
        <v>189</v>
      </c>
      <c r="E1182" s="4">
        <v>33</v>
      </c>
    </row>
    <row r="1183" spans="1:5" ht="19.95" customHeight="1" x14ac:dyDescent="0.3">
      <c r="A1183" s="5" t="s">
        <v>2373</v>
      </c>
      <c r="B1183" s="6" t="s">
        <v>277</v>
      </c>
      <c r="C1183" s="6" t="s">
        <v>2374</v>
      </c>
      <c r="D1183" s="7" t="s">
        <v>189</v>
      </c>
      <c r="E1183" s="8">
        <v>35</v>
      </c>
    </row>
    <row r="1184" spans="1:5" ht="19.95" customHeight="1" x14ac:dyDescent="0.3">
      <c r="A1184" s="1" t="s">
        <v>2375</v>
      </c>
      <c r="B1184" s="2" t="s">
        <v>277</v>
      </c>
      <c r="C1184" s="2" t="s">
        <v>2376</v>
      </c>
      <c r="D1184" s="3" t="s">
        <v>189</v>
      </c>
      <c r="E1184" s="4">
        <v>35</v>
      </c>
    </row>
    <row r="1185" spans="1:5" ht="19.95" customHeight="1" x14ac:dyDescent="0.3">
      <c r="A1185" s="5" t="s">
        <v>2377</v>
      </c>
      <c r="B1185" s="6" t="s">
        <v>277</v>
      </c>
      <c r="C1185" s="6" t="s">
        <v>2378</v>
      </c>
      <c r="D1185" s="7" t="s">
        <v>189</v>
      </c>
      <c r="E1185" s="8">
        <v>620</v>
      </c>
    </row>
    <row r="1186" spans="1:5" ht="19.95" customHeight="1" x14ac:dyDescent="0.3">
      <c r="A1186" s="1" t="s">
        <v>2379</v>
      </c>
      <c r="B1186" s="2" t="s">
        <v>277</v>
      </c>
      <c r="C1186" s="2" t="s">
        <v>2380</v>
      </c>
      <c r="D1186" s="3" t="s">
        <v>189</v>
      </c>
      <c r="E1186" s="4">
        <v>4500</v>
      </c>
    </row>
    <row r="1187" spans="1:5" ht="19.95" customHeight="1" x14ac:dyDescent="0.3">
      <c r="A1187" s="5" t="s">
        <v>2381</v>
      </c>
      <c r="B1187" s="6" t="s">
        <v>277</v>
      </c>
      <c r="C1187" s="6" t="s">
        <v>2382</v>
      </c>
      <c r="D1187" s="7" t="s">
        <v>189</v>
      </c>
      <c r="E1187" s="8">
        <v>550</v>
      </c>
    </row>
    <row r="1188" spans="1:5" ht="19.95" customHeight="1" x14ac:dyDescent="0.3">
      <c r="A1188" s="1" t="s">
        <v>2383</v>
      </c>
      <c r="B1188" s="2" t="s">
        <v>277</v>
      </c>
      <c r="C1188" s="2" t="s">
        <v>2384</v>
      </c>
      <c r="D1188" s="3" t="s">
        <v>189</v>
      </c>
      <c r="E1188" s="4">
        <v>700</v>
      </c>
    </row>
    <row r="1189" spans="1:5" ht="19.95" customHeight="1" x14ac:dyDescent="0.3">
      <c r="A1189" s="5" t="s">
        <v>2385</v>
      </c>
      <c r="B1189" s="6" t="s">
        <v>277</v>
      </c>
      <c r="C1189" s="6" t="s">
        <v>2386</v>
      </c>
      <c r="D1189" s="7" t="s">
        <v>189</v>
      </c>
      <c r="E1189" s="8">
        <v>1150</v>
      </c>
    </row>
    <row r="1190" spans="1:5" ht="19.95" customHeight="1" x14ac:dyDescent="0.3">
      <c r="A1190" s="1" t="s">
        <v>2387</v>
      </c>
      <c r="B1190" s="2" t="s">
        <v>277</v>
      </c>
      <c r="C1190" s="2" t="s">
        <v>2388</v>
      </c>
      <c r="D1190" s="3" t="s">
        <v>189</v>
      </c>
      <c r="E1190" s="4">
        <v>185</v>
      </c>
    </row>
    <row r="1191" spans="1:5" ht="19.95" customHeight="1" x14ac:dyDescent="0.3">
      <c r="A1191" s="5" t="s">
        <v>2389</v>
      </c>
      <c r="B1191" s="6" t="s">
        <v>277</v>
      </c>
      <c r="C1191" s="6" t="s">
        <v>2390</v>
      </c>
      <c r="D1191" s="7" t="s">
        <v>189</v>
      </c>
      <c r="E1191" s="8">
        <v>240</v>
      </c>
    </row>
    <row r="1192" spans="1:5" ht="19.95" customHeight="1" x14ac:dyDescent="0.3">
      <c r="A1192" s="1" t="s">
        <v>2391</v>
      </c>
      <c r="B1192" s="2" t="s">
        <v>277</v>
      </c>
      <c r="C1192" s="2" t="s">
        <v>2392</v>
      </c>
      <c r="D1192" s="3" t="s">
        <v>189</v>
      </c>
      <c r="E1192" s="4">
        <v>675</v>
      </c>
    </row>
    <row r="1193" spans="1:5" ht="19.95" customHeight="1" x14ac:dyDescent="0.3">
      <c r="A1193" s="5" t="s">
        <v>2393</v>
      </c>
      <c r="B1193" s="6" t="s">
        <v>277</v>
      </c>
      <c r="C1193" s="6" t="s">
        <v>2394</v>
      </c>
      <c r="D1193" s="7" t="s">
        <v>189</v>
      </c>
      <c r="E1193" s="8">
        <v>575</v>
      </c>
    </row>
    <row r="1194" spans="1:5" ht="19.95" customHeight="1" x14ac:dyDescent="0.3">
      <c r="A1194" s="1" t="s">
        <v>2395</v>
      </c>
      <c r="B1194" s="2" t="s">
        <v>277</v>
      </c>
      <c r="C1194" s="2" t="s">
        <v>2396</v>
      </c>
      <c r="D1194" s="3" t="s">
        <v>189</v>
      </c>
      <c r="E1194" s="4">
        <v>575</v>
      </c>
    </row>
    <row r="1195" spans="1:5" ht="19.95" customHeight="1" x14ac:dyDescent="0.3">
      <c r="A1195" s="5" t="s">
        <v>2397</v>
      </c>
      <c r="B1195" s="6" t="s">
        <v>277</v>
      </c>
      <c r="C1195" s="6" t="s">
        <v>2398</v>
      </c>
      <c r="D1195" s="7" t="s">
        <v>189</v>
      </c>
      <c r="E1195" s="8">
        <v>670</v>
      </c>
    </row>
    <row r="1196" spans="1:5" ht="19.95" customHeight="1" x14ac:dyDescent="0.3">
      <c r="A1196" s="1" t="s">
        <v>2399</v>
      </c>
      <c r="B1196" s="2" t="s">
        <v>277</v>
      </c>
      <c r="C1196" s="2" t="s">
        <v>2400</v>
      </c>
      <c r="D1196" s="3" t="s">
        <v>189</v>
      </c>
      <c r="E1196" s="4">
        <v>575</v>
      </c>
    </row>
    <row r="1197" spans="1:5" ht="19.95" customHeight="1" x14ac:dyDescent="0.3">
      <c r="A1197" s="5" t="s">
        <v>2401</v>
      </c>
      <c r="B1197" s="6" t="s">
        <v>277</v>
      </c>
      <c r="C1197" s="6" t="s">
        <v>2402</v>
      </c>
      <c r="D1197" s="7" t="s">
        <v>189</v>
      </c>
      <c r="E1197" s="8">
        <v>880</v>
      </c>
    </row>
    <row r="1198" spans="1:5" ht="19.95" customHeight="1" x14ac:dyDescent="0.3">
      <c r="A1198" s="1" t="s">
        <v>2403</v>
      </c>
      <c r="B1198" s="2" t="s">
        <v>277</v>
      </c>
      <c r="C1198" s="2" t="s">
        <v>2402</v>
      </c>
      <c r="D1198" s="3" t="s">
        <v>189</v>
      </c>
      <c r="E1198" s="4">
        <v>1170</v>
      </c>
    </row>
    <row r="1199" spans="1:5" ht="19.95" customHeight="1" x14ac:dyDescent="0.3">
      <c r="A1199" s="5" t="s">
        <v>2404</v>
      </c>
      <c r="B1199" s="6" t="s">
        <v>277</v>
      </c>
      <c r="C1199" s="6" t="s">
        <v>2405</v>
      </c>
      <c r="D1199" s="7" t="s">
        <v>169</v>
      </c>
      <c r="E1199" s="8">
        <v>1620</v>
      </c>
    </row>
    <row r="1200" spans="1:5" ht="19.95" customHeight="1" x14ac:dyDescent="0.3">
      <c r="A1200" s="1" t="s">
        <v>2406</v>
      </c>
      <c r="B1200" s="2" t="s">
        <v>277</v>
      </c>
      <c r="C1200" s="2" t="s">
        <v>2407</v>
      </c>
      <c r="D1200" s="3" t="s">
        <v>169</v>
      </c>
      <c r="E1200" s="4">
        <v>1720</v>
      </c>
    </row>
    <row r="1201" spans="1:5" ht="19.95" customHeight="1" x14ac:dyDescent="0.3">
      <c r="A1201" s="5" t="s">
        <v>2408</v>
      </c>
      <c r="B1201" s="6" t="s">
        <v>277</v>
      </c>
      <c r="C1201" s="6" t="s">
        <v>2409</v>
      </c>
      <c r="D1201" s="7" t="s">
        <v>169</v>
      </c>
      <c r="E1201" s="8">
        <v>1910</v>
      </c>
    </row>
    <row r="1202" spans="1:5" ht="19.95" customHeight="1" x14ac:dyDescent="0.3">
      <c r="A1202" s="1" t="s">
        <v>2410</v>
      </c>
      <c r="B1202" s="2" t="s">
        <v>277</v>
      </c>
      <c r="C1202" s="2" t="s">
        <v>2411</v>
      </c>
      <c r="D1202" s="3" t="s">
        <v>169</v>
      </c>
      <c r="E1202" s="4">
        <v>1620</v>
      </c>
    </row>
    <row r="1203" spans="1:5" ht="19.95" customHeight="1" x14ac:dyDescent="0.3">
      <c r="A1203" s="5" t="s">
        <v>2412</v>
      </c>
      <c r="B1203" s="6" t="s">
        <v>277</v>
      </c>
      <c r="C1203" s="6" t="s">
        <v>2413</v>
      </c>
      <c r="D1203" s="7" t="s">
        <v>169</v>
      </c>
      <c r="E1203" s="8">
        <v>1620</v>
      </c>
    </row>
    <row r="1204" spans="1:5" ht="19.95" customHeight="1" x14ac:dyDescent="0.3">
      <c r="A1204" s="1" t="s">
        <v>2414</v>
      </c>
      <c r="B1204" s="2" t="s">
        <v>277</v>
      </c>
      <c r="C1204" s="2" t="s">
        <v>2415</v>
      </c>
      <c r="D1204" s="3" t="s">
        <v>169</v>
      </c>
      <c r="E1204" s="4">
        <v>1430</v>
      </c>
    </row>
    <row r="1205" spans="1:5" ht="19.95" customHeight="1" x14ac:dyDescent="0.3">
      <c r="A1205" s="5" t="s">
        <v>2416</v>
      </c>
      <c r="B1205" s="6" t="s">
        <v>277</v>
      </c>
      <c r="C1205" s="6" t="s">
        <v>2417</v>
      </c>
      <c r="D1205" s="7" t="s">
        <v>1003</v>
      </c>
      <c r="E1205" s="8">
        <v>700</v>
      </c>
    </row>
    <row r="1206" spans="1:5" ht="19.95" customHeight="1" x14ac:dyDescent="0.3">
      <c r="A1206" s="1" t="s">
        <v>2418</v>
      </c>
      <c r="B1206" s="2" t="s">
        <v>277</v>
      </c>
      <c r="C1206" s="2" t="s">
        <v>2419</v>
      </c>
      <c r="D1206" s="3" t="s">
        <v>366</v>
      </c>
      <c r="E1206" s="4">
        <v>105</v>
      </c>
    </row>
    <row r="1207" spans="1:5" ht="19.95" customHeight="1" x14ac:dyDescent="0.3">
      <c r="A1207" s="5" t="s">
        <v>2420</v>
      </c>
      <c r="B1207" s="6" t="s">
        <v>277</v>
      </c>
      <c r="C1207" s="6" t="s">
        <v>2421</v>
      </c>
      <c r="D1207" s="7" t="s">
        <v>366</v>
      </c>
      <c r="E1207" s="8">
        <v>48</v>
      </c>
    </row>
    <row r="1208" spans="1:5" ht="19.95" customHeight="1" x14ac:dyDescent="0.3">
      <c r="A1208" s="1" t="s">
        <v>2422</v>
      </c>
      <c r="B1208" s="2" t="s">
        <v>277</v>
      </c>
      <c r="C1208" s="2" t="s">
        <v>2423</v>
      </c>
      <c r="D1208" s="3" t="s">
        <v>2424</v>
      </c>
      <c r="E1208" s="4">
        <v>43</v>
      </c>
    </row>
    <row r="1209" spans="1:5" ht="19.95" customHeight="1" x14ac:dyDescent="0.3">
      <c r="A1209" s="5" t="s">
        <v>2425</v>
      </c>
      <c r="B1209" s="6" t="s">
        <v>277</v>
      </c>
      <c r="C1209" s="6" t="s">
        <v>2426</v>
      </c>
      <c r="D1209" s="7" t="s">
        <v>357</v>
      </c>
      <c r="E1209" s="8">
        <v>2960</v>
      </c>
    </row>
    <row r="1210" spans="1:5" ht="19.95" customHeight="1" x14ac:dyDescent="0.3">
      <c r="A1210" s="1" t="s">
        <v>2427</v>
      </c>
      <c r="B1210" s="2" t="s">
        <v>277</v>
      </c>
      <c r="C1210" s="2" t="s">
        <v>2428</v>
      </c>
      <c r="D1210" s="3" t="s">
        <v>189</v>
      </c>
      <c r="E1210" s="4">
        <v>57</v>
      </c>
    </row>
    <row r="1211" spans="1:5" ht="19.95" customHeight="1" x14ac:dyDescent="0.3">
      <c r="A1211" s="5" t="s">
        <v>2429</v>
      </c>
      <c r="B1211" s="6" t="s">
        <v>277</v>
      </c>
      <c r="C1211" s="6" t="s">
        <v>2430</v>
      </c>
      <c r="D1211" s="7" t="s">
        <v>189</v>
      </c>
      <c r="E1211" s="8">
        <v>27</v>
      </c>
    </row>
    <row r="1212" spans="1:5" ht="19.95" customHeight="1" x14ac:dyDescent="0.3">
      <c r="A1212" s="1" t="s">
        <v>2431</v>
      </c>
      <c r="B1212" s="2" t="s">
        <v>277</v>
      </c>
      <c r="C1212" s="2" t="s">
        <v>2432</v>
      </c>
      <c r="D1212" s="3" t="s">
        <v>283</v>
      </c>
      <c r="E1212" s="4">
        <v>70</v>
      </c>
    </row>
    <row r="1213" spans="1:5" ht="19.95" customHeight="1" x14ac:dyDescent="0.3">
      <c r="A1213" s="5" t="s">
        <v>2433</v>
      </c>
      <c r="B1213" s="6" t="s">
        <v>277</v>
      </c>
      <c r="C1213" s="6" t="s">
        <v>2432</v>
      </c>
      <c r="D1213" s="7" t="s">
        <v>283</v>
      </c>
      <c r="E1213" s="8">
        <v>130</v>
      </c>
    </row>
    <row r="1214" spans="1:5" ht="19.95" customHeight="1" x14ac:dyDescent="0.3">
      <c r="A1214" s="1" t="s">
        <v>2434</v>
      </c>
      <c r="B1214" s="2" t="s">
        <v>277</v>
      </c>
      <c r="C1214" s="2" t="s">
        <v>2435</v>
      </c>
      <c r="D1214" s="3" t="s">
        <v>189</v>
      </c>
      <c r="E1214" s="4">
        <v>8</v>
      </c>
    </row>
    <row r="1215" spans="1:5" ht="19.95" customHeight="1" x14ac:dyDescent="0.3">
      <c r="A1215" s="5" t="s">
        <v>2436</v>
      </c>
      <c r="B1215" s="6" t="s">
        <v>277</v>
      </c>
      <c r="C1215" s="6" t="s">
        <v>2435</v>
      </c>
      <c r="D1215" s="7" t="s">
        <v>189</v>
      </c>
      <c r="E1215" s="8">
        <v>11</v>
      </c>
    </row>
    <row r="1216" spans="1:5" ht="19.95" customHeight="1" x14ac:dyDescent="0.3">
      <c r="A1216" s="1" t="s">
        <v>2437</v>
      </c>
      <c r="B1216" s="2" t="s">
        <v>277</v>
      </c>
      <c r="C1216" s="2" t="s">
        <v>2438</v>
      </c>
      <c r="D1216" s="3" t="s">
        <v>189</v>
      </c>
      <c r="E1216" s="4">
        <v>18</v>
      </c>
    </row>
    <row r="1217" spans="1:5" ht="19.95" customHeight="1" x14ac:dyDescent="0.3">
      <c r="A1217" s="5" t="s">
        <v>2439</v>
      </c>
      <c r="B1217" s="6" t="s">
        <v>277</v>
      </c>
      <c r="C1217" s="6" t="s">
        <v>2440</v>
      </c>
      <c r="D1217" s="7" t="s">
        <v>189</v>
      </c>
      <c r="E1217" s="8">
        <v>39</v>
      </c>
    </row>
    <row r="1218" spans="1:5" ht="19.95" customHeight="1" x14ac:dyDescent="0.3">
      <c r="A1218" s="1" t="s">
        <v>2441</v>
      </c>
      <c r="B1218" s="2" t="s">
        <v>277</v>
      </c>
      <c r="C1218" s="2" t="s">
        <v>2442</v>
      </c>
      <c r="D1218" s="3" t="s">
        <v>189</v>
      </c>
      <c r="E1218" s="4">
        <v>18</v>
      </c>
    </row>
    <row r="1219" spans="1:5" ht="19.95" customHeight="1" x14ac:dyDescent="0.3">
      <c r="A1219" s="5" t="s">
        <v>2443</v>
      </c>
      <c r="B1219" s="6" t="s">
        <v>277</v>
      </c>
      <c r="C1219" s="6" t="s">
        <v>2444</v>
      </c>
      <c r="D1219" s="7" t="s">
        <v>189</v>
      </c>
      <c r="E1219" s="8">
        <v>32</v>
      </c>
    </row>
    <row r="1220" spans="1:5" ht="19.95" customHeight="1" x14ac:dyDescent="0.3">
      <c r="A1220" s="1" t="s">
        <v>2445</v>
      </c>
      <c r="B1220" s="2" t="s">
        <v>277</v>
      </c>
      <c r="C1220" s="2" t="s">
        <v>2446</v>
      </c>
      <c r="D1220" s="3" t="s">
        <v>189</v>
      </c>
      <c r="E1220" s="4">
        <v>46</v>
      </c>
    </row>
    <row r="1221" spans="1:5" ht="19.95" customHeight="1" x14ac:dyDescent="0.3">
      <c r="A1221" s="5" t="s">
        <v>2447</v>
      </c>
      <c r="B1221" s="6" t="s">
        <v>277</v>
      </c>
      <c r="C1221" s="6" t="s">
        <v>2448</v>
      </c>
      <c r="D1221" s="7" t="s">
        <v>189</v>
      </c>
      <c r="E1221" s="8">
        <v>81</v>
      </c>
    </row>
    <row r="1222" spans="1:5" ht="19.95" customHeight="1" x14ac:dyDescent="0.3">
      <c r="A1222" s="1" t="s">
        <v>2449</v>
      </c>
      <c r="B1222" s="2" t="s">
        <v>277</v>
      </c>
      <c r="C1222" s="2" t="s">
        <v>2450</v>
      </c>
      <c r="D1222" s="3" t="s">
        <v>189</v>
      </c>
      <c r="E1222" s="4">
        <v>59</v>
      </c>
    </row>
    <row r="1223" spans="1:5" ht="19.95" customHeight="1" x14ac:dyDescent="0.3">
      <c r="A1223" s="5" t="s">
        <v>2451</v>
      </c>
      <c r="B1223" s="6" t="s">
        <v>277</v>
      </c>
      <c r="C1223" s="6" t="s">
        <v>2452</v>
      </c>
      <c r="D1223" s="7" t="s">
        <v>189</v>
      </c>
      <c r="E1223" s="8">
        <v>92</v>
      </c>
    </row>
    <row r="1224" spans="1:5" ht="19.95" customHeight="1" x14ac:dyDescent="0.3">
      <c r="A1224" s="1" t="s">
        <v>2453</v>
      </c>
      <c r="B1224" s="2" t="s">
        <v>277</v>
      </c>
      <c r="C1224" s="2" t="s">
        <v>2454</v>
      </c>
      <c r="D1224" s="3" t="s">
        <v>189</v>
      </c>
      <c r="E1224" s="4">
        <v>35</v>
      </c>
    </row>
    <row r="1225" spans="1:5" ht="19.95" customHeight="1" x14ac:dyDescent="0.3">
      <c r="A1225" s="5" t="s">
        <v>2455</v>
      </c>
      <c r="B1225" s="6" t="s">
        <v>277</v>
      </c>
      <c r="C1225" s="6" t="s">
        <v>2456</v>
      </c>
      <c r="D1225" s="7" t="s">
        <v>189</v>
      </c>
      <c r="E1225" s="8">
        <v>59</v>
      </c>
    </row>
    <row r="1226" spans="1:5" ht="19.95" customHeight="1" x14ac:dyDescent="0.3">
      <c r="A1226" s="1" t="s">
        <v>2457</v>
      </c>
      <c r="B1226" s="2" t="s">
        <v>277</v>
      </c>
      <c r="C1226" s="2" t="s">
        <v>2458</v>
      </c>
      <c r="D1226" s="3" t="s">
        <v>189</v>
      </c>
      <c r="E1226" s="4">
        <v>27</v>
      </c>
    </row>
    <row r="1227" spans="1:5" ht="19.95" customHeight="1" x14ac:dyDescent="0.3">
      <c r="A1227" s="5" t="s">
        <v>2459</v>
      </c>
      <c r="B1227" s="6" t="s">
        <v>277</v>
      </c>
      <c r="C1227" s="6" t="s">
        <v>2460</v>
      </c>
      <c r="D1227" s="7" t="s">
        <v>189</v>
      </c>
      <c r="E1227" s="8">
        <v>47</v>
      </c>
    </row>
    <row r="1228" spans="1:5" ht="19.95" customHeight="1" x14ac:dyDescent="0.3">
      <c r="A1228" s="1" t="s">
        <v>2461</v>
      </c>
      <c r="B1228" s="2" t="s">
        <v>277</v>
      </c>
      <c r="C1228" s="2" t="s">
        <v>2462</v>
      </c>
      <c r="D1228" s="3" t="s">
        <v>189</v>
      </c>
      <c r="E1228" s="4">
        <v>15</v>
      </c>
    </row>
    <row r="1229" spans="1:5" ht="19.95" customHeight="1" x14ac:dyDescent="0.3">
      <c r="A1229" s="5" t="s">
        <v>2463</v>
      </c>
      <c r="B1229" s="6" t="s">
        <v>277</v>
      </c>
      <c r="C1229" s="6" t="s">
        <v>2464</v>
      </c>
      <c r="D1229" s="7" t="s">
        <v>189</v>
      </c>
      <c r="E1229" s="8">
        <v>14</v>
      </c>
    </row>
    <row r="1230" spans="1:5" ht="19.95" customHeight="1" x14ac:dyDescent="0.3">
      <c r="A1230" s="1" t="s">
        <v>2465</v>
      </c>
      <c r="B1230" s="2" t="s">
        <v>277</v>
      </c>
      <c r="C1230" s="2" t="s">
        <v>2466</v>
      </c>
      <c r="D1230" s="3" t="s">
        <v>169</v>
      </c>
      <c r="E1230" s="4">
        <v>100</v>
      </c>
    </row>
    <row r="1231" spans="1:5" ht="19.95" customHeight="1" x14ac:dyDescent="0.3">
      <c r="A1231" s="5" t="s">
        <v>2467</v>
      </c>
      <c r="B1231" s="6" t="s">
        <v>277</v>
      </c>
      <c r="C1231" s="6" t="s">
        <v>2468</v>
      </c>
      <c r="D1231" s="7" t="s">
        <v>169</v>
      </c>
      <c r="E1231" s="8">
        <v>143</v>
      </c>
    </row>
    <row r="1232" spans="1:5" ht="19.95" customHeight="1" x14ac:dyDescent="0.3">
      <c r="A1232" s="1" t="s">
        <v>2469</v>
      </c>
      <c r="B1232" s="2" t="s">
        <v>277</v>
      </c>
      <c r="C1232" s="2" t="s">
        <v>2470</v>
      </c>
      <c r="D1232" s="3" t="s">
        <v>169</v>
      </c>
      <c r="E1232" s="4">
        <v>82</v>
      </c>
    </row>
    <row r="1233" spans="1:5" ht="19.95" customHeight="1" x14ac:dyDescent="0.3">
      <c r="A1233" s="5" t="s">
        <v>2471</v>
      </c>
      <c r="B1233" s="6" t="s">
        <v>277</v>
      </c>
      <c r="C1233" s="6" t="s">
        <v>2472</v>
      </c>
      <c r="D1233" s="7" t="s">
        <v>169</v>
      </c>
      <c r="E1233" s="8">
        <v>225</v>
      </c>
    </row>
    <row r="1234" spans="1:5" ht="19.95" customHeight="1" x14ac:dyDescent="0.3">
      <c r="A1234" s="1" t="s">
        <v>2473</v>
      </c>
      <c r="B1234" s="2" t="s">
        <v>277</v>
      </c>
      <c r="C1234" s="2" t="s">
        <v>2474</v>
      </c>
      <c r="D1234" s="3" t="s">
        <v>169</v>
      </c>
      <c r="E1234" s="4">
        <v>335</v>
      </c>
    </row>
    <row r="1235" spans="1:5" ht="19.95" customHeight="1" x14ac:dyDescent="0.3">
      <c r="A1235" s="5" t="s">
        <v>2475</v>
      </c>
      <c r="B1235" s="6" t="s">
        <v>277</v>
      </c>
      <c r="C1235" s="6" t="s">
        <v>2476</v>
      </c>
      <c r="D1235" s="7" t="s">
        <v>366</v>
      </c>
      <c r="E1235" s="8">
        <v>230</v>
      </c>
    </row>
    <row r="1236" spans="1:5" ht="19.95" customHeight="1" x14ac:dyDescent="0.3">
      <c r="A1236" s="1" t="s">
        <v>2477</v>
      </c>
      <c r="B1236" s="2" t="s">
        <v>277</v>
      </c>
      <c r="C1236" s="2" t="s">
        <v>2478</v>
      </c>
      <c r="D1236" s="3" t="s">
        <v>369</v>
      </c>
      <c r="E1236" s="4">
        <v>230</v>
      </c>
    </row>
    <row r="1237" spans="1:5" ht="19.95" customHeight="1" x14ac:dyDescent="0.3">
      <c r="A1237" s="5" t="s">
        <v>2479</v>
      </c>
      <c r="B1237" s="6" t="s">
        <v>277</v>
      </c>
      <c r="C1237" s="6" t="s">
        <v>2480</v>
      </c>
      <c r="D1237" s="7" t="s">
        <v>369</v>
      </c>
      <c r="E1237" s="8">
        <v>260</v>
      </c>
    </row>
    <row r="1238" spans="1:5" ht="19.95" customHeight="1" x14ac:dyDescent="0.3">
      <c r="A1238" s="1" t="s">
        <v>2481</v>
      </c>
      <c r="B1238" s="2" t="s">
        <v>277</v>
      </c>
      <c r="C1238" s="2" t="s">
        <v>2482</v>
      </c>
      <c r="D1238" s="3" t="s">
        <v>369</v>
      </c>
      <c r="E1238" s="4">
        <v>280</v>
      </c>
    </row>
    <row r="1239" spans="1:5" ht="19.95" customHeight="1" x14ac:dyDescent="0.3">
      <c r="A1239" s="5" t="s">
        <v>2483</v>
      </c>
      <c r="B1239" s="6" t="s">
        <v>277</v>
      </c>
      <c r="C1239" s="6" t="s">
        <v>2484</v>
      </c>
      <c r="D1239" s="7" t="s">
        <v>169</v>
      </c>
      <c r="E1239" s="8">
        <v>1620</v>
      </c>
    </row>
    <row r="1240" spans="1:5" ht="19.95" customHeight="1" x14ac:dyDescent="0.3">
      <c r="A1240" s="1" t="s">
        <v>2485</v>
      </c>
      <c r="B1240" s="2" t="s">
        <v>277</v>
      </c>
      <c r="C1240" s="2" t="s">
        <v>2486</v>
      </c>
      <c r="D1240" s="3" t="s">
        <v>169</v>
      </c>
      <c r="E1240" s="4">
        <v>1620</v>
      </c>
    </row>
    <row r="1241" spans="1:5" ht="19.95" customHeight="1" x14ac:dyDescent="0.3">
      <c r="A1241" s="5" t="s">
        <v>2487</v>
      </c>
      <c r="B1241" s="6" t="s">
        <v>277</v>
      </c>
      <c r="C1241" s="6" t="s">
        <v>2488</v>
      </c>
      <c r="D1241" s="7" t="s">
        <v>2489</v>
      </c>
      <c r="E1241" s="8">
        <v>15000</v>
      </c>
    </row>
    <row r="1242" spans="1:5" ht="19.95" customHeight="1" x14ac:dyDescent="0.3">
      <c r="A1242" s="1" t="s">
        <v>2490</v>
      </c>
      <c r="B1242" s="2" t="s">
        <v>277</v>
      </c>
      <c r="C1242" s="2" t="s">
        <v>2491</v>
      </c>
      <c r="D1242" s="3" t="s">
        <v>2489</v>
      </c>
      <c r="E1242" s="4">
        <v>23000</v>
      </c>
    </row>
    <row r="1243" spans="1:5" ht="19.95" customHeight="1" x14ac:dyDescent="0.3">
      <c r="A1243" s="5" t="s">
        <v>2492</v>
      </c>
      <c r="B1243" s="6" t="s">
        <v>277</v>
      </c>
      <c r="C1243" s="6" t="s">
        <v>2493</v>
      </c>
      <c r="D1243" s="7" t="s">
        <v>2489</v>
      </c>
      <c r="E1243" s="8">
        <v>29500</v>
      </c>
    </row>
    <row r="1244" spans="1:5" ht="19.95" customHeight="1" x14ac:dyDescent="0.3">
      <c r="A1244" s="1" t="s">
        <v>2494</v>
      </c>
      <c r="B1244" s="2" t="s">
        <v>277</v>
      </c>
      <c r="C1244" s="2" t="s">
        <v>2495</v>
      </c>
      <c r="D1244" s="3" t="s">
        <v>2489</v>
      </c>
      <c r="E1244" s="4">
        <v>15000</v>
      </c>
    </row>
    <row r="1245" spans="1:5" ht="19.95" customHeight="1" x14ac:dyDescent="0.3">
      <c r="A1245" s="5" t="s">
        <v>2496</v>
      </c>
      <c r="B1245" s="6" t="s">
        <v>277</v>
      </c>
      <c r="C1245" s="6" t="s">
        <v>2497</v>
      </c>
      <c r="D1245" s="7" t="s">
        <v>2489</v>
      </c>
      <c r="E1245" s="8">
        <v>23600</v>
      </c>
    </row>
    <row r="1246" spans="1:5" ht="19.95" customHeight="1" x14ac:dyDescent="0.3">
      <c r="A1246" s="1" t="s">
        <v>2498</v>
      </c>
      <c r="B1246" s="2" t="s">
        <v>277</v>
      </c>
      <c r="C1246" s="2" t="s">
        <v>2499</v>
      </c>
      <c r="D1246" s="3" t="s">
        <v>369</v>
      </c>
      <c r="E1246" s="4">
        <v>38</v>
      </c>
    </row>
    <row r="1247" spans="1:5" ht="19.95" customHeight="1" x14ac:dyDescent="0.3">
      <c r="A1247" s="5" t="s">
        <v>2500</v>
      </c>
      <c r="B1247" s="6" t="s">
        <v>277</v>
      </c>
      <c r="C1247" s="6" t="s">
        <v>2501</v>
      </c>
      <c r="D1247" s="7" t="s">
        <v>369</v>
      </c>
      <c r="E1247" s="8">
        <v>115</v>
      </c>
    </row>
    <row r="1248" spans="1:5" ht="19.95" customHeight="1" x14ac:dyDescent="0.3">
      <c r="A1248" s="1" t="s">
        <v>2502</v>
      </c>
      <c r="B1248" s="2" t="s">
        <v>277</v>
      </c>
      <c r="C1248" s="2" t="s">
        <v>2503</v>
      </c>
      <c r="D1248" s="3" t="s">
        <v>369</v>
      </c>
      <c r="E1248" s="4">
        <v>135</v>
      </c>
    </row>
    <row r="1249" spans="1:5" ht="19.95" customHeight="1" x14ac:dyDescent="0.3">
      <c r="A1249" s="5" t="s">
        <v>2504</v>
      </c>
      <c r="B1249" s="6" t="s">
        <v>277</v>
      </c>
      <c r="C1249" s="6" t="s">
        <v>2505</v>
      </c>
      <c r="D1249" s="7" t="s">
        <v>189</v>
      </c>
      <c r="E1249" s="8">
        <v>290</v>
      </c>
    </row>
    <row r="1250" spans="1:5" ht="19.95" customHeight="1" x14ac:dyDescent="0.3">
      <c r="A1250" s="1" t="s">
        <v>2506</v>
      </c>
      <c r="B1250" s="2" t="s">
        <v>277</v>
      </c>
      <c r="C1250" s="2" t="s">
        <v>2507</v>
      </c>
      <c r="D1250" s="3" t="s">
        <v>189</v>
      </c>
      <c r="E1250" s="4">
        <v>430</v>
      </c>
    </row>
    <row r="1251" spans="1:5" ht="19.95" customHeight="1" x14ac:dyDescent="0.3">
      <c r="A1251" s="5" t="s">
        <v>2508</v>
      </c>
      <c r="B1251" s="6" t="s">
        <v>277</v>
      </c>
      <c r="C1251" s="6" t="s">
        <v>2509</v>
      </c>
      <c r="D1251" s="7" t="s">
        <v>189</v>
      </c>
      <c r="E1251" s="8">
        <v>385</v>
      </c>
    </row>
    <row r="1252" spans="1:5" ht="19.95" customHeight="1" x14ac:dyDescent="0.3">
      <c r="A1252" s="1" t="s">
        <v>2510</v>
      </c>
      <c r="B1252" s="2" t="s">
        <v>277</v>
      </c>
      <c r="C1252" s="2" t="s">
        <v>2511</v>
      </c>
      <c r="D1252" s="3" t="s">
        <v>189</v>
      </c>
      <c r="E1252" s="4">
        <v>430</v>
      </c>
    </row>
    <row r="1253" spans="1:5" ht="19.95" customHeight="1" x14ac:dyDescent="0.3">
      <c r="A1253" s="5" t="s">
        <v>2512</v>
      </c>
      <c r="B1253" s="6" t="s">
        <v>277</v>
      </c>
      <c r="C1253" s="6" t="s">
        <v>2513</v>
      </c>
      <c r="D1253" s="7" t="s">
        <v>189</v>
      </c>
      <c r="E1253" s="8">
        <v>375</v>
      </c>
    </row>
    <row r="1254" spans="1:5" ht="19.95" customHeight="1" x14ac:dyDescent="0.3">
      <c r="A1254" s="1" t="s">
        <v>2514</v>
      </c>
      <c r="B1254" s="2" t="s">
        <v>277</v>
      </c>
      <c r="C1254" s="2" t="s">
        <v>2515</v>
      </c>
      <c r="D1254" s="3" t="s">
        <v>1620</v>
      </c>
      <c r="E1254" s="4">
        <v>8600</v>
      </c>
    </row>
    <row r="1255" spans="1:5" ht="19.95" customHeight="1" x14ac:dyDescent="0.3">
      <c r="A1255" s="5" t="s">
        <v>2516</v>
      </c>
      <c r="B1255" s="6" t="s">
        <v>277</v>
      </c>
      <c r="C1255" s="6" t="s">
        <v>2517</v>
      </c>
      <c r="D1255" s="7" t="s">
        <v>189</v>
      </c>
      <c r="E1255" s="8">
        <v>115</v>
      </c>
    </row>
    <row r="1256" spans="1:5" ht="19.95" customHeight="1" x14ac:dyDescent="0.3">
      <c r="A1256" s="1" t="s">
        <v>2518</v>
      </c>
      <c r="B1256" s="2" t="s">
        <v>277</v>
      </c>
      <c r="C1256" s="2" t="s">
        <v>2519</v>
      </c>
      <c r="D1256" s="3" t="s">
        <v>189</v>
      </c>
      <c r="E1256" s="4">
        <v>107</v>
      </c>
    </row>
    <row r="1257" spans="1:5" ht="19.95" customHeight="1" x14ac:dyDescent="0.3">
      <c r="A1257" s="5" t="s">
        <v>2520</v>
      </c>
      <c r="B1257" s="6" t="s">
        <v>277</v>
      </c>
      <c r="C1257" s="6" t="s">
        <v>2521</v>
      </c>
      <c r="D1257" s="7" t="s">
        <v>169</v>
      </c>
      <c r="E1257" s="8">
        <v>460</v>
      </c>
    </row>
    <row r="1258" spans="1:5" ht="19.95" customHeight="1" x14ac:dyDescent="0.3">
      <c r="A1258" s="1" t="s">
        <v>2522</v>
      </c>
      <c r="B1258" s="2" t="s">
        <v>277</v>
      </c>
      <c r="C1258" s="2" t="s">
        <v>2523</v>
      </c>
      <c r="D1258" s="3" t="s">
        <v>169</v>
      </c>
      <c r="E1258" s="4">
        <v>810</v>
      </c>
    </row>
    <row r="1259" spans="1:5" ht="19.95" customHeight="1" x14ac:dyDescent="0.3">
      <c r="A1259" s="5" t="s">
        <v>2524</v>
      </c>
      <c r="B1259" s="6" t="s">
        <v>277</v>
      </c>
      <c r="C1259" s="6" t="s">
        <v>2525</v>
      </c>
      <c r="D1259" s="7" t="s">
        <v>283</v>
      </c>
      <c r="E1259" s="8">
        <v>29</v>
      </c>
    </row>
    <row r="1260" spans="1:5" ht="19.95" customHeight="1" x14ac:dyDescent="0.3">
      <c r="A1260" s="1" t="s">
        <v>2526</v>
      </c>
      <c r="B1260" s="2" t="s">
        <v>277</v>
      </c>
      <c r="C1260" s="2" t="s">
        <v>2527</v>
      </c>
      <c r="D1260" s="3" t="s">
        <v>169</v>
      </c>
      <c r="E1260" s="4">
        <v>900</v>
      </c>
    </row>
    <row r="1261" spans="1:5" ht="19.95" customHeight="1" x14ac:dyDescent="0.3">
      <c r="A1261" s="5" t="s">
        <v>2528</v>
      </c>
      <c r="B1261" s="6" t="s">
        <v>277</v>
      </c>
      <c r="C1261" s="6" t="s">
        <v>2529</v>
      </c>
      <c r="D1261" s="7" t="s">
        <v>169</v>
      </c>
      <c r="E1261" s="8">
        <v>120</v>
      </c>
    </row>
    <row r="1262" spans="1:5" ht="19.95" customHeight="1" x14ac:dyDescent="0.3">
      <c r="A1262" s="1" t="s">
        <v>2530</v>
      </c>
      <c r="B1262" s="2" t="s">
        <v>277</v>
      </c>
      <c r="C1262" s="2" t="s">
        <v>2531</v>
      </c>
      <c r="D1262" s="3" t="s">
        <v>169</v>
      </c>
      <c r="E1262" s="4">
        <v>238</v>
      </c>
    </row>
    <row r="1263" spans="1:5" ht="19.95" customHeight="1" x14ac:dyDescent="0.3">
      <c r="A1263" s="5" t="s">
        <v>2532</v>
      </c>
      <c r="B1263" s="6" t="s">
        <v>277</v>
      </c>
      <c r="C1263" s="6" t="s">
        <v>2533</v>
      </c>
      <c r="D1263" s="7" t="s">
        <v>357</v>
      </c>
      <c r="E1263" s="8">
        <v>40000</v>
      </c>
    </row>
    <row r="1264" spans="1:5" ht="19.95" customHeight="1" x14ac:dyDescent="0.3">
      <c r="A1264" s="1" t="s">
        <v>2534</v>
      </c>
      <c r="B1264" s="2" t="s">
        <v>277</v>
      </c>
      <c r="C1264" s="2" t="s">
        <v>2535</v>
      </c>
      <c r="D1264" s="3" t="s">
        <v>366</v>
      </c>
      <c r="E1264" s="4">
        <v>165</v>
      </c>
    </row>
    <row r="1265" spans="1:5" ht="19.95" customHeight="1" x14ac:dyDescent="0.3">
      <c r="A1265" s="5" t="s">
        <v>2536</v>
      </c>
      <c r="B1265" s="6" t="s">
        <v>277</v>
      </c>
      <c r="C1265" s="6" t="s">
        <v>2537</v>
      </c>
      <c r="D1265" s="7" t="s">
        <v>169</v>
      </c>
      <c r="E1265" s="8">
        <v>1600</v>
      </c>
    </row>
    <row r="1266" spans="1:5" ht="19.95" customHeight="1" x14ac:dyDescent="0.3">
      <c r="A1266" s="1" t="s">
        <v>2538</v>
      </c>
      <c r="B1266" s="2" t="s">
        <v>277</v>
      </c>
      <c r="C1266" s="2" t="s">
        <v>2539</v>
      </c>
      <c r="D1266" s="3" t="s">
        <v>169</v>
      </c>
      <c r="E1266" s="4">
        <v>1800</v>
      </c>
    </row>
    <row r="1267" spans="1:5" ht="19.95" customHeight="1" x14ac:dyDescent="0.3">
      <c r="A1267" s="5" t="s">
        <v>2540</v>
      </c>
      <c r="B1267" s="6" t="s">
        <v>277</v>
      </c>
      <c r="C1267" s="6" t="s">
        <v>2541</v>
      </c>
      <c r="D1267" s="7" t="s">
        <v>169</v>
      </c>
      <c r="E1267" s="8">
        <v>1800</v>
      </c>
    </row>
    <row r="1268" spans="1:5" ht="19.95" customHeight="1" x14ac:dyDescent="0.3">
      <c r="A1268" s="1" t="s">
        <v>2542</v>
      </c>
      <c r="B1268" s="2" t="s">
        <v>277</v>
      </c>
      <c r="C1268" s="2" t="s">
        <v>2543</v>
      </c>
      <c r="D1268" s="3" t="s">
        <v>366</v>
      </c>
      <c r="E1268" s="4">
        <v>190</v>
      </c>
    </row>
    <row r="1269" spans="1:5" ht="19.95" customHeight="1" x14ac:dyDescent="0.3">
      <c r="A1269" s="5" t="s">
        <v>2544</v>
      </c>
      <c r="B1269" s="6" t="s">
        <v>277</v>
      </c>
      <c r="C1269" s="6" t="s">
        <v>2545</v>
      </c>
      <c r="D1269" s="7" t="s">
        <v>169</v>
      </c>
      <c r="E1269" s="8">
        <v>330</v>
      </c>
    </row>
    <row r="1270" spans="1:5" ht="19.95" customHeight="1" x14ac:dyDescent="0.3">
      <c r="A1270" s="1" t="s">
        <v>2546</v>
      </c>
      <c r="B1270" s="2" t="s">
        <v>277</v>
      </c>
      <c r="C1270" s="2" t="s">
        <v>2547</v>
      </c>
      <c r="D1270" s="3" t="s">
        <v>357</v>
      </c>
      <c r="E1270" s="4">
        <v>39570</v>
      </c>
    </row>
    <row r="1271" spans="1:5" ht="19.95" customHeight="1" x14ac:dyDescent="0.3">
      <c r="A1271" s="5" t="s">
        <v>2548</v>
      </c>
      <c r="B1271" s="6" t="s">
        <v>277</v>
      </c>
      <c r="C1271" s="6" t="s">
        <v>2549</v>
      </c>
      <c r="D1271" s="7" t="s">
        <v>189</v>
      </c>
      <c r="E1271" s="8">
        <v>10</v>
      </c>
    </row>
    <row r="1272" spans="1:5" ht="19.95" customHeight="1" x14ac:dyDescent="0.3">
      <c r="A1272" s="1" t="s">
        <v>2550</v>
      </c>
      <c r="B1272" s="2" t="s">
        <v>277</v>
      </c>
      <c r="C1272" s="2" t="s">
        <v>2551</v>
      </c>
      <c r="D1272" s="3" t="s">
        <v>189</v>
      </c>
      <c r="E1272" s="4">
        <v>10</v>
      </c>
    </row>
    <row r="1273" spans="1:5" ht="19.95" customHeight="1" x14ac:dyDescent="0.3">
      <c r="A1273" s="5" t="s">
        <v>2552</v>
      </c>
      <c r="B1273" s="6" t="s">
        <v>277</v>
      </c>
      <c r="C1273" s="6" t="s">
        <v>2553</v>
      </c>
      <c r="D1273" s="7" t="s">
        <v>189</v>
      </c>
      <c r="E1273" s="8">
        <v>13</v>
      </c>
    </row>
    <row r="1274" spans="1:5" ht="19.95" customHeight="1" x14ac:dyDescent="0.3">
      <c r="A1274" s="1" t="s">
        <v>2554</v>
      </c>
      <c r="B1274" s="2" t="s">
        <v>277</v>
      </c>
      <c r="C1274" s="2" t="s">
        <v>2555</v>
      </c>
      <c r="D1274" s="3" t="s">
        <v>189</v>
      </c>
      <c r="E1274" s="4">
        <v>14</v>
      </c>
    </row>
    <row r="1275" spans="1:5" ht="19.95" customHeight="1" x14ac:dyDescent="0.3">
      <c r="A1275" s="5" t="s">
        <v>2556</v>
      </c>
      <c r="B1275" s="6" t="s">
        <v>277</v>
      </c>
      <c r="C1275" s="6" t="s">
        <v>2557</v>
      </c>
      <c r="D1275" s="7" t="s">
        <v>366</v>
      </c>
      <c r="E1275" s="8">
        <v>36</v>
      </c>
    </row>
    <row r="1276" spans="1:5" ht="19.95" customHeight="1" x14ac:dyDescent="0.3">
      <c r="A1276" s="1" t="s">
        <v>2558</v>
      </c>
      <c r="B1276" s="2" t="s">
        <v>277</v>
      </c>
      <c r="C1276" s="2" t="s">
        <v>2559</v>
      </c>
      <c r="D1276" s="3" t="s">
        <v>189</v>
      </c>
      <c r="E1276" s="4">
        <v>860</v>
      </c>
    </row>
    <row r="1277" spans="1:5" ht="19.95" customHeight="1" x14ac:dyDescent="0.3">
      <c r="A1277" s="5" t="s">
        <v>2560</v>
      </c>
      <c r="B1277" s="6" t="s">
        <v>277</v>
      </c>
      <c r="C1277" s="6" t="s">
        <v>2561</v>
      </c>
      <c r="D1277" s="7" t="s">
        <v>189</v>
      </c>
      <c r="E1277" s="8">
        <v>38</v>
      </c>
    </row>
    <row r="1278" spans="1:5" ht="19.95" customHeight="1" x14ac:dyDescent="0.3">
      <c r="A1278" s="1" t="s">
        <v>2562</v>
      </c>
      <c r="B1278" s="2" t="s">
        <v>277</v>
      </c>
      <c r="C1278" s="2" t="s">
        <v>2563</v>
      </c>
      <c r="D1278" s="3" t="s">
        <v>189</v>
      </c>
      <c r="E1278" s="4">
        <v>48</v>
      </c>
    </row>
    <row r="1279" spans="1:5" ht="19.95" customHeight="1" x14ac:dyDescent="0.3">
      <c r="A1279" s="5" t="s">
        <v>2564</v>
      </c>
      <c r="B1279" s="6" t="s">
        <v>277</v>
      </c>
      <c r="C1279" s="6" t="s">
        <v>2565</v>
      </c>
      <c r="D1279" s="7" t="s">
        <v>189</v>
      </c>
      <c r="E1279" s="8">
        <v>57</v>
      </c>
    </row>
    <row r="1280" spans="1:5" ht="19.95" customHeight="1" x14ac:dyDescent="0.3">
      <c r="A1280" s="1" t="s">
        <v>2566</v>
      </c>
      <c r="B1280" s="2" t="s">
        <v>277</v>
      </c>
      <c r="C1280" s="2" t="s">
        <v>2567</v>
      </c>
      <c r="D1280" s="3" t="s">
        <v>189</v>
      </c>
      <c r="E1280" s="4">
        <v>67</v>
      </c>
    </row>
    <row r="1281" spans="1:5" ht="19.95" customHeight="1" x14ac:dyDescent="0.3">
      <c r="A1281" s="5" t="s">
        <v>2568</v>
      </c>
      <c r="B1281" s="6" t="s">
        <v>277</v>
      </c>
      <c r="C1281" s="6" t="s">
        <v>2569</v>
      </c>
      <c r="D1281" s="7" t="s">
        <v>189</v>
      </c>
      <c r="E1281" s="8">
        <v>15</v>
      </c>
    </row>
    <row r="1282" spans="1:5" ht="19.95" customHeight="1" x14ac:dyDescent="0.3">
      <c r="A1282" s="1" t="s">
        <v>2570</v>
      </c>
      <c r="B1282" s="2" t="s">
        <v>277</v>
      </c>
      <c r="C1282" s="2" t="s">
        <v>2571</v>
      </c>
      <c r="D1282" s="3" t="s">
        <v>189</v>
      </c>
      <c r="E1282" s="4">
        <v>17</v>
      </c>
    </row>
    <row r="1283" spans="1:5" ht="19.95" customHeight="1" x14ac:dyDescent="0.3">
      <c r="A1283" s="5" t="s">
        <v>2572</v>
      </c>
      <c r="B1283" s="6" t="s">
        <v>277</v>
      </c>
      <c r="C1283" s="6" t="s">
        <v>2573</v>
      </c>
      <c r="D1283" s="7" t="s">
        <v>189</v>
      </c>
      <c r="E1283" s="8">
        <v>240</v>
      </c>
    </row>
    <row r="1284" spans="1:5" ht="19.95" customHeight="1" x14ac:dyDescent="0.3">
      <c r="A1284" s="1" t="s">
        <v>2574</v>
      </c>
      <c r="B1284" s="2" t="s">
        <v>277</v>
      </c>
      <c r="C1284" s="2" t="s">
        <v>2575</v>
      </c>
      <c r="D1284" s="3" t="s">
        <v>189</v>
      </c>
      <c r="E1284" s="4">
        <v>910</v>
      </c>
    </row>
    <row r="1285" spans="1:5" ht="19.95" customHeight="1" x14ac:dyDescent="0.3">
      <c r="A1285" s="5" t="s">
        <v>2576</v>
      </c>
      <c r="B1285" s="6" t="s">
        <v>277</v>
      </c>
      <c r="C1285" s="6" t="s">
        <v>2577</v>
      </c>
      <c r="D1285" s="7" t="s">
        <v>189</v>
      </c>
      <c r="E1285" s="8">
        <v>76</v>
      </c>
    </row>
    <row r="1286" spans="1:5" ht="19.95" customHeight="1" x14ac:dyDescent="0.3">
      <c r="A1286" s="1" t="s">
        <v>2578</v>
      </c>
      <c r="B1286" s="2" t="s">
        <v>277</v>
      </c>
      <c r="C1286" s="2" t="s">
        <v>2579</v>
      </c>
      <c r="D1286" s="3" t="s">
        <v>189</v>
      </c>
      <c r="E1286" s="4">
        <v>59</v>
      </c>
    </row>
    <row r="1287" spans="1:5" ht="19.95" customHeight="1" x14ac:dyDescent="0.3">
      <c r="A1287" s="5" t="s">
        <v>2580</v>
      </c>
      <c r="B1287" s="6" t="s">
        <v>277</v>
      </c>
      <c r="C1287" s="6" t="s">
        <v>2581</v>
      </c>
      <c r="D1287" s="7" t="s">
        <v>283</v>
      </c>
      <c r="E1287" s="8">
        <v>215</v>
      </c>
    </row>
    <row r="1288" spans="1:5" ht="19.95" customHeight="1" x14ac:dyDescent="0.3">
      <c r="A1288" s="1" t="s">
        <v>2582</v>
      </c>
      <c r="B1288" s="2" t="s">
        <v>277</v>
      </c>
      <c r="C1288" s="2" t="s">
        <v>2583</v>
      </c>
      <c r="D1288" s="3" t="s">
        <v>189</v>
      </c>
      <c r="E1288" s="4">
        <v>860</v>
      </c>
    </row>
    <row r="1289" spans="1:5" ht="19.95" customHeight="1" x14ac:dyDescent="0.3">
      <c r="A1289" s="5" t="s">
        <v>2584</v>
      </c>
      <c r="B1289" s="6" t="s">
        <v>277</v>
      </c>
      <c r="C1289" s="6" t="s">
        <v>2585</v>
      </c>
      <c r="D1289" s="7" t="s">
        <v>189</v>
      </c>
      <c r="E1289" s="8">
        <v>255</v>
      </c>
    </row>
    <row r="1290" spans="1:5" ht="19.95" customHeight="1" x14ac:dyDescent="0.3">
      <c r="A1290" s="1" t="s">
        <v>2586</v>
      </c>
      <c r="B1290" s="2" t="s">
        <v>277</v>
      </c>
      <c r="C1290" s="2" t="s">
        <v>2587</v>
      </c>
      <c r="D1290" s="3" t="s">
        <v>189</v>
      </c>
      <c r="E1290" s="4">
        <v>965</v>
      </c>
    </row>
    <row r="1291" spans="1:5" ht="19.95" customHeight="1" x14ac:dyDescent="0.3">
      <c r="A1291" s="5" t="s">
        <v>2588</v>
      </c>
      <c r="B1291" s="6" t="s">
        <v>277</v>
      </c>
      <c r="C1291" s="6" t="s">
        <v>2589</v>
      </c>
      <c r="D1291" s="7" t="s">
        <v>189</v>
      </c>
      <c r="E1291" s="8">
        <v>635</v>
      </c>
    </row>
    <row r="1292" spans="1:5" ht="19.95" customHeight="1" x14ac:dyDescent="0.3">
      <c r="A1292" s="1" t="s">
        <v>2590</v>
      </c>
      <c r="B1292" s="2" t="s">
        <v>277</v>
      </c>
      <c r="C1292" s="2" t="s">
        <v>2591</v>
      </c>
      <c r="D1292" s="3" t="s">
        <v>366</v>
      </c>
      <c r="E1292" s="4">
        <v>46</v>
      </c>
    </row>
    <row r="1293" spans="1:5" ht="19.95" customHeight="1" x14ac:dyDescent="0.3">
      <c r="A1293" s="5" t="s">
        <v>2592</v>
      </c>
      <c r="B1293" s="6" t="s">
        <v>277</v>
      </c>
      <c r="C1293" s="6" t="s">
        <v>2593</v>
      </c>
      <c r="D1293" s="7" t="s">
        <v>366</v>
      </c>
      <c r="E1293" s="8">
        <v>76</v>
      </c>
    </row>
    <row r="1294" spans="1:5" ht="19.95" customHeight="1" x14ac:dyDescent="0.3">
      <c r="A1294" s="1" t="s">
        <v>2594</v>
      </c>
      <c r="B1294" s="2" t="s">
        <v>277</v>
      </c>
      <c r="C1294" s="2" t="s">
        <v>2595</v>
      </c>
      <c r="D1294" s="3" t="s">
        <v>366</v>
      </c>
      <c r="E1294" s="4">
        <v>315</v>
      </c>
    </row>
    <row r="1295" spans="1:5" ht="19.95" customHeight="1" x14ac:dyDescent="0.3">
      <c r="A1295" s="5" t="s">
        <v>2596</v>
      </c>
      <c r="B1295" s="6" t="s">
        <v>277</v>
      </c>
      <c r="C1295" s="6" t="s">
        <v>2597</v>
      </c>
      <c r="D1295" s="7" t="s">
        <v>366</v>
      </c>
      <c r="E1295" s="8">
        <v>290</v>
      </c>
    </row>
    <row r="1296" spans="1:5" ht="19.95" customHeight="1" x14ac:dyDescent="0.3">
      <c r="A1296" s="1" t="s">
        <v>2598</v>
      </c>
      <c r="B1296" s="2" t="s">
        <v>277</v>
      </c>
      <c r="C1296" s="2" t="s">
        <v>2599</v>
      </c>
      <c r="D1296" s="3" t="s">
        <v>366</v>
      </c>
      <c r="E1296" s="4">
        <v>182</v>
      </c>
    </row>
    <row r="1297" spans="1:5" ht="19.95" customHeight="1" x14ac:dyDescent="0.3">
      <c r="A1297" s="5" t="s">
        <v>2600</v>
      </c>
      <c r="B1297" s="6" t="s">
        <v>277</v>
      </c>
      <c r="C1297" s="6" t="s">
        <v>2601</v>
      </c>
      <c r="D1297" s="7" t="s">
        <v>189</v>
      </c>
      <c r="E1297" s="8">
        <v>1480</v>
      </c>
    </row>
    <row r="1298" spans="1:5" ht="19.95" customHeight="1" x14ac:dyDescent="0.3">
      <c r="A1298" s="1" t="s">
        <v>2602</v>
      </c>
      <c r="B1298" s="2" t="s">
        <v>277</v>
      </c>
      <c r="C1298" s="2" t="s">
        <v>2603</v>
      </c>
      <c r="D1298" s="3" t="s">
        <v>189</v>
      </c>
      <c r="E1298" s="4">
        <v>955</v>
      </c>
    </row>
    <row r="1299" spans="1:5" ht="19.95" customHeight="1" x14ac:dyDescent="0.3">
      <c r="A1299" s="5" t="s">
        <v>2604</v>
      </c>
      <c r="B1299" s="6" t="s">
        <v>277</v>
      </c>
      <c r="C1299" s="6" t="s">
        <v>2605</v>
      </c>
      <c r="D1299" s="7" t="s">
        <v>2606</v>
      </c>
      <c r="E1299" s="8">
        <v>355</v>
      </c>
    </row>
    <row r="1300" spans="1:5" ht="19.95" customHeight="1" x14ac:dyDescent="0.3">
      <c r="A1300" s="1" t="s">
        <v>2607</v>
      </c>
      <c r="B1300" s="2" t="s">
        <v>277</v>
      </c>
      <c r="C1300" s="2" t="s">
        <v>2608</v>
      </c>
      <c r="D1300" s="3" t="s">
        <v>189</v>
      </c>
      <c r="E1300" s="4">
        <v>910</v>
      </c>
    </row>
    <row r="1301" spans="1:5" ht="19.95" customHeight="1" x14ac:dyDescent="0.3">
      <c r="A1301" s="5" t="s">
        <v>2609</v>
      </c>
      <c r="B1301" s="6" t="s">
        <v>277</v>
      </c>
      <c r="C1301" s="6" t="s">
        <v>2610</v>
      </c>
      <c r="D1301" s="7" t="s">
        <v>189</v>
      </c>
      <c r="E1301" s="8">
        <v>46</v>
      </c>
    </row>
    <row r="1302" spans="1:5" ht="19.95" customHeight="1" x14ac:dyDescent="0.3">
      <c r="A1302" s="1" t="s">
        <v>2611</v>
      </c>
      <c r="B1302" s="2" t="s">
        <v>277</v>
      </c>
      <c r="C1302" s="2" t="s">
        <v>2612</v>
      </c>
      <c r="D1302" s="3" t="s">
        <v>548</v>
      </c>
      <c r="E1302" s="4">
        <v>27</v>
      </c>
    </row>
    <row r="1303" spans="1:5" ht="19.95" customHeight="1" x14ac:dyDescent="0.3">
      <c r="A1303" s="5" t="s">
        <v>2613</v>
      </c>
      <c r="B1303" s="6" t="s">
        <v>277</v>
      </c>
      <c r="C1303" s="6" t="s">
        <v>2614</v>
      </c>
      <c r="D1303" s="7" t="s">
        <v>548</v>
      </c>
      <c r="E1303" s="8">
        <v>10</v>
      </c>
    </row>
    <row r="1304" spans="1:5" ht="19.95" customHeight="1" x14ac:dyDescent="0.3">
      <c r="A1304" s="1" t="s">
        <v>2615</v>
      </c>
      <c r="B1304" s="2" t="s">
        <v>277</v>
      </c>
      <c r="C1304" s="2" t="s">
        <v>2616</v>
      </c>
      <c r="D1304" s="3" t="s">
        <v>283</v>
      </c>
      <c r="E1304" s="4">
        <v>14</v>
      </c>
    </row>
    <row r="1305" spans="1:5" ht="19.95" customHeight="1" x14ac:dyDescent="0.3">
      <c r="A1305" s="5" t="s">
        <v>2617</v>
      </c>
      <c r="B1305" s="6" t="s">
        <v>277</v>
      </c>
      <c r="C1305" s="6" t="s">
        <v>2618</v>
      </c>
      <c r="D1305" s="7" t="s">
        <v>189</v>
      </c>
      <c r="E1305" s="8">
        <v>110</v>
      </c>
    </row>
    <row r="1306" spans="1:5" ht="19.95" customHeight="1" x14ac:dyDescent="0.3">
      <c r="A1306" s="1" t="s">
        <v>2619</v>
      </c>
      <c r="B1306" s="2" t="s">
        <v>277</v>
      </c>
      <c r="C1306" s="2" t="s">
        <v>2620</v>
      </c>
      <c r="D1306" s="3" t="s">
        <v>189</v>
      </c>
      <c r="E1306" s="4">
        <v>575</v>
      </c>
    </row>
    <row r="1307" spans="1:5" ht="19.95" customHeight="1" x14ac:dyDescent="0.3">
      <c r="A1307" s="5" t="s">
        <v>2621</v>
      </c>
      <c r="B1307" s="6" t="s">
        <v>277</v>
      </c>
      <c r="C1307" s="6" t="s">
        <v>2622</v>
      </c>
      <c r="D1307" s="7" t="s">
        <v>189</v>
      </c>
      <c r="E1307" s="8">
        <v>470</v>
      </c>
    </row>
    <row r="1308" spans="1:5" ht="19.95" customHeight="1" x14ac:dyDescent="0.3">
      <c r="A1308" s="1" t="s">
        <v>2623</v>
      </c>
      <c r="B1308" s="2" t="s">
        <v>277</v>
      </c>
      <c r="C1308" s="2" t="s">
        <v>2624</v>
      </c>
      <c r="D1308" s="3" t="s">
        <v>189</v>
      </c>
      <c r="E1308" s="4">
        <v>510</v>
      </c>
    </row>
    <row r="1309" spans="1:5" ht="19.95" customHeight="1" x14ac:dyDescent="0.3">
      <c r="A1309" s="5" t="s">
        <v>2625</v>
      </c>
      <c r="B1309" s="6" t="s">
        <v>277</v>
      </c>
      <c r="C1309" s="6" t="s">
        <v>2626</v>
      </c>
      <c r="D1309" s="7" t="s">
        <v>189</v>
      </c>
      <c r="E1309" s="8">
        <v>430</v>
      </c>
    </row>
    <row r="1310" spans="1:5" ht="19.95" customHeight="1" x14ac:dyDescent="0.3">
      <c r="A1310" s="1" t="s">
        <v>2627</v>
      </c>
      <c r="B1310" s="2" t="s">
        <v>277</v>
      </c>
      <c r="C1310" s="2" t="s">
        <v>2628</v>
      </c>
      <c r="D1310" s="3" t="s">
        <v>189</v>
      </c>
      <c r="E1310" s="4">
        <v>525</v>
      </c>
    </row>
    <row r="1311" spans="1:5" ht="19.95" customHeight="1" x14ac:dyDescent="0.3">
      <c r="A1311" s="5" t="s">
        <v>2629</v>
      </c>
      <c r="B1311" s="6" t="s">
        <v>277</v>
      </c>
      <c r="C1311" s="6" t="s">
        <v>2630</v>
      </c>
      <c r="D1311" s="7" t="s">
        <v>169</v>
      </c>
      <c r="E1311" s="8">
        <v>240</v>
      </c>
    </row>
    <row r="1312" spans="1:5" ht="19.95" customHeight="1" x14ac:dyDescent="0.3">
      <c r="A1312" s="1" t="s">
        <v>2631</v>
      </c>
      <c r="B1312" s="2" t="s">
        <v>277</v>
      </c>
      <c r="C1312" s="2" t="s">
        <v>2632</v>
      </c>
      <c r="D1312" s="3" t="s">
        <v>283</v>
      </c>
      <c r="E1312" s="4">
        <v>57</v>
      </c>
    </row>
    <row r="1313" spans="1:5" ht="19.95" customHeight="1" x14ac:dyDescent="0.3">
      <c r="A1313" s="5" t="s">
        <v>2633</v>
      </c>
      <c r="B1313" s="6" t="s">
        <v>277</v>
      </c>
      <c r="C1313" s="6" t="s">
        <v>2634</v>
      </c>
      <c r="D1313" s="7" t="s">
        <v>169</v>
      </c>
      <c r="E1313" s="8">
        <v>847.46</v>
      </c>
    </row>
    <row r="1314" spans="1:5" ht="19.95" customHeight="1" x14ac:dyDescent="0.3">
      <c r="A1314" s="1" t="s">
        <v>2635</v>
      </c>
      <c r="B1314" s="2" t="s">
        <v>277</v>
      </c>
      <c r="C1314" s="2" t="s">
        <v>2636</v>
      </c>
      <c r="D1314" s="3" t="s">
        <v>283</v>
      </c>
      <c r="E1314" s="4">
        <v>71</v>
      </c>
    </row>
    <row r="1315" spans="1:5" ht="19.95" customHeight="1" x14ac:dyDescent="0.3">
      <c r="A1315" s="5" t="s">
        <v>2637</v>
      </c>
      <c r="B1315" s="6" t="s">
        <v>277</v>
      </c>
      <c r="C1315" s="6" t="s">
        <v>2638</v>
      </c>
      <c r="D1315" s="7" t="s">
        <v>189</v>
      </c>
      <c r="E1315" s="8">
        <v>445</v>
      </c>
    </row>
    <row r="1316" spans="1:5" ht="19.95" customHeight="1" x14ac:dyDescent="0.3">
      <c r="A1316" s="1" t="s">
        <v>2639</v>
      </c>
      <c r="B1316" s="2" t="s">
        <v>277</v>
      </c>
      <c r="C1316" s="2" t="s">
        <v>2638</v>
      </c>
      <c r="D1316" s="3" t="s">
        <v>189</v>
      </c>
      <c r="E1316" s="4">
        <v>765</v>
      </c>
    </row>
    <row r="1317" spans="1:5" ht="19.95" customHeight="1" x14ac:dyDescent="0.3">
      <c r="A1317" s="5" t="s">
        <v>2640</v>
      </c>
      <c r="B1317" s="6" t="s">
        <v>277</v>
      </c>
      <c r="C1317" s="6" t="s">
        <v>2641</v>
      </c>
      <c r="D1317" s="7" t="s">
        <v>189</v>
      </c>
      <c r="E1317" s="8">
        <v>1050</v>
      </c>
    </row>
    <row r="1318" spans="1:5" ht="19.95" customHeight="1" x14ac:dyDescent="0.3">
      <c r="A1318" s="1" t="s">
        <v>2642</v>
      </c>
      <c r="B1318" s="2" t="s">
        <v>277</v>
      </c>
      <c r="C1318" s="2" t="s">
        <v>2643</v>
      </c>
      <c r="D1318" s="3" t="s">
        <v>189</v>
      </c>
      <c r="E1318" s="4">
        <v>1430</v>
      </c>
    </row>
    <row r="1319" spans="1:5" ht="19.95" customHeight="1" x14ac:dyDescent="0.3">
      <c r="A1319" s="5" t="s">
        <v>2644</v>
      </c>
      <c r="B1319" s="6" t="s">
        <v>277</v>
      </c>
      <c r="C1319" s="6" t="s">
        <v>2645</v>
      </c>
      <c r="D1319" s="7" t="s">
        <v>189</v>
      </c>
      <c r="E1319" s="8">
        <v>865</v>
      </c>
    </row>
    <row r="1320" spans="1:5" ht="19.95" customHeight="1" x14ac:dyDescent="0.3">
      <c r="A1320" s="1" t="s">
        <v>2646</v>
      </c>
      <c r="B1320" s="2" t="s">
        <v>277</v>
      </c>
      <c r="C1320" s="2" t="s">
        <v>2647</v>
      </c>
      <c r="D1320" s="3" t="s">
        <v>189</v>
      </c>
      <c r="E1320" s="4">
        <v>620</v>
      </c>
    </row>
    <row r="1321" spans="1:5" ht="19.95" customHeight="1" x14ac:dyDescent="0.3">
      <c r="A1321" s="5" t="s">
        <v>2648</v>
      </c>
      <c r="B1321" s="6" t="s">
        <v>277</v>
      </c>
      <c r="C1321" s="6" t="s">
        <v>2649</v>
      </c>
      <c r="D1321" s="7" t="s">
        <v>189</v>
      </c>
      <c r="E1321" s="8">
        <v>235</v>
      </c>
    </row>
    <row r="1322" spans="1:5" ht="19.95" customHeight="1" x14ac:dyDescent="0.3">
      <c r="A1322" s="1" t="s">
        <v>2650</v>
      </c>
      <c r="B1322" s="2" t="s">
        <v>277</v>
      </c>
      <c r="C1322" s="2" t="s">
        <v>2651</v>
      </c>
      <c r="D1322" s="3" t="s">
        <v>357</v>
      </c>
      <c r="E1322" s="4">
        <v>19000</v>
      </c>
    </row>
    <row r="1323" spans="1:5" ht="19.95" customHeight="1" x14ac:dyDescent="0.3">
      <c r="A1323" s="5" t="s">
        <v>2652</v>
      </c>
      <c r="B1323" s="6" t="s">
        <v>277</v>
      </c>
      <c r="C1323" s="6" t="s">
        <v>2653</v>
      </c>
      <c r="D1323" s="7" t="s">
        <v>189</v>
      </c>
      <c r="E1323" s="8">
        <v>7</v>
      </c>
    </row>
    <row r="1324" spans="1:5" ht="19.95" customHeight="1" x14ac:dyDescent="0.3">
      <c r="A1324" s="1" t="s">
        <v>2654</v>
      </c>
      <c r="B1324" s="2" t="s">
        <v>277</v>
      </c>
      <c r="C1324" s="2" t="s">
        <v>2655</v>
      </c>
      <c r="D1324" s="3" t="s">
        <v>169</v>
      </c>
      <c r="E1324" s="4">
        <v>550</v>
      </c>
    </row>
    <row r="1325" spans="1:5" ht="19.95" customHeight="1" x14ac:dyDescent="0.3">
      <c r="A1325" s="5" t="s">
        <v>2656</v>
      </c>
      <c r="B1325" s="6" t="s">
        <v>277</v>
      </c>
      <c r="C1325" s="6" t="s">
        <v>2657</v>
      </c>
      <c r="D1325" s="7" t="s">
        <v>169</v>
      </c>
      <c r="E1325" s="8">
        <v>110</v>
      </c>
    </row>
    <row r="1326" spans="1:5" ht="19.95" customHeight="1" x14ac:dyDescent="0.3">
      <c r="A1326" s="1" t="s">
        <v>2658</v>
      </c>
      <c r="B1326" s="2" t="s">
        <v>277</v>
      </c>
      <c r="C1326" s="2" t="s">
        <v>2659</v>
      </c>
      <c r="D1326" s="3" t="s">
        <v>366</v>
      </c>
      <c r="E1326" s="4">
        <v>43</v>
      </c>
    </row>
    <row r="1327" spans="1:5" ht="19.95" customHeight="1" x14ac:dyDescent="0.3">
      <c r="A1327" s="5" t="s">
        <v>2660</v>
      </c>
      <c r="B1327" s="6" t="s">
        <v>277</v>
      </c>
      <c r="C1327" s="6" t="s">
        <v>2661</v>
      </c>
      <c r="D1327" s="7" t="s">
        <v>189</v>
      </c>
      <c r="E1327" s="8">
        <v>11</v>
      </c>
    </row>
    <row r="1328" spans="1:5" ht="19.95" customHeight="1" x14ac:dyDescent="0.3">
      <c r="A1328" s="1" t="s">
        <v>2662</v>
      </c>
      <c r="B1328" s="2" t="s">
        <v>277</v>
      </c>
      <c r="C1328" s="2" t="s">
        <v>2663</v>
      </c>
      <c r="D1328" s="3" t="s">
        <v>366</v>
      </c>
      <c r="E1328" s="4">
        <v>38</v>
      </c>
    </row>
    <row r="1329" spans="1:5" ht="19.95" customHeight="1" x14ac:dyDescent="0.3">
      <c r="A1329" s="5" t="s">
        <v>2664</v>
      </c>
      <c r="B1329" s="6" t="s">
        <v>277</v>
      </c>
      <c r="C1329" s="6" t="s">
        <v>2665</v>
      </c>
      <c r="D1329" s="7" t="s">
        <v>283</v>
      </c>
      <c r="E1329" s="8">
        <v>19</v>
      </c>
    </row>
    <row r="1330" spans="1:5" ht="19.95" customHeight="1" x14ac:dyDescent="0.3">
      <c r="A1330" s="1" t="s">
        <v>2666</v>
      </c>
      <c r="B1330" s="2" t="s">
        <v>277</v>
      </c>
      <c r="C1330" s="2" t="s">
        <v>2667</v>
      </c>
      <c r="D1330" s="3" t="s">
        <v>366</v>
      </c>
      <c r="E1330" s="4">
        <v>48</v>
      </c>
    </row>
    <row r="1331" spans="1:5" ht="19.95" customHeight="1" x14ac:dyDescent="0.3">
      <c r="A1331" s="5" t="s">
        <v>2668</v>
      </c>
      <c r="B1331" s="6" t="s">
        <v>277</v>
      </c>
      <c r="C1331" s="6" t="s">
        <v>2669</v>
      </c>
      <c r="D1331" s="7" t="s">
        <v>366</v>
      </c>
      <c r="E1331" s="8">
        <v>61</v>
      </c>
    </row>
    <row r="1332" spans="1:5" ht="19.95" customHeight="1" x14ac:dyDescent="0.3">
      <c r="A1332" s="1" t="s">
        <v>2670</v>
      </c>
      <c r="B1332" s="2" t="s">
        <v>277</v>
      </c>
      <c r="C1332" s="2" t="s">
        <v>2671</v>
      </c>
      <c r="D1332" s="3" t="s">
        <v>366</v>
      </c>
      <c r="E1332" s="4">
        <v>67</v>
      </c>
    </row>
    <row r="1333" spans="1:5" ht="19.95" customHeight="1" x14ac:dyDescent="0.3">
      <c r="A1333" s="5" t="s">
        <v>2672</v>
      </c>
      <c r="B1333" s="6" t="s">
        <v>277</v>
      </c>
      <c r="C1333" s="6" t="s">
        <v>2673</v>
      </c>
      <c r="D1333" s="7" t="s">
        <v>189</v>
      </c>
      <c r="E1333" s="8">
        <v>1500</v>
      </c>
    </row>
    <row r="1334" spans="1:5" ht="19.95" customHeight="1" x14ac:dyDescent="0.3">
      <c r="A1334" s="1" t="s">
        <v>2674</v>
      </c>
      <c r="B1334" s="2" t="s">
        <v>277</v>
      </c>
      <c r="C1334" s="2" t="s">
        <v>2675</v>
      </c>
      <c r="D1334" s="3" t="s">
        <v>189</v>
      </c>
      <c r="E1334" s="4">
        <v>20</v>
      </c>
    </row>
    <row r="1335" spans="1:5" ht="19.95" customHeight="1" x14ac:dyDescent="0.3">
      <c r="A1335" s="5" t="s">
        <v>2676</v>
      </c>
      <c r="B1335" s="6" t="s">
        <v>277</v>
      </c>
      <c r="C1335" s="6" t="s">
        <v>2677</v>
      </c>
      <c r="D1335" s="7" t="s">
        <v>189</v>
      </c>
      <c r="E1335" s="8">
        <v>1620</v>
      </c>
    </row>
    <row r="1336" spans="1:5" ht="19.95" customHeight="1" x14ac:dyDescent="0.3">
      <c r="A1336" s="1" t="s">
        <v>2678</v>
      </c>
      <c r="B1336" s="2" t="s">
        <v>277</v>
      </c>
      <c r="C1336" s="2" t="s">
        <v>2679</v>
      </c>
      <c r="D1336" s="3" t="s">
        <v>189</v>
      </c>
      <c r="E1336" s="4">
        <v>145</v>
      </c>
    </row>
    <row r="1337" spans="1:5" ht="19.95" customHeight="1" x14ac:dyDescent="0.3">
      <c r="A1337" s="5" t="s">
        <v>2680</v>
      </c>
      <c r="B1337" s="6" t="s">
        <v>277</v>
      </c>
      <c r="C1337" s="6" t="s">
        <v>2681</v>
      </c>
      <c r="D1337" s="7" t="s">
        <v>189</v>
      </c>
      <c r="E1337" s="8">
        <v>765</v>
      </c>
    </row>
    <row r="1338" spans="1:5" ht="19.95" customHeight="1" x14ac:dyDescent="0.3">
      <c r="A1338" s="1" t="s">
        <v>2682</v>
      </c>
      <c r="B1338" s="2" t="s">
        <v>277</v>
      </c>
      <c r="C1338" s="2" t="s">
        <v>2683</v>
      </c>
      <c r="D1338" s="3" t="s">
        <v>189</v>
      </c>
      <c r="E1338" s="4">
        <v>48</v>
      </c>
    </row>
    <row r="1339" spans="1:5" ht="19.95" customHeight="1" x14ac:dyDescent="0.3">
      <c r="A1339" s="5" t="s">
        <v>2684</v>
      </c>
      <c r="B1339" s="6" t="s">
        <v>277</v>
      </c>
      <c r="C1339" s="6" t="s">
        <v>2685</v>
      </c>
      <c r="D1339" s="7" t="s">
        <v>189</v>
      </c>
      <c r="E1339" s="8">
        <v>71</v>
      </c>
    </row>
    <row r="1340" spans="1:5" ht="19.95" customHeight="1" x14ac:dyDescent="0.3">
      <c r="A1340" s="1" t="s">
        <v>2686</v>
      </c>
      <c r="B1340" s="2" t="s">
        <v>277</v>
      </c>
      <c r="C1340" s="2" t="s">
        <v>2687</v>
      </c>
      <c r="D1340" s="3" t="s">
        <v>189</v>
      </c>
      <c r="E1340" s="4">
        <v>105</v>
      </c>
    </row>
    <row r="1341" spans="1:5" ht="19.95" customHeight="1" x14ac:dyDescent="0.3">
      <c r="A1341" s="5" t="s">
        <v>2688</v>
      </c>
      <c r="B1341" s="6" t="s">
        <v>277</v>
      </c>
      <c r="C1341" s="6" t="s">
        <v>2689</v>
      </c>
      <c r="D1341" s="7" t="s">
        <v>189</v>
      </c>
      <c r="E1341" s="8">
        <v>116</v>
      </c>
    </row>
    <row r="1342" spans="1:5" ht="19.95" customHeight="1" x14ac:dyDescent="0.3">
      <c r="A1342" s="1" t="s">
        <v>2690</v>
      </c>
      <c r="B1342" s="2" t="s">
        <v>277</v>
      </c>
      <c r="C1342" s="2" t="s">
        <v>2691</v>
      </c>
      <c r="D1342" s="3" t="s">
        <v>189</v>
      </c>
      <c r="E1342" s="4">
        <v>71</v>
      </c>
    </row>
    <row r="1343" spans="1:5" ht="19.95" customHeight="1" x14ac:dyDescent="0.3">
      <c r="A1343" s="5" t="s">
        <v>2692</v>
      </c>
      <c r="B1343" s="6" t="s">
        <v>277</v>
      </c>
      <c r="C1343" s="6" t="s">
        <v>2693</v>
      </c>
      <c r="D1343" s="7" t="s">
        <v>189</v>
      </c>
      <c r="E1343" s="8">
        <v>97</v>
      </c>
    </row>
    <row r="1344" spans="1:5" ht="19.95" customHeight="1" x14ac:dyDescent="0.3">
      <c r="A1344" s="1" t="s">
        <v>2694</v>
      </c>
      <c r="B1344" s="2" t="s">
        <v>277</v>
      </c>
      <c r="C1344" s="2" t="s">
        <v>2695</v>
      </c>
      <c r="D1344" s="3" t="s">
        <v>189</v>
      </c>
      <c r="E1344" s="4">
        <v>125</v>
      </c>
    </row>
    <row r="1345" spans="1:5" ht="19.95" customHeight="1" x14ac:dyDescent="0.3">
      <c r="A1345" s="5" t="s">
        <v>2696</v>
      </c>
      <c r="B1345" s="6" t="s">
        <v>277</v>
      </c>
      <c r="C1345" s="6" t="s">
        <v>2697</v>
      </c>
      <c r="D1345" s="7" t="s">
        <v>189</v>
      </c>
      <c r="E1345" s="8">
        <v>62</v>
      </c>
    </row>
    <row r="1346" spans="1:5" ht="19.95" customHeight="1" x14ac:dyDescent="0.3">
      <c r="A1346" s="1" t="s">
        <v>2698</v>
      </c>
      <c r="B1346" s="2" t="s">
        <v>277</v>
      </c>
      <c r="C1346" s="2" t="s">
        <v>2699</v>
      </c>
      <c r="D1346" s="3" t="s">
        <v>189</v>
      </c>
      <c r="E1346" s="4">
        <v>57</v>
      </c>
    </row>
    <row r="1347" spans="1:5" ht="19.95" customHeight="1" x14ac:dyDescent="0.3">
      <c r="A1347" s="5" t="s">
        <v>2700</v>
      </c>
      <c r="B1347" s="6" t="s">
        <v>277</v>
      </c>
      <c r="C1347" s="6" t="s">
        <v>2701</v>
      </c>
      <c r="D1347" s="7" t="s">
        <v>189</v>
      </c>
      <c r="E1347" s="8">
        <v>20</v>
      </c>
    </row>
    <row r="1348" spans="1:5" ht="19.95" customHeight="1" x14ac:dyDescent="0.3">
      <c r="A1348" s="1" t="s">
        <v>2702</v>
      </c>
      <c r="B1348" s="2" t="s">
        <v>277</v>
      </c>
      <c r="C1348" s="2" t="s">
        <v>2703</v>
      </c>
      <c r="D1348" s="3" t="s">
        <v>189</v>
      </c>
      <c r="E1348" s="4">
        <v>138</v>
      </c>
    </row>
    <row r="1349" spans="1:5" ht="19.95" customHeight="1" x14ac:dyDescent="0.3">
      <c r="A1349" s="5" t="s">
        <v>2704</v>
      </c>
      <c r="B1349" s="6" t="s">
        <v>277</v>
      </c>
      <c r="C1349" s="6" t="s">
        <v>2705</v>
      </c>
      <c r="D1349" s="7" t="s">
        <v>189</v>
      </c>
      <c r="E1349" s="8">
        <v>30</v>
      </c>
    </row>
    <row r="1350" spans="1:5" ht="19.95" customHeight="1" x14ac:dyDescent="0.3">
      <c r="A1350" s="1" t="s">
        <v>2706</v>
      </c>
      <c r="B1350" s="2" t="s">
        <v>277</v>
      </c>
      <c r="C1350" s="2" t="s">
        <v>2707</v>
      </c>
      <c r="D1350" s="3" t="s">
        <v>189</v>
      </c>
      <c r="E1350" s="4">
        <v>118</v>
      </c>
    </row>
    <row r="1351" spans="1:5" ht="19.95" customHeight="1" x14ac:dyDescent="0.3">
      <c r="A1351" s="5" t="s">
        <v>2708</v>
      </c>
      <c r="B1351" s="6" t="s">
        <v>277</v>
      </c>
      <c r="C1351" s="6" t="s">
        <v>2709</v>
      </c>
      <c r="D1351" s="7" t="s">
        <v>189</v>
      </c>
      <c r="E1351" s="8">
        <v>3715</v>
      </c>
    </row>
    <row r="1352" spans="1:5" ht="19.95" customHeight="1" x14ac:dyDescent="0.3">
      <c r="A1352" s="1" t="s">
        <v>2710</v>
      </c>
      <c r="B1352" s="2" t="s">
        <v>277</v>
      </c>
      <c r="C1352" s="2" t="s">
        <v>2711</v>
      </c>
      <c r="D1352" s="3" t="s">
        <v>189</v>
      </c>
      <c r="E1352" s="4">
        <v>4525</v>
      </c>
    </row>
    <row r="1353" spans="1:5" ht="19.95" customHeight="1" x14ac:dyDescent="0.3">
      <c r="A1353" s="5" t="s">
        <v>2712</v>
      </c>
      <c r="B1353" s="6" t="s">
        <v>277</v>
      </c>
      <c r="C1353" s="6" t="s">
        <v>2713</v>
      </c>
      <c r="D1353" s="7" t="s">
        <v>189</v>
      </c>
      <c r="E1353" s="8">
        <v>5910</v>
      </c>
    </row>
    <row r="1354" spans="1:5" ht="19.95" customHeight="1" x14ac:dyDescent="0.3">
      <c r="A1354" s="1" t="s">
        <v>2714</v>
      </c>
      <c r="B1354" s="2" t="s">
        <v>277</v>
      </c>
      <c r="C1354" s="2" t="s">
        <v>2715</v>
      </c>
      <c r="D1354" s="3" t="s">
        <v>189</v>
      </c>
      <c r="E1354" s="4">
        <v>2030</v>
      </c>
    </row>
    <row r="1355" spans="1:5" ht="19.95" customHeight="1" x14ac:dyDescent="0.3">
      <c r="A1355" s="5" t="s">
        <v>2716</v>
      </c>
      <c r="B1355" s="6" t="s">
        <v>277</v>
      </c>
      <c r="C1355" s="6" t="s">
        <v>2717</v>
      </c>
      <c r="D1355" s="7" t="s">
        <v>189</v>
      </c>
      <c r="E1355" s="8">
        <v>3143</v>
      </c>
    </row>
    <row r="1356" spans="1:5" ht="19.95" customHeight="1" x14ac:dyDescent="0.3">
      <c r="A1356" s="1" t="s">
        <v>2718</v>
      </c>
      <c r="B1356" s="2" t="s">
        <v>277</v>
      </c>
      <c r="C1356" s="2" t="s">
        <v>2719</v>
      </c>
      <c r="D1356" s="3" t="s">
        <v>189</v>
      </c>
      <c r="E1356" s="4">
        <v>4765</v>
      </c>
    </row>
    <row r="1357" spans="1:5" ht="19.95" customHeight="1" x14ac:dyDescent="0.3">
      <c r="A1357" s="5" t="s">
        <v>2720</v>
      </c>
      <c r="B1357" s="6" t="s">
        <v>277</v>
      </c>
      <c r="C1357" s="6" t="s">
        <v>2721</v>
      </c>
      <c r="D1357" s="7" t="s">
        <v>189</v>
      </c>
      <c r="E1357" s="8">
        <v>5145</v>
      </c>
    </row>
    <row r="1358" spans="1:5" ht="19.95" customHeight="1" x14ac:dyDescent="0.3">
      <c r="A1358" s="1" t="s">
        <v>2722</v>
      </c>
      <c r="B1358" s="2" t="s">
        <v>277</v>
      </c>
      <c r="C1358" s="2" t="s">
        <v>2723</v>
      </c>
      <c r="D1358" s="3" t="s">
        <v>189</v>
      </c>
      <c r="E1358" s="4">
        <v>2680</v>
      </c>
    </row>
    <row r="1359" spans="1:5" ht="19.95" customHeight="1" x14ac:dyDescent="0.3">
      <c r="A1359" s="5" t="s">
        <v>2724</v>
      </c>
      <c r="B1359" s="6" t="s">
        <v>277</v>
      </c>
      <c r="C1359" s="6" t="s">
        <v>2725</v>
      </c>
      <c r="D1359" s="7" t="s">
        <v>189</v>
      </c>
      <c r="E1359" s="8">
        <v>4370</v>
      </c>
    </row>
    <row r="1360" spans="1:5" ht="19.95" customHeight="1" x14ac:dyDescent="0.3">
      <c r="A1360" s="1" t="s">
        <v>2726</v>
      </c>
      <c r="B1360" s="2" t="s">
        <v>277</v>
      </c>
      <c r="C1360" s="2" t="s">
        <v>2727</v>
      </c>
      <c r="D1360" s="3" t="s">
        <v>189</v>
      </c>
      <c r="E1360" s="4">
        <v>5540</v>
      </c>
    </row>
    <row r="1361" spans="1:5" ht="19.95" customHeight="1" x14ac:dyDescent="0.3">
      <c r="A1361" s="5" t="s">
        <v>2728</v>
      </c>
      <c r="B1361" s="6" t="s">
        <v>277</v>
      </c>
      <c r="C1361" s="6" t="s">
        <v>2729</v>
      </c>
      <c r="D1361" s="7" t="s">
        <v>189</v>
      </c>
      <c r="E1361" s="8">
        <v>7860</v>
      </c>
    </row>
    <row r="1362" spans="1:5" ht="19.95" customHeight="1" x14ac:dyDescent="0.3">
      <c r="A1362" s="1" t="s">
        <v>2730</v>
      </c>
      <c r="B1362" s="2" t="s">
        <v>277</v>
      </c>
      <c r="C1362" s="2" t="s">
        <v>2731</v>
      </c>
      <c r="D1362" s="3" t="s">
        <v>189</v>
      </c>
      <c r="E1362" s="4">
        <v>100</v>
      </c>
    </row>
    <row r="1363" spans="1:5" ht="19.95" customHeight="1" x14ac:dyDescent="0.3">
      <c r="A1363" s="5" t="s">
        <v>2732</v>
      </c>
      <c r="B1363" s="6" t="s">
        <v>277</v>
      </c>
      <c r="C1363" s="6" t="s">
        <v>2733</v>
      </c>
      <c r="D1363" s="7" t="s">
        <v>283</v>
      </c>
      <c r="E1363" s="8">
        <v>200</v>
      </c>
    </row>
    <row r="1364" spans="1:5" ht="19.95" customHeight="1" x14ac:dyDescent="0.3">
      <c r="A1364" s="1" t="s">
        <v>2734</v>
      </c>
      <c r="B1364" s="2" t="s">
        <v>277</v>
      </c>
      <c r="C1364" s="2" t="s">
        <v>2735</v>
      </c>
      <c r="D1364" s="3" t="s">
        <v>283</v>
      </c>
      <c r="E1364" s="4">
        <v>160</v>
      </c>
    </row>
    <row r="1365" spans="1:5" ht="19.95" customHeight="1" x14ac:dyDescent="0.3">
      <c r="A1365" s="5" t="s">
        <v>2736</v>
      </c>
      <c r="B1365" s="6" t="s">
        <v>277</v>
      </c>
      <c r="C1365" s="6" t="s">
        <v>2737</v>
      </c>
      <c r="D1365" s="7" t="s">
        <v>283</v>
      </c>
      <c r="E1365" s="8">
        <v>185</v>
      </c>
    </row>
    <row r="1366" spans="1:5" ht="19.95" customHeight="1" x14ac:dyDescent="0.3">
      <c r="A1366" s="1" t="s">
        <v>2738</v>
      </c>
      <c r="B1366" s="2" t="s">
        <v>277</v>
      </c>
      <c r="C1366" s="2" t="s">
        <v>2739</v>
      </c>
      <c r="D1366" s="3" t="s">
        <v>189</v>
      </c>
      <c r="E1366" s="4">
        <v>11</v>
      </c>
    </row>
    <row r="1367" spans="1:5" ht="19.95" customHeight="1" x14ac:dyDescent="0.3">
      <c r="A1367" s="5" t="s">
        <v>2740</v>
      </c>
      <c r="B1367" s="6" t="s">
        <v>277</v>
      </c>
      <c r="C1367" s="6" t="s">
        <v>2741</v>
      </c>
      <c r="D1367" s="7" t="s">
        <v>189</v>
      </c>
      <c r="E1367" s="8">
        <v>11</v>
      </c>
    </row>
    <row r="1368" spans="1:5" ht="19.95" customHeight="1" x14ac:dyDescent="0.3">
      <c r="A1368" s="1" t="s">
        <v>2742</v>
      </c>
      <c r="B1368" s="2" t="s">
        <v>277</v>
      </c>
      <c r="C1368" s="2" t="s">
        <v>2743</v>
      </c>
      <c r="D1368" s="3" t="s">
        <v>189</v>
      </c>
      <c r="E1368" s="4">
        <v>27</v>
      </c>
    </row>
    <row r="1369" spans="1:5" ht="19.95" customHeight="1" x14ac:dyDescent="0.3">
      <c r="A1369" s="5" t="s">
        <v>2744</v>
      </c>
      <c r="B1369" s="6" t="s">
        <v>277</v>
      </c>
      <c r="C1369" s="6" t="s">
        <v>2745</v>
      </c>
      <c r="D1369" s="7" t="s">
        <v>169</v>
      </c>
      <c r="E1369" s="8">
        <v>500</v>
      </c>
    </row>
    <row r="1370" spans="1:5" ht="19.95" customHeight="1" x14ac:dyDescent="0.3">
      <c r="A1370" s="1" t="s">
        <v>2746</v>
      </c>
      <c r="B1370" s="2" t="s">
        <v>277</v>
      </c>
      <c r="C1370" s="2" t="s">
        <v>2747</v>
      </c>
      <c r="D1370" s="3" t="s">
        <v>189</v>
      </c>
      <c r="E1370" s="4">
        <v>62</v>
      </c>
    </row>
    <row r="1371" spans="1:5" ht="19.95" customHeight="1" x14ac:dyDescent="0.3">
      <c r="A1371" s="5" t="s">
        <v>2748</v>
      </c>
      <c r="B1371" s="6" t="s">
        <v>277</v>
      </c>
      <c r="C1371" s="6" t="s">
        <v>2749</v>
      </c>
      <c r="D1371" s="7" t="s">
        <v>189</v>
      </c>
      <c r="E1371" s="8">
        <v>14</v>
      </c>
    </row>
    <row r="1372" spans="1:5" ht="19.95" customHeight="1" x14ac:dyDescent="0.3">
      <c r="A1372" s="1" t="s">
        <v>2750</v>
      </c>
      <c r="B1372" s="2" t="s">
        <v>277</v>
      </c>
      <c r="C1372" s="2" t="s">
        <v>2751</v>
      </c>
      <c r="D1372" s="3" t="s">
        <v>189</v>
      </c>
      <c r="E1372" s="4">
        <v>11</v>
      </c>
    </row>
    <row r="1373" spans="1:5" ht="19.95" customHeight="1" x14ac:dyDescent="0.3">
      <c r="A1373" s="5" t="s">
        <v>2752</v>
      </c>
      <c r="B1373" s="6" t="s">
        <v>277</v>
      </c>
      <c r="C1373" s="6" t="s">
        <v>2753</v>
      </c>
      <c r="D1373" s="7" t="s">
        <v>169</v>
      </c>
      <c r="E1373" s="8">
        <v>800</v>
      </c>
    </row>
    <row r="1374" spans="1:5" ht="19.95" customHeight="1" x14ac:dyDescent="0.3">
      <c r="A1374" s="1" t="s">
        <v>2754</v>
      </c>
      <c r="B1374" s="2" t="s">
        <v>277</v>
      </c>
      <c r="C1374" s="2" t="s">
        <v>2755</v>
      </c>
      <c r="D1374" s="3" t="s">
        <v>366</v>
      </c>
      <c r="E1374" s="4">
        <v>210</v>
      </c>
    </row>
    <row r="1375" spans="1:5" ht="19.95" customHeight="1" x14ac:dyDescent="0.3">
      <c r="A1375" s="5" t="s">
        <v>2756</v>
      </c>
      <c r="B1375" s="6" t="s">
        <v>277</v>
      </c>
      <c r="C1375" s="6" t="s">
        <v>2757</v>
      </c>
      <c r="D1375" s="7" t="s">
        <v>169</v>
      </c>
      <c r="E1375" s="8">
        <v>305</v>
      </c>
    </row>
    <row r="1376" spans="1:5" ht="19.95" customHeight="1" x14ac:dyDescent="0.3">
      <c r="A1376" s="1" t="s">
        <v>2758</v>
      </c>
      <c r="B1376" s="2" t="s">
        <v>277</v>
      </c>
      <c r="C1376" s="2" t="s">
        <v>2759</v>
      </c>
      <c r="D1376" s="3" t="s">
        <v>169</v>
      </c>
      <c r="E1376" s="4">
        <v>575</v>
      </c>
    </row>
    <row r="1377" spans="1:5" ht="19.95" customHeight="1" x14ac:dyDescent="0.3">
      <c r="A1377" s="5" t="s">
        <v>2760</v>
      </c>
      <c r="B1377" s="6" t="s">
        <v>277</v>
      </c>
      <c r="C1377" s="6" t="s">
        <v>2759</v>
      </c>
      <c r="D1377" s="7" t="s">
        <v>169</v>
      </c>
      <c r="E1377" s="8">
        <v>690</v>
      </c>
    </row>
    <row r="1378" spans="1:5" ht="19.95" customHeight="1" x14ac:dyDescent="0.3">
      <c r="A1378" s="1" t="s">
        <v>2761</v>
      </c>
      <c r="B1378" s="2" t="s">
        <v>277</v>
      </c>
      <c r="C1378" s="2" t="s">
        <v>2762</v>
      </c>
      <c r="D1378" s="3" t="s">
        <v>283</v>
      </c>
      <c r="E1378" s="4">
        <v>24</v>
      </c>
    </row>
    <row r="1379" spans="1:5" ht="19.95" customHeight="1" x14ac:dyDescent="0.3">
      <c r="A1379" s="5" t="s">
        <v>2763</v>
      </c>
      <c r="B1379" s="6" t="s">
        <v>277</v>
      </c>
      <c r="C1379" s="6" t="s">
        <v>2764</v>
      </c>
      <c r="D1379" s="7" t="s">
        <v>169</v>
      </c>
      <c r="E1379" s="8">
        <v>500</v>
      </c>
    </row>
    <row r="1380" spans="1:5" ht="19.95" customHeight="1" x14ac:dyDescent="0.3">
      <c r="A1380" s="1" t="s">
        <v>2765</v>
      </c>
      <c r="B1380" s="2" t="s">
        <v>277</v>
      </c>
      <c r="C1380" s="2" t="s">
        <v>2766</v>
      </c>
      <c r="D1380" s="3" t="s">
        <v>169</v>
      </c>
      <c r="E1380" s="4">
        <v>540</v>
      </c>
    </row>
    <row r="1381" spans="1:5" ht="19.95" customHeight="1" x14ac:dyDescent="0.3">
      <c r="A1381" s="5" t="s">
        <v>2767</v>
      </c>
      <c r="B1381" s="6" t="s">
        <v>277</v>
      </c>
      <c r="C1381" s="6" t="s">
        <v>2766</v>
      </c>
      <c r="D1381" s="7" t="s">
        <v>169</v>
      </c>
      <c r="E1381" s="8">
        <v>650</v>
      </c>
    </row>
    <row r="1382" spans="1:5" ht="19.95" customHeight="1" x14ac:dyDescent="0.3">
      <c r="A1382" s="1" t="s">
        <v>2768</v>
      </c>
      <c r="B1382" s="2" t="s">
        <v>277</v>
      </c>
      <c r="C1382" s="2" t="s">
        <v>2766</v>
      </c>
      <c r="D1382" s="3" t="s">
        <v>169</v>
      </c>
      <c r="E1382" s="4">
        <v>900</v>
      </c>
    </row>
    <row r="1383" spans="1:5" ht="19.95" customHeight="1" x14ac:dyDescent="0.3">
      <c r="A1383" s="5" t="s">
        <v>2769</v>
      </c>
      <c r="B1383" s="6" t="s">
        <v>277</v>
      </c>
      <c r="C1383" s="6" t="s">
        <v>2770</v>
      </c>
      <c r="D1383" s="7" t="s">
        <v>169</v>
      </c>
      <c r="E1383" s="8">
        <v>575</v>
      </c>
    </row>
    <row r="1384" spans="1:5" ht="19.95" customHeight="1" x14ac:dyDescent="0.3">
      <c r="A1384" s="1" t="s">
        <v>2771</v>
      </c>
      <c r="B1384" s="2" t="s">
        <v>277</v>
      </c>
      <c r="C1384" s="2" t="s">
        <v>2772</v>
      </c>
      <c r="D1384" s="3" t="s">
        <v>283</v>
      </c>
      <c r="E1384" s="4">
        <v>40</v>
      </c>
    </row>
    <row r="1385" spans="1:5" ht="19.95" customHeight="1" x14ac:dyDescent="0.3">
      <c r="A1385" s="5" t="s">
        <v>2773</v>
      </c>
      <c r="B1385" s="6" t="s">
        <v>277</v>
      </c>
      <c r="C1385" s="6" t="s">
        <v>2774</v>
      </c>
      <c r="D1385" s="7" t="s">
        <v>283</v>
      </c>
      <c r="E1385" s="8">
        <v>52</v>
      </c>
    </row>
    <row r="1386" spans="1:5" ht="19.95" customHeight="1" x14ac:dyDescent="0.3">
      <c r="A1386" s="1" t="s">
        <v>2775</v>
      </c>
      <c r="B1386" s="2" t="s">
        <v>277</v>
      </c>
      <c r="C1386" s="2" t="s">
        <v>2776</v>
      </c>
      <c r="D1386" s="3" t="s">
        <v>189</v>
      </c>
      <c r="E1386" s="4">
        <v>34</v>
      </c>
    </row>
    <row r="1387" spans="1:5" ht="19.95" customHeight="1" x14ac:dyDescent="0.3">
      <c r="A1387" s="5" t="s">
        <v>2777</v>
      </c>
      <c r="B1387" s="6" t="s">
        <v>277</v>
      </c>
      <c r="C1387" s="6" t="s">
        <v>2778</v>
      </c>
      <c r="D1387" s="7" t="s">
        <v>189</v>
      </c>
      <c r="E1387" s="8">
        <v>48</v>
      </c>
    </row>
    <row r="1388" spans="1:5" ht="19.95" customHeight="1" x14ac:dyDescent="0.3">
      <c r="A1388" s="1" t="s">
        <v>2779</v>
      </c>
      <c r="B1388" s="2" t="s">
        <v>277</v>
      </c>
      <c r="C1388" s="2" t="s">
        <v>2780</v>
      </c>
      <c r="D1388" s="3" t="s">
        <v>189</v>
      </c>
      <c r="E1388" s="4">
        <v>210</v>
      </c>
    </row>
    <row r="1389" spans="1:5" ht="19.95" customHeight="1" x14ac:dyDescent="0.3">
      <c r="A1389" s="5" t="s">
        <v>2781</v>
      </c>
      <c r="B1389" s="6" t="s">
        <v>277</v>
      </c>
      <c r="C1389" s="6" t="s">
        <v>2782</v>
      </c>
      <c r="D1389" s="7" t="s">
        <v>189</v>
      </c>
      <c r="E1389" s="8">
        <v>220</v>
      </c>
    </row>
    <row r="1390" spans="1:5" ht="19.95" customHeight="1" x14ac:dyDescent="0.3">
      <c r="A1390" s="1" t="s">
        <v>2783</v>
      </c>
      <c r="B1390" s="2" t="s">
        <v>277</v>
      </c>
      <c r="C1390" s="2" t="s">
        <v>2784</v>
      </c>
      <c r="D1390" s="3" t="s">
        <v>189</v>
      </c>
      <c r="E1390" s="4">
        <v>100</v>
      </c>
    </row>
    <row r="1391" spans="1:5" ht="19.95" customHeight="1" x14ac:dyDescent="0.3">
      <c r="A1391" s="5" t="s">
        <v>2785</v>
      </c>
      <c r="B1391" s="6" t="s">
        <v>277</v>
      </c>
      <c r="C1391" s="6" t="s">
        <v>2786</v>
      </c>
      <c r="D1391" s="7" t="s">
        <v>189</v>
      </c>
      <c r="E1391" s="8">
        <v>135</v>
      </c>
    </row>
    <row r="1392" spans="1:5" ht="19.95" customHeight="1" x14ac:dyDescent="0.3">
      <c r="A1392" s="1" t="s">
        <v>2787</v>
      </c>
      <c r="B1392" s="2" t="s">
        <v>277</v>
      </c>
      <c r="C1392" s="2" t="s">
        <v>2788</v>
      </c>
      <c r="D1392" s="3" t="s">
        <v>189</v>
      </c>
      <c r="E1392" s="4">
        <v>290</v>
      </c>
    </row>
    <row r="1393" spans="1:5" ht="19.95" customHeight="1" x14ac:dyDescent="0.3">
      <c r="A1393" s="5" t="s">
        <v>2789</v>
      </c>
      <c r="B1393" s="6" t="s">
        <v>277</v>
      </c>
      <c r="C1393" s="6" t="s">
        <v>2790</v>
      </c>
      <c r="D1393" s="7" t="s">
        <v>189</v>
      </c>
      <c r="E1393" s="8">
        <v>480</v>
      </c>
    </row>
    <row r="1394" spans="1:5" ht="19.95" customHeight="1" x14ac:dyDescent="0.3">
      <c r="A1394" s="1" t="s">
        <v>2791</v>
      </c>
      <c r="B1394" s="2" t="s">
        <v>277</v>
      </c>
      <c r="C1394" s="2" t="s">
        <v>2792</v>
      </c>
      <c r="D1394" s="3" t="s">
        <v>189</v>
      </c>
      <c r="E1394" s="4">
        <v>870</v>
      </c>
    </row>
    <row r="1395" spans="1:5" ht="19.95" customHeight="1" x14ac:dyDescent="0.3">
      <c r="A1395" s="5" t="s">
        <v>2793</v>
      </c>
      <c r="B1395" s="6" t="s">
        <v>277</v>
      </c>
      <c r="C1395" s="6" t="s">
        <v>2794</v>
      </c>
      <c r="D1395" s="7" t="s">
        <v>189</v>
      </c>
      <c r="E1395" s="8">
        <v>100</v>
      </c>
    </row>
    <row r="1396" spans="1:5" ht="19.95" customHeight="1" x14ac:dyDescent="0.3">
      <c r="A1396" s="1" t="s">
        <v>2795</v>
      </c>
      <c r="B1396" s="2" t="s">
        <v>277</v>
      </c>
      <c r="C1396" s="2" t="s">
        <v>2796</v>
      </c>
      <c r="D1396" s="3" t="s">
        <v>189</v>
      </c>
      <c r="E1396" s="4">
        <v>70</v>
      </c>
    </row>
    <row r="1397" spans="1:5" ht="19.95" customHeight="1" x14ac:dyDescent="0.3">
      <c r="A1397" s="5" t="s">
        <v>2797</v>
      </c>
      <c r="B1397" s="6" t="s">
        <v>277</v>
      </c>
      <c r="C1397" s="6" t="s">
        <v>2798</v>
      </c>
      <c r="D1397" s="7" t="s">
        <v>189</v>
      </c>
      <c r="E1397" s="8">
        <v>105</v>
      </c>
    </row>
    <row r="1398" spans="1:5" ht="19.95" customHeight="1" x14ac:dyDescent="0.3">
      <c r="A1398" s="1" t="s">
        <v>2799</v>
      </c>
      <c r="B1398" s="2" t="s">
        <v>277</v>
      </c>
      <c r="C1398" s="2" t="s">
        <v>2800</v>
      </c>
      <c r="D1398" s="3" t="s">
        <v>2801</v>
      </c>
      <c r="E1398" s="4">
        <v>130</v>
      </c>
    </row>
    <row r="1399" spans="1:5" ht="19.95" customHeight="1" x14ac:dyDescent="0.3">
      <c r="A1399" s="5" t="s">
        <v>2802</v>
      </c>
      <c r="B1399" s="6" t="s">
        <v>277</v>
      </c>
      <c r="C1399" s="6" t="s">
        <v>2803</v>
      </c>
      <c r="D1399" s="7" t="s">
        <v>189</v>
      </c>
      <c r="E1399" s="8">
        <v>135</v>
      </c>
    </row>
    <row r="1400" spans="1:5" ht="19.95" customHeight="1" x14ac:dyDescent="0.3">
      <c r="A1400" s="1" t="s">
        <v>2804</v>
      </c>
      <c r="B1400" s="2" t="s">
        <v>277</v>
      </c>
      <c r="C1400" s="2" t="s">
        <v>2805</v>
      </c>
      <c r="D1400" s="3" t="s">
        <v>189</v>
      </c>
      <c r="E1400" s="4">
        <v>165</v>
      </c>
    </row>
    <row r="1401" spans="1:5" ht="19.95" customHeight="1" x14ac:dyDescent="0.3">
      <c r="A1401" s="5" t="s">
        <v>2806</v>
      </c>
      <c r="B1401" s="6" t="s">
        <v>277</v>
      </c>
      <c r="C1401" s="6" t="s">
        <v>2807</v>
      </c>
      <c r="D1401" s="7" t="s">
        <v>189</v>
      </c>
      <c r="E1401" s="8">
        <v>200</v>
      </c>
    </row>
    <row r="1402" spans="1:5" ht="19.95" customHeight="1" x14ac:dyDescent="0.3">
      <c r="A1402" s="1" t="s">
        <v>2808</v>
      </c>
      <c r="B1402" s="2" t="s">
        <v>277</v>
      </c>
      <c r="C1402" s="2" t="s">
        <v>2809</v>
      </c>
      <c r="D1402" s="3" t="s">
        <v>189</v>
      </c>
      <c r="E1402" s="4">
        <v>76</v>
      </c>
    </row>
    <row r="1403" spans="1:5" ht="19.95" customHeight="1" x14ac:dyDescent="0.3">
      <c r="A1403" s="5" t="s">
        <v>2810</v>
      </c>
      <c r="B1403" s="6" t="s">
        <v>277</v>
      </c>
      <c r="C1403" s="6" t="s">
        <v>2811</v>
      </c>
      <c r="D1403" s="7" t="s">
        <v>189</v>
      </c>
      <c r="E1403" s="8">
        <v>84</v>
      </c>
    </row>
    <row r="1404" spans="1:5" ht="19.95" customHeight="1" x14ac:dyDescent="0.3">
      <c r="A1404" s="1" t="s">
        <v>2812</v>
      </c>
      <c r="B1404" s="2" t="s">
        <v>277</v>
      </c>
      <c r="C1404" s="2" t="s">
        <v>2813</v>
      </c>
      <c r="D1404" s="3" t="s">
        <v>189</v>
      </c>
      <c r="E1404" s="4">
        <v>24</v>
      </c>
    </row>
    <row r="1405" spans="1:5" ht="19.95" customHeight="1" x14ac:dyDescent="0.3">
      <c r="A1405" s="5" t="s">
        <v>2814</v>
      </c>
      <c r="B1405" s="6" t="s">
        <v>277</v>
      </c>
      <c r="C1405" s="6" t="s">
        <v>2815</v>
      </c>
      <c r="D1405" s="7" t="s">
        <v>189</v>
      </c>
      <c r="E1405" s="8">
        <v>24</v>
      </c>
    </row>
    <row r="1406" spans="1:5" ht="19.95" customHeight="1" x14ac:dyDescent="0.3">
      <c r="A1406" s="1" t="s">
        <v>2816</v>
      </c>
      <c r="B1406" s="2" t="s">
        <v>277</v>
      </c>
      <c r="C1406" s="2" t="s">
        <v>2817</v>
      </c>
      <c r="D1406" s="3" t="s">
        <v>189</v>
      </c>
      <c r="E1406" s="4">
        <v>33</v>
      </c>
    </row>
    <row r="1407" spans="1:5" ht="19.95" customHeight="1" x14ac:dyDescent="0.3">
      <c r="A1407" s="5" t="s">
        <v>2818</v>
      </c>
      <c r="B1407" s="6" t="s">
        <v>277</v>
      </c>
      <c r="C1407" s="6" t="s">
        <v>2819</v>
      </c>
      <c r="D1407" s="7" t="s">
        <v>189</v>
      </c>
      <c r="E1407" s="8">
        <v>43</v>
      </c>
    </row>
    <row r="1408" spans="1:5" ht="19.95" customHeight="1" x14ac:dyDescent="0.3">
      <c r="A1408" s="1" t="s">
        <v>2820</v>
      </c>
      <c r="B1408" s="2" t="s">
        <v>277</v>
      </c>
      <c r="C1408" s="2" t="s">
        <v>2821</v>
      </c>
      <c r="D1408" s="3" t="s">
        <v>189</v>
      </c>
      <c r="E1408" s="4">
        <v>48</v>
      </c>
    </row>
    <row r="1409" spans="1:5" ht="19.95" customHeight="1" x14ac:dyDescent="0.3">
      <c r="A1409" s="5" t="s">
        <v>2822</v>
      </c>
      <c r="B1409" s="6" t="s">
        <v>277</v>
      </c>
      <c r="C1409" s="6" t="s">
        <v>2823</v>
      </c>
      <c r="D1409" s="7" t="s">
        <v>189</v>
      </c>
      <c r="E1409" s="8">
        <v>67</v>
      </c>
    </row>
    <row r="1410" spans="1:5" ht="19.95" customHeight="1" x14ac:dyDescent="0.3">
      <c r="A1410" s="1" t="s">
        <v>2824</v>
      </c>
      <c r="B1410" s="2" t="s">
        <v>277</v>
      </c>
      <c r="C1410" s="2" t="s">
        <v>2825</v>
      </c>
      <c r="D1410" s="3" t="s">
        <v>189</v>
      </c>
      <c r="E1410" s="4">
        <v>24</v>
      </c>
    </row>
    <row r="1411" spans="1:5" ht="19.95" customHeight="1" x14ac:dyDescent="0.3">
      <c r="A1411" s="5" t="s">
        <v>2826</v>
      </c>
      <c r="B1411" s="6" t="s">
        <v>277</v>
      </c>
      <c r="C1411" s="6" t="s">
        <v>2827</v>
      </c>
      <c r="D1411" s="7" t="s">
        <v>169</v>
      </c>
      <c r="E1411" s="8">
        <v>290</v>
      </c>
    </row>
    <row r="1412" spans="1:5" ht="19.95" customHeight="1" x14ac:dyDescent="0.3">
      <c r="A1412" s="1" t="s">
        <v>2828</v>
      </c>
      <c r="B1412" s="2" t="s">
        <v>277</v>
      </c>
      <c r="C1412" s="2" t="s">
        <v>2829</v>
      </c>
      <c r="D1412" s="3" t="s">
        <v>169</v>
      </c>
      <c r="E1412" s="4">
        <v>385</v>
      </c>
    </row>
    <row r="1413" spans="1:5" ht="19.95" customHeight="1" x14ac:dyDescent="0.3">
      <c r="A1413" s="5" t="s">
        <v>2830</v>
      </c>
      <c r="B1413" s="6" t="s">
        <v>277</v>
      </c>
      <c r="C1413" s="6" t="s">
        <v>2831</v>
      </c>
      <c r="D1413" s="7" t="s">
        <v>169</v>
      </c>
      <c r="E1413" s="8">
        <v>670</v>
      </c>
    </row>
    <row r="1414" spans="1:5" ht="19.95" customHeight="1" x14ac:dyDescent="0.3">
      <c r="A1414" s="1" t="s">
        <v>2832</v>
      </c>
      <c r="B1414" s="2" t="s">
        <v>277</v>
      </c>
      <c r="C1414" s="2" t="s">
        <v>2833</v>
      </c>
      <c r="D1414" s="3" t="s">
        <v>169</v>
      </c>
      <c r="E1414" s="4">
        <v>1000</v>
      </c>
    </row>
    <row r="1415" spans="1:5" ht="19.95" customHeight="1" x14ac:dyDescent="0.3">
      <c r="A1415" s="5" t="s">
        <v>2834</v>
      </c>
      <c r="B1415" s="6" t="s">
        <v>277</v>
      </c>
      <c r="C1415" s="6" t="s">
        <v>2835</v>
      </c>
      <c r="D1415" s="7" t="s">
        <v>283</v>
      </c>
      <c r="E1415" s="8">
        <v>700</v>
      </c>
    </row>
    <row r="1416" spans="1:5" ht="19.95" customHeight="1" x14ac:dyDescent="0.3">
      <c r="A1416" s="1" t="s">
        <v>2836</v>
      </c>
      <c r="B1416" s="2" t="s">
        <v>277</v>
      </c>
      <c r="C1416" s="2" t="s">
        <v>2837</v>
      </c>
      <c r="D1416" s="3" t="s">
        <v>283</v>
      </c>
      <c r="E1416" s="4">
        <v>570</v>
      </c>
    </row>
    <row r="1417" spans="1:5" ht="19.95" customHeight="1" x14ac:dyDescent="0.3">
      <c r="A1417" s="5" t="s">
        <v>2838</v>
      </c>
      <c r="B1417" s="6" t="s">
        <v>277</v>
      </c>
      <c r="C1417" s="6" t="s">
        <v>2839</v>
      </c>
      <c r="D1417" s="7" t="s">
        <v>189</v>
      </c>
      <c r="E1417" s="8">
        <v>230</v>
      </c>
    </row>
    <row r="1418" spans="1:5" ht="19.95" customHeight="1" x14ac:dyDescent="0.3">
      <c r="A1418" s="1" t="s">
        <v>2840</v>
      </c>
      <c r="B1418" s="2" t="s">
        <v>277</v>
      </c>
      <c r="C1418" s="2" t="s">
        <v>2839</v>
      </c>
      <c r="D1418" s="3" t="s">
        <v>189</v>
      </c>
      <c r="E1418" s="4">
        <v>160</v>
      </c>
    </row>
    <row r="1419" spans="1:5" ht="19.95" customHeight="1" x14ac:dyDescent="0.3">
      <c r="A1419" s="5" t="s">
        <v>2841</v>
      </c>
      <c r="B1419" s="6" t="s">
        <v>277</v>
      </c>
      <c r="C1419" s="6" t="s">
        <v>2842</v>
      </c>
      <c r="D1419" s="7" t="s">
        <v>189</v>
      </c>
      <c r="E1419" s="8">
        <v>510</v>
      </c>
    </row>
    <row r="1420" spans="1:5" ht="19.95" customHeight="1" x14ac:dyDescent="0.3">
      <c r="A1420" s="1" t="s">
        <v>2843</v>
      </c>
      <c r="B1420" s="2" t="s">
        <v>277</v>
      </c>
      <c r="C1420" s="2" t="s">
        <v>2844</v>
      </c>
      <c r="D1420" s="3" t="s">
        <v>189</v>
      </c>
      <c r="E1420" s="4">
        <v>275</v>
      </c>
    </row>
    <row r="1421" spans="1:5" ht="19.95" customHeight="1" x14ac:dyDescent="0.3">
      <c r="A1421" s="5" t="s">
        <v>2845</v>
      </c>
      <c r="B1421" s="6" t="s">
        <v>277</v>
      </c>
      <c r="C1421" s="6" t="s">
        <v>2846</v>
      </c>
      <c r="D1421" s="7" t="s">
        <v>189</v>
      </c>
      <c r="E1421" s="8">
        <v>400</v>
      </c>
    </row>
    <row r="1422" spans="1:5" ht="19.95" customHeight="1" x14ac:dyDescent="0.3">
      <c r="A1422" s="1" t="s">
        <v>2847</v>
      </c>
      <c r="B1422" s="2" t="s">
        <v>277</v>
      </c>
      <c r="C1422" s="2" t="s">
        <v>2848</v>
      </c>
      <c r="D1422" s="3" t="s">
        <v>189</v>
      </c>
      <c r="E1422" s="4">
        <v>215</v>
      </c>
    </row>
    <row r="1423" spans="1:5" ht="19.95" customHeight="1" x14ac:dyDescent="0.3">
      <c r="A1423" s="5" t="s">
        <v>2849</v>
      </c>
      <c r="B1423" s="6" t="s">
        <v>277</v>
      </c>
      <c r="C1423" s="6" t="s">
        <v>2850</v>
      </c>
      <c r="D1423" s="7" t="s">
        <v>189</v>
      </c>
      <c r="E1423" s="8">
        <v>400</v>
      </c>
    </row>
    <row r="1424" spans="1:5" ht="19.95" customHeight="1" x14ac:dyDescent="0.3">
      <c r="A1424" s="1" t="s">
        <v>2851</v>
      </c>
      <c r="B1424" s="2" t="s">
        <v>277</v>
      </c>
      <c r="C1424" s="2" t="s">
        <v>2852</v>
      </c>
      <c r="D1424" s="3" t="s">
        <v>189</v>
      </c>
      <c r="E1424" s="4">
        <v>375</v>
      </c>
    </row>
    <row r="1425" spans="1:5" ht="19.95" customHeight="1" x14ac:dyDescent="0.3">
      <c r="A1425" s="5" t="s">
        <v>2853</v>
      </c>
      <c r="B1425" s="6" t="s">
        <v>277</v>
      </c>
      <c r="C1425" s="6" t="s">
        <v>2854</v>
      </c>
      <c r="D1425" s="7" t="s">
        <v>189</v>
      </c>
      <c r="E1425" s="8">
        <v>625</v>
      </c>
    </row>
    <row r="1426" spans="1:5" ht="19.95" customHeight="1" x14ac:dyDescent="0.3">
      <c r="A1426" s="1" t="s">
        <v>2855</v>
      </c>
      <c r="B1426" s="2" t="s">
        <v>277</v>
      </c>
      <c r="C1426" s="2" t="s">
        <v>2856</v>
      </c>
      <c r="D1426" s="3" t="s">
        <v>189</v>
      </c>
      <c r="E1426" s="4">
        <v>390</v>
      </c>
    </row>
    <row r="1427" spans="1:5" ht="19.95" customHeight="1" x14ac:dyDescent="0.3">
      <c r="A1427" s="5" t="s">
        <v>2857</v>
      </c>
      <c r="B1427" s="6" t="s">
        <v>277</v>
      </c>
      <c r="C1427" s="6" t="s">
        <v>2856</v>
      </c>
      <c r="D1427" s="7" t="s">
        <v>189</v>
      </c>
      <c r="E1427" s="8">
        <v>260</v>
      </c>
    </row>
    <row r="1428" spans="1:5" ht="19.95" customHeight="1" x14ac:dyDescent="0.3">
      <c r="A1428" s="1" t="s">
        <v>2858</v>
      </c>
      <c r="B1428" s="2" t="s">
        <v>277</v>
      </c>
      <c r="C1428" s="2" t="s">
        <v>2859</v>
      </c>
      <c r="D1428" s="3" t="s">
        <v>189</v>
      </c>
      <c r="E1428" s="4">
        <v>430</v>
      </c>
    </row>
    <row r="1429" spans="1:5" ht="19.95" customHeight="1" x14ac:dyDescent="0.3">
      <c r="A1429" s="5" t="s">
        <v>2860</v>
      </c>
      <c r="B1429" s="6" t="s">
        <v>277</v>
      </c>
      <c r="C1429" s="6" t="s">
        <v>2861</v>
      </c>
      <c r="D1429" s="7" t="s">
        <v>189</v>
      </c>
      <c r="E1429" s="8">
        <v>360</v>
      </c>
    </row>
    <row r="1430" spans="1:5" ht="19.95" customHeight="1" x14ac:dyDescent="0.3">
      <c r="A1430" s="1" t="s">
        <v>2862</v>
      </c>
      <c r="B1430" s="2" t="s">
        <v>277</v>
      </c>
      <c r="C1430" s="2" t="s">
        <v>2863</v>
      </c>
      <c r="D1430" s="3" t="s">
        <v>189</v>
      </c>
      <c r="E1430" s="4">
        <v>295</v>
      </c>
    </row>
    <row r="1431" spans="1:5" ht="19.95" customHeight="1" x14ac:dyDescent="0.3">
      <c r="A1431" s="5" t="s">
        <v>2864</v>
      </c>
      <c r="B1431" s="6" t="s">
        <v>277</v>
      </c>
      <c r="C1431" s="6" t="s">
        <v>2865</v>
      </c>
      <c r="D1431" s="7" t="s">
        <v>189</v>
      </c>
      <c r="E1431" s="8">
        <v>440</v>
      </c>
    </row>
    <row r="1432" spans="1:5" ht="19.95" customHeight="1" x14ac:dyDescent="0.3">
      <c r="A1432" s="1" t="s">
        <v>2866</v>
      </c>
      <c r="B1432" s="2" t="s">
        <v>277</v>
      </c>
      <c r="C1432" s="2" t="s">
        <v>2867</v>
      </c>
      <c r="D1432" s="3" t="s">
        <v>189</v>
      </c>
      <c r="E1432" s="4">
        <v>310</v>
      </c>
    </row>
    <row r="1433" spans="1:5" ht="19.95" customHeight="1" x14ac:dyDescent="0.3">
      <c r="A1433" s="5" t="s">
        <v>2868</v>
      </c>
      <c r="B1433" s="6" t="s">
        <v>277</v>
      </c>
      <c r="C1433" s="6" t="s">
        <v>2869</v>
      </c>
      <c r="D1433" s="7" t="s">
        <v>189</v>
      </c>
      <c r="E1433" s="8">
        <v>365</v>
      </c>
    </row>
    <row r="1434" spans="1:5" ht="19.95" customHeight="1" x14ac:dyDescent="0.3">
      <c r="A1434" s="1" t="s">
        <v>2870</v>
      </c>
      <c r="B1434" s="2" t="s">
        <v>277</v>
      </c>
      <c r="C1434" s="2" t="s">
        <v>2871</v>
      </c>
      <c r="D1434" s="3" t="s">
        <v>189</v>
      </c>
      <c r="E1434" s="4">
        <v>290</v>
      </c>
    </row>
    <row r="1435" spans="1:5" ht="19.95" customHeight="1" x14ac:dyDescent="0.3">
      <c r="A1435" s="5" t="s">
        <v>2872</v>
      </c>
      <c r="B1435" s="6" t="s">
        <v>277</v>
      </c>
      <c r="C1435" s="6" t="s">
        <v>2873</v>
      </c>
      <c r="D1435" s="7" t="s">
        <v>189</v>
      </c>
      <c r="E1435" s="8">
        <v>270</v>
      </c>
    </row>
    <row r="1436" spans="1:5" ht="19.95" customHeight="1" x14ac:dyDescent="0.3">
      <c r="A1436" s="1" t="s">
        <v>2874</v>
      </c>
      <c r="B1436" s="2" t="s">
        <v>277</v>
      </c>
      <c r="C1436" s="2" t="s">
        <v>2875</v>
      </c>
      <c r="D1436" s="3" t="s">
        <v>2876</v>
      </c>
      <c r="E1436" s="4">
        <v>540</v>
      </c>
    </row>
    <row r="1437" spans="1:5" ht="19.95" customHeight="1" x14ac:dyDescent="0.3">
      <c r="A1437" s="5" t="s">
        <v>2877</v>
      </c>
      <c r="B1437" s="6" t="s">
        <v>277</v>
      </c>
      <c r="C1437" s="6" t="s">
        <v>2878</v>
      </c>
      <c r="D1437" s="7" t="s">
        <v>189</v>
      </c>
      <c r="E1437" s="8">
        <v>385</v>
      </c>
    </row>
    <row r="1438" spans="1:5" ht="19.95" customHeight="1" x14ac:dyDescent="0.3">
      <c r="A1438" s="1" t="s">
        <v>2879</v>
      </c>
      <c r="B1438" s="2" t="s">
        <v>277</v>
      </c>
      <c r="C1438" s="2" t="s">
        <v>2880</v>
      </c>
      <c r="D1438" s="3" t="s">
        <v>189</v>
      </c>
      <c r="E1438" s="4">
        <v>275</v>
      </c>
    </row>
    <row r="1439" spans="1:5" ht="19.95" customHeight="1" x14ac:dyDescent="0.3">
      <c r="A1439" s="5" t="s">
        <v>2881</v>
      </c>
      <c r="B1439" s="6" t="s">
        <v>277</v>
      </c>
      <c r="C1439" s="6" t="s">
        <v>2882</v>
      </c>
      <c r="D1439" s="7" t="s">
        <v>189</v>
      </c>
      <c r="E1439" s="8">
        <v>250</v>
      </c>
    </row>
    <row r="1440" spans="1:5" ht="19.95" customHeight="1" x14ac:dyDescent="0.3">
      <c r="A1440" s="1" t="s">
        <v>2883</v>
      </c>
      <c r="B1440" s="2" t="s">
        <v>277</v>
      </c>
      <c r="C1440" s="2" t="s">
        <v>2884</v>
      </c>
      <c r="D1440" s="3" t="s">
        <v>283</v>
      </c>
      <c r="E1440" s="4">
        <v>765</v>
      </c>
    </row>
    <row r="1441" spans="1:5" ht="19.95" customHeight="1" x14ac:dyDescent="0.3">
      <c r="A1441" s="5" t="s">
        <v>2885</v>
      </c>
      <c r="B1441" s="6" t="s">
        <v>277</v>
      </c>
      <c r="C1441" s="6" t="s">
        <v>2886</v>
      </c>
      <c r="D1441" s="7" t="s">
        <v>283</v>
      </c>
      <c r="E1441" s="8">
        <v>1150</v>
      </c>
    </row>
    <row r="1442" spans="1:5" ht="19.95" customHeight="1" x14ac:dyDescent="0.3">
      <c r="A1442" s="1" t="s">
        <v>2887</v>
      </c>
      <c r="B1442" s="2" t="s">
        <v>277</v>
      </c>
      <c r="C1442" s="2" t="s">
        <v>2888</v>
      </c>
      <c r="D1442" s="3" t="s">
        <v>283</v>
      </c>
      <c r="E1442" s="4">
        <v>1575</v>
      </c>
    </row>
    <row r="1443" spans="1:5" ht="19.95" customHeight="1" x14ac:dyDescent="0.3">
      <c r="A1443" s="5" t="s">
        <v>2889</v>
      </c>
      <c r="B1443" s="6" t="s">
        <v>277</v>
      </c>
      <c r="C1443" s="6" t="s">
        <v>2890</v>
      </c>
      <c r="D1443" s="7" t="s">
        <v>283</v>
      </c>
      <c r="E1443" s="8">
        <v>2200</v>
      </c>
    </row>
    <row r="1444" spans="1:5" ht="19.95" customHeight="1" x14ac:dyDescent="0.3">
      <c r="A1444" s="1" t="s">
        <v>2891</v>
      </c>
      <c r="B1444" s="2" t="s">
        <v>277</v>
      </c>
      <c r="C1444" s="2" t="s">
        <v>2892</v>
      </c>
      <c r="D1444" s="3" t="s">
        <v>283</v>
      </c>
      <c r="E1444" s="4">
        <v>2750</v>
      </c>
    </row>
    <row r="1445" spans="1:5" ht="19.95" customHeight="1" x14ac:dyDescent="0.3">
      <c r="A1445" s="5" t="s">
        <v>2893</v>
      </c>
      <c r="B1445" s="6" t="s">
        <v>277</v>
      </c>
      <c r="C1445" s="6" t="s">
        <v>2894</v>
      </c>
      <c r="D1445" s="7" t="s">
        <v>283</v>
      </c>
      <c r="E1445" s="8">
        <v>3350</v>
      </c>
    </row>
    <row r="1446" spans="1:5" ht="19.95" customHeight="1" x14ac:dyDescent="0.3">
      <c r="A1446" s="1" t="s">
        <v>2895</v>
      </c>
      <c r="B1446" s="2" t="s">
        <v>277</v>
      </c>
      <c r="C1446" s="2" t="s">
        <v>2896</v>
      </c>
      <c r="D1446" s="3" t="s">
        <v>283</v>
      </c>
      <c r="E1446" s="4">
        <v>4300</v>
      </c>
    </row>
    <row r="1447" spans="1:5" ht="19.95" customHeight="1" x14ac:dyDescent="0.3">
      <c r="A1447" s="5" t="s">
        <v>2897</v>
      </c>
      <c r="B1447" s="6" t="s">
        <v>277</v>
      </c>
      <c r="C1447" s="6" t="s">
        <v>2898</v>
      </c>
      <c r="D1447" s="7" t="s">
        <v>283</v>
      </c>
      <c r="E1447" s="8">
        <v>5000</v>
      </c>
    </row>
    <row r="1448" spans="1:5" ht="19.95" customHeight="1" x14ac:dyDescent="0.3">
      <c r="A1448" s="1" t="s">
        <v>2899</v>
      </c>
      <c r="B1448" s="2" t="s">
        <v>277</v>
      </c>
      <c r="C1448" s="2" t="s">
        <v>2900</v>
      </c>
      <c r="D1448" s="3" t="s">
        <v>283</v>
      </c>
      <c r="E1448" s="4">
        <v>6270</v>
      </c>
    </row>
    <row r="1449" spans="1:5" ht="19.95" customHeight="1" x14ac:dyDescent="0.3">
      <c r="A1449" s="5" t="s">
        <v>2901</v>
      </c>
      <c r="B1449" s="6" t="s">
        <v>277</v>
      </c>
      <c r="C1449" s="6" t="s">
        <v>2902</v>
      </c>
      <c r="D1449" s="7" t="s">
        <v>283</v>
      </c>
      <c r="E1449" s="8">
        <v>7560</v>
      </c>
    </row>
    <row r="1450" spans="1:5" ht="19.95" customHeight="1" x14ac:dyDescent="0.3">
      <c r="A1450" s="1" t="s">
        <v>2903</v>
      </c>
      <c r="B1450" s="2" t="s">
        <v>277</v>
      </c>
      <c r="C1450" s="2" t="s">
        <v>2904</v>
      </c>
      <c r="D1450" s="3" t="s">
        <v>283</v>
      </c>
      <c r="E1450" s="4">
        <v>10500</v>
      </c>
    </row>
    <row r="1451" spans="1:5" ht="19.95" customHeight="1" x14ac:dyDescent="0.3">
      <c r="A1451" s="5" t="s">
        <v>2905</v>
      </c>
      <c r="B1451" s="6" t="s">
        <v>277</v>
      </c>
      <c r="C1451" s="6" t="s">
        <v>2906</v>
      </c>
      <c r="D1451" s="7" t="s">
        <v>283</v>
      </c>
      <c r="E1451" s="8">
        <v>11350</v>
      </c>
    </row>
    <row r="1452" spans="1:5" ht="19.95" customHeight="1" x14ac:dyDescent="0.3">
      <c r="A1452" s="1" t="s">
        <v>2907</v>
      </c>
      <c r="B1452" s="2" t="s">
        <v>277</v>
      </c>
      <c r="C1452" s="2" t="s">
        <v>2908</v>
      </c>
      <c r="D1452" s="3" t="s">
        <v>283</v>
      </c>
      <c r="E1452" s="4">
        <v>11450</v>
      </c>
    </row>
    <row r="1453" spans="1:5" ht="19.95" customHeight="1" x14ac:dyDescent="0.3">
      <c r="A1453" s="5" t="s">
        <v>2909</v>
      </c>
      <c r="B1453" s="6" t="s">
        <v>277</v>
      </c>
      <c r="C1453" s="6" t="s">
        <v>2910</v>
      </c>
      <c r="D1453" s="7" t="s">
        <v>283</v>
      </c>
      <c r="E1453" s="8">
        <v>13900</v>
      </c>
    </row>
    <row r="1454" spans="1:5" ht="19.95" customHeight="1" x14ac:dyDescent="0.3">
      <c r="A1454" s="1" t="s">
        <v>2911</v>
      </c>
      <c r="B1454" s="2" t="s">
        <v>277</v>
      </c>
      <c r="C1454" s="2" t="s">
        <v>2912</v>
      </c>
      <c r="D1454" s="3" t="s">
        <v>283</v>
      </c>
      <c r="E1454" s="4">
        <v>15550</v>
      </c>
    </row>
    <row r="1455" spans="1:5" ht="19.95" customHeight="1" x14ac:dyDescent="0.3">
      <c r="A1455" s="5" t="s">
        <v>2913</v>
      </c>
      <c r="B1455" s="6" t="s">
        <v>277</v>
      </c>
      <c r="C1455" s="6" t="s">
        <v>2914</v>
      </c>
      <c r="D1455" s="7" t="s">
        <v>189</v>
      </c>
      <c r="E1455" s="8">
        <v>29</v>
      </c>
    </row>
    <row r="1456" spans="1:5" ht="19.95" customHeight="1" x14ac:dyDescent="0.3">
      <c r="A1456" s="1" t="s">
        <v>2915</v>
      </c>
      <c r="B1456" s="2" t="s">
        <v>277</v>
      </c>
      <c r="C1456" s="2" t="s">
        <v>2916</v>
      </c>
      <c r="D1456" s="3" t="s">
        <v>189</v>
      </c>
      <c r="E1456" s="4">
        <v>36</v>
      </c>
    </row>
    <row r="1457" spans="1:5" ht="19.95" customHeight="1" x14ac:dyDescent="0.3">
      <c r="A1457" s="5" t="s">
        <v>2917</v>
      </c>
      <c r="B1457" s="6" t="s">
        <v>277</v>
      </c>
      <c r="C1457" s="6" t="s">
        <v>2918</v>
      </c>
      <c r="D1457" s="7" t="s">
        <v>189</v>
      </c>
      <c r="E1457" s="8">
        <v>63</v>
      </c>
    </row>
    <row r="1458" spans="1:5" ht="19.95" customHeight="1" x14ac:dyDescent="0.3">
      <c r="A1458" s="1" t="s">
        <v>2919</v>
      </c>
      <c r="B1458" s="2" t="s">
        <v>277</v>
      </c>
      <c r="C1458" s="2" t="s">
        <v>2920</v>
      </c>
      <c r="D1458" s="3" t="s">
        <v>189</v>
      </c>
      <c r="E1458" s="4">
        <v>74</v>
      </c>
    </row>
    <row r="1459" spans="1:5" ht="19.95" customHeight="1" x14ac:dyDescent="0.3">
      <c r="A1459" s="5" t="s">
        <v>2921</v>
      </c>
      <c r="B1459" s="6" t="s">
        <v>277</v>
      </c>
      <c r="C1459" s="6" t="s">
        <v>2922</v>
      </c>
      <c r="D1459" s="7" t="s">
        <v>189</v>
      </c>
      <c r="E1459" s="8">
        <v>110</v>
      </c>
    </row>
    <row r="1460" spans="1:5" ht="19.95" customHeight="1" x14ac:dyDescent="0.3">
      <c r="A1460" s="1" t="s">
        <v>2923</v>
      </c>
      <c r="B1460" s="2" t="s">
        <v>277</v>
      </c>
      <c r="C1460" s="2" t="s">
        <v>2924</v>
      </c>
      <c r="D1460" s="3" t="s">
        <v>189</v>
      </c>
      <c r="E1460" s="4">
        <v>126</v>
      </c>
    </row>
    <row r="1461" spans="1:5" ht="19.95" customHeight="1" x14ac:dyDescent="0.3">
      <c r="A1461" s="5" t="s">
        <v>2925</v>
      </c>
      <c r="B1461" s="6" t="s">
        <v>277</v>
      </c>
      <c r="C1461" s="6" t="s">
        <v>2926</v>
      </c>
      <c r="D1461" s="7" t="s">
        <v>189</v>
      </c>
      <c r="E1461" s="8">
        <v>230</v>
      </c>
    </row>
    <row r="1462" spans="1:5" ht="19.95" customHeight="1" x14ac:dyDescent="0.3">
      <c r="A1462" s="1" t="s">
        <v>2927</v>
      </c>
      <c r="B1462" s="2" t="s">
        <v>277</v>
      </c>
      <c r="C1462" s="2" t="s">
        <v>2928</v>
      </c>
      <c r="D1462" s="3" t="s">
        <v>189</v>
      </c>
      <c r="E1462" s="4">
        <v>270</v>
      </c>
    </row>
    <row r="1463" spans="1:5" ht="19.95" customHeight="1" x14ac:dyDescent="0.3">
      <c r="A1463" s="5" t="s">
        <v>2929</v>
      </c>
      <c r="B1463" s="6" t="s">
        <v>277</v>
      </c>
      <c r="C1463" s="6" t="s">
        <v>2930</v>
      </c>
      <c r="D1463" s="7" t="s">
        <v>189</v>
      </c>
      <c r="E1463" s="8">
        <v>290</v>
      </c>
    </row>
    <row r="1464" spans="1:5" ht="19.95" customHeight="1" x14ac:dyDescent="0.3">
      <c r="A1464" s="1" t="s">
        <v>2931</v>
      </c>
      <c r="B1464" s="2" t="s">
        <v>277</v>
      </c>
      <c r="C1464" s="2" t="s">
        <v>2932</v>
      </c>
      <c r="D1464" s="3" t="s">
        <v>189</v>
      </c>
      <c r="E1464" s="4">
        <v>365</v>
      </c>
    </row>
    <row r="1465" spans="1:5" ht="19.95" customHeight="1" x14ac:dyDescent="0.3">
      <c r="A1465" s="5" t="s">
        <v>2933</v>
      </c>
      <c r="B1465" s="6" t="s">
        <v>277</v>
      </c>
      <c r="C1465" s="6" t="s">
        <v>2934</v>
      </c>
      <c r="D1465" s="7" t="s">
        <v>189</v>
      </c>
      <c r="E1465" s="8">
        <v>550</v>
      </c>
    </row>
    <row r="1466" spans="1:5" ht="19.95" customHeight="1" x14ac:dyDescent="0.3">
      <c r="A1466" s="1" t="s">
        <v>2935</v>
      </c>
      <c r="B1466" s="2" t="s">
        <v>277</v>
      </c>
      <c r="C1466" s="2" t="s">
        <v>2936</v>
      </c>
      <c r="D1466" s="3" t="s">
        <v>189</v>
      </c>
      <c r="E1466" s="4">
        <v>660</v>
      </c>
    </row>
    <row r="1467" spans="1:5" ht="19.95" customHeight="1" x14ac:dyDescent="0.3">
      <c r="A1467" s="5" t="s">
        <v>2937</v>
      </c>
      <c r="B1467" s="6" t="s">
        <v>277</v>
      </c>
      <c r="C1467" s="6" t="s">
        <v>2938</v>
      </c>
      <c r="D1467" s="7" t="s">
        <v>189</v>
      </c>
      <c r="E1467" s="8">
        <v>725</v>
      </c>
    </row>
    <row r="1468" spans="1:5" ht="19.95" customHeight="1" x14ac:dyDescent="0.3">
      <c r="A1468" s="1" t="s">
        <v>2939</v>
      </c>
      <c r="B1468" s="2" t="s">
        <v>277</v>
      </c>
      <c r="C1468" s="2" t="s">
        <v>2940</v>
      </c>
      <c r="D1468" s="3" t="s">
        <v>189</v>
      </c>
      <c r="E1468" s="4">
        <v>960</v>
      </c>
    </row>
    <row r="1469" spans="1:5" ht="19.95" customHeight="1" x14ac:dyDescent="0.3">
      <c r="A1469" s="5" t="s">
        <v>2941</v>
      </c>
      <c r="B1469" s="6" t="s">
        <v>277</v>
      </c>
      <c r="C1469" s="6" t="s">
        <v>2942</v>
      </c>
      <c r="D1469" s="7" t="s">
        <v>189</v>
      </c>
      <c r="E1469" s="8">
        <v>1145</v>
      </c>
    </row>
    <row r="1470" spans="1:5" ht="19.95" customHeight="1" x14ac:dyDescent="0.3">
      <c r="A1470" s="1" t="s">
        <v>2943</v>
      </c>
      <c r="B1470" s="2" t="s">
        <v>277</v>
      </c>
      <c r="C1470" s="2" t="s">
        <v>2944</v>
      </c>
      <c r="D1470" s="3" t="s">
        <v>354</v>
      </c>
      <c r="E1470" s="4">
        <v>12400</v>
      </c>
    </row>
    <row r="1471" spans="1:5" ht="19.95" customHeight="1" x14ac:dyDescent="0.3">
      <c r="A1471" s="5" t="s">
        <v>2945</v>
      </c>
      <c r="B1471" s="6" t="s">
        <v>277</v>
      </c>
      <c r="C1471" s="6" t="s">
        <v>2946</v>
      </c>
      <c r="D1471" s="7" t="s">
        <v>354</v>
      </c>
      <c r="E1471" s="8">
        <v>17200</v>
      </c>
    </row>
    <row r="1472" spans="1:5" ht="19.95" customHeight="1" x14ac:dyDescent="0.3">
      <c r="A1472" s="1" t="s">
        <v>2947</v>
      </c>
      <c r="B1472" s="2" t="s">
        <v>277</v>
      </c>
      <c r="C1472" s="2" t="s">
        <v>2948</v>
      </c>
      <c r="D1472" s="3" t="s">
        <v>354</v>
      </c>
      <c r="E1472" s="4">
        <v>13050</v>
      </c>
    </row>
    <row r="1473" spans="1:5" ht="19.95" customHeight="1" x14ac:dyDescent="0.3">
      <c r="A1473" s="5" t="s">
        <v>2949</v>
      </c>
      <c r="B1473" s="6" t="s">
        <v>277</v>
      </c>
      <c r="C1473" s="6" t="s">
        <v>2950</v>
      </c>
      <c r="D1473" s="7" t="s">
        <v>354</v>
      </c>
      <c r="E1473" s="8">
        <v>18750</v>
      </c>
    </row>
    <row r="1474" spans="1:5" ht="19.95" customHeight="1" x14ac:dyDescent="0.3">
      <c r="A1474" s="1" t="s">
        <v>2951</v>
      </c>
      <c r="B1474" s="2" t="s">
        <v>277</v>
      </c>
      <c r="C1474" s="2" t="s">
        <v>2952</v>
      </c>
      <c r="D1474" s="3" t="s">
        <v>283</v>
      </c>
      <c r="E1474" s="4">
        <v>1100</v>
      </c>
    </row>
    <row r="1475" spans="1:5" ht="19.95" customHeight="1" x14ac:dyDescent="0.3">
      <c r="A1475" s="5" t="s">
        <v>2953</v>
      </c>
      <c r="B1475" s="6" t="s">
        <v>277</v>
      </c>
      <c r="C1475" s="6" t="s">
        <v>2954</v>
      </c>
      <c r="D1475" s="7" t="s">
        <v>283</v>
      </c>
      <c r="E1475" s="8">
        <v>1650</v>
      </c>
    </row>
    <row r="1476" spans="1:5" ht="19.95" customHeight="1" x14ac:dyDescent="0.3">
      <c r="A1476" s="1" t="s">
        <v>2955</v>
      </c>
      <c r="B1476" s="2" t="s">
        <v>277</v>
      </c>
      <c r="C1476" s="2" t="s">
        <v>2956</v>
      </c>
      <c r="D1476" s="3" t="s">
        <v>283</v>
      </c>
      <c r="E1476" s="4">
        <v>2075</v>
      </c>
    </row>
    <row r="1477" spans="1:5" ht="19.95" customHeight="1" x14ac:dyDescent="0.3">
      <c r="A1477" s="5" t="s">
        <v>2957</v>
      </c>
      <c r="B1477" s="6" t="s">
        <v>277</v>
      </c>
      <c r="C1477" s="6" t="s">
        <v>2958</v>
      </c>
      <c r="D1477" s="7" t="s">
        <v>283</v>
      </c>
      <c r="E1477" s="8">
        <v>2950</v>
      </c>
    </row>
    <row r="1478" spans="1:5" ht="19.95" customHeight="1" x14ac:dyDescent="0.3">
      <c r="A1478" s="1" t="s">
        <v>2959</v>
      </c>
      <c r="B1478" s="2" t="s">
        <v>277</v>
      </c>
      <c r="C1478" s="2" t="s">
        <v>2960</v>
      </c>
      <c r="D1478" s="3" t="s">
        <v>283</v>
      </c>
      <c r="E1478" s="4">
        <v>3790</v>
      </c>
    </row>
    <row r="1479" spans="1:5" ht="19.95" customHeight="1" x14ac:dyDescent="0.3">
      <c r="A1479" s="5" t="s">
        <v>2961</v>
      </c>
      <c r="B1479" s="6" t="s">
        <v>277</v>
      </c>
      <c r="C1479" s="6" t="s">
        <v>2962</v>
      </c>
      <c r="D1479" s="7" t="s">
        <v>283</v>
      </c>
      <c r="E1479" s="8">
        <v>4780</v>
      </c>
    </row>
    <row r="1480" spans="1:5" ht="19.95" customHeight="1" x14ac:dyDescent="0.3">
      <c r="A1480" s="1" t="s">
        <v>2963</v>
      </c>
      <c r="B1480" s="2" t="s">
        <v>277</v>
      </c>
      <c r="C1480" s="2" t="s">
        <v>2964</v>
      </c>
      <c r="D1480" s="3" t="s">
        <v>283</v>
      </c>
      <c r="E1480" s="4">
        <v>6150</v>
      </c>
    </row>
    <row r="1481" spans="1:5" ht="19.95" customHeight="1" x14ac:dyDescent="0.3">
      <c r="A1481" s="5" t="s">
        <v>2965</v>
      </c>
      <c r="B1481" s="6" t="s">
        <v>277</v>
      </c>
      <c r="C1481" s="6" t="s">
        <v>2966</v>
      </c>
      <c r="D1481" s="7" t="s">
        <v>283</v>
      </c>
      <c r="E1481" s="8">
        <v>6453</v>
      </c>
    </row>
    <row r="1482" spans="1:5" ht="19.95" customHeight="1" x14ac:dyDescent="0.3">
      <c r="A1482" s="1" t="s">
        <v>2967</v>
      </c>
      <c r="B1482" s="2" t="s">
        <v>277</v>
      </c>
      <c r="C1482" s="2" t="s">
        <v>2968</v>
      </c>
      <c r="D1482" s="3" t="s">
        <v>283</v>
      </c>
      <c r="E1482" s="4">
        <v>9180</v>
      </c>
    </row>
    <row r="1483" spans="1:5" ht="19.95" customHeight="1" x14ac:dyDescent="0.3">
      <c r="A1483" s="5" t="s">
        <v>2969</v>
      </c>
      <c r="B1483" s="6" t="s">
        <v>277</v>
      </c>
      <c r="C1483" s="6" t="s">
        <v>2970</v>
      </c>
      <c r="D1483" s="7" t="s">
        <v>283</v>
      </c>
      <c r="E1483" s="8">
        <v>12150</v>
      </c>
    </row>
    <row r="1484" spans="1:5" ht="19.95" customHeight="1" x14ac:dyDescent="0.3">
      <c r="A1484" s="1" t="s">
        <v>2971</v>
      </c>
      <c r="B1484" s="2" t="s">
        <v>277</v>
      </c>
      <c r="C1484" s="2" t="s">
        <v>2972</v>
      </c>
      <c r="D1484" s="3" t="s">
        <v>283</v>
      </c>
      <c r="E1484" s="4">
        <v>14370</v>
      </c>
    </row>
    <row r="1485" spans="1:5" ht="19.95" customHeight="1" x14ac:dyDescent="0.3">
      <c r="A1485" s="5" t="s">
        <v>2973</v>
      </c>
      <c r="B1485" s="6" t="s">
        <v>277</v>
      </c>
      <c r="C1485" s="6" t="s">
        <v>2974</v>
      </c>
      <c r="D1485" s="7" t="s">
        <v>283</v>
      </c>
      <c r="E1485" s="8">
        <v>857</v>
      </c>
    </row>
    <row r="1486" spans="1:5" ht="19.95" customHeight="1" x14ac:dyDescent="0.3">
      <c r="A1486" s="1" t="s">
        <v>2975</v>
      </c>
      <c r="B1486" s="2" t="s">
        <v>277</v>
      </c>
      <c r="C1486" s="2" t="s">
        <v>2976</v>
      </c>
      <c r="D1486" s="3" t="s">
        <v>283</v>
      </c>
      <c r="E1486" s="4">
        <v>1067</v>
      </c>
    </row>
    <row r="1487" spans="1:5" ht="19.95" customHeight="1" x14ac:dyDescent="0.3">
      <c r="A1487" s="5" t="s">
        <v>2977</v>
      </c>
      <c r="B1487" s="6" t="s">
        <v>277</v>
      </c>
      <c r="C1487" s="6" t="s">
        <v>2978</v>
      </c>
      <c r="D1487" s="7" t="s">
        <v>283</v>
      </c>
      <c r="E1487" s="8">
        <v>1286</v>
      </c>
    </row>
    <row r="1488" spans="1:5" ht="19.95" customHeight="1" x14ac:dyDescent="0.3">
      <c r="A1488" s="1" t="s">
        <v>2979</v>
      </c>
      <c r="B1488" s="2" t="s">
        <v>277</v>
      </c>
      <c r="C1488" s="2" t="s">
        <v>2980</v>
      </c>
      <c r="D1488" s="3" t="s">
        <v>283</v>
      </c>
      <c r="E1488" s="4">
        <v>2190</v>
      </c>
    </row>
    <row r="1489" spans="1:5" ht="19.95" customHeight="1" x14ac:dyDescent="0.3">
      <c r="A1489" s="5" t="s">
        <v>2981</v>
      </c>
      <c r="B1489" s="6" t="s">
        <v>277</v>
      </c>
      <c r="C1489" s="6" t="s">
        <v>2982</v>
      </c>
      <c r="D1489" s="7" t="s">
        <v>283</v>
      </c>
      <c r="E1489" s="8">
        <v>2857</v>
      </c>
    </row>
    <row r="1490" spans="1:5" ht="19.95" customHeight="1" x14ac:dyDescent="0.3">
      <c r="A1490" s="1" t="s">
        <v>2983</v>
      </c>
      <c r="B1490" s="2" t="s">
        <v>277</v>
      </c>
      <c r="C1490" s="2" t="s">
        <v>2984</v>
      </c>
      <c r="D1490" s="3" t="s">
        <v>283</v>
      </c>
      <c r="E1490" s="4">
        <v>3857</v>
      </c>
    </row>
    <row r="1491" spans="1:5" ht="19.95" customHeight="1" x14ac:dyDescent="0.3">
      <c r="A1491" s="5" t="s">
        <v>2985</v>
      </c>
      <c r="B1491" s="6" t="s">
        <v>277</v>
      </c>
      <c r="C1491" s="6" t="s">
        <v>2986</v>
      </c>
      <c r="D1491" s="7" t="s">
        <v>283</v>
      </c>
      <c r="E1491" s="8">
        <v>4619</v>
      </c>
    </row>
    <row r="1492" spans="1:5" ht="19.95" customHeight="1" x14ac:dyDescent="0.3">
      <c r="A1492" s="1" t="s">
        <v>2987</v>
      </c>
      <c r="B1492" s="2" t="s">
        <v>277</v>
      </c>
      <c r="C1492" s="2" t="s">
        <v>2988</v>
      </c>
      <c r="D1492" s="3" t="s">
        <v>283</v>
      </c>
      <c r="E1492" s="4">
        <v>6095</v>
      </c>
    </row>
    <row r="1493" spans="1:5" ht="19.95" customHeight="1" x14ac:dyDescent="0.3">
      <c r="A1493" s="5" t="s">
        <v>2989</v>
      </c>
      <c r="B1493" s="6" t="s">
        <v>277</v>
      </c>
      <c r="C1493" s="6" t="s">
        <v>2990</v>
      </c>
      <c r="D1493" s="7" t="s">
        <v>283</v>
      </c>
      <c r="E1493" s="8">
        <v>7381</v>
      </c>
    </row>
    <row r="1494" spans="1:5" ht="19.95" customHeight="1" x14ac:dyDescent="0.3">
      <c r="A1494" s="1" t="s">
        <v>2991</v>
      </c>
      <c r="B1494" s="2" t="s">
        <v>277</v>
      </c>
      <c r="C1494" s="2" t="s">
        <v>2992</v>
      </c>
      <c r="D1494" s="3" t="s">
        <v>283</v>
      </c>
      <c r="E1494" s="4">
        <v>8571</v>
      </c>
    </row>
    <row r="1495" spans="1:5" ht="19.95" customHeight="1" x14ac:dyDescent="0.3">
      <c r="A1495" s="5" t="s">
        <v>2993</v>
      </c>
      <c r="B1495" s="6" t="s">
        <v>277</v>
      </c>
      <c r="C1495" s="6" t="s">
        <v>2994</v>
      </c>
      <c r="D1495" s="7" t="s">
        <v>283</v>
      </c>
      <c r="E1495" s="8">
        <v>11995</v>
      </c>
    </row>
    <row r="1496" spans="1:5" ht="19.95" customHeight="1" x14ac:dyDescent="0.3">
      <c r="A1496" s="1" t="s">
        <v>2995</v>
      </c>
      <c r="B1496" s="2" t="s">
        <v>277</v>
      </c>
      <c r="C1496" s="2" t="s">
        <v>2996</v>
      </c>
      <c r="D1496" s="3" t="s">
        <v>354</v>
      </c>
      <c r="E1496" s="4">
        <v>5190</v>
      </c>
    </row>
    <row r="1497" spans="1:5" ht="19.95" customHeight="1" x14ac:dyDescent="0.3">
      <c r="A1497" s="5" t="s">
        <v>2997</v>
      </c>
      <c r="B1497" s="6" t="s">
        <v>277</v>
      </c>
      <c r="C1497" s="6" t="s">
        <v>2996</v>
      </c>
      <c r="D1497" s="7" t="s">
        <v>354</v>
      </c>
      <c r="E1497" s="8">
        <v>6200</v>
      </c>
    </row>
    <row r="1498" spans="1:5" ht="19.95" customHeight="1" x14ac:dyDescent="0.3">
      <c r="A1498" s="1" t="s">
        <v>2998</v>
      </c>
      <c r="B1498" s="2" t="s">
        <v>277</v>
      </c>
      <c r="C1498" s="2" t="s">
        <v>2999</v>
      </c>
      <c r="D1498" s="3" t="s">
        <v>354</v>
      </c>
      <c r="E1498" s="4">
        <v>8571</v>
      </c>
    </row>
    <row r="1499" spans="1:5" ht="19.95" customHeight="1" x14ac:dyDescent="0.3">
      <c r="A1499" s="5" t="s">
        <v>3000</v>
      </c>
      <c r="B1499" s="6" t="s">
        <v>277</v>
      </c>
      <c r="C1499" s="6" t="s">
        <v>3001</v>
      </c>
      <c r="D1499" s="7" t="s">
        <v>354</v>
      </c>
      <c r="E1499" s="8">
        <v>9048</v>
      </c>
    </row>
    <row r="1500" spans="1:5" ht="19.95" customHeight="1" x14ac:dyDescent="0.3">
      <c r="A1500" s="1" t="s">
        <v>3002</v>
      </c>
      <c r="B1500" s="2" t="s">
        <v>277</v>
      </c>
      <c r="C1500" s="2" t="s">
        <v>3003</v>
      </c>
      <c r="D1500" s="3" t="s">
        <v>283</v>
      </c>
      <c r="E1500" s="4">
        <v>1310</v>
      </c>
    </row>
    <row r="1501" spans="1:5" ht="19.95" customHeight="1" x14ac:dyDescent="0.3">
      <c r="A1501" s="5" t="s">
        <v>3004</v>
      </c>
      <c r="B1501" s="6" t="s">
        <v>277</v>
      </c>
      <c r="C1501" s="6" t="s">
        <v>3005</v>
      </c>
      <c r="D1501" s="7" t="s">
        <v>283</v>
      </c>
      <c r="E1501" s="8">
        <v>800</v>
      </c>
    </row>
    <row r="1502" spans="1:5" ht="19.95" customHeight="1" x14ac:dyDescent="0.3">
      <c r="A1502" s="1" t="s">
        <v>3006</v>
      </c>
      <c r="B1502" s="2" t="s">
        <v>277</v>
      </c>
      <c r="C1502" s="2" t="s">
        <v>3007</v>
      </c>
      <c r="D1502" s="3" t="s">
        <v>283</v>
      </c>
      <c r="E1502" s="4">
        <v>1140</v>
      </c>
    </row>
    <row r="1503" spans="1:5" ht="19.95" customHeight="1" x14ac:dyDescent="0.3">
      <c r="A1503" s="5" t="s">
        <v>3008</v>
      </c>
      <c r="B1503" s="6" t="s">
        <v>277</v>
      </c>
      <c r="C1503" s="6" t="s">
        <v>3009</v>
      </c>
      <c r="D1503" s="7" t="s">
        <v>283</v>
      </c>
      <c r="E1503" s="8">
        <v>1400</v>
      </c>
    </row>
    <row r="1504" spans="1:5" ht="19.95" customHeight="1" x14ac:dyDescent="0.3">
      <c r="A1504" s="1" t="s">
        <v>3010</v>
      </c>
      <c r="B1504" s="2" t="s">
        <v>277</v>
      </c>
      <c r="C1504" s="2" t="s">
        <v>3011</v>
      </c>
      <c r="D1504" s="3" t="s">
        <v>283</v>
      </c>
      <c r="E1504" s="4">
        <v>1800</v>
      </c>
    </row>
    <row r="1505" spans="1:5" ht="19.95" customHeight="1" x14ac:dyDescent="0.3">
      <c r="A1505" s="5" t="s">
        <v>3012</v>
      </c>
      <c r="B1505" s="6" t="s">
        <v>277</v>
      </c>
      <c r="C1505" s="6" t="s">
        <v>3013</v>
      </c>
      <c r="D1505" s="7" t="s">
        <v>283</v>
      </c>
      <c r="E1505" s="8">
        <v>2250</v>
      </c>
    </row>
    <row r="1506" spans="1:5" ht="19.95" customHeight="1" x14ac:dyDescent="0.3">
      <c r="A1506" s="1" t="s">
        <v>3014</v>
      </c>
      <c r="B1506" s="2" t="s">
        <v>277</v>
      </c>
      <c r="C1506" s="2" t="s">
        <v>3015</v>
      </c>
      <c r="D1506" s="3" t="s">
        <v>283</v>
      </c>
      <c r="E1506" s="4">
        <v>2650</v>
      </c>
    </row>
    <row r="1507" spans="1:5" ht="19.95" customHeight="1" x14ac:dyDescent="0.3">
      <c r="A1507" s="5" t="s">
        <v>3016</v>
      </c>
      <c r="B1507" s="6" t="s">
        <v>277</v>
      </c>
      <c r="C1507" s="6" t="s">
        <v>3017</v>
      </c>
      <c r="D1507" s="7" t="s">
        <v>283</v>
      </c>
      <c r="E1507" s="8">
        <v>3175</v>
      </c>
    </row>
    <row r="1508" spans="1:5" ht="19.95" customHeight="1" x14ac:dyDescent="0.3">
      <c r="A1508" s="1" t="s">
        <v>3018</v>
      </c>
      <c r="B1508" s="2" t="s">
        <v>277</v>
      </c>
      <c r="C1508" s="2" t="s">
        <v>3019</v>
      </c>
      <c r="D1508" s="3" t="s">
        <v>283</v>
      </c>
      <c r="E1508" s="4">
        <v>3852</v>
      </c>
    </row>
    <row r="1509" spans="1:5" ht="19.95" customHeight="1" x14ac:dyDescent="0.3">
      <c r="A1509" s="5" t="s">
        <v>3020</v>
      </c>
      <c r="B1509" s="6" t="s">
        <v>277</v>
      </c>
      <c r="C1509" s="6" t="s">
        <v>3021</v>
      </c>
      <c r="D1509" s="7" t="s">
        <v>283</v>
      </c>
      <c r="E1509" s="8">
        <v>4350</v>
      </c>
    </row>
    <row r="1510" spans="1:5" ht="19.95" customHeight="1" x14ac:dyDescent="0.3">
      <c r="A1510" s="1" t="s">
        <v>3022</v>
      </c>
      <c r="B1510" s="2" t="s">
        <v>277</v>
      </c>
      <c r="C1510" s="2" t="s">
        <v>3023</v>
      </c>
      <c r="D1510" s="3" t="s">
        <v>283</v>
      </c>
      <c r="E1510" s="4">
        <v>5600</v>
      </c>
    </row>
    <row r="1511" spans="1:5" ht="19.95" customHeight="1" x14ac:dyDescent="0.3">
      <c r="A1511" s="5" t="s">
        <v>3024</v>
      </c>
      <c r="B1511" s="6" t="s">
        <v>277</v>
      </c>
      <c r="C1511" s="6" t="s">
        <v>3025</v>
      </c>
      <c r="D1511" s="7" t="s">
        <v>283</v>
      </c>
      <c r="E1511" s="8">
        <v>7300</v>
      </c>
    </row>
    <row r="1512" spans="1:5" ht="19.95" customHeight="1" x14ac:dyDescent="0.3">
      <c r="A1512" s="1" t="s">
        <v>3026</v>
      </c>
      <c r="B1512" s="2" t="s">
        <v>277</v>
      </c>
      <c r="C1512" s="2" t="s">
        <v>3027</v>
      </c>
      <c r="D1512" s="3" t="s">
        <v>283</v>
      </c>
      <c r="E1512" s="4">
        <v>9100</v>
      </c>
    </row>
    <row r="1513" spans="1:5" ht="19.95" customHeight="1" x14ac:dyDescent="0.3">
      <c r="A1513" s="5" t="s">
        <v>3028</v>
      </c>
      <c r="B1513" s="6" t="s">
        <v>277</v>
      </c>
      <c r="C1513" s="6" t="s">
        <v>3029</v>
      </c>
      <c r="D1513" s="7" t="s">
        <v>283</v>
      </c>
      <c r="E1513" s="8">
        <v>11800</v>
      </c>
    </row>
    <row r="1514" spans="1:5" ht="19.95" customHeight="1" x14ac:dyDescent="0.3">
      <c r="A1514" s="1" t="s">
        <v>3030</v>
      </c>
      <c r="B1514" s="2" t="s">
        <v>277</v>
      </c>
      <c r="C1514" s="2" t="s">
        <v>3031</v>
      </c>
      <c r="D1514" s="3" t="s">
        <v>283</v>
      </c>
      <c r="E1514" s="4">
        <v>12300</v>
      </c>
    </row>
    <row r="1515" spans="1:5" ht="19.95" customHeight="1" x14ac:dyDescent="0.3">
      <c r="A1515" s="5" t="s">
        <v>3032</v>
      </c>
      <c r="B1515" s="6" t="s">
        <v>277</v>
      </c>
      <c r="C1515" s="6" t="s">
        <v>3033</v>
      </c>
      <c r="D1515" s="7" t="s">
        <v>1620</v>
      </c>
      <c r="E1515" s="8">
        <v>5400</v>
      </c>
    </row>
    <row r="1516" spans="1:5" ht="19.95" customHeight="1" x14ac:dyDescent="0.3">
      <c r="A1516" s="1" t="s">
        <v>3034</v>
      </c>
      <c r="B1516" s="2" t="s">
        <v>277</v>
      </c>
      <c r="C1516" s="2" t="s">
        <v>3035</v>
      </c>
      <c r="D1516" s="3" t="s">
        <v>1620</v>
      </c>
      <c r="E1516" s="4">
        <v>4300</v>
      </c>
    </row>
    <row r="1517" spans="1:5" ht="19.95" customHeight="1" x14ac:dyDescent="0.3">
      <c r="A1517" s="5" t="s">
        <v>3036</v>
      </c>
      <c r="B1517" s="6" t="s">
        <v>277</v>
      </c>
      <c r="C1517" s="6" t="s">
        <v>3037</v>
      </c>
      <c r="D1517" s="7" t="s">
        <v>1620</v>
      </c>
      <c r="E1517" s="8">
        <v>5400</v>
      </c>
    </row>
    <row r="1518" spans="1:5" ht="19.95" customHeight="1" x14ac:dyDescent="0.3">
      <c r="A1518" s="1" t="s">
        <v>3038</v>
      </c>
      <c r="B1518" s="2" t="s">
        <v>277</v>
      </c>
      <c r="C1518" s="2" t="s">
        <v>3039</v>
      </c>
      <c r="D1518" s="3" t="s">
        <v>357</v>
      </c>
      <c r="E1518" s="4">
        <v>29995</v>
      </c>
    </row>
    <row r="1519" spans="1:5" ht="19.95" customHeight="1" x14ac:dyDescent="0.3">
      <c r="A1519" s="5" t="s">
        <v>3040</v>
      </c>
      <c r="B1519" s="6" t="s">
        <v>277</v>
      </c>
      <c r="C1519" s="6" t="s">
        <v>3041</v>
      </c>
      <c r="D1519" s="7" t="s">
        <v>357</v>
      </c>
      <c r="E1519" s="8">
        <v>30536</v>
      </c>
    </row>
    <row r="1520" spans="1:5" ht="19.95" customHeight="1" x14ac:dyDescent="0.3">
      <c r="A1520" s="1" t="s">
        <v>3042</v>
      </c>
      <c r="B1520" s="2" t="s">
        <v>277</v>
      </c>
      <c r="C1520" s="2" t="s">
        <v>3043</v>
      </c>
      <c r="D1520" s="3" t="s">
        <v>357</v>
      </c>
      <c r="E1520" s="4">
        <v>27909</v>
      </c>
    </row>
    <row r="1521" spans="1:5" ht="19.95" customHeight="1" x14ac:dyDescent="0.3">
      <c r="A1521" s="5" t="s">
        <v>3044</v>
      </c>
      <c r="B1521" s="6" t="s">
        <v>277</v>
      </c>
      <c r="C1521" s="6" t="s">
        <v>3045</v>
      </c>
      <c r="D1521" s="7" t="s">
        <v>283</v>
      </c>
      <c r="E1521" s="8">
        <v>1126</v>
      </c>
    </row>
    <row r="1522" spans="1:5" ht="19.95" customHeight="1" x14ac:dyDescent="0.3">
      <c r="A1522" s="1" t="s">
        <v>3046</v>
      </c>
      <c r="B1522" s="2" t="s">
        <v>277</v>
      </c>
      <c r="C1522" s="2" t="s">
        <v>3047</v>
      </c>
      <c r="D1522" s="3" t="s">
        <v>283</v>
      </c>
      <c r="E1522" s="4">
        <v>1400</v>
      </c>
    </row>
    <row r="1523" spans="1:5" ht="19.95" customHeight="1" x14ac:dyDescent="0.3">
      <c r="A1523" s="5" t="s">
        <v>3048</v>
      </c>
      <c r="B1523" s="6" t="s">
        <v>277</v>
      </c>
      <c r="C1523" s="6" t="s">
        <v>3049</v>
      </c>
      <c r="D1523" s="7" t="s">
        <v>283</v>
      </c>
      <c r="E1523" s="8">
        <v>508.62</v>
      </c>
    </row>
    <row r="1524" spans="1:5" ht="19.95" customHeight="1" x14ac:dyDescent="0.3">
      <c r="A1524" s="1" t="s">
        <v>3050</v>
      </c>
      <c r="B1524" s="2" t="s">
        <v>277</v>
      </c>
      <c r="C1524" s="2" t="s">
        <v>3051</v>
      </c>
      <c r="D1524" s="3" t="s">
        <v>283</v>
      </c>
      <c r="E1524" s="4">
        <v>788.12</v>
      </c>
    </row>
    <row r="1525" spans="1:5" ht="19.95" customHeight="1" x14ac:dyDescent="0.3">
      <c r="A1525" s="5" t="s">
        <v>3052</v>
      </c>
      <c r="B1525" s="6" t="s">
        <v>277</v>
      </c>
      <c r="C1525" s="6" t="s">
        <v>3053</v>
      </c>
      <c r="D1525" s="7" t="s">
        <v>189</v>
      </c>
      <c r="E1525" s="8">
        <v>150</v>
      </c>
    </row>
    <row r="1526" spans="1:5" ht="19.95" customHeight="1" x14ac:dyDescent="0.3">
      <c r="A1526" s="1" t="s">
        <v>3054</v>
      </c>
      <c r="B1526" s="2" t="s">
        <v>277</v>
      </c>
      <c r="C1526" s="2" t="s">
        <v>3055</v>
      </c>
      <c r="D1526" s="3" t="s">
        <v>189</v>
      </c>
      <c r="E1526" s="4">
        <v>200</v>
      </c>
    </row>
    <row r="1527" spans="1:5" ht="19.95" customHeight="1" x14ac:dyDescent="0.3">
      <c r="A1527" s="5" t="s">
        <v>3056</v>
      </c>
      <c r="B1527" s="6" t="s">
        <v>277</v>
      </c>
      <c r="C1527" s="6" t="s">
        <v>3057</v>
      </c>
      <c r="D1527" s="7" t="s">
        <v>189</v>
      </c>
      <c r="E1527" s="8">
        <v>200</v>
      </c>
    </row>
    <row r="1528" spans="1:5" ht="19.95" customHeight="1" x14ac:dyDescent="0.3">
      <c r="A1528" s="1" t="s">
        <v>3058</v>
      </c>
      <c r="B1528" s="2" t="s">
        <v>277</v>
      </c>
      <c r="C1528" s="2" t="s">
        <v>3059</v>
      </c>
      <c r="D1528" s="3" t="s">
        <v>189</v>
      </c>
      <c r="E1528" s="4">
        <v>220</v>
      </c>
    </row>
    <row r="1529" spans="1:5" ht="19.95" customHeight="1" x14ac:dyDescent="0.3">
      <c r="A1529" s="5" t="s">
        <v>3060</v>
      </c>
      <c r="B1529" s="6" t="s">
        <v>277</v>
      </c>
      <c r="C1529" s="6" t="s">
        <v>3061</v>
      </c>
      <c r="D1529" s="7" t="s">
        <v>283</v>
      </c>
      <c r="E1529" s="8">
        <v>550</v>
      </c>
    </row>
    <row r="1530" spans="1:5" ht="19.95" customHeight="1" x14ac:dyDescent="0.3">
      <c r="A1530" s="1" t="s">
        <v>3062</v>
      </c>
      <c r="B1530" s="2" t="s">
        <v>277</v>
      </c>
      <c r="C1530" s="2" t="s">
        <v>3063</v>
      </c>
      <c r="D1530" s="3" t="s">
        <v>283</v>
      </c>
      <c r="E1530" s="4">
        <v>840</v>
      </c>
    </row>
    <row r="1531" spans="1:5" ht="19.95" customHeight="1" x14ac:dyDescent="0.3">
      <c r="A1531" s="5" t="s">
        <v>3064</v>
      </c>
      <c r="B1531" s="6" t="s">
        <v>277</v>
      </c>
      <c r="C1531" s="6" t="s">
        <v>3065</v>
      </c>
      <c r="D1531" s="7" t="s">
        <v>18</v>
      </c>
      <c r="E1531" s="8">
        <v>850</v>
      </c>
    </row>
    <row r="1532" spans="1:5" ht="19.95" customHeight="1" x14ac:dyDescent="0.3">
      <c r="A1532" s="1" t="s">
        <v>3066</v>
      </c>
      <c r="B1532" s="2" t="s">
        <v>277</v>
      </c>
      <c r="C1532" s="2" t="s">
        <v>3067</v>
      </c>
      <c r="D1532" s="3" t="s">
        <v>18</v>
      </c>
      <c r="E1532" s="4">
        <v>850</v>
      </c>
    </row>
    <row r="1533" spans="1:5" ht="19.95" customHeight="1" x14ac:dyDescent="0.3">
      <c r="A1533" s="5" t="s">
        <v>3068</v>
      </c>
      <c r="B1533" s="6" t="s">
        <v>277</v>
      </c>
      <c r="C1533" s="6" t="s">
        <v>3069</v>
      </c>
      <c r="D1533" s="7" t="s">
        <v>18</v>
      </c>
      <c r="E1533" s="8">
        <v>850</v>
      </c>
    </row>
    <row r="1534" spans="1:5" ht="19.95" customHeight="1" x14ac:dyDescent="0.3">
      <c r="A1534" s="1" t="s">
        <v>3070</v>
      </c>
      <c r="B1534" s="2" t="s">
        <v>277</v>
      </c>
      <c r="C1534" s="2" t="s">
        <v>3071</v>
      </c>
      <c r="D1534" s="3" t="s">
        <v>18</v>
      </c>
      <c r="E1534" s="4">
        <v>850</v>
      </c>
    </row>
    <row r="1535" spans="1:5" ht="19.95" customHeight="1" x14ac:dyDescent="0.3">
      <c r="A1535" s="5" t="s">
        <v>3072</v>
      </c>
      <c r="B1535" s="6" t="s">
        <v>277</v>
      </c>
      <c r="C1535" s="6" t="s">
        <v>3073</v>
      </c>
      <c r="D1535" s="7" t="s">
        <v>283</v>
      </c>
      <c r="E1535" s="8">
        <v>800</v>
      </c>
    </row>
    <row r="1536" spans="1:5" ht="19.95" customHeight="1" x14ac:dyDescent="0.3">
      <c r="A1536" s="1" t="s">
        <v>3074</v>
      </c>
      <c r="B1536" s="2" t="s">
        <v>277</v>
      </c>
      <c r="C1536" s="2" t="s">
        <v>3075</v>
      </c>
      <c r="D1536" s="3" t="s">
        <v>283</v>
      </c>
      <c r="E1536" s="4">
        <v>442</v>
      </c>
    </row>
    <row r="1537" spans="1:5" ht="19.95" customHeight="1" x14ac:dyDescent="0.3">
      <c r="A1537" s="5" t="s">
        <v>3076</v>
      </c>
      <c r="B1537" s="6" t="s">
        <v>277</v>
      </c>
      <c r="C1537" s="6" t="s">
        <v>3077</v>
      </c>
      <c r="D1537" s="7" t="s">
        <v>283</v>
      </c>
      <c r="E1537" s="8">
        <v>480</v>
      </c>
    </row>
    <row r="1538" spans="1:5" ht="19.95" customHeight="1" x14ac:dyDescent="0.3">
      <c r="A1538" s="1" t="s">
        <v>3078</v>
      </c>
      <c r="B1538" s="2" t="s">
        <v>277</v>
      </c>
      <c r="C1538" s="2" t="s">
        <v>3079</v>
      </c>
      <c r="D1538" s="3" t="s">
        <v>189</v>
      </c>
      <c r="E1538" s="4">
        <v>135</v>
      </c>
    </row>
    <row r="1539" spans="1:5" ht="19.95" customHeight="1" x14ac:dyDescent="0.3">
      <c r="A1539" s="5" t="s">
        <v>3080</v>
      </c>
      <c r="B1539" s="6" t="s">
        <v>277</v>
      </c>
      <c r="C1539" s="6" t="s">
        <v>3081</v>
      </c>
      <c r="D1539" s="7" t="s">
        <v>189</v>
      </c>
      <c r="E1539" s="8">
        <v>160</v>
      </c>
    </row>
    <row r="1540" spans="1:5" ht="19.95" customHeight="1" x14ac:dyDescent="0.3">
      <c r="A1540" s="1" t="s">
        <v>3082</v>
      </c>
      <c r="B1540" s="2" t="s">
        <v>277</v>
      </c>
      <c r="C1540" s="2" t="s">
        <v>3083</v>
      </c>
      <c r="D1540" s="3" t="s">
        <v>189</v>
      </c>
      <c r="E1540" s="4">
        <v>875</v>
      </c>
    </row>
    <row r="1541" spans="1:5" ht="19.95" customHeight="1" x14ac:dyDescent="0.3">
      <c r="A1541" s="5" t="s">
        <v>3084</v>
      </c>
      <c r="B1541" s="6" t="s">
        <v>277</v>
      </c>
      <c r="C1541" s="6" t="s">
        <v>3085</v>
      </c>
      <c r="D1541" s="7" t="s">
        <v>189</v>
      </c>
      <c r="E1541" s="8">
        <v>900</v>
      </c>
    </row>
    <row r="1542" spans="1:5" ht="19.95" customHeight="1" x14ac:dyDescent="0.3">
      <c r="A1542" s="1" t="s">
        <v>3086</v>
      </c>
      <c r="B1542" s="2" t="s">
        <v>277</v>
      </c>
      <c r="C1542" s="2" t="s">
        <v>3087</v>
      </c>
      <c r="D1542" s="3" t="s">
        <v>189</v>
      </c>
      <c r="E1542" s="4">
        <v>125</v>
      </c>
    </row>
    <row r="1543" spans="1:5" ht="19.95" customHeight="1" x14ac:dyDescent="0.3">
      <c r="A1543" s="5" t="s">
        <v>3088</v>
      </c>
      <c r="B1543" s="6" t="s">
        <v>277</v>
      </c>
      <c r="C1543" s="6" t="s">
        <v>3089</v>
      </c>
      <c r="D1543" s="7" t="s">
        <v>189</v>
      </c>
      <c r="E1543" s="8">
        <v>205</v>
      </c>
    </row>
    <row r="1544" spans="1:5" ht="19.95" customHeight="1" x14ac:dyDescent="0.3">
      <c r="A1544" s="1" t="s">
        <v>3090</v>
      </c>
      <c r="B1544" s="2" t="s">
        <v>277</v>
      </c>
      <c r="C1544" s="2" t="s">
        <v>3091</v>
      </c>
      <c r="D1544" s="3" t="s">
        <v>189</v>
      </c>
      <c r="E1544" s="4">
        <v>265</v>
      </c>
    </row>
    <row r="1545" spans="1:5" ht="19.95" customHeight="1" x14ac:dyDescent="0.3">
      <c r="A1545" s="5" t="s">
        <v>3092</v>
      </c>
      <c r="B1545" s="6" t="s">
        <v>277</v>
      </c>
      <c r="C1545" s="6" t="s">
        <v>3093</v>
      </c>
      <c r="D1545" s="7" t="s">
        <v>369</v>
      </c>
      <c r="E1545" s="8">
        <v>295</v>
      </c>
    </row>
    <row r="1546" spans="1:5" ht="19.95" customHeight="1" x14ac:dyDescent="0.3">
      <c r="A1546" s="1" t="s">
        <v>3094</v>
      </c>
      <c r="B1546" s="2" t="s">
        <v>277</v>
      </c>
      <c r="C1546" s="2" t="s">
        <v>3095</v>
      </c>
      <c r="D1546" s="3" t="s">
        <v>369</v>
      </c>
      <c r="E1546" s="4">
        <v>1200</v>
      </c>
    </row>
    <row r="1547" spans="1:5" ht="19.95" customHeight="1" x14ac:dyDescent="0.3">
      <c r="A1547" s="5" t="s">
        <v>3096</v>
      </c>
      <c r="B1547" s="6" t="s">
        <v>277</v>
      </c>
      <c r="C1547" s="6" t="s">
        <v>3097</v>
      </c>
      <c r="D1547" s="7" t="s">
        <v>369</v>
      </c>
      <c r="E1547" s="8">
        <v>900</v>
      </c>
    </row>
    <row r="1548" spans="1:5" ht="19.95" customHeight="1" x14ac:dyDescent="0.3">
      <c r="A1548" s="1" t="s">
        <v>3098</v>
      </c>
      <c r="B1548" s="2" t="s">
        <v>277</v>
      </c>
      <c r="C1548" s="2" t="s">
        <v>3099</v>
      </c>
      <c r="D1548" s="3" t="s">
        <v>369</v>
      </c>
      <c r="E1548" s="4">
        <v>55</v>
      </c>
    </row>
    <row r="1549" spans="1:5" ht="19.95" customHeight="1" x14ac:dyDescent="0.3">
      <c r="A1549" s="5" t="s">
        <v>3100</v>
      </c>
      <c r="B1549" s="6" t="s">
        <v>277</v>
      </c>
      <c r="C1549" s="6" t="s">
        <v>3101</v>
      </c>
      <c r="D1549" s="7" t="s">
        <v>369</v>
      </c>
      <c r="E1549" s="8">
        <v>160</v>
      </c>
    </row>
    <row r="1550" spans="1:5" ht="19.95" customHeight="1" x14ac:dyDescent="0.3">
      <c r="A1550" s="1" t="s">
        <v>3102</v>
      </c>
      <c r="B1550" s="2" t="s">
        <v>277</v>
      </c>
      <c r="C1550" s="2" t="s">
        <v>3103</v>
      </c>
      <c r="D1550" s="3" t="s">
        <v>18</v>
      </c>
      <c r="E1550" s="4">
        <v>950</v>
      </c>
    </row>
    <row r="1551" spans="1:5" ht="19.95" customHeight="1" x14ac:dyDescent="0.3">
      <c r="A1551" s="5" t="s">
        <v>3104</v>
      </c>
      <c r="B1551" s="6" t="s">
        <v>277</v>
      </c>
      <c r="C1551" s="6" t="s">
        <v>3105</v>
      </c>
      <c r="D1551" s="7" t="s">
        <v>169</v>
      </c>
      <c r="E1551" s="8">
        <v>450</v>
      </c>
    </row>
    <row r="1552" spans="1:5" ht="19.95" customHeight="1" x14ac:dyDescent="0.3">
      <c r="A1552" s="1" t="s">
        <v>3106</v>
      </c>
      <c r="B1552" s="2" t="s">
        <v>277</v>
      </c>
      <c r="C1552" s="2" t="s">
        <v>3107</v>
      </c>
      <c r="D1552" s="3" t="s">
        <v>189</v>
      </c>
      <c r="E1552" s="4">
        <v>10</v>
      </c>
    </row>
    <row r="1553" spans="1:5" ht="19.95" customHeight="1" x14ac:dyDescent="0.3">
      <c r="A1553" s="5" t="s">
        <v>3108</v>
      </c>
      <c r="B1553" s="6" t="s">
        <v>277</v>
      </c>
      <c r="C1553" s="6" t="s">
        <v>3109</v>
      </c>
      <c r="D1553" s="7" t="s">
        <v>366</v>
      </c>
      <c r="E1553" s="8">
        <v>550</v>
      </c>
    </row>
    <row r="1554" spans="1:5" ht="19.95" customHeight="1" x14ac:dyDescent="0.3">
      <c r="A1554" s="1" t="s">
        <v>3110</v>
      </c>
      <c r="B1554" s="2" t="s">
        <v>277</v>
      </c>
      <c r="C1554" s="2" t="s">
        <v>3111</v>
      </c>
      <c r="D1554" s="3" t="s">
        <v>169</v>
      </c>
      <c r="E1554" s="4">
        <v>317.22000000000003</v>
      </c>
    </row>
    <row r="1555" spans="1:5" ht="19.95" customHeight="1" x14ac:dyDescent="0.3">
      <c r="A1555" s="5" t="s">
        <v>3112</v>
      </c>
      <c r="B1555" s="6" t="s">
        <v>277</v>
      </c>
      <c r="C1555" s="6" t="s">
        <v>3113</v>
      </c>
      <c r="D1555" s="7" t="s">
        <v>169</v>
      </c>
      <c r="E1555" s="8">
        <v>212</v>
      </c>
    </row>
    <row r="1556" spans="1:5" ht="19.95" customHeight="1" x14ac:dyDescent="0.3">
      <c r="A1556" s="1" t="s">
        <v>3114</v>
      </c>
      <c r="B1556" s="2" t="s">
        <v>277</v>
      </c>
      <c r="C1556" s="2" t="s">
        <v>3115</v>
      </c>
      <c r="D1556" s="3" t="s">
        <v>169</v>
      </c>
      <c r="E1556" s="4">
        <v>209.1</v>
      </c>
    </row>
    <row r="1557" spans="1:5" ht="19.95" customHeight="1" x14ac:dyDescent="0.3">
      <c r="A1557" s="5" t="s">
        <v>3116</v>
      </c>
      <c r="B1557" s="6" t="s">
        <v>277</v>
      </c>
      <c r="C1557" s="6" t="s">
        <v>3117</v>
      </c>
      <c r="D1557" s="7" t="s">
        <v>169</v>
      </c>
      <c r="E1557" s="8">
        <v>260</v>
      </c>
    </row>
    <row r="1558" spans="1:5" ht="19.95" customHeight="1" x14ac:dyDescent="0.3">
      <c r="A1558" s="1" t="s">
        <v>3118</v>
      </c>
      <c r="B1558" s="2" t="s">
        <v>277</v>
      </c>
      <c r="C1558" s="2" t="s">
        <v>3119</v>
      </c>
      <c r="D1558" s="3" t="s">
        <v>169</v>
      </c>
      <c r="E1558" s="4">
        <v>340</v>
      </c>
    </row>
    <row r="1559" spans="1:5" ht="19.95" customHeight="1" x14ac:dyDescent="0.3">
      <c r="A1559" s="5" t="s">
        <v>3120</v>
      </c>
      <c r="B1559" s="6" t="s">
        <v>277</v>
      </c>
      <c r="C1559" s="6" t="s">
        <v>3119</v>
      </c>
      <c r="D1559" s="7" t="s">
        <v>169</v>
      </c>
      <c r="E1559" s="8">
        <v>400</v>
      </c>
    </row>
    <row r="1560" spans="1:5" ht="19.95" customHeight="1" x14ac:dyDescent="0.3">
      <c r="A1560" s="1" t="s">
        <v>3121</v>
      </c>
      <c r="B1560" s="2" t="s">
        <v>277</v>
      </c>
      <c r="C1560" s="2" t="s">
        <v>3122</v>
      </c>
      <c r="D1560" s="3" t="s">
        <v>189</v>
      </c>
      <c r="E1560" s="4">
        <v>4500</v>
      </c>
    </row>
    <row r="1561" spans="1:5" ht="19.95" customHeight="1" x14ac:dyDescent="0.3">
      <c r="A1561" s="5" t="s">
        <v>3123</v>
      </c>
      <c r="B1561" s="6" t="s">
        <v>277</v>
      </c>
      <c r="C1561" s="6" t="s">
        <v>3124</v>
      </c>
      <c r="D1561" s="7" t="s">
        <v>189</v>
      </c>
      <c r="E1561" s="8">
        <v>1500</v>
      </c>
    </row>
    <row r="1562" spans="1:5" ht="19.95" customHeight="1" x14ac:dyDescent="0.3">
      <c r="A1562" s="1" t="s">
        <v>3125</v>
      </c>
      <c r="B1562" s="2" t="s">
        <v>277</v>
      </c>
      <c r="C1562" s="2" t="s">
        <v>3126</v>
      </c>
      <c r="D1562" s="3" t="s">
        <v>189</v>
      </c>
      <c r="E1562" s="4">
        <v>2000</v>
      </c>
    </row>
    <row r="1563" spans="1:5" ht="19.95" customHeight="1" x14ac:dyDescent="0.3">
      <c r="A1563" s="5" t="s">
        <v>3127</v>
      </c>
      <c r="B1563" s="6" t="s">
        <v>277</v>
      </c>
      <c r="C1563" s="6" t="s">
        <v>3128</v>
      </c>
      <c r="D1563" s="7" t="s">
        <v>189</v>
      </c>
      <c r="E1563" s="8">
        <v>450</v>
      </c>
    </row>
    <row r="1564" spans="1:5" ht="19.95" customHeight="1" x14ac:dyDescent="0.3">
      <c r="A1564" s="1" t="s">
        <v>3129</v>
      </c>
      <c r="B1564" s="2" t="s">
        <v>277</v>
      </c>
      <c r="C1564" s="2" t="s">
        <v>3130</v>
      </c>
      <c r="D1564" s="3" t="s">
        <v>189</v>
      </c>
      <c r="E1564" s="4">
        <v>500</v>
      </c>
    </row>
    <row r="1565" spans="1:5" ht="19.95" customHeight="1" x14ac:dyDescent="0.3">
      <c r="A1565" s="5" t="s">
        <v>3131</v>
      </c>
      <c r="B1565" s="6" t="s">
        <v>277</v>
      </c>
      <c r="C1565" s="6" t="s">
        <v>3132</v>
      </c>
      <c r="D1565" s="7" t="s">
        <v>169</v>
      </c>
      <c r="E1565" s="8">
        <v>1100</v>
      </c>
    </row>
    <row r="1566" spans="1:5" ht="19.95" customHeight="1" x14ac:dyDescent="0.3">
      <c r="A1566" s="1" t="s">
        <v>3133</v>
      </c>
      <c r="B1566" s="2" t="s">
        <v>277</v>
      </c>
      <c r="C1566" s="2" t="s">
        <v>3134</v>
      </c>
      <c r="D1566" s="3" t="s">
        <v>189</v>
      </c>
      <c r="E1566" s="4">
        <v>66.75</v>
      </c>
    </row>
    <row r="1567" spans="1:5" ht="19.95" customHeight="1" x14ac:dyDescent="0.3">
      <c r="A1567" s="5" t="s">
        <v>3135</v>
      </c>
      <c r="B1567" s="6" t="s">
        <v>277</v>
      </c>
      <c r="C1567" s="6" t="s">
        <v>3136</v>
      </c>
      <c r="D1567" s="7" t="s">
        <v>189</v>
      </c>
      <c r="E1567" s="8">
        <v>106.5</v>
      </c>
    </row>
    <row r="1568" spans="1:5" ht="19.95" customHeight="1" x14ac:dyDescent="0.3">
      <c r="A1568" s="1" t="s">
        <v>3137</v>
      </c>
      <c r="B1568" s="2" t="s">
        <v>277</v>
      </c>
      <c r="C1568" s="2" t="s">
        <v>3138</v>
      </c>
      <c r="D1568" s="3" t="s">
        <v>189</v>
      </c>
      <c r="E1568" s="4">
        <v>154.5</v>
      </c>
    </row>
    <row r="1569" spans="1:5" ht="19.95" customHeight="1" x14ac:dyDescent="0.3">
      <c r="A1569" s="5" t="s">
        <v>3139</v>
      </c>
      <c r="B1569" s="6" t="s">
        <v>277</v>
      </c>
      <c r="C1569" s="6" t="s">
        <v>3140</v>
      </c>
      <c r="D1569" s="7" t="s">
        <v>189</v>
      </c>
      <c r="E1569" s="8">
        <v>133.5</v>
      </c>
    </row>
    <row r="1570" spans="1:5" ht="19.95" customHeight="1" x14ac:dyDescent="0.3">
      <c r="A1570" s="1" t="s">
        <v>3141</v>
      </c>
      <c r="B1570" s="2" t="s">
        <v>277</v>
      </c>
      <c r="C1570" s="2" t="s">
        <v>3142</v>
      </c>
      <c r="D1570" s="3" t="s">
        <v>189</v>
      </c>
      <c r="E1570" s="4">
        <v>46.5</v>
      </c>
    </row>
    <row r="1571" spans="1:5" ht="19.95" customHeight="1" x14ac:dyDescent="0.3">
      <c r="A1571" s="5" t="s">
        <v>3143</v>
      </c>
      <c r="B1571" s="6" t="s">
        <v>277</v>
      </c>
      <c r="C1571" s="6" t="s">
        <v>3144</v>
      </c>
      <c r="D1571" s="7" t="s">
        <v>189</v>
      </c>
      <c r="E1571" s="8">
        <v>57</v>
      </c>
    </row>
    <row r="1572" spans="1:5" ht="19.95" customHeight="1" x14ac:dyDescent="0.3">
      <c r="A1572" s="1" t="s">
        <v>3145</v>
      </c>
      <c r="B1572" s="2" t="s">
        <v>277</v>
      </c>
      <c r="C1572" s="2" t="s">
        <v>3146</v>
      </c>
      <c r="D1572" s="3" t="s">
        <v>189</v>
      </c>
      <c r="E1572" s="4">
        <v>30</v>
      </c>
    </row>
    <row r="1573" spans="1:5" ht="19.95" customHeight="1" x14ac:dyDescent="0.3">
      <c r="A1573" s="5" t="s">
        <v>3147</v>
      </c>
      <c r="B1573" s="6" t="s">
        <v>277</v>
      </c>
      <c r="C1573" s="6" t="s">
        <v>3148</v>
      </c>
      <c r="D1573" s="7" t="s">
        <v>189</v>
      </c>
      <c r="E1573" s="8">
        <v>54</v>
      </c>
    </row>
    <row r="1574" spans="1:5" ht="19.95" customHeight="1" x14ac:dyDescent="0.3">
      <c r="A1574" s="1" t="s">
        <v>3149</v>
      </c>
      <c r="B1574" s="2" t="s">
        <v>277</v>
      </c>
      <c r="C1574" s="2" t="s">
        <v>3150</v>
      </c>
      <c r="D1574" s="3" t="s">
        <v>189</v>
      </c>
      <c r="E1574" s="4">
        <v>78</v>
      </c>
    </row>
    <row r="1575" spans="1:5" ht="19.95" customHeight="1" x14ac:dyDescent="0.3">
      <c r="A1575" s="5" t="s">
        <v>3151</v>
      </c>
      <c r="B1575" s="6" t="s">
        <v>277</v>
      </c>
      <c r="C1575" s="6" t="s">
        <v>3152</v>
      </c>
      <c r="D1575" s="7" t="s">
        <v>169</v>
      </c>
      <c r="E1575" s="8">
        <v>1000</v>
      </c>
    </row>
    <row r="1576" spans="1:5" ht="19.95" customHeight="1" x14ac:dyDescent="0.3">
      <c r="A1576" s="1" t="s">
        <v>3153</v>
      </c>
      <c r="B1576" s="2" t="s">
        <v>277</v>
      </c>
      <c r="C1576" s="2" t="s">
        <v>3154</v>
      </c>
      <c r="D1576" s="3" t="s">
        <v>169</v>
      </c>
      <c r="E1576" s="4">
        <v>1000</v>
      </c>
    </row>
    <row r="1577" spans="1:5" ht="19.95" customHeight="1" x14ac:dyDescent="0.3">
      <c r="A1577" s="5" t="s">
        <v>3155</v>
      </c>
      <c r="B1577" s="6" t="s">
        <v>277</v>
      </c>
      <c r="C1577" s="6" t="s">
        <v>3156</v>
      </c>
      <c r="D1577" s="7" t="s">
        <v>169</v>
      </c>
      <c r="E1577" s="8">
        <v>500</v>
      </c>
    </row>
    <row r="1578" spans="1:5" ht="19.95" customHeight="1" x14ac:dyDescent="0.3">
      <c r="A1578" s="1" t="s">
        <v>3157</v>
      </c>
      <c r="B1578" s="2" t="s">
        <v>277</v>
      </c>
      <c r="C1578" s="2" t="s">
        <v>3158</v>
      </c>
      <c r="D1578" s="3" t="s">
        <v>1620</v>
      </c>
      <c r="E1578" s="4">
        <v>4000</v>
      </c>
    </row>
    <row r="1579" spans="1:5" ht="19.95" customHeight="1" x14ac:dyDescent="0.3">
      <c r="A1579" s="5" t="s">
        <v>3159</v>
      </c>
      <c r="B1579" s="6" t="s">
        <v>277</v>
      </c>
      <c r="C1579" s="6" t="s">
        <v>3160</v>
      </c>
      <c r="D1579" s="7" t="s">
        <v>1620</v>
      </c>
      <c r="E1579" s="8">
        <v>4700</v>
      </c>
    </row>
    <row r="1580" spans="1:5" ht="19.95" customHeight="1" x14ac:dyDescent="0.3">
      <c r="A1580" s="1" t="s">
        <v>3161</v>
      </c>
      <c r="B1580" s="2" t="s">
        <v>277</v>
      </c>
      <c r="C1580" s="2" t="s">
        <v>3162</v>
      </c>
      <c r="D1580" s="3" t="s">
        <v>1620</v>
      </c>
      <c r="E1580" s="4">
        <v>5200</v>
      </c>
    </row>
    <row r="1581" spans="1:5" ht="19.95" customHeight="1" x14ac:dyDescent="0.3">
      <c r="A1581" s="5" t="s">
        <v>3163</v>
      </c>
      <c r="B1581" s="6" t="s">
        <v>277</v>
      </c>
      <c r="C1581" s="6" t="s">
        <v>3164</v>
      </c>
      <c r="D1581" s="7" t="s">
        <v>1620</v>
      </c>
      <c r="E1581" s="8">
        <v>5000</v>
      </c>
    </row>
    <row r="1582" spans="1:5" ht="19.95" customHeight="1" x14ac:dyDescent="0.3">
      <c r="A1582" s="1" t="s">
        <v>3165</v>
      </c>
      <c r="B1582" s="2" t="s">
        <v>277</v>
      </c>
      <c r="C1582" s="2" t="s">
        <v>3166</v>
      </c>
      <c r="D1582" s="3" t="s">
        <v>1620</v>
      </c>
      <c r="E1582" s="4">
        <v>4900</v>
      </c>
    </row>
    <row r="1583" spans="1:5" ht="19.95" customHeight="1" x14ac:dyDescent="0.3">
      <c r="A1583" s="5" t="s">
        <v>3167</v>
      </c>
      <c r="B1583" s="6" t="s">
        <v>277</v>
      </c>
      <c r="C1583" s="6" t="s">
        <v>3168</v>
      </c>
      <c r="D1583" s="7" t="s">
        <v>369</v>
      </c>
      <c r="E1583" s="8">
        <v>210</v>
      </c>
    </row>
    <row r="1584" spans="1:5" ht="19.95" customHeight="1" x14ac:dyDescent="0.3">
      <c r="A1584" s="1" t="s">
        <v>3169</v>
      </c>
      <c r="B1584" s="2" t="s">
        <v>277</v>
      </c>
      <c r="C1584" s="2" t="s">
        <v>182</v>
      </c>
      <c r="D1584" s="3" t="s">
        <v>11</v>
      </c>
      <c r="E1584" s="4">
        <v>160</v>
      </c>
    </row>
    <row r="1585" spans="1:5" ht="19.95" customHeight="1" x14ac:dyDescent="0.3">
      <c r="A1585" s="5" t="s">
        <v>3170</v>
      </c>
      <c r="B1585" s="6" t="s">
        <v>277</v>
      </c>
      <c r="C1585" s="6" t="s">
        <v>3171</v>
      </c>
      <c r="D1585" s="7" t="s">
        <v>366</v>
      </c>
      <c r="E1585" s="8">
        <v>585</v>
      </c>
    </row>
    <row r="1586" spans="1:5" ht="19.95" customHeight="1" x14ac:dyDescent="0.3">
      <c r="A1586" s="1" t="s">
        <v>3172</v>
      </c>
      <c r="B1586" s="2" t="s">
        <v>277</v>
      </c>
      <c r="C1586" s="2" t="s">
        <v>3173</v>
      </c>
      <c r="D1586" s="3" t="s">
        <v>366</v>
      </c>
      <c r="E1586" s="4">
        <v>190</v>
      </c>
    </row>
    <row r="1587" spans="1:5" ht="19.95" customHeight="1" x14ac:dyDescent="0.3">
      <c r="A1587" s="5" t="s">
        <v>3174</v>
      </c>
      <c r="B1587" s="6" t="s">
        <v>277</v>
      </c>
      <c r="C1587" s="6" t="s">
        <v>3175</v>
      </c>
      <c r="D1587" s="7" t="s">
        <v>169</v>
      </c>
      <c r="E1587" s="8">
        <v>25</v>
      </c>
    </row>
    <row r="1588" spans="1:5" ht="19.95" customHeight="1" x14ac:dyDescent="0.3">
      <c r="A1588" s="1" t="s">
        <v>3176</v>
      </c>
      <c r="B1588" s="2" t="s">
        <v>277</v>
      </c>
      <c r="C1588" s="2" t="s">
        <v>184</v>
      </c>
      <c r="D1588" s="3" t="s">
        <v>11</v>
      </c>
      <c r="E1588" s="4">
        <v>420</v>
      </c>
    </row>
    <row r="1589" spans="1:5" ht="19.95" customHeight="1" x14ac:dyDescent="0.3">
      <c r="A1589" s="5" t="s">
        <v>3177</v>
      </c>
      <c r="B1589" s="6" t="s">
        <v>277</v>
      </c>
      <c r="C1589" s="6" t="s">
        <v>3178</v>
      </c>
      <c r="D1589" s="7" t="s">
        <v>11</v>
      </c>
      <c r="E1589" s="8">
        <v>645</v>
      </c>
    </row>
    <row r="1590" spans="1:5" ht="19.95" customHeight="1" x14ac:dyDescent="0.3">
      <c r="A1590" s="1" t="s">
        <v>3179</v>
      </c>
      <c r="B1590" s="2" t="s">
        <v>277</v>
      </c>
      <c r="C1590" s="2" t="s">
        <v>3180</v>
      </c>
      <c r="D1590" s="3" t="s">
        <v>169</v>
      </c>
      <c r="E1590" s="4">
        <v>105</v>
      </c>
    </row>
    <row r="1591" spans="1:5" ht="19.95" customHeight="1" x14ac:dyDescent="0.3">
      <c r="A1591" s="5" t="s">
        <v>3181</v>
      </c>
      <c r="B1591" s="6" t="s">
        <v>277</v>
      </c>
      <c r="C1591" s="6" t="s">
        <v>3182</v>
      </c>
      <c r="D1591" s="7" t="s">
        <v>169</v>
      </c>
      <c r="E1591" s="8">
        <v>160</v>
      </c>
    </row>
    <row r="1592" spans="1:5" ht="19.95" customHeight="1" x14ac:dyDescent="0.3">
      <c r="A1592" s="1" t="s">
        <v>3183</v>
      </c>
      <c r="B1592" s="2" t="s">
        <v>277</v>
      </c>
      <c r="C1592" s="2" t="s">
        <v>3184</v>
      </c>
      <c r="D1592" s="3" t="s">
        <v>169</v>
      </c>
      <c r="E1592" s="4">
        <v>266</v>
      </c>
    </row>
    <row r="1593" spans="1:5" ht="19.95" customHeight="1" x14ac:dyDescent="0.3">
      <c r="A1593" s="5" t="s">
        <v>3185</v>
      </c>
      <c r="B1593" s="6" t="s">
        <v>277</v>
      </c>
      <c r="C1593" s="6" t="s">
        <v>3186</v>
      </c>
      <c r="D1593" s="7" t="s">
        <v>3187</v>
      </c>
      <c r="E1593" s="8">
        <v>2</v>
      </c>
    </row>
    <row r="1594" spans="1:5" ht="19.95" customHeight="1" x14ac:dyDescent="0.3">
      <c r="A1594" s="1" t="s">
        <v>3188</v>
      </c>
      <c r="B1594" s="2" t="s">
        <v>277</v>
      </c>
      <c r="C1594" s="2" t="s">
        <v>3189</v>
      </c>
      <c r="D1594" s="3" t="s">
        <v>189</v>
      </c>
      <c r="E1594" s="4">
        <v>500</v>
      </c>
    </row>
    <row r="1595" spans="1:5" ht="19.95" customHeight="1" x14ac:dyDescent="0.3">
      <c r="A1595" s="5" t="s">
        <v>3190</v>
      </c>
      <c r="B1595" s="6" t="s">
        <v>277</v>
      </c>
      <c r="C1595" s="6" t="s">
        <v>3191</v>
      </c>
      <c r="D1595" s="7" t="s">
        <v>189</v>
      </c>
      <c r="E1595" s="8">
        <v>42</v>
      </c>
    </row>
    <row r="1596" spans="1:5" ht="19.95" customHeight="1" x14ac:dyDescent="0.3">
      <c r="A1596" s="1" t="s">
        <v>3192</v>
      </c>
      <c r="B1596" s="2" t="s">
        <v>277</v>
      </c>
      <c r="C1596" s="2" t="s">
        <v>3193</v>
      </c>
      <c r="D1596" s="3" t="s">
        <v>189</v>
      </c>
      <c r="E1596" s="4">
        <v>10</v>
      </c>
    </row>
    <row r="1597" spans="1:5" ht="19.95" customHeight="1" x14ac:dyDescent="0.3">
      <c r="A1597" s="5" t="s">
        <v>3194</v>
      </c>
      <c r="B1597" s="6" t="s">
        <v>277</v>
      </c>
      <c r="C1597" s="6" t="s">
        <v>3195</v>
      </c>
      <c r="D1597" s="7" t="s">
        <v>366</v>
      </c>
      <c r="E1597" s="8">
        <v>67</v>
      </c>
    </row>
    <row r="1598" spans="1:5" ht="19.95" customHeight="1" x14ac:dyDescent="0.3">
      <c r="A1598" s="1" t="s">
        <v>3196</v>
      </c>
      <c r="B1598" s="2" t="s">
        <v>277</v>
      </c>
      <c r="C1598" s="2" t="s">
        <v>188</v>
      </c>
      <c r="D1598" s="3" t="s">
        <v>189</v>
      </c>
      <c r="E1598" s="4">
        <v>2</v>
      </c>
    </row>
    <row r="1599" spans="1:5" ht="19.95" customHeight="1" x14ac:dyDescent="0.3">
      <c r="A1599" s="5" t="s">
        <v>3197</v>
      </c>
      <c r="B1599" s="6" t="s">
        <v>277</v>
      </c>
      <c r="C1599" s="6" t="s">
        <v>3198</v>
      </c>
      <c r="D1599" s="7" t="s">
        <v>366</v>
      </c>
      <c r="E1599" s="8">
        <v>31</v>
      </c>
    </row>
    <row r="1600" spans="1:5" ht="19.95" customHeight="1" x14ac:dyDescent="0.3">
      <c r="A1600" s="1" t="s">
        <v>3199</v>
      </c>
      <c r="B1600" s="2" t="s">
        <v>277</v>
      </c>
      <c r="C1600" s="2" t="s">
        <v>3200</v>
      </c>
      <c r="D1600" s="3" t="s">
        <v>11</v>
      </c>
      <c r="E1600" s="4">
        <v>100</v>
      </c>
    </row>
    <row r="1601" spans="1:5" ht="19.95" customHeight="1" x14ac:dyDescent="0.3">
      <c r="A1601" s="5" t="s">
        <v>3201</v>
      </c>
      <c r="B1601" s="6" t="s">
        <v>277</v>
      </c>
      <c r="C1601" s="6" t="s">
        <v>3202</v>
      </c>
      <c r="D1601" s="7" t="s">
        <v>189</v>
      </c>
      <c r="E1601" s="8">
        <v>192</v>
      </c>
    </row>
    <row r="1602" spans="1:5" ht="19.95" customHeight="1" x14ac:dyDescent="0.3">
      <c r="A1602" s="1" t="s">
        <v>3203</v>
      </c>
      <c r="B1602" s="2" t="s">
        <v>277</v>
      </c>
      <c r="C1602" s="2" t="s">
        <v>3204</v>
      </c>
      <c r="D1602" s="3" t="s">
        <v>283</v>
      </c>
      <c r="E1602" s="4">
        <v>120</v>
      </c>
    </row>
    <row r="1603" spans="1:5" ht="19.95" customHeight="1" x14ac:dyDescent="0.3">
      <c r="A1603" s="5" t="s">
        <v>3205</v>
      </c>
      <c r="B1603" s="6" t="s">
        <v>277</v>
      </c>
      <c r="C1603" s="6" t="s">
        <v>3206</v>
      </c>
      <c r="D1603" s="7" t="s">
        <v>189</v>
      </c>
      <c r="E1603" s="8">
        <v>250</v>
      </c>
    </row>
    <row r="1604" spans="1:5" ht="19.95" customHeight="1" x14ac:dyDescent="0.3">
      <c r="A1604" s="1" t="s">
        <v>3207</v>
      </c>
      <c r="B1604" s="2" t="s">
        <v>277</v>
      </c>
      <c r="C1604" s="2" t="s">
        <v>3208</v>
      </c>
      <c r="D1604" s="3" t="s">
        <v>169</v>
      </c>
      <c r="E1604" s="4">
        <v>735.25</v>
      </c>
    </row>
    <row r="1605" spans="1:5" ht="19.95" customHeight="1" x14ac:dyDescent="0.3">
      <c r="A1605" s="5" t="s">
        <v>3209</v>
      </c>
      <c r="B1605" s="6" t="s">
        <v>277</v>
      </c>
      <c r="C1605" s="6" t="s">
        <v>3210</v>
      </c>
      <c r="D1605" s="7" t="s">
        <v>169</v>
      </c>
      <c r="E1605" s="8">
        <v>845</v>
      </c>
    </row>
    <row r="1606" spans="1:5" ht="19.95" customHeight="1" x14ac:dyDescent="0.3">
      <c r="A1606" s="1" t="s">
        <v>3211</v>
      </c>
      <c r="B1606" s="2" t="s">
        <v>277</v>
      </c>
      <c r="C1606" s="2" t="s">
        <v>3212</v>
      </c>
      <c r="D1606" s="3" t="s">
        <v>169</v>
      </c>
      <c r="E1606" s="4">
        <v>1047.46</v>
      </c>
    </row>
    <row r="1607" spans="1:5" ht="19.95" customHeight="1" x14ac:dyDescent="0.3">
      <c r="A1607" s="5" t="s">
        <v>3213</v>
      </c>
      <c r="B1607" s="6" t="s">
        <v>277</v>
      </c>
      <c r="C1607" s="6" t="s">
        <v>3214</v>
      </c>
      <c r="D1607" s="7" t="s">
        <v>169</v>
      </c>
      <c r="E1607" s="8">
        <v>1268</v>
      </c>
    </row>
    <row r="1608" spans="1:5" ht="19.95" customHeight="1" x14ac:dyDescent="0.3">
      <c r="A1608" s="1" t="s">
        <v>3215</v>
      </c>
      <c r="B1608" s="2" t="s">
        <v>277</v>
      </c>
      <c r="C1608" s="2" t="s">
        <v>3216</v>
      </c>
      <c r="D1608" s="3" t="s">
        <v>169</v>
      </c>
      <c r="E1608" s="4">
        <v>1512.37</v>
      </c>
    </row>
    <row r="1609" spans="1:5" ht="19.95" customHeight="1" x14ac:dyDescent="0.3">
      <c r="A1609" s="5" t="s">
        <v>3217</v>
      </c>
      <c r="B1609" s="6" t="s">
        <v>277</v>
      </c>
      <c r="C1609" s="6" t="s">
        <v>3218</v>
      </c>
      <c r="D1609" s="7" t="s">
        <v>169</v>
      </c>
      <c r="E1609" s="8">
        <v>1085.93</v>
      </c>
    </row>
    <row r="1610" spans="1:5" ht="19.95" customHeight="1" x14ac:dyDescent="0.3">
      <c r="A1610" s="1" t="s">
        <v>3219</v>
      </c>
      <c r="B1610" s="2" t="s">
        <v>277</v>
      </c>
      <c r="C1610" s="2" t="s">
        <v>3220</v>
      </c>
      <c r="D1610" s="3" t="s">
        <v>169</v>
      </c>
      <c r="E1610" s="4">
        <v>1248.82</v>
      </c>
    </row>
    <row r="1611" spans="1:5" ht="19.95" customHeight="1" x14ac:dyDescent="0.3">
      <c r="A1611" s="5" t="s">
        <v>3221</v>
      </c>
      <c r="B1611" s="6" t="s">
        <v>277</v>
      </c>
      <c r="C1611" s="6" t="s">
        <v>3222</v>
      </c>
      <c r="D1611" s="7" t="s">
        <v>169</v>
      </c>
      <c r="E1611" s="8">
        <v>1547.45</v>
      </c>
    </row>
    <row r="1612" spans="1:5" ht="19.95" customHeight="1" x14ac:dyDescent="0.3">
      <c r="A1612" s="1" t="s">
        <v>3223</v>
      </c>
      <c r="B1612" s="2" t="s">
        <v>277</v>
      </c>
      <c r="C1612" s="2" t="s">
        <v>3224</v>
      </c>
      <c r="D1612" s="3" t="s">
        <v>169</v>
      </c>
      <c r="E1612" s="4">
        <v>1547.45</v>
      </c>
    </row>
    <row r="1613" spans="1:5" ht="19.95" customHeight="1" x14ac:dyDescent="0.3">
      <c r="A1613" s="5" t="s">
        <v>3225</v>
      </c>
      <c r="B1613" s="6" t="s">
        <v>277</v>
      </c>
      <c r="C1613" s="6" t="s">
        <v>3226</v>
      </c>
      <c r="D1613" s="7" t="s">
        <v>169</v>
      </c>
      <c r="E1613" s="8">
        <v>155.80000000000001</v>
      </c>
    </row>
    <row r="1614" spans="1:5" ht="19.95" customHeight="1" x14ac:dyDescent="0.3">
      <c r="A1614" s="1" t="s">
        <v>3227</v>
      </c>
      <c r="B1614" s="2" t="s">
        <v>277</v>
      </c>
      <c r="C1614" s="2" t="s">
        <v>3228</v>
      </c>
      <c r="D1614" s="3" t="s">
        <v>169</v>
      </c>
      <c r="E1614" s="4">
        <v>632</v>
      </c>
    </row>
    <row r="1615" spans="1:5" ht="19.95" customHeight="1" x14ac:dyDescent="0.3">
      <c r="A1615" s="5" t="s">
        <v>3229</v>
      </c>
      <c r="B1615" s="6" t="s">
        <v>277</v>
      </c>
      <c r="C1615" s="6" t="s">
        <v>3230</v>
      </c>
      <c r="D1615" s="7" t="s">
        <v>169</v>
      </c>
      <c r="E1615" s="8">
        <v>752</v>
      </c>
    </row>
    <row r="1616" spans="1:5" ht="19.95" customHeight="1" x14ac:dyDescent="0.3">
      <c r="A1616" s="1" t="s">
        <v>3231</v>
      </c>
      <c r="B1616" s="2" t="s">
        <v>277</v>
      </c>
      <c r="C1616" s="2" t="s">
        <v>3232</v>
      </c>
      <c r="D1616" s="3" t="s">
        <v>283</v>
      </c>
      <c r="E1616" s="4">
        <v>125.79</v>
      </c>
    </row>
    <row r="1617" spans="1:5" ht="19.95" customHeight="1" x14ac:dyDescent="0.3">
      <c r="A1617" s="5" t="s">
        <v>3233</v>
      </c>
      <c r="B1617" s="6" t="s">
        <v>277</v>
      </c>
      <c r="C1617" s="6" t="s">
        <v>3234</v>
      </c>
      <c r="D1617" s="7" t="s">
        <v>283</v>
      </c>
      <c r="E1617" s="8">
        <v>251.58</v>
      </c>
    </row>
    <row r="1618" spans="1:5" ht="19.95" customHeight="1" x14ac:dyDescent="0.3">
      <c r="A1618" s="1" t="s">
        <v>3235</v>
      </c>
      <c r="B1618" s="2" t="s">
        <v>277</v>
      </c>
      <c r="C1618" s="2" t="s">
        <v>3236</v>
      </c>
      <c r="D1618" s="3" t="s">
        <v>366</v>
      </c>
      <c r="E1618" s="4">
        <v>140</v>
      </c>
    </row>
    <row r="1619" spans="1:5" ht="19.95" customHeight="1" x14ac:dyDescent="0.3">
      <c r="A1619" s="5" t="s">
        <v>3237</v>
      </c>
      <c r="B1619" s="6" t="s">
        <v>277</v>
      </c>
      <c r="C1619" s="6" t="s">
        <v>3238</v>
      </c>
      <c r="D1619" s="7" t="s">
        <v>169</v>
      </c>
      <c r="E1619" s="8">
        <v>1650</v>
      </c>
    </row>
    <row r="1620" spans="1:5" ht="19.95" customHeight="1" x14ac:dyDescent="0.3">
      <c r="A1620" s="1" t="s">
        <v>3239</v>
      </c>
      <c r="B1620" s="2" t="s">
        <v>277</v>
      </c>
      <c r="C1620" s="2" t="s">
        <v>3240</v>
      </c>
      <c r="D1620" s="3" t="s">
        <v>283</v>
      </c>
      <c r="E1620" s="4">
        <v>298.74</v>
      </c>
    </row>
    <row r="1621" spans="1:5" ht="19.95" customHeight="1" x14ac:dyDescent="0.3">
      <c r="A1621" s="5" t="s">
        <v>3241</v>
      </c>
      <c r="B1621" s="6" t="s">
        <v>277</v>
      </c>
      <c r="C1621" s="6" t="s">
        <v>3242</v>
      </c>
      <c r="D1621" s="7" t="s">
        <v>169</v>
      </c>
      <c r="E1621" s="8">
        <v>18</v>
      </c>
    </row>
    <row r="1622" spans="1:5" ht="19.95" customHeight="1" x14ac:dyDescent="0.3">
      <c r="A1622" s="1" t="s">
        <v>3243</v>
      </c>
      <c r="B1622" s="2" t="s">
        <v>277</v>
      </c>
      <c r="C1622" s="2" t="s">
        <v>3244</v>
      </c>
      <c r="D1622" s="3" t="s">
        <v>169</v>
      </c>
      <c r="E1622" s="4">
        <v>8.5</v>
      </c>
    </row>
    <row r="1623" spans="1:5" ht="19.95" customHeight="1" x14ac:dyDescent="0.3">
      <c r="A1623" s="5" t="s">
        <v>3245</v>
      </c>
      <c r="B1623" s="6" t="s">
        <v>277</v>
      </c>
      <c r="C1623" s="6" t="s">
        <v>3246</v>
      </c>
      <c r="D1623" s="7" t="s">
        <v>283</v>
      </c>
      <c r="E1623" s="8">
        <v>1000</v>
      </c>
    </row>
    <row r="1624" spans="1:5" ht="19.95" customHeight="1" x14ac:dyDescent="0.3">
      <c r="A1624" s="1" t="s">
        <v>3247</v>
      </c>
      <c r="B1624" s="2" t="s">
        <v>277</v>
      </c>
      <c r="C1624" s="2" t="s">
        <v>3248</v>
      </c>
      <c r="D1624" s="3" t="s">
        <v>169</v>
      </c>
      <c r="E1624" s="4">
        <v>5000</v>
      </c>
    </row>
    <row r="1625" spans="1:5" ht="19.95" customHeight="1" x14ac:dyDescent="0.3">
      <c r="A1625" s="5" t="s">
        <v>3249</v>
      </c>
      <c r="B1625" s="6" t="s">
        <v>277</v>
      </c>
      <c r="C1625" s="6" t="s">
        <v>3250</v>
      </c>
      <c r="D1625" s="7" t="s">
        <v>366</v>
      </c>
      <c r="E1625" s="8">
        <v>75</v>
      </c>
    </row>
    <row r="1626" spans="1:5" ht="19.95" customHeight="1" x14ac:dyDescent="0.3">
      <c r="A1626" s="1" t="s">
        <v>3251</v>
      </c>
      <c r="B1626" s="2" t="s">
        <v>277</v>
      </c>
      <c r="C1626" s="2" t="s">
        <v>3252</v>
      </c>
      <c r="D1626" s="3" t="s">
        <v>169</v>
      </c>
      <c r="E1626" s="4">
        <v>600</v>
      </c>
    </row>
    <row r="1627" spans="1:5" ht="19.95" customHeight="1" x14ac:dyDescent="0.3">
      <c r="A1627" s="5" t="s">
        <v>3253</v>
      </c>
      <c r="B1627" s="6" t="s">
        <v>277</v>
      </c>
      <c r="C1627" s="6" t="s">
        <v>3254</v>
      </c>
      <c r="D1627" s="7" t="s">
        <v>169</v>
      </c>
      <c r="E1627" s="8">
        <v>3470</v>
      </c>
    </row>
    <row r="1628" spans="1:5" ht="19.95" customHeight="1" x14ac:dyDescent="0.3">
      <c r="A1628" s="1" t="s">
        <v>3255</v>
      </c>
      <c r="B1628" s="2" t="s">
        <v>277</v>
      </c>
      <c r="C1628" s="2" t="s">
        <v>3256</v>
      </c>
      <c r="D1628" s="3" t="s">
        <v>283</v>
      </c>
      <c r="E1628" s="4">
        <v>112</v>
      </c>
    </row>
    <row r="1629" spans="1:5" ht="19.95" customHeight="1" x14ac:dyDescent="0.3">
      <c r="A1629" s="5" t="s">
        <v>3257</v>
      </c>
      <c r="B1629" s="6" t="s">
        <v>277</v>
      </c>
      <c r="C1629" s="6" t="s">
        <v>3258</v>
      </c>
      <c r="D1629" s="7" t="s">
        <v>283</v>
      </c>
      <c r="E1629" s="8">
        <v>255</v>
      </c>
    </row>
    <row r="1630" spans="1:5" ht="19.95" customHeight="1" x14ac:dyDescent="0.3">
      <c r="A1630" s="1" t="s">
        <v>3259</v>
      </c>
      <c r="B1630" s="2" t="s">
        <v>277</v>
      </c>
      <c r="C1630" s="2" t="s">
        <v>3260</v>
      </c>
      <c r="D1630" s="3" t="s">
        <v>3261</v>
      </c>
      <c r="E1630" s="4">
        <v>300</v>
      </c>
    </row>
    <row r="1631" spans="1:5" ht="19.95" customHeight="1" x14ac:dyDescent="0.3">
      <c r="A1631" s="5" t="s">
        <v>3262</v>
      </c>
      <c r="B1631" s="6" t="s">
        <v>277</v>
      </c>
      <c r="C1631" s="6" t="s">
        <v>3263</v>
      </c>
      <c r="D1631" s="7" t="s">
        <v>3264</v>
      </c>
      <c r="E1631" s="8">
        <v>3385</v>
      </c>
    </row>
    <row r="1632" spans="1:5" ht="19.95" customHeight="1" x14ac:dyDescent="0.3">
      <c r="A1632" s="1" t="s">
        <v>3265</v>
      </c>
      <c r="B1632" s="2" t="s">
        <v>277</v>
      </c>
      <c r="C1632" s="2" t="s">
        <v>3266</v>
      </c>
      <c r="D1632" s="3" t="s">
        <v>283</v>
      </c>
      <c r="E1632" s="4">
        <v>250</v>
      </c>
    </row>
    <row r="1633" spans="1:5" ht="19.95" customHeight="1" x14ac:dyDescent="0.3">
      <c r="A1633" s="5" t="s">
        <v>3267</v>
      </c>
      <c r="B1633" s="6" t="s">
        <v>277</v>
      </c>
      <c r="C1633" s="6" t="s">
        <v>3268</v>
      </c>
      <c r="D1633" s="7" t="s">
        <v>283</v>
      </c>
      <c r="E1633" s="8">
        <v>255</v>
      </c>
    </row>
    <row r="1634" spans="1:5" ht="19.95" customHeight="1" x14ac:dyDescent="0.3">
      <c r="A1634" s="1" t="s">
        <v>3269</v>
      </c>
      <c r="B1634" s="2" t="s">
        <v>277</v>
      </c>
      <c r="C1634" s="2" t="s">
        <v>3270</v>
      </c>
      <c r="D1634" s="3" t="s">
        <v>1003</v>
      </c>
      <c r="E1634" s="4">
        <v>1700</v>
      </c>
    </row>
    <row r="1635" spans="1:5" ht="19.95" customHeight="1" x14ac:dyDescent="0.3">
      <c r="A1635" s="5" t="s">
        <v>3271</v>
      </c>
      <c r="B1635" s="6" t="s">
        <v>277</v>
      </c>
      <c r="C1635" s="6" t="s">
        <v>3272</v>
      </c>
      <c r="D1635" s="7" t="s">
        <v>1003</v>
      </c>
      <c r="E1635" s="8">
        <v>1680</v>
      </c>
    </row>
    <row r="1636" spans="1:5" ht="19.95" customHeight="1" x14ac:dyDescent="0.3">
      <c r="A1636" s="1" t="s">
        <v>3273</v>
      </c>
      <c r="B1636" s="2" t="s">
        <v>277</v>
      </c>
      <c r="C1636" s="2" t="s">
        <v>3274</v>
      </c>
      <c r="D1636" s="3" t="s">
        <v>1003</v>
      </c>
      <c r="E1636" s="4">
        <v>1675</v>
      </c>
    </row>
    <row r="1637" spans="1:5" ht="19.95" customHeight="1" x14ac:dyDescent="0.3">
      <c r="A1637" s="5" t="s">
        <v>3275</v>
      </c>
      <c r="B1637" s="6" t="s">
        <v>277</v>
      </c>
      <c r="C1637" s="6" t="s">
        <v>3276</v>
      </c>
      <c r="D1637" s="7" t="s">
        <v>169</v>
      </c>
      <c r="E1637" s="8">
        <v>11500</v>
      </c>
    </row>
    <row r="1638" spans="1:5" ht="19.95" customHeight="1" x14ac:dyDescent="0.3">
      <c r="A1638" s="1" t="s">
        <v>3277</v>
      </c>
      <c r="B1638" s="2" t="s">
        <v>277</v>
      </c>
      <c r="C1638" s="2" t="s">
        <v>3278</v>
      </c>
      <c r="D1638" s="3" t="s">
        <v>3279</v>
      </c>
      <c r="E1638" s="4">
        <v>32000</v>
      </c>
    </row>
    <row r="1639" spans="1:5" ht="19.95" customHeight="1" x14ac:dyDescent="0.3">
      <c r="A1639" s="5" t="s">
        <v>3280</v>
      </c>
      <c r="B1639" s="6" t="s">
        <v>277</v>
      </c>
      <c r="C1639" s="6" t="s">
        <v>3281</v>
      </c>
      <c r="D1639" s="7" t="s">
        <v>189</v>
      </c>
      <c r="E1639" s="8">
        <v>1400</v>
      </c>
    </row>
    <row r="1640" spans="1:5" ht="19.95" customHeight="1" x14ac:dyDescent="0.3">
      <c r="A1640" s="1" t="s">
        <v>3282</v>
      </c>
      <c r="B1640" s="2" t="s">
        <v>277</v>
      </c>
      <c r="C1640" s="2" t="s">
        <v>3283</v>
      </c>
      <c r="D1640" s="3" t="s">
        <v>189</v>
      </c>
      <c r="E1640" s="4">
        <v>590</v>
      </c>
    </row>
    <row r="1641" spans="1:5" ht="19.95" customHeight="1" x14ac:dyDescent="0.3">
      <c r="A1641" s="5" t="s">
        <v>3284</v>
      </c>
      <c r="B1641" s="6" t="s">
        <v>277</v>
      </c>
      <c r="C1641" s="6" t="s">
        <v>3285</v>
      </c>
      <c r="D1641" s="7" t="s">
        <v>189</v>
      </c>
      <c r="E1641" s="8">
        <v>290</v>
      </c>
    </row>
    <row r="1642" spans="1:5" ht="19.95" customHeight="1" x14ac:dyDescent="0.3">
      <c r="A1642" s="1" t="s">
        <v>3286</v>
      </c>
      <c r="B1642" s="2" t="s">
        <v>277</v>
      </c>
      <c r="C1642" s="2" t="s">
        <v>3287</v>
      </c>
      <c r="D1642" s="3" t="s">
        <v>189</v>
      </c>
      <c r="E1642" s="4">
        <v>1080</v>
      </c>
    </row>
    <row r="1643" spans="1:5" ht="19.95" customHeight="1" x14ac:dyDescent="0.3">
      <c r="A1643" s="5" t="s">
        <v>3288</v>
      </c>
      <c r="B1643" s="6" t="s">
        <v>277</v>
      </c>
      <c r="C1643" s="6" t="s">
        <v>3289</v>
      </c>
      <c r="D1643" s="7" t="s">
        <v>189</v>
      </c>
      <c r="E1643" s="8">
        <v>15</v>
      </c>
    </row>
    <row r="1644" spans="1:5" ht="19.95" customHeight="1" x14ac:dyDescent="0.3">
      <c r="A1644" s="1" t="s">
        <v>3290</v>
      </c>
      <c r="B1644" s="2" t="s">
        <v>277</v>
      </c>
      <c r="C1644" s="2" t="s">
        <v>3291</v>
      </c>
      <c r="D1644" s="3" t="s">
        <v>189</v>
      </c>
      <c r="E1644" s="4">
        <v>55</v>
      </c>
    </row>
    <row r="1645" spans="1:5" ht="19.95" customHeight="1" x14ac:dyDescent="0.3">
      <c r="A1645" s="5" t="s">
        <v>3292</v>
      </c>
      <c r="B1645" s="6" t="s">
        <v>277</v>
      </c>
      <c r="C1645" s="6" t="s">
        <v>3293</v>
      </c>
      <c r="D1645" s="7" t="s">
        <v>189</v>
      </c>
      <c r="E1645" s="8">
        <v>14</v>
      </c>
    </row>
    <row r="1646" spans="1:5" ht="19.95" customHeight="1" x14ac:dyDescent="0.3">
      <c r="A1646" s="1" t="s">
        <v>3294</v>
      </c>
      <c r="B1646" s="2" t="s">
        <v>277</v>
      </c>
      <c r="C1646" s="2" t="s">
        <v>3295</v>
      </c>
      <c r="D1646" s="3" t="s">
        <v>189</v>
      </c>
      <c r="E1646" s="4">
        <v>45</v>
      </c>
    </row>
    <row r="1647" spans="1:5" ht="19.95" customHeight="1" x14ac:dyDescent="0.3">
      <c r="A1647" s="5" t="s">
        <v>3296</v>
      </c>
      <c r="B1647" s="6" t="s">
        <v>277</v>
      </c>
      <c r="C1647" s="6" t="s">
        <v>3297</v>
      </c>
      <c r="D1647" s="7" t="s">
        <v>189</v>
      </c>
      <c r="E1647" s="8">
        <v>3</v>
      </c>
    </row>
    <row r="1648" spans="1:5" ht="19.95" customHeight="1" x14ac:dyDescent="0.3">
      <c r="A1648" s="1" t="s">
        <v>3298</v>
      </c>
      <c r="B1648" s="2" t="s">
        <v>277</v>
      </c>
      <c r="C1648" s="2" t="s">
        <v>3299</v>
      </c>
      <c r="D1648" s="3" t="s">
        <v>189</v>
      </c>
      <c r="E1648" s="4">
        <v>6</v>
      </c>
    </row>
    <row r="1649" spans="1:5" ht="19.95" customHeight="1" x14ac:dyDescent="0.3">
      <c r="A1649" s="5" t="s">
        <v>3300</v>
      </c>
      <c r="B1649" s="6" t="s">
        <v>277</v>
      </c>
      <c r="C1649" s="6" t="s">
        <v>3301</v>
      </c>
      <c r="D1649" s="7" t="s">
        <v>189</v>
      </c>
      <c r="E1649" s="8">
        <v>365</v>
      </c>
    </row>
    <row r="1650" spans="1:5" ht="19.95" customHeight="1" x14ac:dyDescent="0.3">
      <c r="A1650" s="1" t="s">
        <v>3302</v>
      </c>
      <c r="B1650" s="2" t="s">
        <v>277</v>
      </c>
      <c r="C1650" s="2" t="s">
        <v>3303</v>
      </c>
      <c r="D1650" s="3" t="s">
        <v>189</v>
      </c>
      <c r="E1650" s="4">
        <v>985</v>
      </c>
    </row>
    <row r="1651" spans="1:5" ht="19.95" customHeight="1" x14ac:dyDescent="0.3">
      <c r="A1651" s="5" t="s">
        <v>3304</v>
      </c>
      <c r="B1651" s="6" t="s">
        <v>277</v>
      </c>
      <c r="C1651" s="6" t="s">
        <v>3305</v>
      </c>
      <c r="D1651" s="7" t="s">
        <v>189</v>
      </c>
      <c r="E1651" s="8">
        <v>995</v>
      </c>
    </row>
    <row r="1652" spans="1:5" ht="19.95" customHeight="1" x14ac:dyDescent="0.3">
      <c r="A1652" s="1" t="s">
        <v>3306</v>
      </c>
      <c r="B1652" s="2" t="s">
        <v>277</v>
      </c>
      <c r="C1652" s="2" t="s">
        <v>3307</v>
      </c>
      <c r="D1652" s="3" t="s">
        <v>189</v>
      </c>
      <c r="E1652" s="4">
        <v>475</v>
      </c>
    </row>
    <row r="1653" spans="1:5" ht="19.95" customHeight="1" x14ac:dyDescent="0.3">
      <c r="A1653" s="5" t="s">
        <v>3308</v>
      </c>
      <c r="B1653" s="6" t="s">
        <v>277</v>
      </c>
      <c r="C1653" s="6" t="s">
        <v>3309</v>
      </c>
      <c r="D1653" s="7" t="s">
        <v>189</v>
      </c>
      <c r="E1653" s="8">
        <v>115</v>
      </c>
    </row>
    <row r="1654" spans="1:5" ht="19.95" customHeight="1" x14ac:dyDescent="0.3">
      <c r="A1654" s="1" t="s">
        <v>3310</v>
      </c>
      <c r="B1654" s="2" t="s">
        <v>277</v>
      </c>
      <c r="C1654" s="2" t="s">
        <v>3311</v>
      </c>
      <c r="D1654" s="3" t="s">
        <v>189</v>
      </c>
      <c r="E1654" s="4">
        <v>64</v>
      </c>
    </row>
    <row r="1655" spans="1:5" ht="19.95" customHeight="1" x14ac:dyDescent="0.3">
      <c r="A1655" s="5" t="s">
        <v>3312</v>
      </c>
      <c r="B1655" s="6" t="s">
        <v>277</v>
      </c>
      <c r="C1655" s="6" t="s">
        <v>3313</v>
      </c>
      <c r="D1655" s="7" t="s">
        <v>189</v>
      </c>
      <c r="E1655" s="8">
        <v>60</v>
      </c>
    </row>
    <row r="1656" spans="1:5" ht="19.95" customHeight="1" x14ac:dyDescent="0.3">
      <c r="A1656" s="1" t="s">
        <v>3314</v>
      </c>
      <c r="B1656" s="2" t="s">
        <v>277</v>
      </c>
      <c r="C1656" s="2" t="s">
        <v>3315</v>
      </c>
      <c r="D1656" s="3" t="s">
        <v>189</v>
      </c>
      <c r="E1656" s="4">
        <v>5</v>
      </c>
    </row>
    <row r="1657" spans="1:5" ht="19.95" customHeight="1" x14ac:dyDescent="0.3">
      <c r="A1657" s="5" t="s">
        <v>3316</v>
      </c>
      <c r="B1657" s="6" t="s">
        <v>277</v>
      </c>
      <c r="C1657" s="6" t="s">
        <v>3317</v>
      </c>
      <c r="D1657" s="7" t="s">
        <v>189</v>
      </c>
      <c r="E1657" s="8">
        <v>5</v>
      </c>
    </row>
    <row r="1658" spans="1:5" ht="19.95" customHeight="1" x14ac:dyDescent="0.3">
      <c r="A1658" s="1" t="s">
        <v>3318</v>
      </c>
      <c r="B1658" s="2" t="s">
        <v>277</v>
      </c>
      <c r="C1658" s="2" t="s">
        <v>3319</v>
      </c>
      <c r="D1658" s="3" t="s">
        <v>189</v>
      </c>
      <c r="E1658" s="4">
        <v>30</v>
      </c>
    </row>
    <row r="1659" spans="1:5" ht="19.95" customHeight="1" x14ac:dyDescent="0.3">
      <c r="A1659" s="5" t="s">
        <v>3320</v>
      </c>
      <c r="B1659" s="6" t="s">
        <v>277</v>
      </c>
      <c r="C1659" s="6" t="s">
        <v>3321</v>
      </c>
      <c r="D1659" s="7" t="s">
        <v>189</v>
      </c>
      <c r="E1659" s="8">
        <v>5</v>
      </c>
    </row>
    <row r="1660" spans="1:5" ht="19.95" customHeight="1" x14ac:dyDescent="0.3">
      <c r="A1660" s="1" t="s">
        <v>3322</v>
      </c>
      <c r="B1660" s="2" t="s">
        <v>277</v>
      </c>
      <c r="C1660" s="2" t="s">
        <v>3323</v>
      </c>
      <c r="D1660" s="3" t="s">
        <v>189</v>
      </c>
      <c r="E1660" s="4">
        <v>18</v>
      </c>
    </row>
    <row r="1661" spans="1:5" ht="19.95" customHeight="1" x14ac:dyDescent="0.3">
      <c r="A1661" s="5" t="s">
        <v>3324</v>
      </c>
      <c r="B1661" s="6" t="s">
        <v>277</v>
      </c>
      <c r="C1661" s="6" t="s">
        <v>3325</v>
      </c>
      <c r="D1661" s="7" t="s">
        <v>189</v>
      </c>
      <c r="E1661" s="8">
        <v>360</v>
      </c>
    </row>
    <row r="1662" spans="1:5" ht="19.95" customHeight="1" x14ac:dyDescent="0.3">
      <c r="A1662" s="1" t="s">
        <v>3326</v>
      </c>
      <c r="B1662" s="2" t="s">
        <v>277</v>
      </c>
      <c r="C1662" s="2" t="s">
        <v>3325</v>
      </c>
      <c r="D1662" s="3" t="s">
        <v>189</v>
      </c>
      <c r="E1662" s="4">
        <v>315</v>
      </c>
    </row>
    <row r="1663" spans="1:5" ht="19.95" customHeight="1" x14ac:dyDescent="0.3">
      <c r="A1663" s="5" t="s">
        <v>3327</v>
      </c>
      <c r="B1663" s="6" t="s">
        <v>277</v>
      </c>
      <c r="C1663" s="6" t="s">
        <v>3328</v>
      </c>
      <c r="D1663" s="7" t="s">
        <v>279</v>
      </c>
      <c r="E1663" s="8">
        <v>123</v>
      </c>
    </row>
    <row r="1664" spans="1:5" ht="19.95" customHeight="1" x14ac:dyDescent="0.3">
      <c r="A1664" s="1" t="s">
        <v>3329</v>
      </c>
      <c r="B1664" s="2" t="s">
        <v>277</v>
      </c>
      <c r="C1664" s="2" t="s">
        <v>3330</v>
      </c>
      <c r="D1664" s="3" t="s">
        <v>189</v>
      </c>
      <c r="E1664" s="4">
        <v>450</v>
      </c>
    </row>
    <row r="1665" spans="1:5" ht="19.95" customHeight="1" x14ac:dyDescent="0.3">
      <c r="A1665" s="5" t="s">
        <v>3331</v>
      </c>
      <c r="B1665" s="6" t="s">
        <v>277</v>
      </c>
      <c r="C1665" s="6" t="s">
        <v>3332</v>
      </c>
      <c r="D1665" s="7" t="s">
        <v>189</v>
      </c>
      <c r="E1665" s="8">
        <v>451</v>
      </c>
    </row>
    <row r="1666" spans="1:5" ht="19.95" customHeight="1" x14ac:dyDescent="0.3">
      <c r="A1666" s="1" t="s">
        <v>3333</v>
      </c>
      <c r="B1666" s="2" t="s">
        <v>277</v>
      </c>
      <c r="C1666" s="2" t="s">
        <v>3334</v>
      </c>
      <c r="D1666" s="3" t="s">
        <v>3335</v>
      </c>
      <c r="E1666" s="4">
        <v>2296</v>
      </c>
    </row>
    <row r="1667" spans="1:5" ht="19.95" customHeight="1" x14ac:dyDescent="0.3">
      <c r="A1667" s="5" t="s">
        <v>3336</v>
      </c>
      <c r="B1667" s="6" t="s">
        <v>277</v>
      </c>
      <c r="C1667" s="6" t="s">
        <v>3337</v>
      </c>
      <c r="D1667" s="7" t="s">
        <v>3335</v>
      </c>
      <c r="E1667" s="8">
        <v>1394</v>
      </c>
    </row>
    <row r="1668" spans="1:5" ht="19.95" customHeight="1" x14ac:dyDescent="0.3">
      <c r="A1668" s="1" t="s">
        <v>3338</v>
      </c>
      <c r="B1668" s="2" t="s">
        <v>277</v>
      </c>
      <c r="C1668" s="2" t="s">
        <v>3339</v>
      </c>
      <c r="D1668" s="3" t="s">
        <v>3335</v>
      </c>
      <c r="E1668" s="4">
        <v>1150</v>
      </c>
    </row>
    <row r="1669" spans="1:5" ht="19.95" customHeight="1" x14ac:dyDescent="0.3">
      <c r="A1669" s="5" t="s">
        <v>3340</v>
      </c>
      <c r="B1669" s="6" t="s">
        <v>277</v>
      </c>
      <c r="C1669" s="6" t="s">
        <v>3341</v>
      </c>
      <c r="D1669" s="7" t="s">
        <v>3342</v>
      </c>
      <c r="E1669" s="8">
        <v>258.3</v>
      </c>
    </row>
    <row r="1670" spans="1:5" ht="19.95" customHeight="1" x14ac:dyDescent="0.3">
      <c r="A1670" s="1" t="s">
        <v>3343</v>
      </c>
      <c r="B1670" s="2" t="s">
        <v>277</v>
      </c>
      <c r="C1670" s="2" t="s">
        <v>3344</v>
      </c>
      <c r="D1670" s="3" t="s">
        <v>283</v>
      </c>
      <c r="E1670" s="4">
        <v>282.89999999999998</v>
      </c>
    </row>
    <row r="1671" spans="1:5" ht="19.95" customHeight="1" x14ac:dyDescent="0.3">
      <c r="A1671" s="5" t="s">
        <v>3345</v>
      </c>
      <c r="B1671" s="6" t="s">
        <v>277</v>
      </c>
      <c r="C1671" s="6" t="s">
        <v>3346</v>
      </c>
      <c r="D1671" s="7" t="s">
        <v>283</v>
      </c>
      <c r="E1671" s="8">
        <v>319.8</v>
      </c>
    </row>
    <row r="1672" spans="1:5" ht="19.95" customHeight="1" x14ac:dyDescent="0.3">
      <c r="A1672" s="1" t="s">
        <v>3347</v>
      </c>
      <c r="B1672" s="2" t="s">
        <v>277</v>
      </c>
      <c r="C1672" s="2" t="s">
        <v>3348</v>
      </c>
      <c r="D1672" s="3" t="s">
        <v>283</v>
      </c>
      <c r="E1672" s="4">
        <v>360.8</v>
      </c>
    </row>
    <row r="1673" spans="1:5" ht="19.95" customHeight="1" x14ac:dyDescent="0.3">
      <c r="A1673" s="5" t="s">
        <v>3349</v>
      </c>
      <c r="B1673" s="6" t="s">
        <v>277</v>
      </c>
      <c r="C1673" s="6" t="s">
        <v>3350</v>
      </c>
      <c r="D1673" s="7" t="s">
        <v>283</v>
      </c>
      <c r="E1673" s="8">
        <v>426.4</v>
      </c>
    </row>
    <row r="1674" spans="1:5" ht="19.95" customHeight="1" x14ac:dyDescent="0.3">
      <c r="A1674" s="1" t="s">
        <v>3351</v>
      </c>
      <c r="B1674" s="2" t="s">
        <v>277</v>
      </c>
      <c r="C1674" s="2" t="s">
        <v>3352</v>
      </c>
      <c r="D1674" s="3" t="s">
        <v>3353</v>
      </c>
      <c r="E1674" s="4">
        <v>516.6</v>
      </c>
    </row>
    <row r="1675" spans="1:5" ht="19.95" customHeight="1" x14ac:dyDescent="0.3">
      <c r="A1675" s="5" t="s">
        <v>3354</v>
      </c>
      <c r="B1675" s="6" t="s">
        <v>277</v>
      </c>
      <c r="C1675" s="6" t="s">
        <v>3355</v>
      </c>
      <c r="D1675" s="7" t="s">
        <v>283</v>
      </c>
      <c r="E1675" s="8">
        <v>123</v>
      </c>
    </row>
    <row r="1676" spans="1:5" ht="19.95" customHeight="1" x14ac:dyDescent="0.3">
      <c r="A1676" s="1" t="s">
        <v>3356</v>
      </c>
      <c r="B1676" s="2" t="s">
        <v>277</v>
      </c>
      <c r="C1676" s="2" t="s">
        <v>3357</v>
      </c>
      <c r="D1676" s="3" t="s">
        <v>3358</v>
      </c>
      <c r="E1676" s="4">
        <v>60</v>
      </c>
    </row>
    <row r="1677" spans="1:5" ht="19.95" customHeight="1" x14ac:dyDescent="0.3">
      <c r="A1677" s="5" t="s">
        <v>3359</v>
      </c>
      <c r="B1677" s="6" t="s">
        <v>277</v>
      </c>
      <c r="C1677" s="6" t="s">
        <v>3355</v>
      </c>
      <c r="D1677" s="7" t="s">
        <v>283</v>
      </c>
      <c r="E1677" s="8">
        <v>85</v>
      </c>
    </row>
    <row r="1678" spans="1:5" ht="19.95" customHeight="1" x14ac:dyDescent="0.3">
      <c r="A1678" s="1" t="s">
        <v>3360</v>
      </c>
      <c r="B1678" s="2" t="s">
        <v>277</v>
      </c>
      <c r="C1678" s="2" t="s">
        <v>3361</v>
      </c>
      <c r="D1678" s="3" t="s">
        <v>283</v>
      </c>
      <c r="E1678" s="4">
        <v>380</v>
      </c>
    </row>
    <row r="1679" spans="1:5" ht="19.95" customHeight="1" x14ac:dyDescent="0.3">
      <c r="A1679" s="5" t="s">
        <v>3362</v>
      </c>
      <c r="B1679" s="6" t="s">
        <v>277</v>
      </c>
      <c r="C1679" s="6" t="s">
        <v>3363</v>
      </c>
      <c r="D1679" s="7" t="s">
        <v>3364</v>
      </c>
      <c r="E1679" s="8">
        <v>265</v>
      </c>
    </row>
    <row r="1680" spans="1:5" ht="19.95" customHeight="1" x14ac:dyDescent="0.3">
      <c r="A1680" s="1" t="s">
        <v>3365</v>
      </c>
      <c r="B1680" s="2" t="s">
        <v>277</v>
      </c>
      <c r="C1680" s="2" t="s">
        <v>3366</v>
      </c>
      <c r="D1680" s="3" t="s">
        <v>3367</v>
      </c>
      <c r="E1680" s="4">
        <v>325</v>
      </c>
    </row>
    <row r="1681" spans="1:5" ht="19.95" customHeight="1" x14ac:dyDescent="0.3">
      <c r="A1681" s="5" t="s">
        <v>3368</v>
      </c>
      <c r="B1681" s="6" t="s">
        <v>277</v>
      </c>
      <c r="C1681" s="6" t="s">
        <v>3369</v>
      </c>
      <c r="D1681" s="7" t="s">
        <v>3367</v>
      </c>
      <c r="E1681" s="8">
        <v>325</v>
      </c>
    </row>
    <row r="1682" spans="1:5" ht="19.95" customHeight="1" x14ac:dyDescent="0.3">
      <c r="A1682" s="1" t="s">
        <v>3370</v>
      </c>
      <c r="B1682" s="2" t="s">
        <v>277</v>
      </c>
      <c r="C1682" s="2" t="s">
        <v>3371</v>
      </c>
      <c r="D1682" s="3" t="s">
        <v>3372</v>
      </c>
      <c r="E1682" s="4">
        <v>80</v>
      </c>
    </row>
    <row r="1683" spans="1:5" ht="19.95" customHeight="1" x14ac:dyDescent="0.3">
      <c r="A1683" s="5" t="s">
        <v>3373</v>
      </c>
      <c r="B1683" s="6" t="s">
        <v>277</v>
      </c>
      <c r="C1683" s="6" t="s">
        <v>3371</v>
      </c>
      <c r="D1683" s="7" t="s">
        <v>3372</v>
      </c>
      <c r="E1683" s="8">
        <v>90</v>
      </c>
    </row>
    <row r="1684" spans="1:5" ht="19.95" customHeight="1" x14ac:dyDescent="0.3">
      <c r="A1684" s="1" t="s">
        <v>3374</v>
      </c>
      <c r="B1684" s="2" t="s">
        <v>277</v>
      </c>
      <c r="C1684" s="2" t="s">
        <v>3375</v>
      </c>
      <c r="D1684" s="3" t="s">
        <v>283</v>
      </c>
      <c r="E1684" s="4">
        <v>350</v>
      </c>
    </row>
    <row r="1685" spans="1:5" ht="19.95" customHeight="1" x14ac:dyDescent="0.3">
      <c r="A1685" s="5" t="s">
        <v>3376</v>
      </c>
      <c r="B1685" s="6" t="s">
        <v>277</v>
      </c>
      <c r="C1685" s="6" t="s">
        <v>3377</v>
      </c>
      <c r="D1685" s="7" t="s">
        <v>169</v>
      </c>
      <c r="E1685" s="8">
        <v>2648</v>
      </c>
    </row>
    <row r="1686" spans="1:5" ht="19.95" customHeight="1" x14ac:dyDescent="0.3">
      <c r="A1686" s="1" t="s">
        <v>3378</v>
      </c>
      <c r="B1686" s="2" t="s">
        <v>277</v>
      </c>
      <c r="C1686" s="2" t="s">
        <v>3379</v>
      </c>
      <c r="D1686" s="3" t="s">
        <v>283</v>
      </c>
      <c r="E1686" s="4">
        <v>2570</v>
      </c>
    </row>
    <row r="1687" spans="1:5" ht="19.95" customHeight="1" x14ac:dyDescent="0.3">
      <c r="A1687" s="5" t="s">
        <v>3380</v>
      </c>
      <c r="B1687" s="6" t="s">
        <v>277</v>
      </c>
      <c r="C1687" s="6" t="s">
        <v>3381</v>
      </c>
      <c r="D1687" s="7" t="s">
        <v>169</v>
      </c>
      <c r="E1687" s="8">
        <v>1508</v>
      </c>
    </row>
    <row r="1688" spans="1:5" ht="19.95" customHeight="1" x14ac:dyDescent="0.3">
      <c r="A1688" s="1" t="s">
        <v>3382</v>
      </c>
      <c r="B1688" s="2" t="s">
        <v>277</v>
      </c>
      <c r="C1688" s="2" t="s">
        <v>3383</v>
      </c>
      <c r="D1688" s="3" t="s">
        <v>169</v>
      </c>
      <c r="E1688" s="4">
        <v>1738</v>
      </c>
    </row>
    <row r="1689" spans="1:5" ht="19.95" customHeight="1" x14ac:dyDescent="0.3">
      <c r="A1689" s="5" t="s">
        <v>3384</v>
      </c>
      <c r="B1689" s="6" t="s">
        <v>277</v>
      </c>
      <c r="C1689" s="6" t="s">
        <v>3385</v>
      </c>
      <c r="D1689" s="7" t="s">
        <v>169</v>
      </c>
      <c r="E1689" s="8">
        <v>2098</v>
      </c>
    </row>
    <row r="1690" spans="1:5" ht="19.95" customHeight="1" x14ac:dyDescent="0.3">
      <c r="A1690" s="1" t="s">
        <v>3386</v>
      </c>
      <c r="B1690" s="2" t="s">
        <v>277</v>
      </c>
      <c r="C1690" s="2" t="s">
        <v>3387</v>
      </c>
      <c r="D1690" s="3" t="s">
        <v>169</v>
      </c>
      <c r="E1690" s="4">
        <v>2688</v>
      </c>
    </row>
    <row r="1691" spans="1:5" ht="19.95" customHeight="1" x14ac:dyDescent="0.3">
      <c r="A1691" s="5" t="s">
        <v>3388</v>
      </c>
      <c r="B1691" s="6" t="s">
        <v>277</v>
      </c>
      <c r="C1691" s="6" t="s">
        <v>3389</v>
      </c>
      <c r="D1691" s="7" t="s">
        <v>169</v>
      </c>
      <c r="E1691" s="8">
        <v>3115</v>
      </c>
    </row>
    <row r="1692" spans="1:5" ht="19.95" customHeight="1" x14ac:dyDescent="0.3">
      <c r="A1692" s="1" t="s">
        <v>3390</v>
      </c>
      <c r="B1692" s="2" t="s">
        <v>277</v>
      </c>
      <c r="C1692" s="2" t="s">
        <v>3391</v>
      </c>
      <c r="D1692" s="3" t="s">
        <v>169</v>
      </c>
      <c r="E1692" s="4">
        <v>80</v>
      </c>
    </row>
    <row r="1693" spans="1:5" ht="19.95" customHeight="1" x14ac:dyDescent="0.3">
      <c r="A1693" s="5" t="s">
        <v>3392</v>
      </c>
      <c r="B1693" s="6" t="s">
        <v>277</v>
      </c>
      <c r="C1693" s="6" t="s">
        <v>3393</v>
      </c>
      <c r="D1693" s="7" t="s">
        <v>169</v>
      </c>
      <c r="E1693" s="8">
        <v>100</v>
      </c>
    </row>
    <row r="1694" spans="1:5" ht="19.95" customHeight="1" x14ac:dyDescent="0.3">
      <c r="A1694" s="1" t="s">
        <v>3394</v>
      </c>
      <c r="B1694" s="2" t="s">
        <v>277</v>
      </c>
      <c r="C1694" s="2" t="s">
        <v>3395</v>
      </c>
      <c r="D1694" s="3" t="s">
        <v>169</v>
      </c>
      <c r="E1694" s="4">
        <v>126.67</v>
      </c>
    </row>
    <row r="1695" spans="1:5" ht="19.95" customHeight="1" x14ac:dyDescent="0.3">
      <c r="A1695" s="5" t="s">
        <v>3396</v>
      </c>
      <c r="B1695" s="6" t="s">
        <v>277</v>
      </c>
      <c r="C1695" s="6" t="s">
        <v>3397</v>
      </c>
      <c r="D1695" s="7" t="s">
        <v>169</v>
      </c>
      <c r="E1695" s="8">
        <v>190</v>
      </c>
    </row>
    <row r="1696" spans="1:5" ht="19.95" customHeight="1" x14ac:dyDescent="0.3">
      <c r="A1696" s="1" t="s">
        <v>3398</v>
      </c>
      <c r="B1696" s="2" t="s">
        <v>277</v>
      </c>
      <c r="C1696" s="2" t="s">
        <v>3399</v>
      </c>
      <c r="D1696" s="3" t="s">
        <v>169</v>
      </c>
      <c r="E1696" s="4">
        <v>205</v>
      </c>
    </row>
    <row r="1697" spans="1:5" ht="19.95" customHeight="1" x14ac:dyDescent="0.3">
      <c r="A1697" s="5" t="s">
        <v>3400</v>
      </c>
      <c r="B1697" s="6" t="s">
        <v>277</v>
      </c>
      <c r="C1697" s="6" t="s">
        <v>3401</v>
      </c>
      <c r="D1697" s="7" t="s">
        <v>369</v>
      </c>
      <c r="E1697" s="8">
        <v>80</v>
      </c>
    </row>
    <row r="1698" spans="1:5" ht="19.95" customHeight="1" x14ac:dyDescent="0.3">
      <c r="A1698" s="1" t="s">
        <v>3402</v>
      </c>
      <c r="B1698" s="2" t="s">
        <v>277</v>
      </c>
      <c r="C1698" s="2" t="s">
        <v>3403</v>
      </c>
      <c r="D1698" s="3" t="s">
        <v>169</v>
      </c>
      <c r="E1698" s="4">
        <v>45</v>
      </c>
    </row>
    <row r="1699" spans="1:5" ht="19.95" customHeight="1" x14ac:dyDescent="0.3">
      <c r="A1699" s="5" t="s">
        <v>3404</v>
      </c>
      <c r="B1699" s="6" t="s">
        <v>277</v>
      </c>
      <c r="C1699" s="6" t="s">
        <v>3405</v>
      </c>
      <c r="D1699" s="7" t="s">
        <v>548</v>
      </c>
      <c r="E1699" s="8">
        <v>270</v>
      </c>
    </row>
    <row r="1700" spans="1:5" ht="19.95" customHeight="1" x14ac:dyDescent="0.3">
      <c r="A1700" s="1" t="s">
        <v>3406</v>
      </c>
      <c r="B1700" s="2" t="s">
        <v>277</v>
      </c>
      <c r="C1700" s="2" t="s">
        <v>3407</v>
      </c>
      <c r="D1700" s="3" t="s">
        <v>548</v>
      </c>
      <c r="E1700" s="4">
        <v>215</v>
      </c>
    </row>
    <row r="1701" spans="1:5" ht="19.95" customHeight="1" x14ac:dyDescent="0.3">
      <c r="A1701" s="5" t="s">
        <v>3408</v>
      </c>
      <c r="B1701" s="6" t="s">
        <v>277</v>
      </c>
      <c r="C1701" s="6" t="s">
        <v>3409</v>
      </c>
      <c r="D1701" s="7" t="s">
        <v>548</v>
      </c>
      <c r="E1701" s="8">
        <v>190</v>
      </c>
    </row>
    <row r="1702" spans="1:5" ht="19.95" customHeight="1" x14ac:dyDescent="0.3">
      <c r="A1702" s="1" t="s">
        <v>3410</v>
      </c>
      <c r="B1702" s="2" t="s">
        <v>277</v>
      </c>
      <c r="C1702" s="2" t="s">
        <v>3411</v>
      </c>
      <c r="D1702" s="3" t="s">
        <v>548</v>
      </c>
      <c r="E1702" s="4">
        <v>125</v>
      </c>
    </row>
    <row r="1703" spans="1:5" ht="19.95" customHeight="1" x14ac:dyDescent="0.3">
      <c r="A1703" s="5" t="s">
        <v>3412</v>
      </c>
      <c r="B1703" s="6" t="s">
        <v>277</v>
      </c>
      <c r="C1703" s="6" t="s">
        <v>3413</v>
      </c>
      <c r="D1703" s="7" t="s">
        <v>279</v>
      </c>
      <c r="E1703" s="8">
        <v>265</v>
      </c>
    </row>
    <row r="1704" spans="1:5" ht="19.95" customHeight="1" x14ac:dyDescent="0.3">
      <c r="A1704" s="1" t="s">
        <v>3414</v>
      </c>
      <c r="B1704" s="2" t="s">
        <v>277</v>
      </c>
      <c r="C1704" s="2" t="s">
        <v>3415</v>
      </c>
      <c r="D1704" s="3" t="s">
        <v>279</v>
      </c>
      <c r="E1704" s="4">
        <v>235</v>
      </c>
    </row>
    <row r="1705" spans="1:5" ht="19.95" customHeight="1" x14ac:dyDescent="0.3">
      <c r="A1705" s="5" t="s">
        <v>3416</v>
      </c>
      <c r="B1705" s="6" t="s">
        <v>277</v>
      </c>
      <c r="C1705" s="6" t="s">
        <v>3417</v>
      </c>
      <c r="D1705" s="7" t="s">
        <v>279</v>
      </c>
      <c r="E1705" s="8">
        <v>160</v>
      </c>
    </row>
    <row r="1706" spans="1:5" ht="19.95" customHeight="1" x14ac:dyDescent="0.3">
      <c r="A1706" s="1" t="s">
        <v>3418</v>
      </c>
      <c r="B1706" s="2" t="s">
        <v>277</v>
      </c>
      <c r="C1706" s="2" t="s">
        <v>3419</v>
      </c>
      <c r="D1706" s="3" t="s">
        <v>279</v>
      </c>
      <c r="E1706" s="4">
        <v>135</v>
      </c>
    </row>
    <row r="1707" spans="1:5" ht="19.95" customHeight="1" x14ac:dyDescent="0.3">
      <c r="A1707" s="5" t="s">
        <v>3420</v>
      </c>
      <c r="B1707" s="6" t="s">
        <v>277</v>
      </c>
      <c r="C1707" s="6" t="s">
        <v>3421</v>
      </c>
      <c r="D1707" s="7" t="s">
        <v>279</v>
      </c>
      <c r="E1707" s="8">
        <v>350</v>
      </c>
    </row>
    <row r="1708" spans="1:5" ht="19.95" customHeight="1" x14ac:dyDescent="0.3">
      <c r="A1708" s="1" t="s">
        <v>3422</v>
      </c>
      <c r="B1708" s="2" t="s">
        <v>277</v>
      </c>
      <c r="C1708" s="2" t="s">
        <v>3423</v>
      </c>
      <c r="D1708" s="3" t="s">
        <v>279</v>
      </c>
      <c r="E1708" s="4">
        <v>255</v>
      </c>
    </row>
    <row r="1709" spans="1:5" ht="19.95" customHeight="1" x14ac:dyDescent="0.3">
      <c r="A1709" s="5" t="s">
        <v>3424</v>
      </c>
      <c r="B1709" s="6" t="s">
        <v>277</v>
      </c>
      <c r="C1709" s="6" t="s">
        <v>3425</v>
      </c>
      <c r="D1709" s="7" t="s">
        <v>279</v>
      </c>
      <c r="E1709" s="8">
        <v>205</v>
      </c>
    </row>
    <row r="1710" spans="1:5" ht="19.95" customHeight="1" x14ac:dyDescent="0.3">
      <c r="A1710" s="1" t="s">
        <v>3426</v>
      </c>
      <c r="B1710" s="2" t="s">
        <v>277</v>
      </c>
      <c r="C1710" s="2" t="s">
        <v>3427</v>
      </c>
      <c r="D1710" s="3" t="s">
        <v>279</v>
      </c>
      <c r="E1710" s="4">
        <v>210</v>
      </c>
    </row>
    <row r="1711" spans="1:5" ht="19.95" customHeight="1" x14ac:dyDescent="0.3">
      <c r="A1711" s="5" t="s">
        <v>3428</v>
      </c>
      <c r="B1711" s="6" t="s">
        <v>277</v>
      </c>
      <c r="C1711" s="6" t="s">
        <v>3429</v>
      </c>
      <c r="D1711" s="7" t="s">
        <v>279</v>
      </c>
      <c r="E1711" s="8">
        <v>160</v>
      </c>
    </row>
    <row r="1712" spans="1:5" ht="19.95" customHeight="1" x14ac:dyDescent="0.3">
      <c r="A1712" s="1" t="s">
        <v>3430</v>
      </c>
      <c r="B1712" s="2" t="s">
        <v>277</v>
      </c>
      <c r="C1712" s="2" t="s">
        <v>3431</v>
      </c>
      <c r="D1712" s="3" t="s">
        <v>279</v>
      </c>
      <c r="E1712" s="4">
        <v>95</v>
      </c>
    </row>
    <row r="1713" spans="1:5" ht="19.95" customHeight="1" x14ac:dyDescent="0.3">
      <c r="A1713" s="5" t="s">
        <v>3432</v>
      </c>
      <c r="B1713" s="6" t="s">
        <v>277</v>
      </c>
      <c r="C1713" s="6" t="s">
        <v>3433</v>
      </c>
      <c r="D1713" s="7" t="s">
        <v>279</v>
      </c>
      <c r="E1713" s="8">
        <v>80</v>
      </c>
    </row>
    <row r="1714" spans="1:5" ht="19.95" customHeight="1" x14ac:dyDescent="0.3">
      <c r="A1714" s="1" t="s">
        <v>3434</v>
      </c>
      <c r="B1714" s="2" t="s">
        <v>277</v>
      </c>
      <c r="C1714" s="2" t="s">
        <v>3435</v>
      </c>
      <c r="D1714" s="3" t="s">
        <v>279</v>
      </c>
      <c r="E1714" s="4">
        <v>420</v>
      </c>
    </row>
    <row r="1715" spans="1:5" ht="19.95" customHeight="1" x14ac:dyDescent="0.3">
      <c r="A1715" s="5" t="s">
        <v>3436</v>
      </c>
      <c r="B1715" s="6" t="s">
        <v>277</v>
      </c>
      <c r="C1715" s="6" t="s">
        <v>3437</v>
      </c>
      <c r="D1715" s="7" t="s">
        <v>283</v>
      </c>
      <c r="E1715" s="8">
        <v>62</v>
      </c>
    </row>
    <row r="1716" spans="1:5" ht="19.95" customHeight="1" x14ac:dyDescent="0.3">
      <c r="A1716" s="1" t="s">
        <v>3438</v>
      </c>
      <c r="B1716" s="2" t="s">
        <v>277</v>
      </c>
      <c r="C1716" s="2" t="s">
        <v>3439</v>
      </c>
      <c r="D1716" s="3" t="s">
        <v>283</v>
      </c>
      <c r="E1716" s="4">
        <v>78</v>
      </c>
    </row>
    <row r="1717" spans="1:5" ht="19.95" customHeight="1" x14ac:dyDescent="0.3">
      <c r="A1717" s="5" t="s">
        <v>3440</v>
      </c>
      <c r="B1717" s="6" t="s">
        <v>277</v>
      </c>
      <c r="C1717" s="6" t="s">
        <v>3441</v>
      </c>
      <c r="D1717" s="7" t="s">
        <v>283</v>
      </c>
      <c r="E1717" s="8">
        <v>110</v>
      </c>
    </row>
    <row r="1718" spans="1:5" ht="19.95" customHeight="1" x14ac:dyDescent="0.3">
      <c r="A1718" s="1" t="s">
        <v>3442</v>
      </c>
      <c r="B1718" s="2" t="s">
        <v>277</v>
      </c>
      <c r="C1718" s="2" t="s">
        <v>3443</v>
      </c>
      <c r="D1718" s="3" t="s">
        <v>283</v>
      </c>
      <c r="E1718" s="4">
        <v>157</v>
      </c>
    </row>
    <row r="1719" spans="1:5" ht="19.95" customHeight="1" x14ac:dyDescent="0.3">
      <c r="A1719" s="5" t="s">
        <v>3444</v>
      </c>
      <c r="B1719" s="6" t="s">
        <v>277</v>
      </c>
      <c r="C1719" s="6" t="s">
        <v>3445</v>
      </c>
      <c r="D1719" s="7" t="s">
        <v>283</v>
      </c>
      <c r="E1719" s="8">
        <v>235</v>
      </c>
    </row>
    <row r="1720" spans="1:5" ht="19.95" customHeight="1" x14ac:dyDescent="0.3">
      <c r="A1720" s="1" t="s">
        <v>3446</v>
      </c>
      <c r="B1720" s="2" t="s">
        <v>277</v>
      </c>
      <c r="C1720" s="2" t="s">
        <v>3447</v>
      </c>
      <c r="D1720" s="3" t="s">
        <v>283</v>
      </c>
      <c r="E1720" s="4">
        <v>330</v>
      </c>
    </row>
    <row r="1721" spans="1:5" ht="19.95" customHeight="1" x14ac:dyDescent="0.3">
      <c r="A1721" s="5" t="s">
        <v>3448</v>
      </c>
      <c r="B1721" s="6" t="s">
        <v>277</v>
      </c>
      <c r="C1721" s="6" t="s">
        <v>3449</v>
      </c>
      <c r="D1721" s="7" t="s">
        <v>189</v>
      </c>
      <c r="E1721" s="8">
        <v>48</v>
      </c>
    </row>
    <row r="1722" spans="1:5" ht="19.95" customHeight="1" x14ac:dyDescent="0.3">
      <c r="A1722" s="1" t="s">
        <v>3450</v>
      </c>
      <c r="B1722" s="2" t="s">
        <v>277</v>
      </c>
      <c r="C1722" s="2" t="s">
        <v>3451</v>
      </c>
      <c r="D1722" s="3" t="s">
        <v>189</v>
      </c>
      <c r="E1722" s="4">
        <v>97</v>
      </c>
    </row>
    <row r="1723" spans="1:5" ht="19.95" customHeight="1" x14ac:dyDescent="0.3">
      <c r="A1723" s="5" t="s">
        <v>3452</v>
      </c>
      <c r="B1723" s="6" t="s">
        <v>277</v>
      </c>
      <c r="C1723" s="6" t="s">
        <v>3453</v>
      </c>
      <c r="D1723" s="7" t="s">
        <v>189</v>
      </c>
      <c r="E1723" s="8">
        <v>137.19999999999999</v>
      </c>
    </row>
    <row r="1724" spans="1:5" ht="19.95" customHeight="1" x14ac:dyDescent="0.3">
      <c r="A1724" s="1" t="s">
        <v>3454</v>
      </c>
      <c r="B1724" s="2" t="s">
        <v>277</v>
      </c>
      <c r="C1724" s="2" t="s">
        <v>3455</v>
      </c>
      <c r="D1724" s="3" t="s">
        <v>189</v>
      </c>
      <c r="E1724" s="4">
        <v>184.8</v>
      </c>
    </row>
    <row r="1725" spans="1:5" ht="19.95" customHeight="1" x14ac:dyDescent="0.3">
      <c r="A1725" s="5" t="s">
        <v>3456</v>
      </c>
      <c r="B1725" s="6" t="s">
        <v>277</v>
      </c>
      <c r="C1725" s="6" t="s">
        <v>3457</v>
      </c>
      <c r="D1725" s="7" t="s">
        <v>189</v>
      </c>
      <c r="E1725" s="8">
        <v>352.8</v>
      </c>
    </row>
    <row r="1726" spans="1:5" ht="19.95" customHeight="1" x14ac:dyDescent="0.3">
      <c r="A1726" s="1" t="s">
        <v>3458</v>
      </c>
      <c r="B1726" s="2" t="s">
        <v>277</v>
      </c>
      <c r="C1726" s="2" t="s">
        <v>3459</v>
      </c>
      <c r="D1726" s="3" t="s">
        <v>189</v>
      </c>
      <c r="E1726" s="4">
        <v>483.6</v>
      </c>
    </row>
    <row r="1727" spans="1:5" ht="19.95" customHeight="1" x14ac:dyDescent="0.3">
      <c r="A1727" s="5" t="s">
        <v>3460</v>
      </c>
      <c r="B1727" s="6" t="s">
        <v>277</v>
      </c>
      <c r="C1727" s="6" t="s">
        <v>3461</v>
      </c>
      <c r="D1727" s="7" t="s">
        <v>189</v>
      </c>
      <c r="E1727" s="8">
        <v>933</v>
      </c>
    </row>
    <row r="1728" spans="1:5" ht="19.95" customHeight="1" x14ac:dyDescent="0.3">
      <c r="A1728" s="1" t="s">
        <v>3462</v>
      </c>
      <c r="B1728" s="2" t="s">
        <v>277</v>
      </c>
      <c r="C1728" s="2" t="s">
        <v>3463</v>
      </c>
      <c r="D1728" s="3" t="s">
        <v>3464</v>
      </c>
      <c r="E1728" s="4">
        <v>1500</v>
      </c>
    </row>
    <row r="1729" spans="1:5" ht="19.95" customHeight="1" x14ac:dyDescent="0.3">
      <c r="A1729" s="5" t="s">
        <v>3465</v>
      </c>
      <c r="B1729" s="6" t="s">
        <v>277</v>
      </c>
      <c r="C1729" s="6" t="s">
        <v>3466</v>
      </c>
      <c r="D1729" s="7" t="s">
        <v>366</v>
      </c>
      <c r="E1729" s="8">
        <v>140</v>
      </c>
    </row>
    <row r="1730" spans="1:5" ht="19.95" customHeight="1" x14ac:dyDescent="0.3">
      <c r="A1730" s="1" t="s">
        <v>3467</v>
      </c>
      <c r="B1730" s="2" t="s">
        <v>277</v>
      </c>
      <c r="C1730" s="2" t="s">
        <v>3468</v>
      </c>
      <c r="D1730" s="3" t="s">
        <v>169</v>
      </c>
      <c r="E1730" s="4">
        <v>25</v>
      </c>
    </row>
    <row r="1731" spans="1:5" ht="19.95" customHeight="1" x14ac:dyDescent="0.3">
      <c r="A1731" s="5" t="s">
        <v>3469</v>
      </c>
      <c r="B1731" s="6" t="s">
        <v>277</v>
      </c>
      <c r="C1731" s="6" t="s">
        <v>3470</v>
      </c>
      <c r="D1731" s="7" t="s">
        <v>369</v>
      </c>
      <c r="E1731" s="8">
        <v>255</v>
      </c>
    </row>
    <row r="1732" spans="1:5" ht="19.95" customHeight="1" x14ac:dyDescent="0.3">
      <c r="A1732" s="1" t="s">
        <v>3471</v>
      </c>
      <c r="B1732" s="2" t="s">
        <v>277</v>
      </c>
      <c r="C1732" s="2" t="s">
        <v>3472</v>
      </c>
      <c r="D1732" s="3" t="s">
        <v>369</v>
      </c>
      <c r="E1732" s="4">
        <v>170</v>
      </c>
    </row>
    <row r="1733" spans="1:5" ht="19.95" customHeight="1" x14ac:dyDescent="0.3">
      <c r="A1733" s="5" t="s">
        <v>3473</v>
      </c>
      <c r="B1733" s="6" t="s">
        <v>277</v>
      </c>
      <c r="C1733" s="6" t="s">
        <v>3474</v>
      </c>
      <c r="D1733" s="7" t="s">
        <v>369</v>
      </c>
      <c r="E1733" s="8">
        <v>180</v>
      </c>
    </row>
    <row r="1734" spans="1:5" ht="19.95" customHeight="1" x14ac:dyDescent="0.3">
      <c r="A1734" s="1" t="s">
        <v>3475</v>
      </c>
      <c r="B1734" s="2" t="s">
        <v>277</v>
      </c>
      <c r="C1734" s="2" t="s">
        <v>3476</v>
      </c>
      <c r="D1734" s="3" t="s">
        <v>369</v>
      </c>
      <c r="E1734" s="4">
        <v>240</v>
      </c>
    </row>
    <row r="1735" spans="1:5" ht="19.95" customHeight="1" x14ac:dyDescent="0.3">
      <c r="A1735" s="5" t="s">
        <v>3477</v>
      </c>
      <c r="B1735" s="6" t="s">
        <v>277</v>
      </c>
      <c r="C1735" s="6" t="s">
        <v>3478</v>
      </c>
      <c r="D1735" s="7" t="s">
        <v>369</v>
      </c>
      <c r="E1735" s="8">
        <v>79</v>
      </c>
    </row>
    <row r="1736" spans="1:5" ht="19.95" customHeight="1" x14ac:dyDescent="0.3">
      <c r="A1736" s="1" t="s">
        <v>3479</v>
      </c>
      <c r="B1736" s="2" t="s">
        <v>277</v>
      </c>
      <c r="C1736" s="2" t="s">
        <v>3480</v>
      </c>
      <c r="D1736" s="3" t="s">
        <v>369</v>
      </c>
      <c r="E1736" s="4">
        <v>140</v>
      </c>
    </row>
    <row r="1737" spans="1:5" ht="19.95" customHeight="1" x14ac:dyDescent="0.3">
      <c r="A1737" s="5" t="s">
        <v>3481</v>
      </c>
      <c r="B1737" s="6" t="s">
        <v>277</v>
      </c>
      <c r="C1737" s="6" t="s">
        <v>3482</v>
      </c>
      <c r="D1737" s="7" t="s">
        <v>369</v>
      </c>
      <c r="E1737" s="8">
        <v>90</v>
      </c>
    </row>
    <row r="1738" spans="1:5" ht="19.95" customHeight="1" x14ac:dyDescent="0.3">
      <c r="A1738" s="1" t="s">
        <v>3483</v>
      </c>
      <c r="B1738" s="2" t="s">
        <v>277</v>
      </c>
      <c r="C1738" s="2" t="s">
        <v>3484</v>
      </c>
      <c r="D1738" s="3" t="s">
        <v>369</v>
      </c>
      <c r="E1738" s="4">
        <v>198.69</v>
      </c>
    </row>
    <row r="1739" spans="1:5" ht="19.95" customHeight="1" x14ac:dyDescent="0.3">
      <c r="A1739" s="5" t="s">
        <v>3485</v>
      </c>
      <c r="B1739" s="6" t="s">
        <v>277</v>
      </c>
      <c r="C1739" s="6" t="s">
        <v>3486</v>
      </c>
      <c r="D1739" s="7" t="s">
        <v>366</v>
      </c>
      <c r="E1739" s="8">
        <v>189.13</v>
      </c>
    </row>
    <row r="1740" spans="1:5" ht="19.95" customHeight="1" x14ac:dyDescent="0.3">
      <c r="A1740" s="1" t="s">
        <v>3487</v>
      </c>
      <c r="B1740" s="2" t="s">
        <v>277</v>
      </c>
      <c r="C1740" s="2" t="s">
        <v>3488</v>
      </c>
      <c r="D1740" s="3" t="s">
        <v>366</v>
      </c>
      <c r="E1740" s="4">
        <v>36</v>
      </c>
    </row>
    <row r="1741" spans="1:5" ht="19.95" customHeight="1" x14ac:dyDescent="0.3">
      <c r="A1741" s="5" t="s">
        <v>3489</v>
      </c>
      <c r="B1741" s="6" t="s">
        <v>277</v>
      </c>
      <c r="C1741" s="6" t="s">
        <v>3490</v>
      </c>
      <c r="D1741" s="7" t="s">
        <v>3491</v>
      </c>
      <c r="E1741" s="8">
        <v>40</v>
      </c>
    </row>
    <row r="1742" spans="1:5" ht="19.95" customHeight="1" x14ac:dyDescent="0.3">
      <c r="A1742" s="1" t="s">
        <v>3492</v>
      </c>
      <c r="B1742" s="2" t="s">
        <v>277</v>
      </c>
      <c r="C1742" s="2" t="s">
        <v>3493</v>
      </c>
      <c r="D1742" s="3" t="s">
        <v>189</v>
      </c>
      <c r="E1742" s="4">
        <v>31</v>
      </c>
    </row>
    <row r="1743" spans="1:5" ht="19.95" customHeight="1" x14ac:dyDescent="0.3">
      <c r="A1743" s="5" t="s">
        <v>3494</v>
      </c>
      <c r="B1743" s="6" t="s">
        <v>277</v>
      </c>
      <c r="C1743" s="6" t="s">
        <v>3495</v>
      </c>
      <c r="D1743" s="7" t="s">
        <v>366</v>
      </c>
      <c r="E1743" s="8">
        <v>105</v>
      </c>
    </row>
    <row r="1744" spans="1:5" ht="19.95" customHeight="1" x14ac:dyDescent="0.3">
      <c r="A1744" s="1" t="s">
        <v>3496</v>
      </c>
      <c r="B1744" s="2" t="s">
        <v>277</v>
      </c>
      <c r="C1744" s="2" t="s">
        <v>3497</v>
      </c>
      <c r="D1744" s="3" t="s">
        <v>369</v>
      </c>
      <c r="E1744" s="4">
        <v>205</v>
      </c>
    </row>
    <row r="1745" spans="1:5" ht="19.95" customHeight="1" x14ac:dyDescent="0.3">
      <c r="A1745" s="5" t="s">
        <v>3498</v>
      </c>
      <c r="B1745" s="6" t="s">
        <v>277</v>
      </c>
      <c r="C1745" s="6" t="s">
        <v>3499</v>
      </c>
      <c r="D1745" s="7" t="s">
        <v>369</v>
      </c>
      <c r="E1745" s="8">
        <v>210</v>
      </c>
    </row>
    <row r="1746" spans="1:5" ht="19.95" customHeight="1" x14ac:dyDescent="0.3">
      <c r="A1746" s="1" t="s">
        <v>3500</v>
      </c>
      <c r="B1746" s="2" t="s">
        <v>277</v>
      </c>
      <c r="C1746" s="2" t="s">
        <v>3501</v>
      </c>
      <c r="D1746" s="3" t="s">
        <v>369</v>
      </c>
      <c r="E1746" s="4">
        <v>1800</v>
      </c>
    </row>
    <row r="1747" spans="1:5" ht="19.95" customHeight="1" x14ac:dyDescent="0.3">
      <c r="A1747" s="5" t="s">
        <v>3502</v>
      </c>
      <c r="B1747" s="6" t="s">
        <v>277</v>
      </c>
      <c r="C1747" s="6" t="s">
        <v>3503</v>
      </c>
      <c r="D1747" s="7" t="s">
        <v>366</v>
      </c>
      <c r="E1747" s="8">
        <v>300</v>
      </c>
    </row>
    <row r="1748" spans="1:5" ht="19.95" customHeight="1" x14ac:dyDescent="0.3">
      <c r="A1748" s="1" t="s">
        <v>3504</v>
      </c>
      <c r="B1748" s="2" t="s">
        <v>277</v>
      </c>
      <c r="C1748" s="2" t="s">
        <v>3505</v>
      </c>
      <c r="D1748" s="3" t="s">
        <v>169</v>
      </c>
      <c r="E1748" s="4">
        <v>830</v>
      </c>
    </row>
    <row r="1749" spans="1:5" ht="19.95" customHeight="1" x14ac:dyDescent="0.3">
      <c r="A1749" s="5" t="s">
        <v>3506</v>
      </c>
      <c r="B1749" s="6" t="s">
        <v>277</v>
      </c>
      <c r="C1749" s="6" t="s">
        <v>3507</v>
      </c>
      <c r="D1749" s="7" t="s">
        <v>169</v>
      </c>
      <c r="E1749" s="8">
        <v>920</v>
      </c>
    </row>
    <row r="1750" spans="1:5" ht="19.95" customHeight="1" x14ac:dyDescent="0.3">
      <c r="A1750" s="1" t="s">
        <v>3508</v>
      </c>
      <c r="B1750" s="2" t="s">
        <v>277</v>
      </c>
      <c r="C1750" s="2" t="s">
        <v>3509</v>
      </c>
      <c r="D1750" s="3" t="s">
        <v>169</v>
      </c>
      <c r="E1750" s="4">
        <v>1040</v>
      </c>
    </row>
    <row r="1751" spans="1:5" ht="19.95" customHeight="1" x14ac:dyDescent="0.3">
      <c r="A1751" s="5" t="s">
        <v>3510</v>
      </c>
      <c r="B1751" s="6" t="s">
        <v>277</v>
      </c>
      <c r="C1751" s="6" t="s">
        <v>3511</v>
      </c>
      <c r="D1751" s="7" t="s">
        <v>189</v>
      </c>
      <c r="E1751" s="8">
        <v>185</v>
      </c>
    </row>
    <row r="1752" spans="1:5" ht="19.95" customHeight="1" x14ac:dyDescent="0.3">
      <c r="A1752" s="1" t="s">
        <v>3512</v>
      </c>
      <c r="B1752" s="2" t="s">
        <v>277</v>
      </c>
      <c r="C1752" s="2" t="s">
        <v>3513</v>
      </c>
      <c r="D1752" s="3" t="s">
        <v>189</v>
      </c>
      <c r="E1752" s="4">
        <v>78</v>
      </c>
    </row>
    <row r="1753" spans="1:5" ht="19.95" customHeight="1" x14ac:dyDescent="0.3">
      <c r="A1753" s="5" t="s">
        <v>3514</v>
      </c>
      <c r="B1753" s="6" t="s">
        <v>277</v>
      </c>
      <c r="C1753" s="6" t="s">
        <v>3515</v>
      </c>
      <c r="D1753" s="7" t="s">
        <v>189</v>
      </c>
      <c r="E1753" s="8">
        <v>35</v>
      </c>
    </row>
    <row r="1754" spans="1:5" ht="19.95" customHeight="1" x14ac:dyDescent="0.3">
      <c r="A1754" s="1" t="s">
        <v>3516</v>
      </c>
      <c r="B1754" s="2" t="s">
        <v>277</v>
      </c>
      <c r="C1754" s="2" t="s">
        <v>3517</v>
      </c>
      <c r="D1754" s="3" t="s">
        <v>189</v>
      </c>
      <c r="E1754" s="4">
        <v>26</v>
      </c>
    </row>
    <row r="1755" spans="1:5" ht="19.95" customHeight="1" x14ac:dyDescent="0.3">
      <c r="A1755" s="5" t="s">
        <v>3518</v>
      </c>
      <c r="B1755" s="6" t="s">
        <v>277</v>
      </c>
      <c r="C1755" s="6" t="s">
        <v>3519</v>
      </c>
      <c r="D1755" s="7" t="s">
        <v>283</v>
      </c>
      <c r="E1755" s="8">
        <v>160</v>
      </c>
    </row>
    <row r="1756" spans="1:5" ht="19.95" customHeight="1" x14ac:dyDescent="0.3">
      <c r="A1756" s="1" t="s">
        <v>3520</v>
      </c>
      <c r="B1756" s="2" t="s">
        <v>277</v>
      </c>
      <c r="C1756" s="2" t="s">
        <v>3521</v>
      </c>
      <c r="D1756" s="3" t="s">
        <v>283</v>
      </c>
      <c r="E1756" s="4">
        <v>65</v>
      </c>
    </row>
    <row r="1757" spans="1:5" ht="19.95" customHeight="1" x14ac:dyDescent="0.3">
      <c r="A1757" s="5" t="s">
        <v>3522</v>
      </c>
      <c r="B1757" s="6" t="s">
        <v>277</v>
      </c>
      <c r="C1757" s="6" t="s">
        <v>3523</v>
      </c>
      <c r="D1757" s="7" t="s">
        <v>169</v>
      </c>
      <c r="E1757" s="8">
        <v>525</v>
      </c>
    </row>
    <row r="1758" spans="1:5" ht="19.95" customHeight="1" x14ac:dyDescent="0.3">
      <c r="A1758" s="1" t="s">
        <v>3524</v>
      </c>
      <c r="B1758" s="2" t="s">
        <v>277</v>
      </c>
      <c r="C1758" s="2" t="s">
        <v>3525</v>
      </c>
      <c r="D1758" s="3" t="s">
        <v>169</v>
      </c>
      <c r="E1758" s="4">
        <v>800</v>
      </c>
    </row>
    <row r="1759" spans="1:5" ht="19.95" customHeight="1" x14ac:dyDescent="0.3">
      <c r="A1759" s="5" t="s">
        <v>3526</v>
      </c>
      <c r="B1759" s="6" t="s">
        <v>277</v>
      </c>
      <c r="C1759" s="6" t="s">
        <v>3527</v>
      </c>
      <c r="D1759" s="7" t="s">
        <v>169</v>
      </c>
      <c r="E1759" s="8">
        <v>720</v>
      </c>
    </row>
    <row r="1760" spans="1:5" ht="19.95" customHeight="1" x14ac:dyDescent="0.3">
      <c r="A1760" s="1" t="s">
        <v>3528</v>
      </c>
      <c r="B1760" s="2" t="s">
        <v>1969</v>
      </c>
      <c r="C1760" s="2" t="s">
        <v>3529</v>
      </c>
      <c r="D1760" s="3" t="s">
        <v>169</v>
      </c>
      <c r="E1760" s="4">
        <v>900</v>
      </c>
    </row>
    <row r="1761" spans="1:5" ht="19.95" customHeight="1" x14ac:dyDescent="0.3">
      <c r="A1761" s="5" t="s">
        <v>3530</v>
      </c>
      <c r="B1761" s="6" t="s">
        <v>277</v>
      </c>
      <c r="C1761" s="6" t="s">
        <v>3531</v>
      </c>
      <c r="D1761" s="7" t="s">
        <v>189</v>
      </c>
      <c r="E1761" s="8">
        <v>26</v>
      </c>
    </row>
    <row r="1762" spans="1:5" ht="19.95" customHeight="1" x14ac:dyDescent="0.3">
      <c r="A1762" s="1" t="s">
        <v>3532</v>
      </c>
      <c r="B1762" s="2" t="s">
        <v>277</v>
      </c>
      <c r="C1762" s="2" t="s">
        <v>3533</v>
      </c>
      <c r="D1762" s="3" t="s">
        <v>189</v>
      </c>
      <c r="E1762" s="4">
        <v>235</v>
      </c>
    </row>
    <row r="1763" spans="1:5" ht="19.95" customHeight="1" x14ac:dyDescent="0.3">
      <c r="A1763" s="5" t="s">
        <v>3534</v>
      </c>
      <c r="B1763" s="6" t="s">
        <v>277</v>
      </c>
      <c r="C1763" s="6" t="s">
        <v>3535</v>
      </c>
      <c r="D1763" s="7" t="s">
        <v>189</v>
      </c>
      <c r="E1763" s="8">
        <v>115</v>
      </c>
    </row>
    <row r="1764" spans="1:5" ht="19.95" customHeight="1" x14ac:dyDescent="0.3">
      <c r="A1764" s="1" t="s">
        <v>3536</v>
      </c>
      <c r="B1764" s="2" t="s">
        <v>277</v>
      </c>
      <c r="C1764" s="2" t="s">
        <v>3537</v>
      </c>
      <c r="D1764" s="3" t="s">
        <v>189</v>
      </c>
      <c r="E1764" s="4">
        <v>95</v>
      </c>
    </row>
    <row r="1765" spans="1:5" ht="19.95" customHeight="1" x14ac:dyDescent="0.3">
      <c r="A1765" s="5" t="s">
        <v>3538</v>
      </c>
      <c r="B1765" s="6" t="s">
        <v>277</v>
      </c>
      <c r="C1765" s="6" t="s">
        <v>3539</v>
      </c>
      <c r="D1765" s="7" t="s">
        <v>189</v>
      </c>
      <c r="E1765" s="8">
        <v>47</v>
      </c>
    </row>
    <row r="1766" spans="1:5" ht="19.95" customHeight="1" x14ac:dyDescent="0.3">
      <c r="A1766" s="1" t="s">
        <v>3540</v>
      </c>
      <c r="B1766" s="2" t="s">
        <v>277</v>
      </c>
      <c r="C1766" s="2" t="s">
        <v>3541</v>
      </c>
      <c r="D1766" s="3" t="s">
        <v>189</v>
      </c>
      <c r="E1766" s="4">
        <v>187</v>
      </c>
    </row>
    <row r="1767" spans="1:5" ht="19.95" customHeight="1" x14ac:dyDescent="0.3">
      <c r="A1767" s="5" t="s">
        <v>3542</v>
      </c>
      <c r="B1767" s="6" t="s">
        <v>277</v>
      </c>
      <c r="C1767" s="6" t="s">
        <v>3543</v>
      </c>
      <c r="D1767" s="7" t="s">
        <v>189</v>
      </c>
      <c r="E1767" s="8">
        <v>157</v>
      </c>
    </row>
    <row r="1768" spans="1:5" ht="19.95" customHeight="1" x14ac:dyDescent="0.3">
      <c r="A1768" s="1" t="s">
        <v>3544</v>
      </c>
      <c r="B1768" s="2" t="s">
        <v>277</v>
      </c>
      <c r="C1768" s="2" t="s">
        <v>3545</v>
      </c>
      <c r="D1768" s="3" t="s">
        <v>189</v>
      </c>
      <c r="E1768" s="4">
        <v>72</v>
      </c>
    </row>
    <row r="1769" spans="1:5" ht="19.95" customHeight="1" x14ac:dyDescent="0.3">
      <c r="A1769" s="5" t="s">
        <v>3546</v>
      </c>
      <c r="B1769" s="6" t="s">
        <v>277</v>
      </c>
      <c r="C1769" s="6" t="s">
        <v>3547</v>
      </c>
      <c r="D1769" s="7" t="s">
        <v>189</v>
      </c>
      <c r="E1769" s="8">
        <v>34</v>
      </c>
    </row>
    <row r="1770" spans="1:5" ht="19.95" customHeight="1" x14ac:dyDescent="0.3">
      <c r="A1770" s="1" t="s">
        <v>3548</v>
      </c>
      <c r="B1770" s="2" t="s">
        <v>277</v>
      </c>
      <c r="C1770" s="2" t="s">
        <v>3549</v>
      </c>
      <c r="D1770" s="3" t="s">
        <v>169</v>
      </c>
      <c r="E1770" s="4">
        <v>190</v>
      </c>
    </row>
    <row r="1771" spans="1:5" ht="19.95" customHeight="1" x14ac:dyDescent="0.3">
      <c r="A1771" s="5" t="s">
        <v>3550</v>
      </c>
      <c r="B1771" s="6" t="s">
        <v>277</v>
      </c>
      <c r="C1771" s="6" t="s">
        <v>3551</v>
      </c>
      <c r="D1771" s="7" t="s">
        <v>169</v>
      </c>
      <c r="E1771" s="8">
        <v>290</v>
      </c>
    </row>
    <row r="1772" spans="1:5" ht="19.95" customHeight="1" x14ac:dyDescent="0.3">
      <c r="A1772" s="1" t="s">
        <v>3552</v>
      </c>
      <c r="B1772" s="2" t="s">
        <v>277</v>
      </c>
      <c r="C1772" s="2" t="s">
        <v>3553</v>
      </c>
      <c r="D1772" s="3" t="s">
        <v>366</v>
      </c>
      <c r="E1772" s="4">
        <v>17</v>
      </c>
    </row>
    <row r="1773" spans="1:5" ht="19.95" customHeight="1" x14ac:dyDescent="0.3">
      <c r="A1773" s="5" t="s">
        <v>3554</v>
      </c>
      <c r="B1773" s="6" t="s">
        <v>277</v>
      </c>
      <c r="C1773" s="6" t="s">
        <v>3555</v>
      </c>
      <c r="D1773" s="7" t="s">
        <v>169</v>
      </c>
      <c r="E1773" s="8">
        <v>510</v>
      </c>
    </row>
    <row r="1774" spans="1:5" ht="19.95" customHeight="1" x14ac:dyDescent="0.3">
      <c r="A1774" s="1" t="s">
        <v>3556</v>
      </c>
      <c r="B1774" s="2" t="s">
        <v>277</v>
      </c>
      <c r="C1774" s="2" t="s">
        <v>3557</v>
      </c>
      <c r="D1774" s="3" t="s">
        <v>3558</v>
      </c>
      <c r="E1774" s="4">
        <v>600</v>
      </c>
    </row>
    <row r="1775" spans="1:5" ht="19.95" customHeight="1" x14ac:dyDescent="0.3">
      <c r="A1775" s="5" t="s">
        <v>3559</v>
      </c>
      <c r="B1775" s="6" t="s">
        <v>277</v>
      </c>
      <c r="C1775" s="6" t="s">
        <v>3560</v>
      </c>
      <c r="D1775" s="7" t="s">
        <v>3558</v>
      </c>
      <c r="E1775" s="8">
        <v>750</v>
      </c>
    </row>
    <row r="1776" spans="1:5" ht="19.95" customHeight="1" x14ac:dyDescent="0.3">
      <c r="A1776" s="1" t="s">
        <v>3561</v>
      </c>
      <c r="B1776" s="2" t="s">
        <v>1969</v>
      </c>
      <c r="C1776" s="2" t="s">
        <v>3562</v>
      </c>
      <c r="D1776" s="3" t="s">
        <v>189</v>
      </c>
      <c r="E1776" s="4">
        <v>35</v>
      </c>
    </row>
    <row r="1777" spans="1:5" ht="19.95" customHeight="1" x14ac:dyDescent="0.3">
      <c r="A1777" s="5" t="s">
        <v>3563</v>
      </c>
      <c r="B1777" s="6" t="s">
        <v>1969</v>
      </c>
      <c r="C1777" s="6" t="s">
        <v>3564</v>
      </c>
      <c r="D1777" s="7" t="s">
        <v>189</v>
      </c>
      <c r="E1777" s="8">
        <v>26</v>
      </c>
    </row>
    <row r="1778" spans="1:5" ht="19.95" customHeight="1" x14ac:dyDescent="0.3">
      <c r="A1778" s="1" t="s">
        <v>3565</v>
      </c>
      <c r="B1778" s="2" t="s">
        <v>277</v>
      </c>
      <c r="C1778" s="2" t="s">
        <v>3566</v>
      </c>
      <c r="D1778" s="3" t="s">
        <v>169</v>
      </c>
      <c r="E1778" s="4">
        <v>685</v>
      </c>
    </row>
    <row r="1779" spans="1:5" ht="19.95" customHeight="1" x14ac:dyDescent="0.3">
      <c r="A1779" s="5" t="s">
        <v>3567</v>
      </c>
      <c r="B1779" s="6" t="s">
        <v>277</v>
      </c>
      <c r="C1779" s="6" t="s">
        <v>3568</v>
      </c>
      <c r="D1779" s="7" t="s">
        <v>189</v>
      </c>
      <c r="E1779" s="8">
        <v>120</v>
      </c>
    </row>
    <row r="1780" spans="1:5" ht="19.95" customHeight="1" x14ac:dyDescent="0.3">
      <c r="A1780" s="1" t="s">
        <v>3569</v>
      </c>
      <c r="B1780" s="2" t="s">
        <v>277</v>
      </c>
      <c r="C1780" s="2" t="s">
        <v>3570</v>
      </c>
      <c r="D1780" s="3" t="s">
        <v>189</v>
      </c>
      <c r="E1780" s="4">
        <v>65</v>
      </c>
    </row>
    <row r="1781" spans="1:5" ht="19.95" customHeight="1" x14ac:dyDescent="0.3">
      <c r="A1781" s="5" t="s">
        <v>3571</v>
      </c>
      <c r="B1781" s="6" t="s">
        <v>277</v>
      </c>
      <c r="C1781" s="6" t="s">
        <v>3572</v>
      </c>
      <c r="D1781" s="7" t="s">
        <v>189</v>
      </c>
      <c r="E1781" s="8">
        <v>40</v>
      </c>
    </row>
    <row r="1782" spans="1:5" ht="19.95" customHeight="1" x14ac:dyDescent="0.3">
      <c r="A1782" s="1" t="s">
        <v>3573</v>
      </c>
      <c r="B1782" s="2" t="s">
        <v>277</v>
      </c>
      <c r="C1782" s="2" t="s">
        <v>3572</v>
      </c>
      <c r="D1782" s="3" t="s">
        <v>189</v>
      </c>
      <c r="E1782" s="4">
        <v>20</v>
      </c>
    </row>
    <row r="1783" spans="1:5" ht="19.95" customHeight="1" x14ac:dyDescent="0.3">
      <c r="A1783" s="5" t="s">
        <v>3574</v>
      </c>
      <c r="B1783" s="6" t="s">
        <v>277</v>
      </c>
      <c r="C1783" s="6" t="s">
        <v>3575</v>
      </c>
      <c r="D1783" s="7" t="s">
        <v>189</v>
      </c>
      <c r="E1783" s="8">
        <v>4</v>
      </c>
    </row>
    <row r="1784" spans="1:5" ht="19.95" customHeight="1" x14ac:dyDescent="0.3">
      <c r="A1784" s="1" t="s">
        <v>3576</v>
      </c>
      <c r="B1784" s="2" t="s">
        <v>277</v>
      </c>
      <c r="C1784" s="2" t="s">
        <v>3577</v>
      </c>
      <c r="D1784" s="3" t="s">
        <v>189</v>
      </c>
      <c r="E1784" s="4">
        <v>1</v>
      </c>
    </row>
    <row r="1785" spans="1:5" ht="19.95" customHeight="1" x14ac:dyDescent="0.3">
      <c r="A1785" s="5" t="s">
        <v>3578</v>
      </c>
      <c r="B1785" s="6" t="s">
        <v>277</v>
      </c>
      <c r="C1785" s="6" t="s">
        <v>3579</v>
      </c>
      <c r="D1785" s="7" t="s">
        <v>189</v>
      </c>
      <c r="E1785" s="8">
        <v>32</v>
      </c>
    </row>
    <row r="1786" spans="1:5" ht="19.95" customHeight="1" x14ac:dyDescent="0.3">
      <c r="A1786" s="1" t="s">
        <v>3580</v>
      </c>
      <c r="B1786" s="2" t="s">
        <v>277</v>
      </c>
      <c r="C1786" s="2" t="s">
        <v>3581</v>
      </c>
      <c r="D1786" s="3" t="s">
        <v>169</v>
      </c>
      <c r="E1786" s="4">
        <v>677</v>
      </c>
    </row>
    <row r="1787" spans="1:5" ht="19.95" customHeight="1" x14ac:dyDescent="0.3">
      <c r="A1787" s="5" t="s">
        <v>3582</v>
      </c>
      <c r="B1787" s="6" t="s">
        <v>277</v>
      </c>
      <c r="C1787" s="6" t="s">
        <v>3583</v>
      </c>
      <c r="D1787" s="7" t="s">
        <v>169</v>
      </c>
      <c r="E1787" s="8">
        <v>782</v>
      </c>
    </row>
    <row r="1788" spans="1:5" ht="19.95" customHeight="1" x14ac:dyDescent="0.3">
      <c r="A1788" s="1" t="s">
        <v>3584</v>
      </c>
      <c r="B1788" s="2" t="s">
        <v>277</v>
      </c>
      <c r="C1788" s="2" t="s">
        <v>3585</v>
      </c>
      <c r="D1788" s="3" t="s">
        <v>169</v>
      </c>
      <c r="E1788" s="4">
        <v>612</v>
      </c>
    </row>
    <row r="1789" spans="1:5" ht="19.95" customHeight="1" x14ac:dyDescent="0.3">
      <c r="A1789" s="5" t="s">
        <v>3586</v>
      </c>
      <c r="B1789" s="6" t="s">
        <v>277</v>
      </c>
      <c r="C1789" s="6" t="s">
        <v>3587</v>
      </c>
      <c r="D1789" s="7" t="s">
        <v>169</v>
      </c>
      <c r="E1789" s="8">
        <v>715</v>
      </c>
    </row>
    <row r="1790" spans="1:5" ht="19.95" customHeight="1" x14ac:dyDescent="0.3">
      <c r="A1790" s="1" t="s">
        <v>3588</v>
      </c>
      <c r="B1790" s="2" t="s">
        <v>277</v>
      </c>
      <c r="C1790" s="2" t="s">
        <v>3589</v>
      </c>
      <c r="D1790" s="3" t="s">
        <v>169</v>
      </c>
      <c r="E1790" s="4">
        <v>880</v>
      </c>
    </row>
    <row r="1791" spans="1:5" ht="19.95" customHeight="1" x14ac:dyDescent="0.3">
      <c r="A1791" s="5" t="s">
        <v>3590</v>
      </c>
      <c r="B1791" s="6" t="s">
        <v>277</v>
      </c>
      <c r="C1791" s="6" t="s">
        <v>3591</v>
      </c>
      <c r="D1791" s="7" t="s">
        <v>169</v>
      </c>
      <c r="E1791" s="8">
        <v>375</v>
      </c>
    </row>
    <row r="1792" spans="1:5" ht="19.95" customHeight="1" x14ac:dyDescent="0.3">
      <c r="A1792" s="1" t="s">
        <v>3592</v>
      </c>
      <c r="B1792" s="2" t="s">
        <v>277</v>
      </c>
      <c r="C1792" s="2" t="s">
        <v>3593</v>
      </c>
      <c r="D1792" s="3" t="s">
        <v>283</v>
      </c>
      <c r="E1792" s="4">
        <v>190</v>
      </c>
    </row>
    <row r="1793" spans="1:5" ht="19.95" customHeight="1" x14ac:dyDescent="0.3">
      <c r="A1793" s="5" t="s">
        <v>3594</v>
      </c>
      <c r="B1793" s="6" t="s">
        <v>277</v>
      </c>
      <c r="C1793" s="6" t="s">
        <v>3595</v>
      </c>
      <c r="D1793" s="7" t="s">
        <v>283</v>
      </c>
      <c r="E1793" s="8">
        <v>95</v>
      </c>
    </row>
    <row r="1794" spans="1:5" ht="19.95" customHeight="1" x14ac:dyDescent="0.3">
      <c r="A1794" s="1" t="s">
        <v>3596</v>
      </c>
      <c r="B1794" s="2" t="s">
        <v>277</v>
      </c>
      <c r="C1794" s="2" t="s">
        <v>3597</v>
      </c>
      <c r="D1794" s="3" t="s">
        <v>283</v>
      </c>
      <c r="E1794" s="4">
        <v>115</v>
      </c>
    </row>
    <row r="1795" spans="1:5" ht="19.95" customHeight="1" x14ac:dyDescent="0.3">
      <c r="A1795" s="5" t="s">
        <v>3598</v>
      </c>
      <c r="B1795" s="6" t="s">
        <v>277</v>
      </c>
      <c r="C1795" s="6" t="s">
        <v>3599</v>
      </c>
      <c r="D1795" s="7" t="s">
        <v>189</v>
      </c>
      <c r="E1795" s="8">
        <v>5</v>
      </c>
    </row>
    <row r="1796" spans="1:5" ht="19.95" customHeight="1" x14ac:dyDescent="0.3">
      <c r="A1796" s="1" t="s">
        <v>3600</v>
      </c>
      <c r="B1796" s="2" t="s">
        <v>277</v>
      </c>
      <c r="C1796" s="2" t="s">
        <v>3601</v>
      </c>
      <c r="D1796" s="3" t="s">
        <v>189</v>
      </c>
      <c r="E1796" s="4">
        <v>11</v>
      </c>
    </row>
    <row r="1797" spans="1:5" ht="19.95" customHeight="1" x14ac:dyDescent="0.3">
      <c r="A1797" s="5" t="s">
        <v>3602</v>
      </c>
      <c r="B1797" s="6" t="s">
        <v>277</v>
      </c>
      <c r="C1797" s="6" t="s">
        <v>3603</v>
      </c>
      <c r="D1797" s="7" t="s">
        <v>189</v>
      </c>
      <c r="E1797" s="8">
        <v>8</v>
      </c>
    </row>
    <row r="1798" spans="1:5" ht="19.95" customHeight="1" x14ac:dyDescent="0.3">
      <c r="A1798" s="1" t="s">
        <v>3604</v>
      </c>
      <c r="B1798" s="2" t="s">
        <v>277</v>
      </c>
      <c r="C1798" s="2" t="s">
        <v>3605</v>
      </c>
      <c r="D1798" s="3" t="s">
        <v>189</v>
      </c>
      <c r="E1798" s="4">
        <v>9</v>
      </c>
    </row>
    <row r="1799" spans="1:5" ht="19.95" customHeight="1" x14ac:dyDescent="0.3">
      <c r="A1799" s="5" t="s">
        <v>3606</v>
      </c>
      <c r="B1799" s="6" t="s">
        <v>277</v>
      </c>
      <c r="C1799" s="6" t="s">
        <v>3607</v>
      </c>
      <c r="D1799" s="7" t="s">
        <v>189</v>
      </c>
      <c r="E1799" s="8">
        <v>115</v>
      </c>
    </row>
    <row r="1800" spans="1:5" ht="19.95" customHeight="1" x14ac:dyDescent="0.3">
      <c r="A1800" s="1" t="s">
        <v>3608</v>
      </c>
      <c r="B1800" s="2" t="s">
        <v>277</v>
      </c>
      <c r="C1800" s="2" t="s">
        <v>3609</v>
      </c>
      <c r="D1800" s="3" t="s">
        <v>189</v>
      </c>
      <c r="E1800" s="4">
        <v>80</v>
      </c>
    </row>
    <row r="1801" spans="1:5" ht="19.95" customHeight="1" x14ac:dyDescent="0.3">
      <c r="A1801" s="5" t="s">
        <v>3610</v>
      </c>
      <c r="B1801" s="6" t="s">
        <v>277</v>
      </c>
      <c r="C1801" s="6" t="s">
        <v>3611</v>
      </c>
      <c r="D1801" s="7" t="s">
        <v>189</v>
      </c>
      <c r="E1801" s="8">
        <v>35</v>
      </c>
    </row>
    <row r="1802" spans="1:5" ht="19.95" customHeight="1" x14ac:dyDescent="0.3">
      <c r="A1802" s="1" t="s">
        <v>3612</v>
      </c>
      <c r="B1802" s="2" t="s">
        <v>277</v>
      </c>
      <c r="C1802" s="2" t="s">
        <v>3613</v>
      </c>
      <c r="D1802" s="3" t="s">
        <v>189</v>
      </c>
      <c r="E1802" s="4">
        <v>17</v>
      </c>
    </row>
    <row r="1803" spans="1:5" ht="19.95" customHeight="1" x14ac:dyDescent="0.3">
      <c r="A1803" s="5" t="s">
        <v>3614</v>
      </c>
      <c r="B1803" s="6" t="s">
        <v>277</v>
      </c>
      <c r="C1803" s="6" t="s">
        <v>3615</v>
      </c>
      <c r="D1803" s="7" t="s">
        <v>189</v>
      </c>
      <c r="E1803" s="8">
        <v>8</v>
      </c>
    </row>
    <row r="1804" spans="1:5" ht="19.95" customHeight="1" x14ac:dyDescent="0.3">
      <c r="A1804" s="1" t="s">
        <v>3616</v>
      </c>
      <c r="B1804" s="2" t="s">
        <v>277</v>
      </c>
      <c r="C1804" s="2" t="s">
        <v>3617</v>
      </c>
      <c r="D1804" s="3" t="s">
        <v>189</v>
      </c>
      <c r="E1804" s="4">
        <v>5</v>
      </c>
    </row>
    <row r="1805" spans="1:5" ht="19.95" customHeight="1" x14ac:dyDescent="0.3">
      <c r="A1805" s="5" t="s">
        <v>3618</v>
      </c>
      <c r="B1805" s="6" t="s">
        <v>277</v>
      </c>
      <c r="C1805" s="6" t="s">
        <v>3619</v>
      </c>
      <c r="D1805" s="7" t="s">
        <v>189</v>
      </c>
      <c r="E1805" s="8">
        <v>4</v>
      </c>
    </row>
    <row r="1806" spans="1:5" ht="19.95" customHeight="1" x14ac:dyDescent="0.3">
      <c r="A1806" s="1" t="s">
        <v>3620</v>
      </c>
      <c r="B1806" s="2" t="s">
        <v>277</v>
      </c>
      <c r="C1806" s="2" t="s">
        <v>3621</v>
      </c>
      <c r="D1806" s="3" t="s">
        <v>189</v>
      </c>
      <c r="E1806" s="4">
        <v>8</v>
      </c>
    </row>
    <row r="1807" spans="1:5" ht="19.95" customHeight="1" x14ac:dyDescent="0.3">
      <c r="A1807" s="5" t="s">
        <v>3622</v>
      </c>
      <c r="B1807" s="6" t="s">
        <v>277</v>
      </c>
      <c r="C1807" s="6" t="s">
        <v>3623</v>
      </c>
      <c r="D1807" s="7" t="s">
        <v>189</v>
      </c>
      <c r="E1807" s="8">
        <v>15</v>
      </c>
    </row>
    <row r="1808" spans="1:5" ht="19.95" customHeight="1" x14ac:dyDescent="0.3">
      <c r="A1808" s="1" t="s">
        <v>3624</v>
      </c>
      <c r="B1808" s="2" t="s">
        <v>277</v>
      </c>
      <c r="C1808" s="2" t="s">
        <v>3625</v>
      </c>
      <c r="D1808" s="3" t="s">
        <v>169</v>
      </c>
      <c r="E1808" s="4">
        <v>490</v>
      </c>
    </row>
    <row r="1809" spans="1:5" ht="19.95" customHeight="1" x14ac:dyDescent="0.3">
      <c r="A1809" s="5" t="s">
        <v>3626</v>
      </c>
      <c r="B1809" s="6" t="s">
        <v>277</v>
      </c>
      <c r="C1809" s="6" t="s">
        <v>3627</v>
      </c>
      <c r="D1809" s="7" t="s">
        <v>169</v>
      </c>
      <c r="E1809" s="8">
        <v>659.72</v>
      </c>
    </row>
    <row r="1810" spans="1:5" ht="19.95" customHeight="1" x14ac:dyDescent="0.3">
      <c r="A1810" s="1" t="s">
        <v>3628</v>
      </c>
      <c r="B1810" s="2" t="s">
        <v>277</v>
      </c>
      <c r="C1810" s="2" t="s">
        <v>3629</v>
      </c>
      <c r="D1810" s="3" t="s">
        <v>169</v>
      </c>
      <c r="E1810" s="4">
        <v>850</v>
      </c>
    </row>
    <row r="1811" spans="1:5" ht="19.95" customHeight="1" x14ac:dyDescent="0.3">
      <c r="A1811" s="5" t="s">
        <v>3630</v>
      </c>
      <c r="B1811" s="6" t="s">
        <v>277</v>
      </c>
      <c r="C1811" s="6" t="s">
        <v>3631</v>
      </c>
      <c r="D1811" s="7" t="s">
        <v>169</v>
      </c>
      <c r="E1811" s="8">
        <v>1390</v>
      </c>
    </row>
    <row r="1812" spans="1:5" ht="19.95" customHeight="1" x14ac:dyDescent="0.3">
      <c r="A1812" s="1" t="s">
        <v>3632</v>
      </c>
      <c r="B1812" s="2" t="s">
        <v>277</v>
      </c>
      <c r="C1812" s="2" t="s">
        <v>3633</v>
      </c>
      <c r="D1812" s="3" t="s">
        <v>189</v>
      </c>
      <c r="E1812" s="4">
        <v>16</v>
      </c>
    </row>
    <row r="1813" spans="1:5" ht="19.95" customHeight="1" x14ac:dyDescent="0.3">
      <c r="A1813" s="5" t="s">
        <v>3634</v>
      </c>
      <c r="B1813" s="6" t="s">
        <v>277</v>
      </c>
      <c r="C1813" s="6" t="s">
        <v>3635</v>
      </c>
      <c r="D1813" s="7" t="s">
        <v>283</v>
      </c>
      <c r="E1813" s="8">
        <v>43.27</v>
      </c>
    </row>
    <row r="1814" spans="1:5" ht="19.95" customHeight="1" x14ac:dyDescent="0.3">
      <c r="A1814" s="1" t="s">
        <v>3636</v>
      </c>
      <c r="B1814" s="2" t="s">
        <v>277</v>
      </c>
      <c r="C1814" s="2" t="s">
        <v>3635</v>
      </c>
      <c r="D1814" s="3" t="s">
        <v>283</v>
      </c>
      <c r="E1814" s="4">
        <v>66.8</v>
      </c>
    </row>
    <row r="1815" spans="1:5" ht="19.95" customHeight="1" x14ac:dyDescent="0.3">
      <c r="A1815" s="5" t="s">
        <v>3637</v>
      </c>
      <c r="B1815" s="6" t="s">
        <v>277</v>
      </c>
      <c r="C1815" s="6" t="s">
        <v>3635</v>
      </c>
      <c r="D1815" s="7" t="s">
        <v>283</v>
      </c>
      <c r="E1815" s="8">
        <v>107.47</v>
      </c>
    </row>
    <row r="1816" spans="1:5" ht="19.95" customHeight="1" x14ac:dyDescent="0.3">
      <c r="A1816" s="1" t="s">
        <v>3638</v>
      </c>
      <c r="B1816" s="2" t="s">
        <v>277</v>
      </c>
      <c r="C1816" s="2" t="s">
        <v>3635</v>
      </c>
      <c r="D1816" s="3" t="s">
        <v>283</v>
      </c>
      <c r="E1816" s="4">
        <v>161.07</v>
      </c>
    </row>
    <row r="1817" spans="1:5" ht="19.95" customHeight="1" x14ac:dyDescent="0.3">
      <c r="A1817" s="5" t="s">
        <v>3639</v>
      </c>
      <c r="B1817" s="6" t="s">
        <v>277</v>
      </c>
      <c r="C1817" s="6" t="s">
        <v>3640</v>
      </c>
      <c r="D1817" s="7" t="s">
        <v>283</v>
      </c>
      <c r="E1817" s="8">
        <v>252.22</v>
      </c>
    </row>
    <row r="1818" spans="1:5" ht="19.95" customHeight="1" x14ac:dyDescent="0.3">
      <c r="A1818" s="1" t="s">
        <v>3641</v>
      </c>
      <c r="B1818" s="2" t="s">
        <v>277</v>
      </c>
      <c r="C1818" s="2" t="s">
        <v>3640</v>
      </c>
      <c r="D1818" s="3" t="s">
        <v>283</v>
      </c>
      <c r="E1818" s="4">
        <v>281.73</v>
      </c>
    </row>
    <row r="1819" spans="1:5" ht="19.95" customHeight="1" x14ac:dyDescent="0.3">
      <c r="A1819" s="5" t="s">
        <v>3642</v>
      </c>
      <c r="B1819" s="6" t="s">
        <v>277</v>
      </c>
      <c r="C1819" s="6" t="s">
        <v>3640</v>
      </c>
      <c r="D1819" s="7" t="s">
        <v>283</v>
      </c>
      <c r="E1819" s="8">
        <v>418.18</v>
      </c>
    </row>
    <row r="1820" spans="1:5" ht="19.95" customHeight="1" x14ac:dyDescent="0.3">
      <c r="A1820" s="1" t="s">
        <v>3643</v>
      </c>
      <c r="B1820" s="2" t="s">
        <v>277</v>
      </c>
      <c r="C1820" s="2" t="s">
        <v>3640</v>
      </c>
      <c r="D1820" s="3" t="s">
        <v>283</v>
      </c>
      <c r="E1820" s="4">
        <v>597.63</v>
      </c>
    </row>
    <row r="1821" spans="1:5" ht="19.95" customHeight="1" x14ac:dyDescent="0.3">
      <c r="A1821" s="5" t="s">
        <v>3644</v>
      </c>
      <c r="B1821" s="6" t="s">
        <v>277</v>
      </c>
      <c r="C1821" s="6" t="s">
        <v>3640</v>
      </c>
      <c r="D1821" s="7" t="s">
        <v>283</v>
      </c>
      <c r="E1821" s="8">
        <v>885.83</v>
      </c>
    </row>
    <row r="1822" spans="1:5" ht="19.95" customHeight="1" x14ac:dyDescent="0.3">
      <c r="A1822" s="1" t="s">
        <v>3645</v>
      </c>
      <c r="B1822" s="2" t="s">
        <v>277</v>
      </c>
      <c r="C1822" s="2" t="s">
        <v>3640</v>
      </c>
      <c r="D1822" s="3" t="s">
        <v>283</v>
      </c>
      <c r="E1822" s="4">
        <v>2557.3000000000002</v>
      </c>
    </row>
    <row r="1823" spans="1:5" ht="19.95" customHeight="1" x14ac:dyDescent="0.3">
      <c r="A1823" s="5" t="s">
        <v>3646</v>
      </c>
      <c r="B1823" s="6" t="s">
        <v>277</v>
      </c>
      <c r="C1823" s="6" t="s">
        <v>3647</v>
      </c>
      <c r="D1823" s="7" t="s">
        <v>283</v>
      </c>
      <c r="E1823" s="8">
        <v>48.55</v>
      </c>
    </row>
    <row r="1824" spans="1:5" ht="19.95" customHeight="1" x14ac:dyDescent="0.3">
      <c r="A1824" s="1" t="s">
        <v>3648</v>
      </c>
      <c r="B1824" s="2" t="s">
        <v>277</v>
      </c>
      <c r="C1824" s="2" t="s">
        <v>3649</v>
      </c>
      <c r="D1824" s="3" t="s">
        <v>283</v>
      </c>
      <c r="E1824" s="4">
        <v>77.8</v>
      </c>
    </row>
    <row r="1825" spans="1:5" ht="19.95" customHeight="1" x14ac:dyDescent="0.3">
      <c r="A1825" s="5" t="s">
        <v>3650</v>
      </c>
      <c r="B1825" s="6" t="s">
        <v>277</v>
      </c>
      <c r="C1825" s="6" t="s">
        <v>3651</v>
      </c>
      <c r="D1825" s="7" t="s">
        <v>283</v>
      </c>
      <c r="E1825" s="8">
        <v>113.6</v>
      </c>
    </row>
    <row r="1826" spans="1:5" ht="19.95" customHeight="1" x14ac:dyDescent="0.3">
      <c r="A1826" s="1" t="s">
        <v>3652</v>
      </c>
      <c r="B1826" s="2" t="s">
        <v>277</v>
      </c>
      <c r="C1826" s="2" t="s">
        <v>3653</v>
      </c>
      <c r="D1826" s="3" t="s">
        <v>283</v>
      </c>
      <c r="E1826" s="4">
        <v>163.65</v>
      </c>
    </row>
    <row r="1827" spans="1:5" ht="19.95" customHeight="1" x14ac:dyDescent="0.3">
      <c r="A1827" s="5" t="s">
        <v>3654</v>
      </c>
      <c r="B1827" s="6" t="s">
        <v>277</v>
      </c>
      <c r="C1827" s="6" t="s">
        <v>3655</v>
      </c>
      <c r="D1827" s="7" t="s">
        <v>283</v>
      </c>
      <c r="E1827" s="8">
        <v>228.7</v>
      </c>
    </row>
    <row r="1828" spans="1:5" ht="19.95" customHeight="1" x14ac:dyDescent="0.3">
      <c r="A1828" s="1" t="s">
        <v>3656</v>
      </c>
      <c r="B1828" s="2" t="s">
        <v>277</v>
      </c>
      <c r="C1828" s="2" t="s">
        <v>3657</v>
      </c>
      <c r="D1828" s="3" t="s">
        <v>283</v>
      </c>
      <c r="E1828" s="4">
        <v>375.25</v>
      </c>
    </row>
    <row r="1829" spans="1:5" ht="19.95" customHeight="1" x14ac:dyDescent="0.3">
      <c r="A1829" s="5" t="s">
        <v>3658</v>
      </c>
      <c r="B1829" s="6" t="s">
        <v>277</v>
      </c>
      <c r="C1829" s="6" t="s">
        <v>3659</v>
      </c>
      <c r="D1829" s="7" t="s">
        <v>283</v>
      </c>
      <c r="E1829" s="8">
        <v>793.3</v>
      </c>
    </row>
    <row r="1830" spans="1:5" ht="19.95" customHeight="1" x14ac:dyDescent="0.3">
      <c r="A1830" s="1" t="s">
        <v>3660</v>
      </c>
      <c r="B1830" s="2" t="s">
        <v>277</v>
      </c>
      <c r="C1830" s="2" t="s">
        <v>3661</v>
      </c>
      <c r="D1830" s="3" t="s">
        <v>283</v>
      </c>
      <c r="E1830" s="4">
        <v>1031.05</v>
      </c>
    </row>
    <row r="1831" spans="1:5" ht="19.95" customHeight="1" x14ac:dyDescent="0.3">
      <c r="A1831" s="5" t="s">
        <v>3662</v>
      </c>
      <c r="B1831" s="6" t="s">
        <v>277</v>
      </c>
      <c r="C1831" s="6" t="s">
        <v>3663</v>
      </c>
      <c r="D1831" s="7" t="s">
        <v>283</v>
      </c>
      <c r="E1831" s="8">
        <v>1466.75</v>
      </c>
    </row>
    <row r="1832" spans="1:5" ht="19.95" customHeight="1" x14ac:dyDescent="0.3">
      <c r="A1832" s="1" t="s">
        <v>3664</v>
      </c>
      <c r="B1832" s="2" t="s">
        <v>277</v>
      </c>
      <c r="C1832" s="2" t="s">
        <v>3665</v>
      </c>
      <c r="D1832" s="3" t="s">
        <v>283</v>
      </c>
      <c r="E1832" s="4">
        <v>3145.15</v>
      </c>
    </row>
    <row r="1833" spans="1:5" ht="19.95" customHeight="1" x14ac:dyDescent="0.3">
      <c r="A1833" s="5" t="s">
        <v>3666</v>
      </c>
      <c r="B1833" s="6" t="s">
        <v>277</v>
      </c>
      <c r="C1833" s="6" t="s">
        <v>3667</v>
      </c>
      <c r="D1833" s="7" t="s">
        <v>1957</v>
      </c>
      <c r="E1833" s="8">
        <v>100</v>
      </c>
    </row>
    <row r="1834" spans="1:5" ht="19.95" customHeight="1" x14ac:dyDescent="0.3">
      <c r="A1834" s="1" t="s">
        <v>3668</v>
      </c>
      <c r="B1834" s="2" t="s">
        <v>277</v>
      </c>
      <c r="C1834" s="2" t="s">
        <v>3669</v>
      </c>
      <c r="D1834" s="3" t="s">
        <v>548</v>
      </c>
      <c r="E1834" s="4">
        <v>32</v>
      </c>
    </row>
    <row r="1835" spans="1:5" ht="19.95" customHeight="1" x14ac:dyDescent="0.3">
      <c r="A1835" s="5" t="s">
        <v>3670</v>
      </c>
      <c r="B1835" s="6" t="s">
        <v>277</v>
      </c>
      <c r="C1835" s="6" t="s">
        <v>3671</v>
      </c>
      <c r="D1835" s="7" t="s">
        <v>169</v>
      </c>
      <c r="E1835" s="8">
        <v>2150</v>
      </c>
    </row>
    <row r="1836" spans="1:5" ht="19.95" customHeight="1" x14ac:dyDescent="0.3">
      <c r="A1836" s="1" t="s">
        <v>3672</v>
      </c>
      <c r="B1836" s="2" t="s">
        <v>277</v>
      </c>
      <c r="C1836" s="2" t="s">
        <v>3673</v>
      </c>
      <c r="D1836" s="3" t="s">
        <v>189</v>
      </c>
      <c r="E1836" s="4">
        <v>172</v>
      </c>
    </row>
    <row r="1837" spans="1:5" ht="19.95" customHeight="1" x14ac:dyDescent="0.3">
      <c r="A1837" s="5" t="s">
        <v>3674</v>
      </c>
      <c r="B1837" s="6" t="s">
        <v>277</v>
      </c>
      <c r="C1837" s="6" t="s">
        <v>3675</v>
      </c>
      <c r="D1837" s="7" t="s">
        <v>189</v>
      </c>
      <c r="E1837" s="8">
        <v>222</v>
      </c>
    </row>
    <row r="1838" spans="1:5" ht="19.95" customHeight="1" x14ac:dyDescent="0.3">
      <c r="A1838" s="1" t="s">
        <v>3676</v>
      </c>
      <c r="B1838" s="2" t="s">
        <v>277</v>
      </c>
      <c r="C1838" s="2" t="s">
        <v>3677</v>
      </c>
      <c r="D1838" s="3" t="s">
        <v>189</v>
      </c>
      <c r="E1838" s="4">
        <v>195</v>
      </c>
    </row>
    <row r="1839" spans="1:5" ht="19.95" customHeight="1" x14ac:dyDescent="0.3">
      <c r="A1839" s="5" t="s">
        <v>3678</v>
      </c>
      <c r="B1839" s="6" t="s">
        <v>277</v>
      </c>
      <c r="C1839" s="6" t="s">
        <v>3679</v>
      </c>
      <c r="D1839" s="7" t="s">
        <v>189</v>
      </c>
      <c r="E1839" s="8">
        <v>525</v>
      </c>
    </row>
    <row r="1840" spans="1:5" ht="19.95" customHeight="1" x14ac:dyDescent="0.3">
      <c r="A1840" s="1" t="s">
        <v>3680</v>
      </c>
      <c r="B1840" s="2" t="s">
        <v>277</v>
      </c>
      <c r="C1840" s="2" t="s">
        <v>3681</v>
      </c>
      <c r="D1840" s="3" t="s">
        <v>189</v>
      </c>
      <c r="E1840" s="4">
        <v>900</v>
      </c>
    </row>
    <row r="1841" spans="1:5" ht="19.95" customHeight="1" x14ac:dyDescent="0.3">
      <c r="A1841" s="5" t="s">
        <v>3682</v>
      </c>
      <c r="B1841" s="6" t="s">
        <v>277</v>
      </c>
      <c r="C1841" s="6" t="s">
        <v>3683</v>
      </c>
      <c r="D1841" s="7" t="s">
        <v>283</v>
      </c>
      <c r="E1841" s="8">
        <v>1.95</v>
      </c>
    </row>
    <row r="1842" spans="1:5" ht="19.95" customHeight="1" x14ac:dyDescent="0.3">
      <c r="A1842" s="1" t="s">
        <v>3684</v>
      </c>
      <c r="B1842" s="2" t="s">
        <v>277</v>
      </c>
      <c r="C1842" s="2" t="s">
        <v>3685</v>
      </c>
      <c r="D1842" s="3" t="s">
        <v>18</v>
      </c>
      <c r="E1842" s="4">
        <v>2600</v>
      </c>
    </row>
    <row r="1843" spans="1:5" ht="19.95" customHeight="1" x14ac:dyDescent="0.3">
      <c r="A1843" s="5" t="s">
        <v>3686</v>
      </c>
      <c r="B1843" s="6" t="s">
        <v>277</v>
      </c>
      <c r="C1843" s="6" t="s">
        <v>3687</v>
      </c>
      <c r="D1843" s="7" t="s">
        <v>169</v>
      </c>
      <c r="E1843" s="8">
        <v>480</v>
      </c>
    </row>
    <row r="1844" spans="1:5" ht="19.95" customHeight="1" x14ac:dyDescent="0.3">
      <c r="A1844" s="1" t="s">
        <v>3688</v>
      </c>
      <c r="B1844" s="2" t="s">
        <v>277</v>
      </c>
      <c r="C1844" s="2" t="s">
        <v>3689</v>
      </c>
      <c r="D1844" s="3" t="s">
        <v>366</v>
      </c>
      <c r="E1844" s="4">
        <v>25</v>
      </c>
    </row>
    <row r="1845" spans="1:5" ht="19.95" customHeight="1" x14ac:dyDescent="0.3">
      <c r="A1845" s="5" t="s">
        <v>3690</v>
      </c>
      <c r="B1845" s="6" t="s">
        <v>277</v>
      </c>
      <c r="C1845" s="6" t="s">
        <v>3691</v>
      </c>
      <c r="D1845" s="7" t="s">
        <v>1620</v>
      </c>
      <c r="E1845" s="8">
        <v>25150</v>
      </c>
    </row>
    <row r="1846" spans="1:5" ht="19.95" customHeight="1" x14ac:dyDescent="0.3">
      <c r="A1846" s="1" t="s">
        <v>3692</v>
      </c>
      <c r="B1846" s="2" t="s">
        <v>277</v>
      </c>
      <c r="C1846" s="2" t="s">
        <v>3693</v>
      </c>
      <c r="D1846" s="3" t="s">
        <v>169</v>
      </c>
      <c r="E1846" s="4">
        <v>517</v>
      </c>
    </row>
    <row r="1847" spans="1:5" ht="19.95" customHeight="1" x14ac:dyDescent="0.3">
      <c r="A1847" s="5" t="s">
        <v>3694</v>
      </c>
      <c r="B1847" s="6" t="s">
        <v>277</v>
      </c>
      <c r="C1847" s="6" t="s">
        <v>3695</v>
      </c>
      <c r="D1847" s="7" t="s">
        <v>189</v>
      </c>
      <c r="E1847" s="8">
        <v>44</v>
      </c>
    </row>
    <row r="1848" spans="1:5" ht="19.95" customHeight="1" x14ac:dyDescent="0.3">
      <c r="A1848" s="1" t="s">
        <v>3696</v>
      </c>
      <c r="B1848" s="2" t="s">
        <v>277</v>
      </c>
      <c r="C1848" s="2" t="s">
        <v>3697</v>
      </c>
      <c r="D1848" s="3" t="s">
        <v>189</v>
      </c>
      <c r="E1848" s="4">
        <v>47</v>
      </c>
    </row>
    <row r="1849" spans="1:5" ht="19.95" customHeight="1" x14ac:dyDescent="0.3">
      <c r="A1849" s="5" t="s">
        <v>3698</v>
      </c>
      <c r="B1849" s="6" t="s">
        <v>277</v>
      </c>
      <c r="C1849" s="6" t="s">
        <v>3699</v>
      </c>
      <c r="D1849" s="7" t="s">
        <v>189</v>
      </c>
      <c r="E1849" s="8">
        <v>46</v>
      </c>
    </row>
    <row r="1850" spans="1:5" ht="19.95" customHeight="1" x14ac:dyDescent="0.3">
      <c r="A1850" s="1" t="s">
        <v>3700</v>
      </c>
      <c r="B1850" s="2" t="s">
        <v>277</v>
      </c>
      <c r="C1850" s="2" t="s">
        <v>3701</v>
      </c>
      <c r="D1850" s="3" t="s">
        <v>189</v>
      </c>
      <c r="E1850" s="4">
        <v>53</v>
      </c>
    </row>
    <row r="1851" spans="1:5" ht="19.95" customHeight="1" x14ac:dyDescent="0.3">
      <c r="A1851" s="5" t="s">
        <v>3702</v>
      </c>
      <c r="B1851" s="6" t="s">
        <v>277</v>
      </c>
      <c r="C1851" s="6" t="s">
        <v>3703</v>
      </c>
      <c r="D1851" s="7" t="s">
        <v>189</v>
      </c>
      <c r="E1851" s="8">
        <v>56</v>
      </c>
    </row>
    <row r="1852" spans="1:5" ht="19.95" customHeight="1" x14ac:dyDescent="0.3">
      <c r="A1852" s="1" t="s">
        <v>3704</v>
      </c>
      <c r="B1852" s="2" t="s">
        <v>277</v>
      </c>
      <c r="C1852" s="2" t="s">
        <v>3705</v>
      </c>
      <c r="D1852" s="3" t="s">
        <v>189</v>
      </c>
      <c r="E1852" s="4">
        <v>60</v>
      </c>
    </row>
    <row r="1853" spans="1:5" ht="19.95" customHeight="1" x14ac:dyDescent="0.3">
      <c r="A1853" s="5" t="s">
        <v>3706</v>
      </c>
      <c r="B1853" s="6" t="s">
        <v>277</v>
      </c>
      <c r="C1853" s="6" t="s">
        <v>3707</v>
      </c>
      <c r="D1853" s="7" t="s">
        <v>548</v>
      </c>
      <c r="E1853" s="8">
        <v>38</v>
      </c>
    </row>
    <row r="1854" spans="1:5" ht="19.95" customHeight="1" x14ac:dyDescent="0.3">
      <c r="A1854" s="1" t="s">
        <v>3708</v>
      </c>
      <c r="B1854" s="2" t="s">
        <v>277</v>
      </c>
      <c r="C1854" s="2" t="s">
        <v>3709</v>
      </c>
      <c r="D1854" s="3" t="s">
        <v>169</v>
      </c>
      <c r="E1854" s="4">
        <v>430</v>
      </c>
    </row>
    <row r="1855" spans="1:5" ht="19.95" customHeight="1" x14ac:dyDescent="0.3">
      <c r="A1855" s="5" t="s">
        <v>3710</v>
      </c>
      <c r="B1855" s="6" t="s">
        <v>277</v>
      </c>
      <c r="C1855" s="6" t="s">
        <v>3711</v>
      </c>
      <c r="D1855" s="7" t="s">
        <v>169</v>
      </c>
      <c r="E1855" s="8">
        <v>485</v>
      </c>
    </row>
    <row r="1856" spans="1:5" ht="19.95" customHeight="1" x14ac:dyDescent="0.3">
      <c r="A1856" s="1" t="s">
        <v>3712</v>
      </c>
      <c r="B1856" s="2" t="s">
        <v>277</v>
      </c>
      <c r="C1856" s="2" t="s">
        <v>3713</v>
      </c>
      <c r="D1856" s="3" t="s">
        <v>189</v>
      </c>
      <c r="E1856" s="4">
        <v>8</v>
      </c>
    </row>
    <row r="1857" spans="1:5" ht="19.95" customHeight="1" x14ac:dyDescent="0.3">
      <c r="A1857" s="5" t="s">
        <v>3714</v>
      </c>
      <c r="B1857" s="6" t="s">
        <v>277</v>
      </c>
      <c r="C1857" s="6" t="s">
        <v>3715</v>
      </c>
      <c r="D1857" s="7" t="s">
        <v>189</v>
      </c>
      <c r="E1857" s="8">
        <v>8</v>
      </c>
    </row>
    <row r="1858" spans="1:5" ht="19.95" customHeight="1" x14ac:dyDescent="0.3">
      <c r="A1858" s="1" t="s">
        <v>3716</v>
      </c>
      <c r="B1858" s="2" t="s">
        <v>277</v>
      </c>
      <c r="C1858" s="2" t="s">
        <v>3717</v>
      </c>
      <c r="D1858" s="3" t="s">
        <v>169</v>
      </c>
      <c r="E1858" s="4">
        <v>350</v>
      </c>
    </row>
    <row r="1859" spans="1:5" ht="19.95" customHeight="1" x14ac:dyDescent="0.3">
      <c r="A1859" s="5" t="s">
        <v>3718</v>
      </c>
      <c r="B1859" s="6" t="s">
        <v>277</v>
      </c>
      <c r="C1859" s="6" t="s">
        <v>3719</v>
      </c>
      <c r="D1859" s="7" t="s">
        <v>283</v>
      </c>
      <c r="E1859" s="8">
        <v>210</v>
      </c>
    </row>
    <row r="1860" spans="1:5" ht="19.95" customHeight="1" x14ac:dyDescent="0.3">
      <c r="A1860" s="1" t="s">
        <v>3720</v>
      </c>
      <c r="B1860" s="2" t="s">
        <v>277</v>
      </c>
      <c r="C1860" s="2" t="s">
        <v>3721</v>
      </c>
      <c r="D1860" s="3" t="s">
        <v>283</v>
      </c>
      <c r="E1860" s="4">
        <v>210</v>
      </c>
    </row>
    <row r="1861" spans="1:5" ht="19.95" customHeight="1" x14ac:dyDescent="0.3">
      <c r="A1861" s="5" t="s">
        <v>3722</v>
      </c>
      <c r="B1861" s="6" t="s">
        <v>277</v>
      </c>
      <c r="C1861" s="6" t="s">
        <v>3723</v>
      </c>
      <c r="D1861" s="7" t="s">
        <v>283</v>
      </c>
      <c r="E1861" s="8">
        <v>420</v>
      </c>
    </row>
    <row r="1862" spans="1:5" ht="19.95" customHeight="1" x14ac:dyDescent="0.3">
      <c r="A1862" s="1" t="s">
        <v>3724</v>
      </c>
      <c r="B1862" s="2" t="s">
        <v>277</v>
      </c>
      <c r="C1862" s="2" t="s">
        <v>3725</v>
      </c>
      <c r="D1862" s="3" t="s">
        <v>283</v>
      </c>
      <c r="E1862" s="4">
        <v>230</v>
      </c>
    </row>
    <row r="1863" spans="1:5" ht="19.95" customHeight="1" x14ac:dyDescent="0.3">
      <c r="A1863" s="5" t="s">
        <v>3726</v>
      </c>
      <c r="B1863" s="6" t="s">
        <v>277</v>
      </c>
      <c r="C1863" s="6" t="s">
        <v>3727</v>
      </c>
      <c r="D1863" s="7" t="s">
        <v>283</v>
      </c>
      <c r="E1863" s="8">
        <v>215</v>
      </c>
    </row>
    <row r="1864" spans="1:5" ht="19.95" customHeight="1" x14ac:dyDescent="0.3">
      <c r="A1864" s="1" t="s">
        <v>3728</v>
      </c>
      <c r="B1864" s="2" t="s">
        <v>277</v>
      </c>
      <c r="C1864" s="2" t="s">
        <v>3729</v>
      </c>
      <c r="D1864" s="3" t="s">
        <v>169</v>
      </c>
      <c r="E1864" s="4">
        <v>230</v>
      </c>
    </row>
    <row r="1865" spans="1:5" ht="19.95" customHeight="1" x14ac:dyDescent="0.3">
      <c r="A1865" s="5" t="s">
        <v>3730</v>
      </c>
      <c r="B1865" s="6" t="s">
        <v>277</v>
      </c>
      <c r="C1865" s="6" t="s">
        <v>3731</v>
      </c>
      <c r="D1865" s="7" t="s">
        <v>283</v>
      </c>
      <c r="E1865" s="8">
        <v>42</v>
      </c>
    </row>
    <row r="1866" spans="1:5" ht="19.95" customHeight="1" x14ac:dyDescent="0.3">
      <c r="A1866" s="1" t="s">
        <v>3732</v>
      </c>
      <c r="B1866" s="2" t="s">
        <v>277</v>
      </c>
      <c r="C1866" s="2" t="s">
        <v>3733</v>
      </c>
      <c r="D1866" s="3" t="s">
        <v>366</v>
      </c>
      <c r="E1866" s="4">
        <v>371</v>
      </c>
    </row>
    <row r="1867" spans="1:5" ht="19.95" customHeight="1" x14ac:dyDescent="0.3">
      <c r="A1867" s="5" t="s">
        <v>3734</v>
      </c>
      <c r="B1867" s="6" t="s">
        <v>277</v>
      </c>
      <c r="C1867" s="6" t="s">
        <v>3735</v>
      </c>
      <c r="D1867" s="7" t="s">
        <v>169</v>
      </c>
      <c r="E1867" s="8">
        <v>425</v>
      </c>
    </row>
    <row r="1868" spans="1:5" ht="19.95" customHeight="1" x14ac:dyDescent="0.3">
      <c r="A1868" s="1" t="s">
        <v>3736</v>
      </c>
      <c r="B1868" s="2" t="s">
        <v>277</v>
      </c>
      <c r="C1868" s="2" t="s">
        <v>3737</v>
      </c>
      <c r="D1868" s="3" t="s">
        <v>169</v>
      </c>
      <c r="E1868" s="4">
        <v>560</v>
      </c>
    </row>
    <row r="1869" spans="1:5" ht="19.95" customHeight="1" x14ac:dyDescent="0.3">
      <c r="A1869" s="5" t="s">
        <v>3738</v>
      </c>
      <c r="B1869" s="6" t="s">
        <v>277</v>
      </c>
      <c r="C1869" s="6" t="s">
        <v>3739</v>
      </c>
      <c r="D1869" s="7" t="s">
        <v>189</v>
      </c>
      <c r="E1869" s="8">
        <v>300</v>
      </c>
    </row>
    <row r="1870" spans="1:5" ht="19.95" customHeight="1" x14ac:dyDescent="0.3">
      <c r="A1870" s="1" t="s">
        <v>3740</v>
      </c>
      <c r="B1870" s="2" t="s">
        <v>277</v>
      </c>
      <c r="C1870" s="2" t="s">
        <v>3741</v>
      </c>
      <c r="D1870" s="3" t="s">
        <v>18</v>
      </c>
      <c r="E1870" s="4">
        <v>5500</v>
      </c>
    </row>
    <row r="1871" spans="1:5" ht="19.95" customHeight="1" x14ac:dyDescent="0.3">
      <c r="A1871" s="5" t="s">
        <v>3742</v>
      </c>
      <c r="B1871" s="6" t="s">
        <v>277</v>
      </c>
      <c r="C1871" s="6" t="s">
        <v>3743</v>
      </c>
      <c r="D1871" s="7" t="s">
        <v>366</v>
      </c>
      <c r="E1871" s="8">
        <v>65</v>
      </c>
    </row>
    <row r="1872" spans="1:5" ht="19.95" customHeight="1" x14ac:dyDescent="0.3">
      <c r="A1872" s="1" t="s">
        <v>3744</v>
      </c>
      <c r="B1872" s="2" t="s">
        <v>277</v>
      </c>
      <c r="C1872" s="2" t="s">
        <v>3745</v>
      </c>
      <c r="D1872" s="3" t="s">
        <v>366</v>
      </c>
      <c r="E1872" s="4">
        <v>70</v>
      </c>
    </row>
    <row r="1873" spans="1:5" ht="19.95" customHeight="1" x14ac:dyDescent="0.3">
      <c r="A1873" s="5" t="s">
        <v>3746</v>
      </c>
      <c r="B1873" s="6" t="s">
        <v>277</v>
      </c>
      <c r="C1873" s="6" t="s">
        <v>3747</v>
      </c>
      <c r="D1873" s="7" t="s">
        <v>169</v>
      </c>
      <c r="E1873" s="8">
        <v>400</v>
      </c>
    </row>
    <row r="1874" spans="1:5" ht="19.95" customHeight="1" x14ac:dyDescent="0.3">
      <c r="A1874" s="1" t="s">
        <v>3748</v>
      </c>
      <c r="B1874" s="2" t="s">
        <v>277</v>
      </c>
      <c r="C1874" s="2" t="s">
        <v>3749</v>
      </c>
      <c r="D1874" s="3" t="s">
        <v>169</v>
      </c>
      <c r="E1874" s="4">
        <v>1300</v>
      </c>
    </row>
    <row r="1875" spans="1:5" ht="19.95" customHeight="1" x14ac:dyDescent="0.3">
      <c r="A1875" s="5" t="s">
        <v>3750</v>
      </c>
      <c r="B1875" s="6" t="s">
        <v>277</v>
      </c>
      <c r="C1875" s="6" t="s">
        <v>3751</v>
      </c>
      <c r="D1875" s="7" t="s">
        <v>3752</v>
      </c>
      <c r="E1875" s="8">
        <v>600</v>
      </c>
    </row>
    <row r="1876" spans="1:5" ht="19.95" customHeight="1" x14ac:dyDescent="0.3">
      <c r="A1876" s="1" t="s">
        <v>3753</v>
      </c>
      <c r="B1876" s="2" t="s">
        <v>277</v>
      </c>
      <c r="C1876" s="2" t="s">
        <v>3754</v>
      </c>
      <c r="D1876" s="3" t="s">
        <v>283</v>
      </c>
      <c r="E1876" s="4">
        <v>6.5</v>
      </c>
    </row>
    <row r="1877" spans="1:5" ht="19.95" customHeight="1" x14ac:dyDescent="0.3">
      <c r="A1877" s="5" t="s">
        <v>3755</v>
      </c>
      <c r="B1877" s="6" t="s">
        <v>277</v>
      </c>
      <c r="C1877" s="6" t="s">
        <v>3756</v>
      </c>
      <c r="D1877" s="7" t="s">
        <v>2606</v>
      </c>
      <c r="E1877" s="8">
        <v>40</v>
      </c>
    </row>
    <row r="1878" spans="1:5" ht="19.95" customHeight="1" x14ac:dyDescent="0.3">
      <c r="A1878" s="1" t="s">
        <v>3757</v>
      </c>
      <c r="B1878" s="2" t="s">
        <v>277</v>
      </c>
      <c r="C1878" s="2" t="s">
        <v>3758</v>
      </c>
      <c r="D1878" s="3" t="s">
        <v>189</v>
      </c>
      <c r="E1878" s="4">
        <v>135</v>
      </c>
    </row>
    <row r="1879" spans="1:5" ht="19.95" customHeight="1" x14ac:dyDescent="0.3">
      <c r="A1879" s="5" t="s">
        <v>3759</v>
      </c>
      <c r="B1879" s="6" t="s">
        <v>277</v>
      </c>
      <c r="C1879" s="6" t="s">
        <v>3760</v>
      </c>
      <c r="D1879" s="7" t="s">
        <v>169</v>
      </c>
      <c r="E1879" s="8">
        <v>280</v>
      </c>
    </row>
    <row r="1880" spans="1:5" ht="19.95" customHeight="1" x14ac:dyDescent="0.3">
      <c r="A1880" s="1" t="s">
        <v>3761</v>
      </c>
      <c r="B1880" s="2" t="s">
        <v>277</v>
      </c>
      <c r="C1880" s="2" t="s">
        <v>3760</v>
      </c>
      <c r="D1880" s="3" t="s">
        <v>169</v>
      </c>
      <c r="E1880" s="4">
        <v>300</v>
      </c>
    </row>
    <row r="1881" spans="1:5" ht="19.95" customHeight="1" x14ac:dyDescent="0.3">
      <c r="A1881" s="5" t="s">
        <v>3762</v>
      </c>
      <c r="B1881" s="6" t="s">
        <v>277</v>
      </c>
      <c r="C1881" s="6" t="s">
        <v>3763</v>
      </c>
      <c r="D1881" s="7" t="s">
        <v>169</v>
      </c>
      <c r="E1881" s="8">
        <v>360</v>
      </c>
    </row>
    <row r="1882" spans="1:5" ht="19.95" customHeight="1" x14ac:dyDescent="0.3">
      <c r="A1882" s="1" t="s">
        <v>3764</v>
      </c>
      <c r="B1882" s="2" t="s">
        <v>277</v>
      </c>
      <c r="C1882" s="2" t="s">
        <v>3765</v>
      </c>
      <c r="D1882" s="3" t="s">
        <v>189</v>
      </c>
      <c r="E1882" s="4">
        <v>100</v>
      </c>
    </row>
    <row r="1883" spans="1:5" ht="19.95" customHeight="1" x14ac:dyDescent="0.3">
      <c r="A1883" s="5" t="s">
        <v>3766</v>
      </c>
      <c r="B1883" s="6" t="s">
        <v>277</v>
      </c>
      <c r="C1883" s="6" t="s">
        <v>3767</v>
      </c>
      <c r="D1883" s="7" t="s">
        <v>169</v>
      </c>
      <c r="E1883" s="8">
        <v>265</v>
      </c>
    </row>
    <row r="1884" spans="1:5" ht="19.95" customHeight="1" x14ac:dyDescent="0.3">
      <c r="A1884" s="1" t="s">
        <v>3768</v>
      </c>
      <c r="B1884" s="2" t="s">
        <v>277</v>
      </c>
      <c r="C1884" s="2" t="s">
        <v>3769</v>
      </c>
      <c r="D1884" s="3" t="s">
        <v>169</v>
      </c>
      <c r="E1884" s="4">
        <v>420</v>
      </c>
    </row>
    <row r="1885" spans="1:5" ht="19.95" customHeight="1" x14ac:dyDescent="0.3">
      <c r="A1885" s="5" t="s">
        <v>3770</v>
      </c>
      <c r="B1885" s="6" t="s">
        <v>277</v>
      </c>
      <c r="C1885" s="6" t="s">
        <v>3771</v>
      </c>
      <c r="D1885" s="7" t="s">
        <v>283</v>
      </c>
      <c r="E1885" s="8">
        <v>610</v>
      </c>
    </row>
    <row r="1886" spans="1:5" ht="19.95" customHeight="1" x14ac:dyDescent="0.3">
      <c r="A1886" s="1" t="s">
        <v>3772</v>
      </c>
      <c r="B1886" s="2" t="s">
        <v>277</v>
      </c>
      <c r="C1886" s="2" t="s">
        <v>3773</v>
      </c>
      <c r="D1886" s="3" t="s">
        <v>189</v>
      </c>
      <c r="E1886" s="4">
        <v>59</v>
      </c>
    </row>
    <row r="1887" spans="1:5" ht="19.95" customHeight="1" x14ac:dyDescent="0.3">
      <c r="A1887" s="5" t="s">
        <v>3774</v>
      </c>
      <c r="B1887" s="6" t="s">
        <v>277</v>
      </c>
      <c r="C1887" s="6" t="s">
        <v>3775</v>
      </c>
      <c r="D1887" s="7" t="s">
        <v>3335</v>
      </c>
      <c r="E1887" s="8">
        <v>230</v>
      </c>
    </row>
    <row r="1888" spans="1:5" ht="19.95" customHeight="1" x14ac:dyDescent="0.3">
      <c r="A1888" s="1" t="s">
        <v>3776</v>
      </c>
      <c r="B1888" s="2" t="s">
        <v>277</v>
      </c>
      <c r="C1888" s="2" t="s">
        <v>3777</v>
      </c>
      <c r="D1888" s="3" t="s">
        <v>189</v>
      </c>
      <c r="E1888" s="4">
        <v>9</v>
      </c>
    </row>
    <row r="1889" spans="1:5" ht="19.95" customHeight="1" x14ac:dyDescent="0.3">
      <c r="A1889" s="5" t="s">
        <v>3778</v>
      </c>
      <c r="B1889" s="6" t="s">
        <v>277</v>
      </c>
      <c r="C1889" s="6" t="s">
        <v>3779</v>
      </c>
      <c r="D1889" s="7" t="s">
        <v>283</v>
      </c>
      <c r="E1889" s="8">
        <v>160</v>
      </c>
    </row>
    <row r="1890" spans="1:5" ht="19.95" customHeight="1" x14ac:dyDescent="0.3">
      <c r="A1890" s="1" t="s">
        <v>3780</v>
      </c>
      <c r="B1890" s="2" t="s">
        <v>277</v>
      </c>
      <c r="C1890" s="2" t="s">
        <v>3781</v>
      </c>
      <c r="D1890" s="3" t="s">
        <v>169</v>
      </c>
      <c r="E1890" s="4">
        <v>1700</v>
      </c>
    </row>
    <row r="1891" spans="1:5" ht="19.95" customHeight="1" x14ac:dyDescent="0.3">
      <c r="A1891" s="5" t="s">
        <v>3782</v>
      </c>
      <c r="B1891" s="6" t="s">
        <v>277</v>
      </c>
      <c r="C1891" s="6" t="s">
        <v>3783</v>
      </c>
      <c r="D1891" s="7" t="s">
        <v>283</v>
      </c>
      <c r="E1891" s="8">
        <v>467</v>
      </c>
    </row>
    <row r="1892" spans="1:5" ht="19.95" customHeight="1" x14ac:dyDescent="0.3">
      <c r="A1892" s="1" t="s">
        <v>3784</v>
      </c>
      <c r="B1892" s="2" t="s">
        <v>277</v>
      </c>
      <c r="C1892" s="2" t="s">
        <v>3785</v>
      </c>
      <c r="D1892" s="3" t="s">
        <v>169</v>
      </c>
      <c r="E1892" s="4">
        <v>2326</v>
      </c>
    </row>
    <row r="1893" spans="1:5" ht="19.95" customHeight="1" x14ac:dyDescent="0.3">
      <c r="A1893" s="5" t="s">
        <v>3786</v>
      </c>
      <c r="B1893" s="6" t="s">
        <v>277</v>
      </c>
      <c r="C1893" s="6" t="s">
        <v>3787</v>
      </c>
      <c r="D1893" s="7" t="s">
        <v>169</v>
      </c>
      <c r="E1893" s="8">
        <v>2100</v>
      </c>
    </row>
    <row r="1894" spans="1:5" ht="19.95" customHeight="1" x14ac:dyDescent="0.3">
      <c r="A1894" s="1" t="s">
        <v>3788</v>
      </c>
      <c r="B1894" s="2" t="s">
        <v>277</v>
      </c>
      <c r="C1894" s="2" t="s">
        <v>3789</v>
      </c>
      <c r="D1894" s="3" t="s">
        <v>283</v>
      </c>
      <c r="E1894" s="4">
        <v>315</v>
      </c>
    </row>
    <row r="1895" spans="1:5" ht="19.95" customHeight="1" x14ac:dyDescent="0.3">
      <c r="A1895" s="5" t="s">
        <v>3790</v>
      </c>
      <c r="B1895" s="6" t="s">
        <v>277</v>
      </c>
      <c r="C1895" s="6" t="s">
        <v>3791</v>
      </c>
      <c r="D1895" s="7" t="s">
        <v>169</v>
      </c>
      <c r="E1895" s="8">
        <v>2050</v>
      </c>
    </row>
    <row r="1896" spans="1:5" ht="19.95" customHeight="1" x14ac:dyDescent="0.3">
      <c r="A1896" s="1" t="s">
        <v>3792</v>
      </c>
      <c r="B1896" s="2" t="s">
        <v>277</v>
      </c>
      <c r="C1896" s="2" t="s">
        <v>3787</v>
      </c>
      <c r="D1896" s="3" t="s">
        <v>169</v>
      </c>
      <c r="E1896" s="4">
        <v>2000</v>
      </c>
    </row>
    <row r="1897" spans="1:5" ht="19.95" customHeight="1" x14ac:dyDescent="0.3">
      <c r="A1897" s="5" t="s">
        <v>3793</v>
      </c>
      <c r="B1897" s="6" t="s">
        <v>277</v>
      </c>
      <c r="C1897" s="6" t="s">
        <v>3794</v>
      </c>
      <c r="D1897" s="7" t="s">
        <v>169</v>
      </c>
      <c r="E1897" s="8">
        <v>3000</v>
      </c>
    </row>
    <row r="1898" spans="1:5" ht="19.95" customHeight="1" x14ac:dyDescent="0.3">
      <c r="A1898" s="1" t="s">
        <v>3795</v>
      </c>
      <c r="B1898" s="2" t="s">
        <v>277</v>
      </c>
      <c r="C1898" s="2" t="s">
        <v>3796</v>
      </c>
      <c r="D1898" s="3" t="s">
        <v>189</v>
      </c>
      <c r="E1898" s="4">
        <v>24</v>
      </c>
    </row>
    <row r="1899" spans="1:5" ht="19.95" customHeight="1" x14ac:dyDescent="0.3">
      <c r="A1899" s="5" t="s">
        <v>3797</v>
      </c>
      <c r="B1899" s="6" t="s">
        <v>277</v>
      </c>
      <c r="C1899" s="6" t="s">
        <v>3798</v>
      </c>
      <c r="D1899" s="7" t="s">
        <v>189</v>
      </c>
      <c r="E1899" s="8">
        <v>18</v>
      </c>
    </row>
    <row r="1900" spans="1:5" ht="19.95" customHeight="1" x14ac:dyDescent="0.3">
      <c r="A1900" s="1" t="s">
        <v>3799</v>
      </c>
      <c r="B1900" s="2" t="s">
        <v>277</v>
      </c>
      <c r="C1900" s="2" t="s">
        <v>3800</v>
      </c>
      <c r="D1900" s="3" t="s">
        <v>189</v>
      </c>
      <c r="E1900" s="4">
        <v>375</v>
      </c>
    </row>
    <row r="1901" spans="1:5" ht="19.95" customHeight="1" x14ac:dyDescent="0.3">
      <c r="A1901" s="5" t="s">
        <v>3801</v>
      </c>
      <c r="B1901" s="6" t="s">
        <v>277</v>
      </c>
      <c r="C1901" s="6" t="s">
        <v>3802</v>
      </c>
      <c r="D1901" s="7" t="s">
        <v>283</v>
      </c>
      <c r="E1901" s="8">
        <v>28</v>
      </c>
    </row>
    <row r="1902" spans="1:5" ht="19.95" customHeight="1" x14ac:dyDescent="0.3">
      <c r="A1902" s="1" t="s">
        <v>3803</v>
      </c>
      <c r="B1902" s="2" t="s">
        <v>277</v>
      </c>
      <c r="C1902" s="2" t="s">
        <v>3804</v>
      </c>
      <c r="D1902" s="3" t="s">
        <v>283</v>
      </c>
      <c r="E1902" s="4">
        <v>35</v>
      </c>
    </row>
    <row r="1903" spans="1:5" ht="19.95" customHeight="1" x14ac:dyDescent="0.3">
      <c r="A1903" s="5" t="s">
        <v>3805</v>
      </c>
      <c r="B1903" s="6" t="s">
        <v>277</v>
      </c>
      <c r="C1903" s="6" t="s">
        <v>3806</v>
      </c>
      <c r="D1903" s="7" t="s">
        <v>283</v>
      </c>
      <c r="E1903" s="8">
        <v>22</v>
      </c>
    </row>
    <row r="1904" spans="1:5" ht="19.95" customHeight="1" x14ac:dyDescent="0.3">
      <c r="A1904" s="1" t="s">
        <v>3807</v>
      </c>
      <c r="B1904" s="2" t="s">
        <v>277</v>
      </c>
      <c r="C1904" s="2" t="s">
        <v>3808</v>
      </c>
      <c r="D1904" s="3" t="s">
        <v>189</v>
      </c>
      <c r="E1904" s="4">
        <v>2</v>
      </c>
    </row>
    <row r="1905" spans="1:5" ht="19.95" customHeight="1" x14ac:dyDescent="0.3">
      <c r="A1905" s="5" t="s">
        <v>3809</v>
      </c>
      <c r="B1905" s="6" t="s">
        <v>277</v>
      </c>
      <c r="C1905" s="6" t="s">
        <v>3810</v>
      </c>
      <c r="D1905" s="7" t="s">
        <v>548</v>
      </c>
      <c r="E1905" s="8">
        <v>68</v>
      </c>
    </row>
    <row r="1906" spans="1:5" ht="19.95" customHeight="1" x14ac:dyDescent="0.3">
      <c r="A1906" s="1" t="s">
        <v>3811</v>
      </c>
      <c r="B1906" s="2" t="s">
        <v>277</v>
      </c>
      <c r="C1906" s="2" t="s">
        <v>3812</v>
      </c>
      <c r="D1906" s="3" t="s">
        <v>169</v>
      </c>
      <c r="E1906" s="4">
        <v>695</v>
      </c>
    </row>
    <row r="1907" spans="1:5" ht="19.95" customHeight="1" x14ac:dyDescent="0.3">
      <c r="A1907" s="5" t="s">
        <v>3813</v>
      </c>
      <c r="B1907" s="6" t="s">
        <v>277</v>
      </c>
      <c r="C1907" s="6" t="s">
        <v>3814</v>
      </c>
      <c r="D1907" s="7" t="s">
        <v>169</v>
      </c>
      <c r="E1907" s="8">
        <v>850</v>
      </c>
    </row>
    <row r="1908" spans="1:5" ht="19.95" customHeight="1" x14ac:dyDescent="0.3">
      <c r="A1908" s="1" t="s">
        <v>3815</v>
      </c>
      <c r="B1908" s="2" t="s">
        <v>277</v>
      </c>
      <c r="C1908" s="2" t="s">
        <v>3816</v>
      </c>
      <c r="D1908" s="3" t="s">
        <v>169</v>
      </c>
      <c r="E1908" s="4">
        <v>365</v>
      </c>
    </row>
    <row r="1909" spans="1:5" ht="19.95" customHeight="1" x14ac:dyDescent="0.3">
      <c r="A1909" s="5" t="s">
        <v>3817</v>
      </c>
      <c r="B1909" s="6" t="s">
        <v>277</v>
      </c>
      <c r="C1909" s="6" t="s">
        <v>3818</v>
      </c>
      <c r="D1909" s="7" t="s">
        <v>169</v>
      </c>
      <c r="E1909" s="8">
        <v>280</v>
      </c>
    </row>
    <row r="1910" spans="1:5" ht="19.95" customHeight="1" x14ac:dyDescent="0.3">
      <c r="A1910" s="1" t="s">
        <v>3819</v>
      </c>
      <c r="B1910" s="2" t="s">
        <v>277</v>
      </c>
      <c r="C1910" s="2" t="s">
        <v>3820</v>
      </c>
      <c r="D1910" s="3" t="s">
        <v>169</v>
      </c>
      <c r="E1910" s="4">
        <v>2675</v>
      </c>
    </row>
    <row r="1911" spans="1:5" ht="19.95" customHeight="1" x14ac:dyDescent="0.3">
      <c r="A1911" s="5" t="s">
        <v>3821</v>
      </c>
      <c r="B1911" s="6" t="s">
        <v>277</v>
      </c>
      <c r="C1911" s="6" t="s">
        <v>3822</v>
      </c>
      <c r="D1911" s="7" t="s">
        <v>366</v>
      </c>
      <c r="E1911" s="8">
        <v>9</v>
      </c>
    </row>
    <row r="1912" spans="1:5" ht="19.95" customHeight="1" x14ac:dyDescent="0.3">
      <c r="A1912" s="1" t="s">
        <v>3823</v>
      </c>
      <c r="B1912" s="2" t="s">
        <v>277</v>
      </c>
      <c r="C1912" s="2" t="s">
        <v>3824</v>
      </c>
      <c r="D1912" s="3" t="s">
        <v>366</v>
      </c>
      <c r="E1912" s="4">
        <v>365</v>
      </c>
    </row>
    <row r="1913" spans="1:5" ht="19.95" customHeight="1" x14ac:dyDescent="0.3">
      <c r="A1913" s="5" t="s">
        <v>3825</v>
      </c>
      <c r="B1913" s="6" t="s">
        <v>277</v>
      </c>
      <c r="C1913" s="6" t="s">
        <v>3826</v>
      </c>
      <c r="D1913" s="7" t="s">
        <v>3827</v>
      </c>
      <c r="E1913" s="8">
        <v>400</v>
      </c>
    </row>
    <row r="1914" spans="1:5" ht="19.95" customHeight="1" x14ac:dyDescent="0.3">
      <c r="A1914" s="1" t="s">
        <v>3828</v>
      </c>
      <c r="B1914" s="2" t="s">
        <v>277</v>
      </c>
      <c r="C1914" s="2" t="s">
        <v>3829</v>
      </c>
      <c r="D1914" s="3" t="s">
        <v>283</v>
      </c>
      <c r="E1914" s="4">
        <v>255</v>
      </c>
    </row>
    <row r="1915" spans="1:5" ht="19.95" customHeight="1" x14ac:dyDescent="0.3">
      <c r="A1915" s="5" t="s">
        <v>3830</v>
      </c>
      <c r="B1915" s="6" t="s">
        <v>277</v>
      </c>
      <c r="C1915" s="6" t="s">
        <v>3831</v>
      </c>
      <c r="D1915" s="7" t="s">
        <v>169</v>
      </c>
      <c r="E1915" s="8">
        <v>2150</v>
      </c>
    </row>
    <row r="1916" spans="1:5" ht="19.95" customHeight="1" x14ac:dyDescent="0.3">
      <c r="A1916" s="1" t="s">
        <v>3832</v>
      </c>
      <c r="B1916" s="2" t="s">
        <v>277</v>
      </c>
      <c r="C1916" s="2" t="s">
        <v>3831</v>
      </c>
      <c r="D1916" s="3" t="s">
        <v>169</v>
      </c>
      <c r="E1916" s="4">
        <v>2600</v>
      </c>
    </row>
    <row r="1917" spans="1:5" ht="19.95" customHeight="1" x14ac:dyDescent="0.3">
      <c r="A1917" s="5" t="s">
        <v>3833</v>
      </c>
      <c r="B1917" s="6" t="s">
        <v>277</v>
      </c>
      <c r="C1917" s="6" t="s">
        <v>3834</v>
      </c>
      <c r="D1917" s="7" t="s">
        <v>169</v>
      </c>
      <c r="E1917" s="8">
        <v>400</v>
      </c>
    </row>
    <row r="1918" spans="1:5" ht="19.95" customHeight="1" x14ac:dyDescent="0.3">
      <c r="A1918" s="1" t="s">
        <v>3835</v>
      </c>
      <c r="B1918" s="2" t="s">
        <v>277</v>
      </c>
      <c r="C1918" s="2" t="s">
        <v>3836</v>
      </c>
      <c r="D1918" s="3" t="s">
        <v>283</v>
      </c>
      <c r="E1918" s="4">
        <v>1050</v>
      </c>
    </row>
    <row r="1919" spans="1:5" ht="19.95" customHeight="1" x14ac:dyDescent="0.3">
      <c r="A1919" s="5" t="s">
        <v>3837</v>
      </c>
      <c r="B1919" s="6" t="s">
        <v>277</v>
      </c>
      <c r="C1919" s="6" t="s">
        <v>3838</v>
      </c>
      <c r="D1919" s="7" t="s">
        <v>169</v>
      </c>
      <c r="E1919" s="8">
        <v>4500</v>
      </c>
    </row>
    <row r="1920" spans="1:5" ht="19.95" customHeight="1" x14ac:dyDescent="0.3">
      <c r="A1920" s="1" t="s">
        <v>3839</v>
      </c>
      <c r="B1920" s="2" t="s">
        <v>277</v>
      </c>
      <c r="C1920" s="2" t="s">
        <v>3840</v>
      </c>
      <c r="D1920" s="3" t="s">
        <v>366</v>
      </c>
      <c r="E1920" s="4">
        <v>295</v>
      </c>
    </row>
    <row r="1921" spans="1:5" ht="19.95" customHeight="1" x14ac:dyDescent="0.3">
      <c r="A1921" s="5" t="s">
        <v>3841</v>
      </c>
      <c r="B1921" s="6" t="s">
        <v>277</v>
      </c>
      <c r="C1921" s="6" t="s">
        <v>3842</v>
      </c>
      <c r="D1921" s="7" t="s">
        <v>169</v>
      </c>
      <c r="E1921" s="8">
        <v>21500</v>
      </c>
    </row>
    <row r="1922" spans="1:5" ht="19.95" customHeight="1" x14ac:dyDescent="0.3">
      <c r="A1922" s="1" t="s">
        <v>3843</v>
      </c>
      <c r="B1922" s="2" t="s">
        <v>277</v>
      </c>
      <c r="C1922" s="2" t="s">
        <v>3844</v>
      </c>
      <c r="D1922" s="3" t="s">
        <v>283</v>
      </c>
      <c r="E1922" s="4">
        <v>295</v>
      </c>
    </row>
    <row r="1923" spans="1:5" ht="19.95" customHeight="1" x14ac:dyDescent="0.3">
      <c r="A1923" s="5" t="s">
        <v>3845</v>
      </c>
      <c r="B1923" s="6" t="s">
        <v>277</v>
      </c>
      <c r="C1923" s="6" t="s">
        <v>3846</v>
      </c>
      <c r="D1923" s="7" t="s">
        <v>283</v>
      </c>
      <c r="E1923" s="8">
        <v>68</v>
      </c>
    </row>
    <row r="1924" spans="1:5" ht="19.95" customHeight="1" x14ac:dyDescent="0.3">
      <c r="A1924" s="1" t="s">
        <v>3847</v>
      </c>
      <c r="B1924" s="2" t="s">
        <v>277</v>
      </c>
      <c r="C1924" s="2" t="s">
        <v>3848</v>
      </c>
      <c r="D1924" s="3" t="s">
        <v>189</v>
      </c>
      <c r="E1924" s="4">
        <v>5200</v>
      </c>
    </row>
    <row r="1925" spans="1:5" ht="19.95" customHeight="1" x14ac:dyDescent="0.3">
      <c r="A1925" s="5" t="s">
        <v>3849</v>
      </c>
      <c r="B1925" s="6" t="s">
        <v>277</v>
      </c>
      <c r="C1925" s="6" t="s">
        <v>3850</v>
      </c>
      <c r="D1925" s="7" t="s">
        <v>283</v>
      </c>
      <c r="E1925" s="8">
        <v>355</v>
      </c>
    </row>
    <row r="1926" spans="1:5" ht="19.95" customHeight="1" x14ac:dyDescent="0.3">
      <c r="A1926" s="1" t="s">
        <v>3851</v>
      </c>
      <c r="B1926" s="2" t="s">
        <v>277</v>
      </c>
      <c r="C1926" s="2" t="s">
        <v>3852</v>
      </c>
      <c r="D1926" s="3" t="s">
        <v>169</v>
      </c>
      <c r="E1926" s="4">
        <v>2400</v>
      </c>
    </row>
    <row r="1927" spans="1:5" ht="19.95" customHeight="1" x14ac:dyDescent="0.3">
      <c r="A1927" s="5" t="s">
        <v>3853</v>
      </c>
      <c r="B1927" s="6" t="s">
        <v>277</v>
      </c>
      <c r="C1927" s="6" t="s">
        <v>3854</v>
      </c>
      <c r="D1927" s="7" t="s">
        <v>283</v>
      </c>
      <c r="E1927" s="8">
        <v>400</v>
      </c>
    </row>
    <row r="1928" spans="1:5" ht="19.95" customHeight="1" x14ac:dyDescent="0.3">
      <c r="A1928" s="1" t="s">
        <v>3855</v>
      </c>
      <c r="B1928" s="2" t="s">
        <v>277</v>
      </c>
      <c r="C1928" s="2" t="s">
        <v>3856</v>
      </c>
      <c r="D1928" s="3" t="s">
        <v>169</v>
      </c>
      <c r="E1928" s="4">
        <v>2600</v>
      </c>
    </row>
    <row r="1929" spans="1:5" ht="19.95" customHeight="1" x14ac:dyDescent="0.3">
      <c r="A1929" s="5" t="s">
        <v>3857</v>
      </c>
      <c r="B1929" s="6" t="s">
        <v>277</v>
      </c>
      <c r="C1929" s="6" t="s">
        <v>3858</v>
      </c>
      <c r="D1929" s="7" t="s">
        <v>189</v>
      </c>
      <c r="E1929" s="8">
        <v>120</v>
      </c>
    </row>
    <row r="1930" spans="1:5" ht="19.95" customHeight="1" x14ac:dyDescent="0.3">
      <c r="A1930" s="1" t="s">
        <v>3859</v>
      </c>
      <c r="B1930" s="2" t="s">
        <v>277</v>
      </c>
      <c r="C1930" s="2" t="s">
        <v>3860</v>
      </c>
      <c r="D1930" s="3" t="s">
        <v>189</v>
      </c>
      <c r="E1930" s="4">
        <v>130</v>
      </c>
    </row>
    <row r="1931" spans="1:5" ht="19.95" customHeight="1" x14ac:dyDescent="0.3">
      <c r="A1931" s="5" t="s">
        <v>3861</v>
      </c>
      <c r="B1931" s="6" t="s">
        <v>277</v>
      </c>
      <c r="C1931" s="6" t="s">
        <v>3862</v>
      </c>
      <c r="D1931" s="7" t="s">
        <v>189</v>
      </c>
      <c r="E1931" s="8">
        <v>105</v>
      </c>
    </row>
    <row r="1932" spans="1:5" ht="19.95" customHeight="1" x14ac:dyDescent="0.3">
      <c r="A1932" s="1" t="s">
        <v>3863</v>
      </c>
      <c r="B1932" s="2" t="s">
        <v>277</v>
      </c>
      <c r="C1932" s="2" t="s">
        <v>3864</v>
      </c>
      <c r="D1932" s="3" t="s">
        <v>189</v>
      </c>
      <c r="E1932" s="4">
        <v>56</v>
      </c>
    </row>
    <row r="1933" spans="1:5" ht="19.95" customHeight="1" x14ac:dyDescent="0.3">
      <c r="A1933" s="5" t="s">
        <v>3865</v>
      </c>
      <c r="B1933" s="6" t="s">
        <v>277</v>
      </c>
      <c r="C1933" s="6" t="s">
        <v>3866</v>
      </c>
      <c r="D1933" s="7" t="s">
        <v>189</v>
      </c>
      <c r="E1933" s="8">
        <v>95</v>
      </c>
    </row>
    <row r="1934" spans="1:5" ht="19.95" customHeight="1" x14ac:dyDescent="0.3">
      <c r="A1934" s="1" t="s">
        <v>3867</v>
      </c>
      <c r="B1934" s="2" t="s">
        <v>277</v>
      </c>
      <c r="C1934" s="2" t="s">
        <v>3868</v>
      </c>
      <c r="D1934" s="3" t="s">
        <v>189</v>
      </c>
      <c r="E1934" s="4">
        <v>115</v>
      </c>
    </row>
    <row r="1935" spans="1:5" ht="19.95" customHeight="1" x14ac:dyDescent="0.3">
      <c r="A1935" s="5" t="s">
        <v>3869</v>
      </c>
      <c r="B1935" s="6" t="s">
        <v>277</v>
      </c>
      <c r="C1935" s="6" t="s">
        <v>3870</v>
      </c>
      <c r="D1935" s="7" t="s">
        <v>189</v>
      </c>
      <c r="E1935" s="8">
        <v>205</v>
      </c>
    </row>
    <row r="1936" spans="1:5" ht="19.95" customHeight="1" x14ac:dyDescent="0.3">
      <c r="A1936" s="1" t="s">
        <v>3871</v>
      </c>
      <c r="B1936" s="2" t="s">
        <v>277</v>
      </c>
      <c r="C1936" s="2" t="s">
        <v>3872</v>
      </c>
      <c r="D1936" s="3" t="s">
        <v>189</v>
      </c>
      <c r="E1936" s="4">
        <v>230</v>
      </c>
    </row>
    <row r="1937" spans="1:5" ht="19.95" customHeight="1" x14ac:dyDescent="0.3">
      <c r="A1937" s="5" t="s">
        <v>3873</v>
      </c>
      <c r="B1937" s="6" t="s">
        <v>277</v>
      </c>
      <c r="C1937" s="6" t="s">
        <v>3874</v>
      </c>
      <c r="D1937" s="7" t="s">
        <v>189</v>
      </c>
      <c r="E1937" s="8">
        <v>245</v>
      </c>
    </row>
    <row r="1938" spans="1:5" ht="19.95" customHeight="1" x14ac:dyDescent="0.3">
      <c r="A1938" s="1" t="s">
        <v>3875</v>
      </c>
      <c r="B1938" s="2" t="s">
        <v>277</v>
      </c>
      <c r="C1938" s="2" t="s">
        <v>3876</v>
      </c>
      <c r="D1938" s="3" t="s">
        <v>189</v>
      </c>
      <c r="E1938" s="4">
        <v>345</v>
      </c>
    </row>
    <row r="1939" spans="1:5" ht="19.95" customHeight="1" x14ac:dyDescent="0.3">
      <c r="A1939" s="5" t="s">
        <v>3877</v>
      </c>
      <c r="B1939" s="6" t="s">
        <v>277</v>
      </c>
      <c r="C1939" s="6" t="s">
        <v>3878</v>
      </c>
      <c r="D1939" s="7" t="s">
        <v>189</v>
      </c>
      <c r="E1939" s="8">
        <v>365</v>
      </c>
    </row>
    <row r="1940" spans="1:5" ht="19.95" customHeight="1" x14ac:dyDescent="0.3">
      <c r="A1940" s="1" t="s">
        <v>3879</v>
      </c>
      <c r="B1940" s="2" t="s">
        <v>277</v>
      </c>
      <c r="C1940" s="2" t="s">
        <v>3880</v>
      </c>
      <c r="D1940" s="3" t="s">
        <v>169</v>
      </c>
      <c r="E1940" s="4">
        <v>22500</v>
      </c>
    </row>
    <row r="1941" spans="1:5" ht="19.95" customHeight="1" x14ac:dyDescent="0.3">
      <c r="A1941" s="5" t="s">
        <v>3881</v>
      </c>
      <c r="B1941" s="6" t="s">
        <v>277</v>
      </c>
      <c r="C1941" s="6" t="s">
        <v>3882</v>
      </c>
      <c r="D1941" s="7" t="s">
        <v>169</v>
      </c>
      <c r="E1941" s="8">
        <v>21.5</v>
      </c>
    </row>
    <row r="1942" spans="1:5" ht="19.95" customHeight="1" x14ac:dyDescent="0.3">
      <c r="A1942" s="1" t="s">
        <v>3883</v>
      </c>
      <c r="B1942" s="2" t="s">
        <v>277</v>
      </c>
      <c r="C1942" s="2" t="s">
        <v>3884</v>
      </c>
      <c r="D1942" s="3" t="s">
        <v>283</v>
      </c>
      <c r="E1942" s="4">
        <v>30</v>
      </c>
    </row>
    <row r="1943" spans="1:5" ht="19.95" customHeight="1" x14ac:dyDescent="0.3">
      <c r="A1943" s="5" t="s">
        <v>3885</v>
      </c>
      <c r="B1943" s="6" t="s">
        <v>277</v>
      </c>
      <c r="C1943" s="6" t="s">
        <v>3886</v>
      </c>
      <c r="D1943" s="7" t="s">
        <v>283</v>
      </c>
      <c r="E1943" s="8">
        <v>20</v>
      </c>
    </row>
    <row r="1944" spans="1:5" ht="19.95" customHeight="1" x14ac:dyDescent="0.3">
      <c r="A1944" s="1" t="s">
        <v>3887</v>
      </c>
      <c r="B1944" s="2" t="s">
        <v>277</v>
      </c>
      <c r="C1944" s="2" t="s">
        <v>3888</v>
      </c>
      <c r="D1944" s="3" t="s">
        <v>366</v>
      </c>
      <c r="E1944" s="4">
        <v>260</v>
      </c>
    </row>
    <row r="1945" spans="1:5" ht="19.95" customHeight="1" x14ac:dyDescent="0.3">
      <c r="A1945" s="5" t="s">
        <v>3889</v>
      </c>
      <c r="B1945" s="6" t="s">
        <v>277</v>
      </c>
      <c r="C1945" s="6" t="s">
        <v>3890</v>
      </c>
      <c r="D1945" s="7" t="s">
        <v>283</v>
      </c>
      <c r="E1945" s="8">
        <v>60</v>
      </c>
    </row>
    <row r="1946" spans="1:5" ht="19.95" customHeight="1" x14ac:dyDescent="0.3">
      <c r="A1946" s="1" t="s">
        <v>3891</v>
      </c>
      <c r="B1946" s="2" t="s">
        <v>277</v>
      </c>
      <c r="C1946" s="2" t="s">
        <v>3892</v>
      </c>
      <c r="D1946" s="3" t="s">
        <v>189</v>
      </c>
      <c r="E1946" s="4">
        <v>15</v>
      </c>
    </row>
    <row r="1947" spans="1:5" ht="19.95" customHeight="1" x14ac:dyDescent="0.3">
      <c r="A1947" s="5" t="s">
        <v>3893</v>
      </c>
      <c r="B1947" s="6" t="s">
        <v>277</v>
      </c>
      <c r="C1947" s="6" t="s">
        <v>3894</v>
      </c>
      <c r="D1947" s="7" t="s">
        <v>189</v>
      </c>
      <c r="E1947" s="8">
        <v>15</v>
      </c>
    </row>
    <row r="1948" spans="1:5" ht="19.95" customHeight="1" x14ac:dyDescent="0.3">
      <c r="A1948" s="1" t="s">
        <v>3895</v>
      </c>
      <c r="B1948" s="2" t="s">
        <v>277</v>
      </c>
      <c r="C1948" s="2" t="s">
        <v>3896</v>
      </c>
      <c r="D1948" s="3" t="s">
        <v>169</v>
      </c>
      <c r="E1948" s="4">
        <v>1747</v>
      </c>
    </row>
    <row r="1949" spans="1:5" ht="19.95" customHeight="1" x14ac:dyDescent="0.3">
      <c r="A1949" s="5" t="s">
        <v>3897</v>
      </c>
      <c r="B1949" s="6" t="s">
        <v>277</v>
      </c>
      <c r="C1949" s="6" t="s">
        <v>3771</v>
      </c>
      <c r="D1949" s="7" t="s">
        <v>283</v>
      </c>
      <c r="E1949" s="8">
        <v>130</v>
      </c>
    </row>
    <row r="1950" spans="1:5" ht="19.95" customHeight="1" x14ac:dyDescent="0.3">
      <c r="A1950" s="1" t="s">
        <v>3898</v>
      </c>
      <c r="B1950" s="2" t="s">
        <v>277</v>
      </c>
      <c r="C1950" s="2" t="s">
        <v>3771</v>
      </c>
      <c r="D1950" s="3" t="s">
        <v>283</v>
      </c>
      <c r="E1950" s="4">
        <v>243</v>
      </c>
    </row>
    <row r="1951" spans="1:5" ht="19.95" customHeight="1" x14ac:dyDescent="0.3">
      <c r="A1951" s="5" t="s">
        <v>3899</v>
      </c>
      <c r="B1951" s="6" t="s">
        <v>277</v>
      </c>
      <c r="C1951" s="6" t="s">
        <v>3771</v>
      </c>
      <c r="D1951" s="7" t="s">
        <v>283</v>
      </c>
      <c r="E1951" s="8">
        <v>297</v>
      </c>
    </row>
    <row r="1952" spans="1:5" ht="19.95" customHeight="1" x14ac:dyDescent="0.3">
      <c r="A1952" s="1" t="s">
        <v>3900</v>
      </c>
      <c r="B1952" s="2" t="s">
        <v>277</v>
      </c>
      <c r="C1952" s="2" t="s">
        <v>3771</v>
      </c>
      <c r="D1952" s="3" t="s">
        <v>283</v>
      </c>
      <c r="E1952" s="4">
        <v>423</v>
      </c>
    </row>
    <row r="1953" spans="1:5" ht="19.95" customHeight="1" x14ac:dyDescent="0.3">
      <c r="A1953" s="5" t="s">
        <v>3901</v>
      </c>
      <c r="B1953" s="6" t="s">
        <v>277</v>
      </c>
      <c r="C1953" s="6" t="s">
        <v>3771</v>
      </c>
      <c r="D1953" s="7" t="s">
        <v>283</v>
      </c>
      <c r="E1953" s="8">
        <v>441</v>
      </c>
    </row>
    <row r="1954" spans="1:5" ht="19.95" customHeight="1" x14ac:dyDescent="0.3">
      <c r="A1954" s="1" t="s">
        <v>3902</v>
      </c>
      <c r="B1954" s="2" t="s">
        <v>277</v>
      </c>
      <c r="C1954" s="2" t="s">
        <v>3903</v>
      </c>
      <c r="D1954" s="3" t="s">
        <v>169</v>
      </c>
      <c r="E1954" s="4">
        <v>833</v>
      </c>
    </row>
    <row r="1955" spans="1:5" ht="19.95" customHeight="1" x14ac:dyDescent="0.3">
      <c r="A1955" s="5" t="s">
        <v>3904</v>
      </c>
      <c r="B1955" s="6" t="s">
        <v>277</v>
      </c>
      <c r="C1955" s="6" t="s">
        <v>3905</v>
      </c>
      <c r="D1955" s="7" t="s">
        <v>169</v>
      </c>
      <c r="E1955" s="8">
        <v>470</v>
      </c>
    </row>
    <row r="1956" spans="1:5" ht="19.95" customHeight="1" x14ac:dyDescent="0.3">
      <c r="A1956" s="1" t="s">
        <v>3906</v>
      </c>
      <c r="B1956" s="2" t="s">
        <v>277</v>
      </c>
      <c r="C1956" s="2" t="s">
        <v>3907</v>
      </c>
      <c r="D1956" s="3" t="s">
        <v>189</v>
      </c>
      <c r="E1956" s="4">
        <v>63</v>
      </c>
    </row>
    <row r="1957" spans="1:5" ht="19.95" customHeight="1" x14ac:dyDescent="0.3">
      <c r="A1957" s="5" t="s">
        <v>3908</v>
      </c>
      <c r="B1957" s="6" t="s">
        <v>277</v>
      </c>
      <c r="C1957" s="6" t="s">
        <v>3909</v>
      </c>
      <c r="D1957" s="7" t="s">
        <v>189</v>
      </c>
      <c r="E1957" s="8">
        <v>89</v>
      </c>
    </row>
    <row r="1958" spans="1:5" ht="19.95" customHeight="1" x14ac:dyDescent="0.3">
      <c r="A1958" s="1" t="s">
        <v>3910</v>
      </c>
      <c r="B1958" s="2" t="s">
        <v>277</v>
      </c>
      <c r="C1958" s="2" t="s">
        <v>3911</v>
      </c>
      <c r="D1958" s="3" t="s">
        <v>189</v>
      </c>
      <c r="E1958" s="4">
        <v>131</v>
      </c>
    </row>
    <row r="1959" spans="1:5" ht="19.95" customHeight="1" x14ac:dyDescent="0.3">
      <c r="A1959" s="5" t="s">
        <v>3912</v>
      </c>
      <c r="B1959" s="6" t="s">
        <v>277</v>
      </c>
      <c r="C1959" s="6" t="s">
        <v>3913</v>
      </c>
      <c r="D1959" s="7" t="s">
        <v>189</v>
      </c>
      <c r="E1959" s="8">
        <v>158</v>
      </c>
    </row>
    <row r="1960" spans="1:5" ht="19.95" customHeight="1" x14ac:dyDescent="0.3">
      <c r="A1960" s="1" t="s">
        <v>3914</v>
      </c>
      <c r="B1960" s="2" t="s">
        <v>277</v>
      </c>
      <c r="C1960" s="2" t="s">
        <v>3915</v>
      </c>
      <c r="D1960" s="3" t="s">
        <v>189</v>
      </c>
      <c r="E1960" s="4">
        <v>180</v>
      </c>
    </row>
    <row r="1961" spans="1:5" ht="19.95" customHeight="1" x14ac:dyDescent="0.3">
      <c r="A1961" s="5" t="s">
        <v>3916</v>
      </c>
      <c r="B1961" s="6" t="s">
        <v>277</v>
      </c>
      <c r="C1961" s="6" t="s">
        <v>3917</v>
      </c>
      <c r="D1961" s="7" t="s">
        <v>189</v>
      </c>
      <c r="E1961" s="8">
        <v>103</v>
      </c>
    </row>
    <row r="1962" spans="1:5" ht="19.95" customHeight="1" x14ac:dyDescent="0.3">
      <c r="A1962" s="1" t="s">
        <v>3918</v>
      </c>
      <c r="B1962" s="2" t="s">
        <v>277</v>
      </c>
      <c r="C1962" s="2" t="s">
        <v>3919</v>
      </c>
      <c r="D1962" s="3" t="s">
        <v>189</v>
      </c>
      <c r="E1962" s="4">
        <v>141</v>
      </c>
    </row>
    <row r="1963" spans="1:5" ht="19.95" customHeight="1" x14ac:dyDescent="0.3">
      <c r="A1963" s="5" t="s">
        <v>3920</v>
      </c>
      <c r="B1963" s="6" t="s">
        <v>277</v>
      </c>
      <c r="C1963" s="6" t="s">
        <v>3921</v>
      </c>
      <c r="D1963" s="7" t="s">
        <v>189</v>
      </c>
      <c r="E1963" s="8">
        <v>145</v>
      </c>
    </row>
    <row r="1964" spans="1:5" ht="19.95" customHeight="1" x14ac:dyDescent="0.3">
      <c r="A1964" s="1" t="s">
        <v>3922</v>
      </c>
      <c r="B1964" s="2" t="s">
        <v>277</v>
      </c>
      <c r="C1964" s="2" t="s">
        <v>3923</v>
      </c>
      <c r="D1964" s="3" t="s">
        <v>189</v>
      </c>
      <c r="E1964" s="4">
        <v>184</v>
      </c>
    </row>
    <row r="1965" spans="1:5" ht="19.95" customHeight="1" x14ac:dyDescent="0.3">
      <c r="A1965" s="5" t="s">
        <v>3924</v>
      </c>
      <c r="B1965" s="6" t="s">
        <v>277</v>
      </c>
      <c r="C1965" s="6" t="s">
        <v>3925</v>
      </c>
      <c r="D1965" s="7" t="s">
        <v>189</v>
      </c>
      <c r="E1965" s="8">
        <v>187</v>
      </c>
    </row>
    <row r="1966" spans="1:5" ht="19.95" customHeight="1" x14ac:dyDescent="0.3">
      <c r="A1966" s="1" t="s">
        <v>3926</v>
      </c>
      <c r="B1966" s="2" t="s">
        <v>277</v>
      </c>
      <c r="C1966" s="2" t="s">
        <v>3927</v>
      </c>
      <c r="D1966" s="3" t="s">
        <v>189</v>
      </c>
      <c r="E1966" s="4">
        <v>190</v>
      </c>
    </row>
    <row r="1967" spans="1:5" ht="19.95" customHeight="1" x14ac:dyDescent="0.3">
      <c r="A1967" s="5" t="s">
        <v>3928</v>
      </c>
      <c r="B1967" s="6" t="s">
        <v>277</v>
      </c>
      <c r="C1967" s="6" t="s">
        <v>3929</v>
      </c>
      <c r="D1967" s="7" t="s">
        <v>189</v>
      </c>
      <c r="E1967" s="8">
        <v>359</v>
      </c>
    </row>
    <row r="1968" spans="1:5" ht="19.95" customHeight="1" x14ac:dyDescent="0.3">
      <c r="A1968" s="1" t="s">
        <v>3930</v>
      </c>
      <c r="B1968" s="2" t="s">
        <v>277</v>
      </c>
      <c r="C1968" s="2" t="s">
        <v>3931</v>
      </c>
      <c r="D1968" s="3" t="s">
        <v>189</v>
      </c>
      <c r="E1968" s="4">
        <v>362</v>
      </c>
    </row>
    <row r="1969" spans="1:5" ht="19.95" customHeight="1" x14ac:dyDescent="0.3">
      <c r="A1969" s="5" t="s">
        <v>3932</v>
      </c>
      <c r="B1969" s="6" t="s">
        <v>277</v>
      </c>
      <c r="C1969" s="6" t="s">
        <v>3933</v>
      </c>
      <c r="D1969" s="7" t="s">
        <v>189</v>
      </c>
      <c r="E1969" s="8">
        <v>362</v>
      </c>
    </row>
    <row r="1970" spans="1:5" ht="19.95" customHeight="1" x14ac:dyDescent="0.3">
      <c r="A1970" s="1" t="s">
        <v>3934</v>
      </c>
      <c r="B1970" s="2" t="s">
        <v>277</v>
      </c>
      <c r="C1970" s="2" t="s">
        <v>3935</v>
      </c>
      <c r="D1970" s="3" t="s">
        <v>189</v>
      </c>
      <c r="E1970" s="4">
        <v>387</v>
      </c>
    </row>
    <row r="1971" spans="1:5" ht="19.95" customHeight="1" x14ac:dyDescent="0.3">
      <c r="A1971" s="5" t="s">
        <v>3936</v>
      </c>
      <c r="B1971" s="6" t="s">
        <v>277</v>
      </c>
      <c r="C1971" s="6" t="s">
        <v>3937</v>
      </c>
      <c r="D1971" s="7" t="s">
        <v>189</v>
      </c>
      <c r="E1971" s="8">
        <v>410</v>
      </c>
    </row>
    <row r="1972" spans="1:5" ht="19.95" customHeight="1" x14ac:dyDescent="0.3">
      <c r="A1972" s="1" t="s">
        <v>3938</v>
      </c>
      <c r="B1972" s="2" t="s">
        <v>277</v>
      </c>
      <c r="C1972" s="2" t="s">
        <v>3939</v>
      </c>
      <c r="D1972" s="3" t="s">
        <v>189</v>
      </c>
      <c r="E1972" s="4">
        <v>410</v>
      </c>
    </row>
    <row r="1973" spans="1:5" ht="19.95" customHeight="1" x14ac:dyDescent="0.3">
      <c r="A1973" s="5" t="s">
        <v>3940</v>
      </c>
      <c r="B1973" s="6" t="s">
        <v>277</v>
      </c>
      <c r="C1973" s="6" t="s">
        <v>3941</v>
      </c>
      <c r="D1973" s="7" t="s">
        <v>189</v>
      </c>
      <c r="E1973" s="8">
        <v>410</v>
      </c>
    </row>
    <row r="1974" spans="1:5" ht="19.95" customHeight="1" x14ac:dyDescent="0.3">
      <c r="A1974" s="1" t="s">
        <v>3942</v>
      </c>
      <c r="B1974" s="2" t="s">
        <v>277</v>
      </c>
      <c r="C1974" s="2" t="s">
        <v>3943</v>
      </c>
      <c r="D1974" s="3" t="s">
        <v>189</v>
      </c>
      <c r="E1974" s="4">
        <v>410</v>
      </c>
    </row>
    <row r="1975" spans="1:5" ht="19.95" customHeight="1" x14ac:dyDescent="0.3">
      <c r="A1975" s="5" t="s">
        <v>3944</v>
      </c>
      <c r="B1975" s="6" t="s">
        <v>277</v>
      </c>
      <c r="C1975" s="6" t="s">
        <v>3945</v>
      </c>
      <c r="D1975" s="7" t="s">
        <v>189</v>
      </c>
      <c r="E1975" s="8">
        <v>410</v>
      </c>
    </row>
    <row r="1976" spans="1:5" ht="19.95" customHeight="1" x14ac:dyDescent="0.3">
      <c r="A1976" s="1" t="s">
        <v>3946</v>
      </c>
      <c r="B1976" s="2" t="s">
        <v>277</v>
      </c>
      <c r="C1976" s="2" t="s">
        <v>3947</v>
      </c>
      <c r="D1976" s="3" t="s">
        <v>189</v>
      </c>
      <c r="E1976" s="4">
        <v>47</v>
      </c>
    </row>
    <row r="1977" spans="1:5" ht="19.95" customHeight="1" x14ac:dyDescent="0.3">
      <c r="A1977" s="5" t="s">
        <v>3948</v>
      </c>
      <c r="B1977" s="6" t="s">
        <v>277</v>
      </c>
      <c r="C1977" s="6" t="s">
        <v>3949</v>
      </c>
      <c r="D1977" s="7" t="s">
        <v>189</v>
      </c>
      <c r="E1977" s="8">
        <v>63</v>
      </c>
    </row>
    <row r="1978" spans="1:5" ht="19.95" customHeight="1" x14ac:dyDescent="0.3">
      <c r="A1978" s="1" t="s">
        <v>3950</v>
      </c>
      <c r="B1978" s="2" t="s">
        <v>277</v>
      </c>
      <c r="C1978" s="2" t="s">
        <v>3951</v>
      </c>
      <c r="D1978" s="3" t="s">
        <v>189</v>
      </c>
      <c r="E1978" s="4">
        <v>89</v>
      </c>
    </row>
    <row r="1979" spans="1:5" ht="19.95" customHeight="1" x14ac:dyDescent="0.3">
      <c r="A1979" s="5" t="s">
        <v>3952</v>
      </c>
      <c r="B1979" s="6" t="s">
        <v>277</v>
      </c>
      <c r="C1979" s="6" t="s">
        <v>3953</v>
      </c>
      <c r="D1979" s="7" t="s">
        <v>189</v>
      </c>
      <c r="E1979" s="8">
        <v>131</v>
      </c>
    </row>
    <row r="1980" spans="1:5" ht="19.95" customHeight="1" x14ac:dyDescent="0.3">
      <c r="A1980" s="1" t="s">
        <v>3954</v>
      </c>
      <c r="B1980" s="2" t="s">
        <v>277</v>
      </c>
      <c r="C1980" s="2" t="s">
        <v>3955</v>
      </c>
      <c r="D1980" s="3" t="s">
        <v>189</v>
      </c>
      <c r="E1980" s="4">
        <v>158</v>
      </c>
    </row>
    <row r="1981" spans="1:5" ht="19.95" customHeight="1" x14ac:dyDescent="0.3">
      <c r="A1981" s="5" t="s">
        <v>3956</v>
      </c>
      <c r="B1981" s="6" t="s">
        <v>277</v>
      </c>
      <c r="C1981" s="6" t="s">
        <v>3957</v>
      </c>
      <c r="D1981" s="7" t="s">
        <v>189</v>
      </c>
      <c r="E1981" s="8">
        <v>170</v>
      </c>
    </row>
    <row r="1982" spans="1:5" ht="19.95" customHeight="1" x14ac:dyDescent="0.3">
      <c r="A1982" s="1" t="s">
        <v>3958</v>
      </c>
      <c r="B1982" s="2" t="s">
        <v>277</v>
      </c>
      <c r="C1982" s="2" t="s">
        <v>3959</v>
      </c>
      <c r="D1982" s="3" t="s">
        <v>189</v>
      </c>
      <c r="E1982" s="4">
        <v>58</v>
      </c>
    </row>
    <row r="1983" spans="1:5" ht="19.95" customHeight="1" x14ac:dyDescent="0.3">
      <c r="A1983" s="5" t="s">
        <v>3960</v>
      </c>
      <c r="B1983" s="6" t="s">
        <v>277</v>
      </c>
      <c r="C1983" s="6" t="s">
        <v>3961</v>
      </c>
      <c r="D1983" s="7" t="s">
        <v>189</v>
      </c>
      <c r="E1983" s="8">
        <v>63</v>
      </c>
    </row>
    <row r="1984" spans="1:5" ht="19.95" customHeight="1" x14ac:dyDescent="0.3">
      <c r="A1984" s="1" t="s">
        <v>3962</v>
      </c>
      <c r="B1984" s="2" t="s">
        <v>277</v>
      </c>
      <c r="C1984" s="2" t="s">
        <v>3963</v>
      </c>
      <c r="D1984" s="3" t="s">
        <v>189</v>
      </c>
      <c r="E1984" s="4">
        <v>96</v>
      </c>
    </row>
    <row r="1985" spans="1:5" ht="19.95" customHeight="1" x14ac:dyDescent="0.3">
      <c r="A1985" s="5" t="s">
        <v>3964</v>
      </c>
      <c r="B1985" s="6" t="s">
        <v>277</v>
      </c>
      <c r="C1985" s="6" t="s">
        <v>3965</v>
      </c>
      <c r="D1985" s="7" t="s">
        <v>189</v>
      </c>
      <c r="E1985" s="8">
        <v>109</v>
      </c>
    </row>
    <row r="1986" spans="1:5" ht="19.95" customHeight="1" x14ac:dyDescent="0.3">
      <c r="A1986" s="1" t="s">
        <v>3966</v>
      </c>
      <c r="B1986" s="2" t="s">
        <v>277</v>
      </c>
      <c r="C1986" s="2" t="s">
        <v>3967</v>
      </c>
      <c r="D1986" s="3" t="s">
        <v>189</v>
      </c>
      <c r="E1986" s="4">
        <v>116</v>
      </c>
    </row>
    <row r="1987" spans="1:5" ht="19.95" customHeight="1" x14ac:dyDescent="0.3">
      <c r="A1987" s="5" t="s">
        <v>3968</v>
      </c>
      <c r="B1987" s="6" t="s">
        <v>277</v>
      </c>
      <c r="C1987" s="6" t="s">
        <v>3969</v>
      </c>
      <c r="D1987" s="7" t="s">
        <v>189</v>
      </c>
      <c r="E1987" s="8">
        <v>150</v>
      </c>
    </row>
    <row r="1988" spans="1:5" ht="19.95" customHeight="1" x14ac:dyDescent="0.3">
      <c r="A1988" s="1" t="s">
        <v>3970</v>
      </c>
      <c r="B1988" s="2" t="s">
        <v>277</v>
      </c>
      <c r="C1988" s="2" t="s">
        <v>3971</v>
      </c>
      <c r="D1988" s="3" t="s">
        <v>189</v>
      </c>
      <c r="E1988" s="4">
        <v>148</v>
      </c>
    </row>
    <row r="1989" spans="1:5" ht="19.95" customHeight="1" x14ac:dyDescent="0.3">
      <c r="A1989" s="5" t="s">
        <v>3972</v>
      </c>
      <c r="B1989" s="6" t="s">
        <v>277</v>
      </c>
      <c r="C1989" s="6" t="s">
        <v>3973</v>
      </c>
      <c r="D1989" s="7" t="s">
        <v>189</v>
      </c>
      <c r="E1989" s="8">
        <v>191</v>
      </c>
    </row>
    <row r="1990" spans="1:5" ht="19.95" customHeight="1" x14ac:dyDescent="0.3">
      <c r="A1990" s="1" t="s">
        <v>3974</v>
      </c>
      <c r="B1990" s="2" t="s">
        <v>277</v>
      </c>
      <c r="C1990" s="2" t="s">
        <v>3975</v>
      </c>
      <c r="D1990" s="3" t="s">
        <v>189</v>
      </c>
      <c r="E1990" s="4">
        <v>221</v>
      </c>
    </row>
    <row r="1991" spans="1:5" ht="19.95" customHeight="1" x14ac:dyDescent="0.3">
      <c r="A1991" s="5" t="s">
        <v>3976</v>
      </c>
      <c r="B1991" s="6" t="s">
        <v>277</v>
      </c>
      <c r="C1991" s="6" t="s">
        <v>3977</v>
      </c>
      <c r="D1991" s="7" t="s">
        <v>189</v>
      </c>
      <c r="E1991" s="8">
        <v>287</v>
      </c>
    </row>
    <row r="1992" spans="1:5" ht="19.95" customHeight="1" x14ac:dyDescent="0.3">
      <c r="A1992" s="1" t="s">
        <v>3978</v>
      </c>
      <c r="B1992" s="2" t="s">
        <v>277</v>
      </c>
      <c r="C1992" s="2" t="s">
        <v>3979</v>
      </c>
      <c r="D1992" s="3" t="s">
        <v>189</v>
      </c>
      <c r="E1992" s="4">
        <v>345</v>
      </c>
    </row>
    <row r="1993" spans="1:5" ht="19.95" customHeight="1" x14ac:dyDescent="0.3">
      <c r="A1993" s="5" t="s">
        <v>3980</v>
      </c>
      <c r="B1993" s="6" t="s">
        <v>277</v>
      </c>
      <c r="C1993" s="6" t="s">
        <v>3981</v>
      </c>
      <c r="D1993" s="7" t="s">
        <v>189</v>
      </c>
      <c r="E1993" s="8">
        <v>179</v>
      </c>
    </row>
    <row r="1994" spans="1:5" ht="19.95" customHeight="1" x14ac:dyDescent="0.3">
      <c r="A1994" s="1" t="s">
        <v>3982</v>
      </c>
      <c r="B1994" s="2" t="s">
        <v>277</v>
      </c>
      <c r="C1994" s="2" t="s">
        <v>3983</v>
      </c>
      <c r="D1994" s="3" t="s">
        <v>189</v>
      </c>
      <c r="E1994" s="4">
        <v>159</v>
      </c>
    </row>
    <row r="1995" spans="1:5" ht="19.95" customHeight="1" x14ac:dyDescent="0.3">
      <c r="A1995" s="5" t="s">
        <v>3984</v>
      </c>
      <c r="B1995" s="6" t="s">
        <v>277</v>
      </c>
      <c r="C1995" s="6" t="s">
        <v>3985</v>
      </c>
      <c r="D1995" s="7" t="s">
        <v>189</v>
      </c>
      <c r="E1995" s="8">
        <v>231</v>
      </c>
    </row>
    <row r="1996" spans="1:5" ht="19.95" customHeight="1" x14ac:dyDescent="0.3">
      <c r="A1996" s="1" t="s">
        <v>3986</v>
      </c>
      <c r="B1996" s="2" t="s">
        <v>277</v>
      </c>
      <c r="C1996" s="2" t="s">
        <v>3987</v>
      </c>
      <c r="D1996" s="3" t="s">
        <v>189</v>
      </c>
      <c r="E1996" s="4">
        <v>273</v>
      </c>
    </row>
    <row r="1997" spans="1:5" ht="19.95" customHeight="1" x14ac:dyDescent="0.3">
      <c r="A1997" s="5" t="s">
        <v>3988</v>
      </c>
      <c r="B1997" s="6" t="s">
        <v>277</v>
      </c>
      <c r="C1997" s="6" t="s">
        <v>3989</v>
      </c>
      <c r="D1997" s="7" t="s">
        <v>189</v>
      </c>
      <c r="E1997" s="8">
        <v>437</v>
      </c>
    </row>
    <row r="1998" spans="1:5" ht="19.95" customHeight="1" x14ac:dyDescent="0.3">
      <c r="A1998" s="1" t="s">
        <v>3990</v>
      </c>
      <c r="B1998" s="2" t="s">
        <v>277</v>
      </c>
      <c r="C1998" s="2" t="s">
        <v>3991</v>
      </c>
      <c r="D1998" s="3" t="s">
        <v>189</v>
      </c>
      <c r="E1998" s="4">
        <v>683</v>
      </c>
    </row>
    <row r="1999" spans="1:5" ht="19.95" customHeight="1" x14ac:dyDescent="0.3">
      <c r="A1999" s="5" t="s">
        <v>3992</v>
      </c>
      <c r="B1999" s="6" t="s">
        <v>277</v>
      </c>
      <c r="C1999" s="6" t="s">
        <v>3993</v>
      </c>
      <c r="D1999" s="7" t="s">
        <v>189</v>
      </c>
      <c r="E1999" s="8">
        <v>887</v>
      </c>
    </row>
    <row r="2000" spans="1:5" ht="19.95" customHeight="1" x14ac:dyDescent="0.3">
      <c r="A2000" s="1" t="s">
        <v>3994</v>
      </c>
      <c r="B2000" s="2" t="s">
        <v>277</v>
      </c>
      <c r="C2000" s="2" t="s">
        <v>3995</v>
      </c>
      <c r="D2000" s="3" t="s">
        <v>189</v>
      </c>
      <c r="E2000" s="4">
        <v>179</v>
      </c>
    </row>
    <row r="2001" spans="1:5" ht="19.95" customHeight="1" x14ac:dyDescent="0.3">
      <c r="A2001" s="5" t="s">
        <v>3996</v>
      </c>
      <c r="B2001" s="6" t="s">
        <v>277</v>
      </c>
      <c r="C2001" s="6" t="s">
        <v>3997</v>
      </c>
      <c r="D2001" s="7" t="s">
        <v>189</v>
      </c>
      <c r="E2001" s="8">
        <v>273</v>
      </c>
    </row>
    <row r="2002" spans="1:5" ht="19.95" customHeight="1" x14ac:dyDescent="0.3">
      <c r="A2002" s="1" t="s">
        <v>3998</v>
      </c>
      <c r="B2002" s="2" t="s">
        <v>277</v>
      </c>
      <c r="C2002" s="2" t="s">
        <v>3999</v>
      </c>
      <c r="D2002" s="3" t="s">
        <v>189</v>
      </c>
      <c r="E2002" s="4">
        <v>273</v>
      </c>
    </row>
    <row r="2003" spans="1:5" ht="19.95" customHeight="1" x14ac:dyDescent="0.3">
      <c r="A2003" s="5" t="s">
        <v>4000</v>
      </c>
      <c r="B2003" s="6" t="s">
        <v>277</v>
      </c>
      <c r="C2003" s="6" t="s">
        <v>4001</v>
      </c>
      <c r="D2003" s="7" t="s">
        <v>189</v>
      </c>
      <c r="E2003" s="8">
        <v>437</v>
      </c>
    </row>
    <row r="2004" spans="1:5" ht="19.95" customHeight="1" x14ac:dyDescent="0.3">
      <c r="A2004" s="1" t="s">
        <v>4002</v>
      </c>
      <c r="B2004" s="2" t="s">
        <v>277</v>
      </c>
      <c r="C2004" s="2" t="s">
        <v>4003</v>
      </c>
      <c r="D2004" s="3" t="s">
        <v>189</v>
      </c>
      <c r="E2004" s="4">
        <v>437</v>
      </c>
    </row>
    <row r="2005" spans="1:5" ht="19.95" customHeight="1" x14ac:dyDescent="0.3">
      <c r="A2005" s="5" t="s">
        <v>4004</v>
      </c>
      <c r="B2005" s="6" t="s">
        <v>277</v>
      </c>
      <c r="C2005" s="6" t="s">
        <v>4005</v>
      </c>
      <c r="D2005" s="7" t="s">
        <v>189</v>
      </c>
      <c r="E2005" s="8">
        <v>437</v>
      </c>
    </row>
    <row r="2006" spans="1:5" ht="19.95" customHeight="1" x14ac:dyDescent="0.3">
      <c r="A2006" s="1" t="s">
        <v>4006</v>
      </c>
      <c r="B2006" s="2" t="s">
        <v>277</v>
      </c>
      <c r="C2006" s="2" t="s">
        <v>4007</v>
      </c>
      <c r="D2006" s="3" t="s">
        <v>189</v>
      </c>
      <c r="E2006" s="4">
        <v>683</v>
      </c>
    </row>
    <row r="2007" spans="1:5" ht="19.95" customHeight="1" x14ac:dyDescent="0.3">
      <c r="A2007" s="5" t="s">
        <v>4008</v>
      </c>
      <c r="B2007" s="6" t="s">
        <v>277</v>
      </c>
      <c r="C2007" s="6" t="s">
        <v>4009</v>
      </c>
      <c r="D2007" s="7" t="s">
        <v>189</v>
      </c>
      <c r="E2007" s="8">
        <v>683</v>
      </c>
    </row>
    <row r="2008" spans="1:5" ht="19.95" customHeight="1" x14ac:dyDescent="0.3">
      <c r="A2008" s="1" t="s">
        <v>4010</v>
      </c>
      <c r="B2008" s="2" t="s">
        <v>277</v>
      </c>
      <c r="C2008" s="2" t="s">
        <v>4011</v>
      </c>
      <c r="D2008" s="3" t="s">
        <v>189</v>
      </c>
      <c r="E2008" s="4">
        <v>683</v>
      </c>
    </row>
    <row r="2009" spans="1:5" ht="19.95" customHeight="1" x14ac:dyDescent="0.3">
      <c r="A2009" s="5" t="s">
        <v>4012</v>
      </c>
      <c r="B2009" s="6" t="s">
        <v>277</v>
      </c>
      <c r="C2009" s="6" t="s">
        <v>4013</v>
      </c>
      <c r="D2009" s="7" t="s">
        <v>189</v>
      </c>
      <c r="E2009" s="8">
        <v>683</v>
      </c>
    </row>
    <row r="2010" spans="1:5" ht="19.95" customHeight="1" x14ac:dyDescent="0.3">
      <c r="A2010" s="1" t="s">
        <v>4014</v>
      </c>
      <c r="B2010" s="2" t="s">
        <v>277</v>
      </c>
      <c r="C2010" s="2" t="s">
        <v>4015</v>
      </c>
      <c r="D2010" s="3" t="s">
        <v>189</v>
      </c>
      <c r="E2010" s="4">
        <v>887</v>
      </c>
    </row>
    <row r="2011" spans="1:5" ht="19.95" customHeight="1" x14ac:dyDescent="0.3">
      <c r="A2011" s="5" t="s">
        <v>4016</v>
      </c>
      <c r="B2011" s="6" t="s">
        <v>277</v>
      </c>
      <c r="C2011" s="6" t="s">
        <v>4017</v>
      </c>
      <c r="D2011" s="7" t="s">
        <v>189</v>
      </c>
      <c r="E2011" s="8">
        <v>887</v>
      </c>
    </row>
    <row r="2012" spans="1:5" ht="19.95" customHeight="1" x14ac:dyDescent="0.3">
      <c r="A2012" s="1" t="s">
        <v>4018</v>
      </c>
      <c r="B2012" s="2" t="s">
        <v>277</v>
      </c>
      <c r="C2012" s="2" t="s">
        <v>4019</v>
      </c>
      <c r="D2012" s="3" t="s">
        <v>189</v>
      </c>
      <c r="E2012" s="4">
        <v>887</v>
      </c>
    </row>
    <row r="2013" spans="1:5" ht="19.95" customHeight="1" x14ac:dyDescent="0.3">
      <c r="A2013" s="5" t="s">
        <v>4020</v>
      </c>
      <c r="B2013" s="6" t="s">
        <v>277</v>
      </c>
      <c r="C2013" s="6" t="s">
        <v>4021</v>
      </c>
      <c r="D2013" s="7" t="s">
        <v>189</v>
      </c>
      <c r="E2013" s="8">
        <v>887</v>
      </c>
    </row>
    <row r="2014" spans="1:5" ht="19.95" customHeight="1" x14ac:dyDescent="0.3">
      <c r="A2014" s="1" t="s">
        <v>4022</v>
      </c>
      <c r="B2014" s="2" t="s">
        <v>277</v>
      </c>
      <c r="C2014" s="2" t="s">
        <v>4023</v>
      </c>
      <c r="D2014" s="3" t="s">
        <v>189</v>
      </c>
      <c r="E2014" s="4">
        <v>887</v>
      </c>
    </row>
    <row r="2015" spans="1:5" ht="19.95" customHeight="1" x14ac:dyDescent="0.3">
      <c r="A2015" s="5" t="s">
        <v>4024</v>
      </c>
      <c r="B2015" s="6" t="s">
        <v>277</v>
      </c>
      <c r="C2015" s="6" t="s">
        <v>4025</v>
      </c>
      <c r="D2015" s="7" t="s">
        <v>189</v>
      </c>
      <c r="E2015" s="8">
        <v>179</v>
      </c>
    </row>
    <row r="2016" spans="1:5" ht="19.95" customHeight="1" x14ac:dyDescent="0.3">
      <c r="A2016" s="1" t="s">
        <v>4026</v>
      </c>
      <c r="B2016" s="2" t="s">
        <v>277</v>
      </c>
      <c r="C2016" s="2" t="s">
        <v>4027</v>
      </c>
      <c r="D2016" s="3" t="s">
        <v>189</v>
      </c>
      <c r="E2016" s="4">
        <v>200</v>
      </c>
    </row>
    <row r="2017" spans="1:5" ht="19.95" customHeight="1" x14ac:dyDescent="0.3">
      <c r="A2017" s="5" t="s">
        <v>4028</v>
      </c>
      <c r="B2017" s="6" t="s">
        <v>277</v>
      </c>
      <c r="C2017" s="6" t="s">
        <v>4029</v>
      </c>
      <c r="D2017" s="7" t="s">
        <v>189</v>
      </c>
      <c r="E2017" s="8">
        <v>205</v>
      </c>
    </row>
    <row r="2018" spans="1:5" ht="19.95" customHeight="1" x14ac:dyDescent="0.3">
      <c r="A2018" s="1" t="s">
        <v>4030</v>
      </c>
      <c r="B2018" s="2" t="s">
        <v>4031</v>
      </c>
      <c r="C2018" s="2" t="s">
        <v>4032</v>
      </c>
      <c r="D2018" s="3" t="s">
        <v>189</v>
      </c>
      <c r="E2018" s="4">
        <v>273</v>
      </c>
    </row>
    <row r="2019" spans="1:5" ht="19.95" customHeight="1" x14ac:dyDescent="0.3">
      <c r="A2019" s="5" t="s">
        <v>4033</v>
      </c>
      <c r="B2019" s="6" t="s">
        <v>277</v>
      </c>
      <c r="C2019" s="6" t="s">
        <v>4034</v>
      </c>
      <c r="D2019" s="7" t="s">
        <v>189</v>
      </c>
      <c r="E2019" s="8">
        <v>273</v>
      </c>
    </row>
    <row r="2020" spans="1:5" ht="19.95" customHeight="1" x14ac:dyDescent="0.3">
      <c r="A2020" s="1" t="s">
        <v>4035</v>
      </c>
      <c r="B2020" s="2" t="s">
        <v>277</v>
      </c>
      <c r="C2020" s="2" t="s">
        <v>4036</v>
      </c>
      <c r="D2020" s="3" t="s">
        <v>189</v>
      </c>
      <c r="E2020" s="4">
        <v>273</v>
      </c>
    </row>
    <row r="2021" spans="1:5" ht="19.95" customHeight="1" x14ac:dyDescent="0.3">
      <c r="A2021" s="5" t="s">
        <v>4037</v>
      </c>
      <c r="B2021" s="6" t="s">
        <v>277</v>
      </c>
      <c r="C2021" s="6" t="s">
        <v>4038</v>
      </c>
      <c r="D2021" s="7" t="s">
        <v>189</v>
      </c>
      <c r="E2021" s="8">
        <v>437</v>
      </c>
    </row>
    <row r="2022" spans="1:5" ht="19.95" customHeight="1" x14ac:dyDescent="0.3">
      <c r="A2022" s="1" t="s">
        <v>4039</v>
      </c>
      <c r="B2022" s="2" t="s">
        <v>277</v>
      </c>
      <c r="C2022" s="2" t="s">
        <v>4040</v>
      </c>
      <c r="D2022" s="3" t="s">
        <v>189</v>
      </c>
      <c r="E2022" s="4">
        <v>437</v>
      </c>
    </row>
    <row r="2023" spans="1:5" ht="19.95" customHeight="1" x14ac:dyDescent="0.3">
      <c r="A2023" s="5" t="s">
        <v>4041</v>
      </c>
      <c r="B2023" s="6" t="s">
        <v>277</v>
      </c>
      <c r="C2023" s="6" t="s">
        <v>4042</v>
      </c>
      <c r="D2023" s="7" t="s">
        <v>189</v>
      </c>
      <c r="E2023" s="8">
        <v>437</v>
      </c>
    </row>
    <row r="2024" spans="1:5" ht="19.95" customHeight="1" x14ac:dyDescent="0.3">
      <c r="A2024" s="1" t="s">
        <v>4043</v>
      </c>
      <c r="B2024" s="2" t="s">
        <v>277</v>
      </c>
      <c r="C2024" s="2" t="s">
        <v>4044</v>
      </c>
      <c r="D2024" s="3" t="s">
        <v>189</v>
      </c>
      <c r="E2024" s="4">
        <v>437</v>
      </c>
    </row>
    <row r="2025" spans="1:5" ht="19.95" customHeight="1" x14ac:dyDescent="0.3">
      <c r="A2025" s="5" t="s">
        <v>4045</v>
      </c>
      <c r="B2025" s="6" t="s">
        <v>277</v>
      </c>
      <c r="C2025" s="6" t="s">
        <v>4046</v>
      </c>
      <c r="D2025" s="7" t="s">
        <v>189</v>
      </c>
      <c r="E2025" s="8">
        <v>683</v>
      </c>
    </row>
    <row r="2026" spans="1:5" ht="19.95" customHeight="1" x14ac:dyDescent="0.3">
      <c r="A2026" s="1" t="s">
        <v>4047</v>
      </c>
      <c r="B2026" s="2" t="s">
        <v>277</v>
      </c>
      <c r="C2026" s="2" t="s">
        <v>4048</v>
      </c>
      <c r="D2026" s="3" t="s">
        <v>189</v>
      </c>
      <c r="E2026" s="4">
        <v>683</v>
      </c>
    </row>
    <row r="2027" spans="1:5" ht="19.95" customHeight="1" x14ac:dyDescent="0.3">
      <c r="A2027" s="5" t="s">
        <v>4049</v>
      </c>
      <c r="B2027" s="6" t="s">
        <v>277</v>
      </c>
      <c r="C2027" s="6" t="s">
        <v>4050</v>
      </c>
      <c r="D2027" s="7" t="s">
        <v>189</v>
      </c>
      <c r="E2027" s="8">
        <v>683</v>
      </c>
    </row>
    <row r="2028" spans="1:5" ht="19.95" customHeight="1" x14ac:dyDescent="0.3">
      <c r="A2028" s="1" t="s">
        <v>4051</v>
      </c>
      <c r="B2028" s="2" t="s">
        <v>277</v>
      </c>
      <c r="C2028" s="2" t="s">
        <v>4052</v>
      </c>
      <c r="D2028" s="3" t="s">
        <v>189</v>
      </c>
      <c r="E2028" s="4">
        <v>683</v>
      </c>
    </row>
    <row r="2029" spans="1:5" ht="19.95" customHeight="1" x14ac:dyDescent="0.3">
      <c r="A2029" s="5" t="s">
        <v>4053</v>
      </c>
      <c r="B2029" s="6" t="s">
        <v>277</v>
      </c>
      <c r="C2029" s="6" t="s">
        <v>4054</v>
      </c>
      <c r="D2029" s="7" t="s">
        <v>189</v>
      </c>
      <c r="E2029" s="8">
        <v>683</v>
      </c>
    </row>
    <row r="2030" spans="1:5" ht="19.95" customHeight="1" x14ac:dyDescent="0.3">
      <c r="A2030" s="1" t="s">
        <v>4055</v>
      </c>
      <c r="B2030" s="2" t="s">
        <v>277</v>
      </c>
      <c r="C2030" s="2" t="s">
        <v>4056</v>
      </c>
      <c r="D2030" s="3" t="s">
        <v>189</v>
      </c>
      <c r="E2030" s="4">
        <v>887</v>
      </c>
    </row>
    <row r="2031" spans="1:5" ht="19.95" customHeight="1" x14ac:dyDescent="0.3">
      <c r="A2031" s="5" t="s">
        <v>4057</v>
      </c>
      <c r="B2031" s="6" t="s">
        <v>277</v>
      </c>
      <c r="C2031" s="6" t="s">
        <v>4058</v>
      </c>
      <c r="D2031" s="7" t="s">
        <v>189</v>
      </c>
      <c r="E2031" s="8">
        <v>887</v>
      </c>
    </row>
    <row r="2032" spans="1:5" ht="19.95" customHeight="1" x14ac:dyDescent="0.3">
      <c r="A2032" s="1" t="s">
        <v>4059</v>
      </c>
      <c r="B2032" s="2" t="s">
        <v>277</v>
      </c>
      <c r="C2032" s="2" t="s">
        <v>4060</v>
      </c>
      <c r="D2032" s="3" t="s">
        <v>189</v>
      </c>
      <c r="E2032" s="4">
        <v>887</v>
      </c>
    </row>
    <row r="2033" spans="1:5" ht="19.95" customHeight="1" x14ac:dyDescent="0.3">
      <c r="A2033" s="5" t="s">
        <v>4061</v>
      </c>
      <c r="B2033" s="6" t="s">
        <v>277</v>
      </c>
      <c r="C2033" s="6" t="s">
        <v>4062</v>
      </c>
      <c r="D2033" s="7" t="s">
        <v>189</v>
      </c>
      <c r="E2033" s="8">
        <v>887</v>
      </c>
    </row>
    <row r="2034" spans="1:5" ht="19.95" customHeight="1" x14ac:dyDescent="0.3">
      <c r="A2034" s="1" t="s">
        <v>4063</v>
      </c>
      <c r="B2034" s="2" t="s">
        <v>277</v>
      </c>
      <c r="C2034" s="2" t="s">
        <v>4064</v>
      </c>
      <c r="D2034" s="3" t="s">
        <v>189</v>
      </c>
      <c r="E2034" s="4">
        <v>887</v>
      </c>
    </row>
    <row r="2035" spans="1:5" ht="19.95" customHeight="1" x14ac:dyDescent="0.3">
      <c r="A2035" s="5" t="s">
        <v>4065</v>
      </c>
      <c r="B2035" s="6" t="s">
        <v>277</v>
      </c>
      <c r="C2035" s="6" t="s">
        <v>4066</v>
      </c>
      <c r="D2035" s="7" t="s">
        <v>189</v>
      </c>
      <c r="E2035" s="8">
        <v>887</v>
      </c>
    </row>
    <row r="2036" spans="1:5" ht="19.95" customHeight="1" x14ac:dyDescent="0.3">
      <c r="A2036" s="1" t="s">
        <v>4067</v>
      </c>
      <c r="B2036" s="2" t="s">
        <v>277</v>
      </c>
      <c r="C2036" s="2" t="s">
        <v>4068</v>
      </c>
      <c r="D2036" s="3" t="s">
        <v>189</v>
      </c>
      <c r="E2036" s="4">
        <v>179</v>
      </c>
    </row>
    <row r="2037" spans="1:5" ht="19.95" customHeight="1" x14ac:dyDescent="0.3">
      <c r="A2037" s="5" t="s">
        <v>4069</v>
      </c>
      <c r="B2037" s="6" t="s">
        <v>277</v>
      </c>
      <c r="C2037" s="6" t="s">
        <v>4070</v>
      </c>
      <c r="D2037" s="7" t="s">
        <v>189</v>
      </c>
      <c r="E2037" s="8">
        <v>200</v>
      </c>
    </row>
    <row r="2038" spans="1:5" ht="19.95" customHeight="1" x14ac:dyDescent="0.3">
      <c r="A2038" s="1" t="s">
        <v>4071</v>
      </c>
      <c r="B2038" s="2" t="s">
        <v>277</v>
      </c>
      <c r="C2038" s="2" t="s">
        <v>4072</v>
      </c>
      <c r="D2038" s="3" t="s">
        <v>189</v>
      </c>
      <c r="E2038" s="4">
        <v>200</v>
      </c>
    </row>
    <row r="2039" spans="1:5" ht="19.95" customHeight="1" x14ac:dyDescent="0.3">
      <c r="A2039" s="5" t="s">
        <v>4073</v>
      </c>
      <c r="B2039" s="6" t="s">
        <v>277</v>
      </c>
      <c r="C2039" s="6" t="s">
        <v>4074</v>
      </c>
      <c r="D2039" s="7" t="s">
        <v>189</v>
      </c>
      <c r="E2039" s="8">
        <v>273</v>
      </c>
    </row>
    <row r="2040" spans="1:5" ht="19.95" customHeight="1" x14ac:dyDescent="0.3">
      <c r="A2040" s="1" t="s">
        <v>4075</v>
      </c>
      <c r="B2040" s="2" t="s">
        <v>277</v>
      </c>
      <c r="C2040" s="2" t="s">
        <v>4076</v>
      </c>
      <c r="D2040" s="3" t="s">
        <v>189</v>
      </c>
      <c r="E2040" s="4">
        <v>273</v>
      </c>
    </row>
    <row r="2041" spans="1:5" ht="19.95" customHeight="1" x14ac:dyDescent="0.3">
      <c r="A2041" s="5" t="s">
        <v>4077</v>
      </c>
      <c r="B2041" s="6" t="s">
        <v>277</v>
      </c>
      <c r="C2041" s="6" t="s">
        <v>4078</v>
      </c>
      <c r="D2041" s="7" t="s">
        <v>189</v>
      </c>
      <c r="E2041" s="8">
        <v>273</v>
      </c>
    </row>
    <row r="2042" spans="1:5" ht="19.95" customHeight="1" x14ac:dyDescent="0.3">
      <c r="A2042" s="1" t="s">
        <v>4079</v>
      </c>
      <c r="B2042" s="2" t="s">
        <v>277</v>
      </c>
      <c r="C2042" s="2" t="s">
        <v>4080</v>
      </c>
      <c r="D2042" s="3" t="s">
        <v>189</v>
      </c>
      <c r="E2042" s="4">
        <v>437</v>
      </c>
    </row>
    <row r="2043" spans="1:5" ht="19.95" customHeight="1" x14ac:dyDescent="0.3">
      <c r="A2043" s="5" t="s">
        <v>4081</v>
      </c>
      <c r="B2043" s="6" t="s">
        <v>277</v>
      </c>
      <c r="C2043" s="6" t="s">
        <v>4082</v>
      </c>
      <c r="D2043" s="7" t="s">
        <v>189</v>
      </c>
      <c r="E2043" s="8">
        <v>437</v>
      </c>
    </row>
    <row r="2044" spans="1:5" ht="19.95" customHeight="1" x14ac:dyDescent="0.3">
      <c r="A2044" s="1" t="s">
        <v>4083</v>
      </c>
      <c r="B2044" s="2" t="s">
        <v>277</v>
      </c>
      <c r="C2044" s="2" t="s">
        <v>4084</v>
      </c>
      <c r="D2044" s="3" t="s">
        <v>189</v>
      </c>
      <c r="E2044" s="4">
        <v>437</v>
      </c>
    </row>
    <row r="2045" spans="1:5" ht="19.95" customHeight="1" x14ac:dyDescent="0.3">
      <c r="A2045" s="5" t="s">
        <v>4085</v>
      </c>
      <c r="B2045" s="6" t="s">
        <v>277</v>
      </c>
      <c r="C2045" s="6" t="s">
        <v>4086</v>
      </c>
      <c r="D2045" s="7" t="s">
        <v>189</v>
      </c>
      <c r="E2045" s="8">
        <v>437</v>
      </c>
    </row>
    <row r="2046" spans="1:5" ht="19.95" customHeight="1" x14ac:dyDescent="0.3">
      <c r="A2046" s="1" t="s">
        <v>4087</v>
      </c>
      <c r="B2046" s="2" t="s">
        <v>277</v>
      </c>
      <c r="C2046" s="2" t="s">
        <v>4088</v>
      </c>
      <c r="D2046" s="3" t="s">
        <v>189</v>
      </c>
      <c r="E2046" s="4">
        <v>683</v>
      </c>
    </row>
    <row r="2047" spans="1:5" ht="19.95" customHeight="1" x14ac:dyDescent="0.3">
      <c r="A2047" s="5" t="s">
        <v>4089</v>
      </c>
      <c r="B2047" s="6" t="s">
        <v>277</v>
      </c>
      <c r="C2047" s="6" t="s">
        <v>4090</v>
      </c>
      <c r="D2047" s="7" t="s">
        <v>189</v>
      </c>
      <c r="E2047" s="8">
        <v>683</v>
      </c>
    </row>
    <row r="2048" spans="1:5" ht="19.95" customHeight="1" x14ac:dyDescent="0.3">
      <c r="A2048" s="1" t="s">
        <v>4091</v>
      </c>
      <c r="B2048" s="2" t="s">
        <v>277</v>
      </c>
      <c r="C2048" s="2" t="s">
        <v>4092</v>
      </c>
      <c r="D2048" s="3" t="s">
        <v>189</v>
      </c>
      <c r="E2048" s="4">
        <v>683</v>
      </c>
    </row>
    <row r="2049" spans="1:5" ht="19.95" customHeight="1" x14ac:dyDescent="0.3">
      <c r="A2049" s="5" t="s">
        <v>4093</v>
      </c>
      <c r="B2049" s="6" t="s">
        <v>277</v>
      </c>
      <c r="C2049" s="6" t="s">
        <v>4094</v>
      </c>
      <c r="D2049" s="7" t="s">
        <v>189</v>
      </c>
      <c r="E2049" s="8">
        <v>683</v>
      </c>
    </row>
    <row r="2050" spans="1:5" ht="19.95" customHeight="1" x14ac:dyDescent="0.3">
      <c r="A2050" s="1" t="s">
        <v>4095</v>
      </c>
      <c r="B2050" s="2" t="s">
        <v>277</v>
      </c>
      <c r="C2050" s="2" t="s">
        <v>4096</v>
      </c>
      <c r="D2050" s="3" t="s">
        <v>189</v>
      </c>
      <c r="E2050" s="4">
        <v>683</v>
      </c>
    </row>
    <row r="2051" spans="1:5" ht="19.95" customHeight="1" x14ac:dyDescent="0.3">
      <c r="A2051" s="5" t="s">
        <v>4097</v>
      </c>
      <c r="B2051" s="6" t="s">
        <v>277</v>
      </c>
      <c r="C2051" s="6" t="s">
        <v>4098</v>
      </c>
      <c r="D2051" s="7" t="s">
        <v>189</v>
      </c>
      <c r="E2051" s="8">
        <v>887</v>
      </c>
    </row>
    <row r="2052" spans="1:5" ht="19.95" customHeight="1" x14ac:dyDescent="0.3">
      <c r="A2052" s="1" t="s">
        <v>4099</v>
      </c>
      <c r="B2052" s="2" t="s">
        <v>277</v>
      </c>
      <c r="C2052" s="2" t="s">
        <v>4100</v>
      </c>
      <c r="D2052" s="3" t="s">
        <v>189</v>
      </c>
      <c r="E2052" s="4">
        <v>887</v>
      </c>
    </row>
    <row r="2053" spans="1:5" ht="19.95" customHeight="1" x14ac:dyDescent="0.3">
      <c r="A2053" s="5" t="s">
        <v>4101</v>
      </c>
      <c r="B2053" s="6" t="s">
        <v>277</v>
      </c>
      <c r="C2053" s="6" t="s">
        <v>4102</v>
      </c>
      <c r="D2053" s="7" t="s">
        <v>189</v>
      </c>
      <c r="E2053" s="8">
        <v>887</v>
      </c>
    </row>
    <row r="2054" spans="1:5" ht="19.95" customHeight="1" x14ac:dyDescent="0.3">
      <c r="A2054" s="1" t="s">
        <v>4103</v>
      </c>
      <c r="B2054" s="2" t="s">
        <v>277</v>
      </c>
      <c r="C2054" s="2" t="s">
        <v>4104</v>
      </c>
      <c r="D2054" s="3" t="s">
        <v>189</v>
      </c>
      <c r="E2054" s="4">
        <v>887</v>
      </c>
    </row>
    <row r="2055" spans="1:5" ht="19.95" customHeight="1" x14ac:dyDescent="0.3">
      <c r="A2055" s="5" t="s">
        <v>4105</v>
      </c>
      <c r="B2055" s="6" t="s">
        <v>277</v>
      </c>
      <c r="C2055" s="6" t="s">
        <v>4106</v>
      </c>
      <c r="D2055" s="7" t="s">
        <v>189</v>
      </c>
      <c r="E2055" s="8">
        <v>887</v>
      </c>
    </row>
    <row r="2056" spans="1:5" ht="19.95" customHeight="1" x14ac:dyDescent="0.3">
      <c r="A2056" s="1" t="s">
        <v>4107</v>
      </c>
      <c r="B2056" s="2" t="s">
        <v>277</v>
      </c>
      <c r="C2056" s="2" t="s">
        <v>4108</v>
      </c>
      <c r="D2056" s="3" t="s">
        <v>189</v>
      </c>
      <c r="E2056" s="4">
        <v>887</v>
      </c>
    </row>
    <row r="2057" spans="1:5" ht="19.95" customHeight="1" x14ac:dyDescent="0.3">
      <c r="A2057" s="5" t="s">
        <v>4109</v>
      </c>
      <c r="B2057" s="6" t="s">
        <v>277</v>
      </c>
      <c r="C2057" s="6" t="s">
        <v>4110</v>
      </c>
      <c r="D2057" s="7" t="s">
        <v>189</v>
      </c>
      <c r="E2057" s="8">
        <v>190</v>
      </c>
    </row>
    <row r="2058" spans="1:5" ht="19.95" customHeight="1" x14ac:dyDescent="0.3">
      <c r="A2058" s="1" t="s">
        <v>4111</v>
      </c>
      <c r="B2058" s="2" t="s">
        <v>277</v>
      </c>
      <c r="C2058" s="2" t="s">
        <v>4112</v>
      </c>
      <c r="D2058" s="3" t="s">
        <v>189</v>
      </c>
      <c r="E2058" s="4">
        <v>230</v>
      </c>
    </row>
    <row r="2059" spans="1:5" ht="19.95" customHeight="1" x14ac:dyDescent="0.3">
      <c r="A2059" s="5" t="s">
        <v>4113</v>
      </c>
      <c r="B2059" s="6" t="s">
        <v>277</v>
      </c>
      <c r="C2059" s="6" t="s">
        <v>4112</v>
      </c>
      <c r="D2059" s="7" t="s">
        <v>189</v>
      </c>
      <c r="E2059" s="8">
        <v>237</v>
      </c>
    </row>
    <row r="2060" spans="1:5" ht="19.95" customHeight="1" x14ac:dyDescent="0.3">
      <c r="A2060" s="1" t="s">
        <v>4114</v>
      </c>
      <c r="B2060" s="2" t="s">
        <v>277</v>
      </c>
      <c r="C2060" s="2" t="s">
        <v>4115</v>
      </c>
      <c r="D2060" s="3" t="s">
        <v>189</v>
      </c>
      <c r="E2060" s="4">
        <v>277</v>
      </c>
    </row>
    <row r="2061" spans="1:5" ht="19.95" customHeight="1" x14ac:dyDescent="0.3">
      <c r="A2061" s="5" t="s">
        <v>4116</v>
      </c>
      <c r="B2061" s="6" t="s">
        <v>277</v>
      </c>
      <c r="C2061" s="6" t="s">
        <v>4115</v>
      </c>
      <c r="D2061" s="7" t="s">
        <v>189</v>
      </c>
      <c r="E2061" s="8">
        <v>286</v>
      </c>
    </row>
    <row r="2062" spans="1:5" ht="19.95" customHeight="1" x14ac:dyDescent="0.3">
      <c r="A2062" s="1" t="s">
        <v>4117</v>
      </c>
      <c r="B2062" s="2" t="s">
        <v>277</v>
      </c>
      <c r="C2062" s="2" t="s">
        <v>4115</v>
      </c>
      <c r="D2062" s="3" t="s">
        <v>189</v>
      </c>
      <c r="E2062" s="4">
        <v>337</v>
      </c>
    </row>
    <row r="2063" spans="1:5" ht="19.95" customHeight="1" x14ac:dyDescent="0.3">
      <c r="A2063" s="5" t="s">
        <v>4118</v>
      </c>
      <c r="B2063" s="6" t="s">
        <v>277</v>
      </c>
      <c r="C2063" s="6" t="s">
        <v>4119</v>
      </c>
      <c r="D2063" s="7" t="s">
        <v>189</v>
      </c>
      <c r="E2063" s="8">
        <v>409</v>
      </c>
    </row>
    <row r="2064" spans="1:5" ht="19.95" customHeight="1" x14ac:dyDescent="0.3">
      <c r="A2064" s="1" t="s">
        <v>4120</v>
      </c>
      <c r="B2064" s="2" t="s">
        <v>277</v>
      </c>
      <c r="C2064" s="2" t="s">
        <v>4119</v>
      </c>
      <c r="D2064" s="3" t="s">
        <v>189</v>
      </c>
      <c r="E2064" s="4">
        <v>538</v>
      </c>
    </row>
    <row r="2065" spans="1:5" ht="19.95" customHeight="1" x14ac:dyDescent="0.3">
      <c r="A2065" s="5" t="s">
        <v>4121</v>
      </c>
      <c r="B2065" s="6" t="s">
        <v>277</v>
      </c>
      <c r="C2065" s="6" t="s">
        <v>4122</v>
      </c>
      <c r="D2065" s="7" t="s">
        <v>189</v>
      </c>
      <c r="E2065" s="8">
        <v>965</v>
      </c>
    </row>
    <row r="2066" spans="1:5" ht="19.95" customHeight="1" x14ac:dyDescent="0.3">
      <c r="A2066" s="1" t="s">
        <v>4123</v>
      </c>
      <c r="B2066" s="2" t="s">
        <v>277</v>
      </c>
      <c r="C2066" s="2" t="s">
        <v>4124</v>
      </c>
      <c r="D2066" s="3" t="s">
        <v>189</v>
      </c>
      <c r="E2066" s="4">
        <v>193</v>
      </c>
    </row>
    <row r="2067" spans="1:5" ht="19.95" customHeight="1" x14ac:dyDescent="0.3">
      <c r="A2067" s="5" t="s">
        <v>4125</v>
      </c>
      <c r="B2067" s="6" t="s">
        <v>277</v>
      </c>
      <c r="C2067" s="6" t="s">
        <v>4126</v>
      </c>
      <c r="D2067" s="7" t="s">
        <v>189</v>
      </c>
      <c r="E2067" s="8">
        <v>248</v>
      </c>
    </row>
    <row r="2068" spans="1:5" ht="19.95" customHeight="1" x14ac:dyDescent="0.3">
      <c r="A2068" s="1" t="s">
        <v>4127</v>
      </c>
      <c r="B2068" s="2" t="s">
        <v>277</v>
      </c>
      <c r="C2068" s="2" t="s">
        <v>4128</v>
      </c>
      <c r="D2068" s="3" t="s">
        <v>189</v>
      </c>
      <c r="E2068" s="4">
        <v>461</v>
      </c>
    </row>
    <row r="2069" spans="1:5" ht="19.95" customHeight="1" x14ac:dyDescent="0.3">
      <c r="A2069" s="5" t="s">
        <v>4129</v>
      </c>
      <c r="B2069" s="6" t="s">
        <v>277</v>
      </c>
      <c r="C2069" s="6" t="s">
        <v>4128</v>
      </c>
      <c r="D2069" s="7" t="s">
        <v>189</v>
      </c>
      <c r="E2069" s="8">
        <v>565</v>
      </c>
    </row>
    <row r="2070" spans="1:5" ht="19.95" customHeight="1" x14ac:dyDescent="0.3">
      <c r="A2070" s="1" t="s">
        <v>4130</v>
      </c>
      <c r="B2070" s="2" t="s">
        <v>277</v>
      </c>
      <c r="C2070" s="2" t="s">
        <v>4131</v>
      </c>
      <c r="D2070" s="3" t="s">
        <v>189</v>
      </c>
      <c r="E2070" s="4">
        <v>649</v>
      </c>
    </row>
    <row r="2071" spans="1:5" ht="19.95" customHeight="1" x14ac:dyDescent="0.3">
      <c r="A2071" s="5" t="s">
        <v>4132</v>
      </c>
      <c r="B2071" s="6" t="s">
        <v>277</v>
      </c>
      <c r="C2071" s="6" t="s">
        <v>4133</v>
      </c>
      <c r="D2071" s="7" t="s">
        <v>189</v>
      </c>
      <c r="E2071" s="8">
        <v>726</v>
      </c>
    </row>
    <row r="2072" spans="1:5" ht="19.95" customHeight="1" x14ac:dyDescent="0.3">
      <c r="A2072" s="1" t="s">
        <v>4134</v>
      </c>
      <c r="B2072" s="2" t="s">
        <v>277</v>
      </c>
      <c r="C2072" s="2" t="s">
        <v>4135</v>
      </c>
      <c r="D2072" s="3" t="s">
        <v>189</v>
      </c>
      <c r="E2072" s="4">
        <v>840</v>
      </c>
    </row>
    <row r="2073" spans="1:5" ht="19.95" customHeight="1" x14ac:dyDescent="0.3">
      <c r="A2073" s="5" t="s">
        <v>4136</v>
      </c>
      <c r="B2073" s="6" t="s">
        <v>277</v>
      </c>
      <c r="C2073" s="6" t="s">
        <v>4137</v>
      </c>
      <c r="D2073" s="7" t="s">
        <v>189</v>
      </c>
      <c r="E2073" s="8">
        <v>1138</v>
      </c>
    </row>
    <row r="2074" spans="1:5" ht="19.95" customHeight="1" x14ac:dyDescent="0.3">
      <c r="A2074" s="1" t="s">
        <v>4138</v>
      </c>
      <c r="B2074" s="2" t="s">
        <v>277</v>
      </c>
      <c r="C2074" s="2" t="s">
        <v>4139</v>
      </c>
      <c r="D2074" s="3" t="s">
        <v>189</v>
      </c>
      <c r="E2074" s="4">
        <v>234</v>
      </c>
    </row>
    <row r="2075" spans="1:5" ht="19.95" customHeight="1" x14ac:dyDescent="0.3">
      <c r="A2075" s="5" t="s">
        <v>4140</v>
      </c>
      <c r="B2075" s="6" t="s">
        <v>277</v>
      </c>
      <c r="C2075" s="6" t="s">
        <v>4141</v>
      </c>
      <c r="D2075" s="7" t="s">
        <v>189</v>
      </c>
      <c r="E2075" s="8">
        <v>276</v>
      </c>
    </row>
    <row r="2076" spans="1:5" ht="19.95" customHeight="1" x14ac:dyDescent="0.3">
      <c r="A2076" s="1" t="s">
        <v>4142</v>
      </c>
      <c r="B2076" s="2" t="s">
        <v>277</v>
      </c>
      <c r="C2076" s="2" t="s">
        <v>4143</v>
      </c>
      <c r="D2076" s="3" t="s">
        <v>189</v>
      </c>
      <c r="E2076" s="4">
        <v>295</v>
      </c>
    </row>
    <row r="2077" spans="1:5" ht="19.95" customHeight="1" x14ac:dyDescent="0.3">
      <c r="A2077" s="5" t="s">
        <v>4144</v>
      </c>
      <c r="B2077" s="6" t="s">
        <v>277</v>
      </c>
      <c r="C2077" s="6" t="s">
        <v>4145</v>
      </c>
      <c r="D2077" s="7" t="s">
        <v>189</v>
      </c>
      <c r="E2077" s="8">
        <v>424</v>
      </c>
    </row>
    <row r="2078" spans="1:5" ht="19.95" customHeight="1" x14ac:dyDescent="0.3">
      <c r="A2078" s="1" t="s">
        <v>4146</v>
      </c>
      <c r="B2078" s="2" t="s">
        <v>277</v>
      </c>
      <c r="C2078" s="2" t="s">
        <v>4147</v>
      </c>
      <c r="D2078" s="3" t="s">
        <v>189</v>
      </c>
      <c r="E2078" s="4">
        <v>629</v>
      </c>
    </row>
    <row r="2079" spans="1:5" ht="19.95" customHeight="1" x14ac:dyDescent="0.3">
      <c r="A2079" s="5" t="s">
        <v>4148</v>
      </c>
      <c r="B2079" s="6" t="s">
        <v>277</v>
      </c>
      <c r="C2079" s="6" t="s">
        <v>4149</v>
      </c>
      <c r="D2079" s="7" t="s">
        <v>189</v>
      </c>
      <c r="E2079" s="8">
        <v>875</v>
      </c>
    </row>
    <row r="2080" spans="1:5" ht="19.95" customHeight="1" x14ac:dyDescent="0.3">
      <c r="A2080" s="1" t="s">
        <v>4150</v>
      </c>
      <c r="B2080" s="2" t="s">
        <v>277</v>
      </c>
      <c r="C2080" s="2" t="s">
        <v>4151</v>
      </c>
      <c r="D2080" s="3" t="s">
        <v>189</v>
      </c>
      <c r="E2080" s="4">
        <v>1176</v>
      </c>
    </row>
    <row r="2081" spans="1:5" ht="19.95" customHeight="1" x14ac:dyDescent="0.3">
      <c r="A2081" s="5" t="s">
        <v>4152</v>
      </c>
      <c r="B2081" s="6" t="s">
        <v>277</v>
      </c>
      <c r="C2081" s="6" t="s">
        <v>4153</v>
      </c>
      <c r="D2081" s="7" t="s">
        <v>189</v>
      </c>
      <c r="E2081" s="8">
        <v>150</v>
      </c>
    </row>
    <row r="2082" spans="1:5" ht="19.95" customHeight="1" x14ac:dyDescent="0.3">
      <c r="A2082" s="1" t="s">
        <v>4154</v>
      </c>
      <c r="B2082" s="2" t="s">
        <v>277</v>
      </c>
      <c r="C2082" s="2" t="s">
        <v>4155</v>
      </c>
      <c r="D2082" s="3" t="s">
        <v>4156</v>
      </c>
      <c r="E2082" s="4">
        <v>191</v>
      </c>
    </row>
    <row r="2083" spans="1:5" ht="19.95" customHeight="1" x14ac:dyDescent="0.3">
      <c r="A2083" s="5" t="s">
        <v>4157</v>
      </c>
      <c r="B2083" s="6" t="s">
        <v>277</v>
      </c>
      <c r="C2083" s="6" t="s">
        <v>4158</v>
      </c>
      <c r="D2083" s="7" t="s">
        <v>189</v>
      </c>
      <c r="E2083" s="8">
        <v>191</v>
      </c>
    </row>
    <row r="2084" spans="1:5" ht="19.95" customHeight="1" x14ac:dyDescent="0.3">
      <c r="A2084" s="1" t="s">
        <v>4159</v>
      </c>
      <c r="B2084" s="2" t="s">
        <v>277</v>
      </c>
      <c r="C2084" s="2" t="s">
        <v>4160</v>
      </c>
      <c r="D2084" s="3" t="s">
        <v>189</v>
      </c>
      <c r="E2084" s="4">
        <v>205</v>
      </c>
    </row>
    <row r="2085" spans="1:5" ht="19.95" customHeight="1" x14ac:dyDescent="0.3">
      <c r="A2085" s="5" t="s">
        <v>4161</v>
      </c>
      <c r="B2085" s="6" t="s">
        <v>277</v>
      </c>
      <c r="C2085" s="6" t="s">
        <v>4162</v>
      </c>
      <c r="D2085" s="7" t="s">
        <v>189</v>
      </c>
      <c r="E2085" s="8">
        <v>287</v>
      </c>
    </row>
    <row r="2086" spans="1:5" ht="19.95" customHeight="1" x14ac:dyDescent="0.3">
      <c r="A2086" s="1" t="s">
        <v>4163</v>
      </c>
      <c r="B2086" s="2" t="s">
        <v>277</v>
      </c>
      <c r="C2086" s="2" t="s">
        <v>4164</v>
      </c>
      <c r="D2086" s="3" t="s">
        <v>189</v>
      </c>
      <c r="E2086" s="4">
        <v>478</v>
      </c>
    </row>
    <row r="2087" spans="1:5" ht="19.95" customHeight="1" x14ac:dyDescent="0.3">
      <c r="A2087" s="5" t="s">
        <v>4165</v>
      </c>
      <c r="B2087" s="6" t="s">
        <v>277</v>
      </c>
      <c r="C2087" s="6" t="s">
        <v>4164</v>
      </c>
      <c r="D2087" s="7" t="s">
        <v>189</v>
      </c>
      <c r="E2087" s="8">
        <v>478</v>
      </c>
    </row>
    <row r="2088" spans="1:5" ht="19.95" customHeight="1" x14ac:dyDescent="0.3">
      <c r="A2088" s="1" t="s">
        <v>4166</v>
      </c>
      <c r="B2088" s="2" t="s">
        <v>277</v>
      </c>
      <c r="C2088" s="2" t="s">
        <v>4167</v>
      </c>
      <c r="D2088" s="3" t="s">
        <v>189</v>
      </c>
      <c r="E2088" s="4">
        <v>683</v>
      </c>
    </row>
    <row r="2089" spans="1:5" ht="19.95" customHeight="1" x14ac:dyDescent="0.3">
      <c r="A2089" s="5" t="s">
        <v>4168</v>
      </c>
      <c r="B2089" s="6" t="s">
        <v>277</v>
      </c>
      <c r="C2089" s="6" t="s">
        <v>4167</v>
      </c>
      <c r="D2089" s="7" t="s">
        <v>189</v>
      </c>
      <c r="E2089" s="8">
        <v>683</v>
      </c>
    </row>
    <row r="2090" spans="1:5" ht="19.95" customHeight="1" x14ac:dyDescent="0.3">
      <c r="A2090" s="1" t="s">
        <v>4169</v>
      </c>
      <c r="B2090" s="2" t="s">
        <v>277</v>
      </c>
      <c r="C2090" s="2" t="s">
        <v>4170</v>
      </c>
      <c r="D2090" s="3" t="s">
        <v>189</v>
      </c>
      <c r="E2090" s="4">
        <v>205</v>
      </c>
    </row>
    <row r="2091" spans="1:5" ht="19.95" customHeight="1" x14ac:dyDescent="0.3">
      <c r="A2091" s="5" t="s">
        <v>4171</v>
      </c>
      <c r="B2091" s="6" t="s">
        <v>277</v>
      </c>
      <c r="C2091" s="6" t="s">
        <v>4172</v>
      </c>
      <c r="D2091" s="7" t="s">
        <v>189</v>
      </c>
      <c r="E2091" s="8">
        <v>205</v>
      </c>
    </row>
    <row r="2092" spans="1:5" ht="19.95" customHeight="1" x14ac:dyDescent="0.3">
      <c r="A2092" s="1" t="s">
        <v>4173</v>
      </c>
      <c r="B2092" s="2" t="s">
        <v>277</v>
      </c>
      <c r="C2092" s="2" t="s">
        <v>4174</v>
      </c>
      <c r="D2092" s="3" t="s">
        <v>189</v>
      </c>
      <c r="E2092" s="4">
        <v>205</v>
      </c>
    </row>
    <row r="2093" spans="1:5" ht="19.95" customHeight="1" x14ac:dyDescent="0.3">
      <c r="A2093" s="5" t="s">
        <v>4175</v>
      </c>
      <c r="B2093" s="6" t="s">
        <v>277</v>
      </c>
      <c r="C2093" s="6" t="s">
        <v>4176</v>
      </c>
      <c r="D2093" s="7" t="s">
        <v>189</v>
      </c>
      <c r="E2093" s="8">
        <v>287</v>
      </c>
    </row>
    <row r="2094" spans="1:5" ht="19.95" customHeight="1" x14ac:dyDescent="0.3">
      <c r="A2094" s="1" t="s">
        <v>4177</v>
      </c>
      <c r="B2094" s="2" t="s">
        <v>277</v>
      </c>
      <c r="C2094" s="2" t="s">
        <v>4178</v>
      </c>
      <c r="D2094" s="3" t="s">
        <v>189</v>
      </c>
      <c r="E2094" s="4">
        <v>287</v>
      </c>
    </row>
    <row r="2095" spans="1:5" ht="19.95" customHeight="1" x14ac:dyDescent="0.3">
      <c r="A2095" s="5" t="s">
        <v>4179</v>
      </c>
      <c r="B2095" s="6" t="s">
        <v>277</v>
      </c>
      <c r="C2095" s="6" t="s">
        <v>4180</v>
      </c>
      <c r="D2095" s="7" t="s">
        <v>189</v>
      </c>
      <c r="E2095" s="8">
        <v>478</v>
      </c>
    </row>
    <row r="2096" spans="1:5" ht="19.95" customHeight="1" x14ac:dyDescent="0.3">
      <c r="A2096" s="1" t="s">
        <v>4181</v>
      </c>
      <c r="B2096" s="2" t="s">
        <v>277</v>
      </c>
      <c r="C2096" s="2" t="s">
        <v>4180</v>
      </c>
      <c r="D2096" s="3" t="s">
        <v>189</v>
      </c>
      <c r="E2096" s="4">
        <v>478</v>
      </c>
    </row>
    <row r="2097" spans="1:5" ht="19.95" customHeight="1" x14ac:dyDescent="0.3">
      <c r="A2097" s="5" t="s">
        <v>4182</v>
      </c>
      <c r="B2097" s="6" t="s">
        <v>277</v>
      </c>
      <c r="C2097" s="6" t="s">
        <v>4183</v>
      </c>
      <c r="D2097" s="7" t="s">
        <v>189</v>
      </c>
      <c r="E2097" s="8">
        <v>683</v>
      </c>
    </row>
    <row r="2098" spans="1:5" ht="19.95" customHeight="1" x14ac:dyDescent="0.3">
      <c r="A2098" s="1" t="s">
        <v>4184</v>
      </c>
      <c r="B2098" s="2" t="s">
        <v>277</v>
      </c>
      <c r="C2098" s="2" t="s">
        <v>4183</v>
      </c>
      <c r="D2098" s="3" t="s">
        <v>189</v>
      </c>
      <c r="E2098" s="4">
        <v>683</v>
      </c>
    </row>
    <row r="2099" spans="1:5" ht="19.95" customHeight="1" x14ac:dyDescent="0.3">
      <c r="A2099" s="5" t="s">
        <v>4185</v>
      </c>
      <c r="B2099" s="6" t="s">
        <v>277</v>
      </c>
      <c r="C2099" s="6" t="s">
        <v>4186</v>
      </c>
      <c r="D2099" s="7" t="s">
        <v>189</v>
      </c>
      <c r="E2099" s="8">
        <v>45</v>
      </c>
    </row>
    <row r="2100" spans="1:5" ht="19.95" customHeight="1" x14ac:dyDescent="0.3">
      <c r="A2100" s="1" t="s">
        <v>4187</v>
      </c>
      <c r="B2100" s="2" t="s">
        <v>277</v>
      </c>
      <c r="C2100" s="2" t="s">
        <v>4188</v>
      </c>
      <c r="D2100" s="3" t="s">
        <v>189</v>
      </c>
      <c r="E2100" s="4">
        <v>64</v>
      </c>
    </row>
    <row r="2101" spans="1:5" ht="19.95" customHeight="1" x14ac:dyDescent="0.3">
      <c r="A2101" s="5" t="s">
        <v>4189</v>
      </c>
      <c r="B2101" s="6" t="s">
        <v>277</v>
      </c>
      <c r="C2101" s="6" t="s">
        <v>4190</v>
      </c>
      <c r="D2101" s="7" t="s">
        <v>189</v>
      </c>
      <c r="E2101" s="8">
        <v>84</v>
      </c>
    </row>
    <row r="2102" spans="1:5" ht="19.95" customHeight="1" x14ac:dyDescent="0.3">
      <c r="A2102" s="1" t="s">
        <v>4191</v>
      </c>
      <c r="B2102" s="2" t="s">
        <v>277</v>
      </c>
      <c r="C2102" s="2" t="s">
        <v>4192</v>
      </c>
      <c r="D2102" s="3" t="s">
        <v>189</v>
      </c>
      <c r="E2102" s="4">
        <v>163</v>
      </c>
    </row>
    <row r="2103" spans="1:5" ht="19.95" customHeight="1" x14ac:dyDescent="0.3">
      <c r="A2103" s="5" t="s">
        <v>4193</v>
      </c>
      <c r="B2103" s="6" t="s">
        <v>277</v>
      </c>
      <c r="C2103" s="6" t="s">
        <v>4194</v>
      </c>
      <c r="D2103" s="7" t="s">
        <v>189</v>
      </c>
      <c r="E2103" s="8">
        <v>236</v>
      </c>
    </row>
    <row r="2104" spans="1:5" ht="19.95" customHeight="1" x14ac:dyDescent="0.3">
      <c r="A2104" s="1" t="s">
        <v>4195</v>
      </c>
      <c r="B2104" s="2" t="s">
        <v>277</v>
      </c>
      <c r="C2104" s="2" t="s">
        <v>4196</v>
      </c>
      <c r="D2104" s="3" t="s">
        <v>189</v>
      </c>
      <c r="E2104" s="4">
        <v>299</v>
      </c>
    </row>
    <row r="2105" spans="1:5" ht="19.95" customHeight="1" x14ac:dyDescent="0.3">
      <c r="A2105" s="5" t="s">
        <v>4197</v>
      </c>
      <c r="B2105" s="6" t="s">
        <v>277</v>
      </c>
      <c r="C2105" s="6" t="s">
        <v>4198</v>
      </c>
      <c r="D2105" s="7" t="s">
        <v>189</v>
      </c>
      <c r="E2105" s="8">
        <v>214</v>
      </c>
    </row>
    <row r="2106" spans="1:5" ht="19.95" customHeight="1" x14ac:dyDescent="0.3">
      <c r="A2106" s="1" t="s">
        <v>4199</v>
      </c>
      <c r="B2106" s="2" t="s">
        <v>277</v>
      </c>
      <c r="C2106" s="2" t="s">
        <v>4200</v>
      </c>
      <c r="D2106" s="3" t="s">
        <v>189</v>
      </c>
      <c r="E2106" s="4">
        <v>271</v>
      </c>
    </row>
    <row r="2107" spans="1:5" ht="19.95" customHeight="1" x14ac:dyDescent="0.3">
      <c r="A2107" s="5" t="s">
        <v>4201</v>
      </c>
      <c r="B2107" s="6" t="s">
        <v>277</v>
      </c>
      <c r="C2107" s="6" t="s">
        <v>4202</v>
      </c>
      <c r="D2107" s="7" t="s">
        <v>189</v>
      </c>
      <c r="E2107" s="8">
        <v>407</v>
      </c>
    </row>
    <row r="2108" spans="1:5" ht="19.95" customHeight="1" x14ac:dyDescent="0.3">
      <c r="A2108" s="1" t="s">
        <v>4203</v>
      </c>
      <c r="B2108" s="2" t="s">
        <v>277</v>
      </c>
      <c r="C2108" s="2" t="s">
        <v>4204</v>
      </c>
      <c r="D2108" s="3" t="s">
        <v>4205</v>
      </c>
      <c r="E2108" s="4">
        <v>3318</v>
      </c>
    </row>
    <row r="2109" spans="1:5" ht="19.95" customHeight="1" x14ac:dyDescent="0.3">
      <c r="A2109" s="5" t="s">
        <v>4206</v>
      </c>
      <c r="B2109" s="6" t="s">
        <v>277</v>
      </c>
      <c r="C2109" s="6" t="s">
        <v>4207</v>
      </c>
      <c r="D2109" s="7" t="s">
        <v>4205</v>
      </c>
      <c r="E2109" s="8">
        <v>1659</v>
      </c>
    </row>
    <row r="2110" spans="1:5" ht="19.95" customHeight="1" x14ac:dyDescent="0.3">
      <c r="A2110" s="1" t="s">
        <v>4208</v>
      </c>
      <c r="B2110" s="2" t="s">
        <v>277</v>
      </c>
      <c r="C2110" s="2" t="s">
        <v>4209</v>
      </c>
      <c r="D2110" s="3" t="s">
        <v>4205</v>
      </c>
      <c r="E2110" s="4">
        <v>1300</v>
      </c>
    </row>
    <row r="2111" spans="1:5" ht="19.95" customHeight="1" x14ac:dyDescent="0.3">
      <c r="A2111" s="5" t="s">
        <v>4210</v>
      </c>
      <c r="B2111" s="6" t="s">
        <v>277</v>
      </c>
      <c r="C2111" s="6" t="s">
        <v>4211</v>
      </c>
      <c r="D2111" s="7" t="s">
        <v>4205</v>
      </c>
      <c r="E2111" s="8">
        <v>651</v>
      </c>
    </row>
    <row r="2112" spans="1:5" ht="19.95" customHeight="1" x14ac:dyDescent="0.3">
      <c r="A2112" s="1" t="s">
        <v>4212</v>
      </c>
      <c r="B2112" s="2" t="s">
        <v>277</v>
      </c>
      <c r="C2112" s="2" t="s">
        <v>4213</v>
      </c>
      <c r="D2112" s="3" t="s">
        <v>293</v>
      </c>
      <c r="E2112" s="4">
        <v>5931</v>
      </c>
    </row>
    <row r="2113" spans="1:5" ht="19.95" customHeight="1" x14ac:dyDescent="0.3">
      <c r="A2113" s="5" t="s">
        <v>4214</v>
      </c>
      <c r="B2113" s="6" t="s">
        <v>277</v>
      </c>
      <c r="C2113" s="6" t="s">
        <v>4215</v>
      </c>
      <c r="D2113" s="7" t="s">
        <v>366</v>
      </c>
      <c r="E2113" s="8">
        <v>32</v>
      </c>
    </row>
    <row r="2114" spans="1:5" ht="19.95" customHeight="1" x14ac:dyDescent="0.3">
      <c r="A2114" s="1" t="s">
        <v>4216</v>
      </c>
      <c r="B2114" s="2" t="s">
        <v>277</v>
      </c>
      <c r="C2114" s="2" t="s">
        <v>4217</v>
      </c>
      <c r="D2114" s="3" t="s">
        <v>169</v>
      </c>
      <c r="E2114" s="4">
        <v>4.5</v>
      </c>
    </row>
    <row r="2115" spans="1:5" ht="19.95" customHeight="1" x14ac:dyDescent="0.3">
      <c r="A2115" s="5" t="s">
        <v>4218</v>
      </c>
      <c r="B2115" s="6" t="s">
        <v>277</v>
      </c>
      <c r="C2115" s="6" t="s">
        <v>4219</v>
      </c>
      <c r="D2115" s="7" t="s">
        <v>169</v>
      </c>
      <c r="E2115" s="8">
        <v>72</v>
      </c>
    </row>
    <row r="2116" spans="1:5" ht="19.95" customHeight="1" x14ac:dyDescent="0.3">
      <c r="A2116" s="1" t="s">
        <v>4220</v>
      </c>
      <c r="B2116" s="2" t="s">
        <v>1969</v>
      </c>
      <c r="C2116" s="2" t="s">
        <v>4221</v>
      </c>
      <c r="D2116" s="3" t="s">
        <v>169</v>
      </c>
      <c r="E2116" s="4">
        <v>100</v>
      </c>
    </row>
    <row r="2117" spans="1:5" ht="19.95" customHeight="1" x14ac:dyDescent="0.3">
      <c r="A2117" s="5" t="s">
        <v>4222</v>
      </c>
      <c r="B2117" s="6" t="s">
        <v>1969</v>
      </c>
      <c r="C2117" s="6" t="s">
        <v>4223</v>
      </c>
      <c r="D2117" s="7" t="s">
        <v>169</v>
      </c>
      <c r="E2117" s="8">
        <v>115</v>
      </c>
    </row>
    <row r="2118" spans="1:5" ht="19.95" customHeight="1" x14ac:dyDescent="0.3">
      <c r="A2118" s="1" t="s">
        <v>4224</v>
      </c>
      <c r="B2118" s="2" t="s">
        <v>1969</v>
      </c>
      <c r="C2118" s="2" t="s">
        <v>4225</v>
      </c>
      <c r="D2118" s="3" t="s">
        <v>169</v>
      </c>
      <c r="E2118" s="4">
        <v>185</v>
      </c>
    </row>
    <row r="2119" spans="1:5" ht="19.95" customHeight="1" x14ac:dyDescent="0.3">
      <c r="A2119" s="5" t="s">
        <v>4226</v>
      </c>
      <c r="B2119" s="6" t="s">
        <v>1969</v>
      </c>
      <c r="C2119" s="6" t="s">
        <v>4227</v>
      </c>
      <c r="D2119" s="7" t="s">
        <v>169</v>
      </c>
      <c r="E2119" s="8">
        <v>275</v>
      </c>
    </row>
    <row r="2120" spans="1:5" ht="19.95" customHeight="1" x14ac:dyDescent="0.3">
      <c r="A2120" s="1" t="s">
        <v>4228</v>
      </c>
      <c r="B2120" s="2" t="s">
        <v>277</v>
      </c>
      <c r="C2120" s="2" t="s">
        <v>4229</v>
      </c>
      <c r="D2120" s="3" t="s">
        <v>4230</v>
      </c>
      <c r="E2120" s="4">
        <v>530</v>
      </c>
    </row>
    <row r="2121" spans="1:5" ht="19.95" customHeight="1" x14ac:dyDescent="0.3">
      <c r="A2121" s="5" t="s">
        <v>4231</v>
      </c>
      <c r="B2121" s="6" t="s">
        <v>277</v>
      </c>
      <c r="C2121" s="6" t="s">
        <v>4232</v>
      </c>
      <c r="D2121" s="7" t="s">
        <v>169</v>
      </c>
      <c r="E2121" s="8">
        <v>630</v>
      </c>
    </row>
    <row r="2122" spans="1:5" ht="19.95" customHeight="1" x14ac:dyDescent="0.3">
      <c r="A2122" s="1" t="s">
        <v>4233</v>
      </c>
      <c r="B2122" s="2" t="s">
        <v>277</v>
      </c>
      <c r="C2122" s="2" t="s">
        <v>4234</v>
      </c>
      <c r="D2122" s="3" t="s">
        <v>169</v>
      </c>
      <c r="E2122" s="4">
        <v>220</v>
      </c>
    </row>
    <row r="2123" spans="1:5" ht="19.95" customHeight="1" x14ac:dyDescent="0.3">
      <c r="A2123" s="5" t="s">
        <v>4235</v>
      </c>
      <c r="B2123" s="6" t="s">
        <v>277</v>
      </c>
      <c r="C2123" s="6" t="s">
        <v>4236</v>
      </c>
      <c r="D2123" s="7" t="s">
        <v>169</v>
      </c>
      <c r="E2123" s="8">
        <v>230</v>
      </c>
    </row>
    <row r="2124" spans="1:5" ht="19.95" customHeight="1" x14ac:dyDescent="0.3">
      <c r="A2124" s="1" t="s">
        <v>4237</v>
      </c>
      <c r="B2124" s="2" t="s">
        <v>277</v>
      </c>
      <c r="C2124" s="2" t="s">
        <v>4236</v>
      </c>
      <c r="D2124" s="3" t="s">
        <v>169</v>
      </c>
      <c r="E2124" s="4">
        <v>320</v>
      </c>
    </row>
    <row r="2125" spans="1:5" ht="19.95" customHeight="1" x14ac:dyDescent="0.3">
      <c r="A2125" s="5" t="s">
        <v>4238</v>
      </c>
      <c r="B2125" s="6" t="s">
        <v>277</v>
      </c>
      <c r="C2125" s="6" t="s">
        <v>4236</v>
      </c>
      <c r="D2125" s="7" t="s">
        <v>169</v>
      </c>
      <c r="E2125" s="8">
        <v>355</v>
      </c>
    </row>
    <row r="2126" spans="1:5" ht="19.95" customHeight="1" x14ac:dyDescent="0.3">
      <c r="A2126" s="1" t="s">
        <v>4239</v>
      </c>
      <c r="B2126" s="2" t="s">
        <v>277</v>
      </c>
      <c r="C2126" s="2" t="s">
        <v>4240</v>
      </c>
      <c r="D2126" s="3" t="s">
        <v>169</v>
      </c>
      <c r="E2126" s="4">
        <v>365</v>
      </c>
    </row>
    <row r="2127" spans="1:5" ht="19.95" customHeight="1" x14ac:dyDescent="0.3">
      <c r="A2127" s="5" t="s">
        <v>4241</v>
      </c>
      <c r="B2127" s="6" t="s">
        <v>277</v>
      </c>
      <c r="C2127" s="6" t="s">
        <v>4242</v>
      </c>
      <c r="D2127" s="7" t="s">
        <v>169</v>
      </c>
      <c r="E2127" s="8">
        <v>370</v>
      </c>
    </row>
    <row r="2128" spans="1:5" ht="19.95" customHeight="1" x14ac:dyDescent="0.3">
      <c r="A2128" s="1" t="s">
        <v>4243</v>
      </c>
      <c r="B2128" s="2" t="s">
        <v>277</v>
      </c>
      <c r="C2128" s="2" t="s">
        <v>4236</v>
      </c>
      <c r="D2128" s="3" t="s">
        <v>169</v>
      </c>
      <c r="E2128" s="4">
        <v>475</v>
      </c>
    </row>
    <row r="2129" spans="1:5" ht="19.95" customHeight="1" x14ac:dyDescent="0.3">
      <c r="A2129" s="5" t="s">
        <v>4244</v>
      </c>
      <c r="B2129" s="6" t="s">
        <v>277</v>
      </c>
      <c r="C2129" s="6" t="s">
        <v>4236</v>
      </c>
      <c r="D2129" s="7" t="s">
        <v>169</v>
      </c>
      <c r="E2129" s="8">
        <v>535</v>
      </c>
    </row>
    <row r="2130" spans="1:5" ht="19.95" customHeight="1" x14ac:dyDescent="0.3">
      <c r="A2130" s="1" t="s">
        <v>4245</v>
      </c>
      <c r="B2130" s="2" t="s">
        <v>277</v>
      </c>
      <c r="C2130" s="2" t="s">
        <v>4246</v>
      </c>
      <c r="D2130" s="3" t="s">
        <v>169</v>
      </c>
      <c r="E2130" s="4">
        <v>550</v>
      </c>
    </row>
    <row r="2131" spans="1:5" ht="19.95" customHeight="1" x14ac:dyDescent="0.3">
      <c r="A2131" s="5" t="s">
        <v>4247</v>
      </c>
      <c r="B2131" s="6" t="s">
        <v>277</v>
      </c>
      <c r="C2131" s="6" t="s">
        <v>4248</v>
      </c>
      <c r="D2131" s="7" t="s">
        <v>169</v>
      </c>
      <c r="E2131" s="8">
        <v>685</v>
      </c>
    </row>
    <row r="2132" spans="1:5" ht="19.95" customHeight="1" x14ac:dyDescent="0.3">
      <c r="A2132" s="1" t="s">
        <v>4249</v>
      </c>
      <c r="B2132" s="2" t="s">
        <v>277</v>
      </c>
      <c r="C2132" s="2" t="s">
        <v>4250</v>
      </c>
      <c r="D2132" s="3" t="s">
        <v>169</v>
      </c>
      <c r="E2132" s="4">
        <v>750</v>
      </c>
    </row>
    <row r="2133" spans="1:5" ht="19.95" customHeight="1" x14ac:dyDescent="0.3">
      <c r="A2133" s="5" t="s">
        <v>4251</v>
      </c>
      <c r="B2133" s="6" t="s">
        <v>277</v>
      </c>
      <c r="C2133" s="6" t="s">
        <v>4252</v>
      </c>
      <c r="D2133" s="7" t="s">
        <v>169</v>
      </c>
      <c r="E2133" s="8">
        <v>900</v>
      </c>
    </row>
    <row r="2134" spans="1:5" ht="19.95" customHeight="1" x14ac:dyDescent="0.3">
      <c r="A2134" s="1" t="s">
        <v>4253</v>
      </c>
      <c r="B2134" s="2" t="s">
        <v>277</v>
      </c>
      <c r="C2134" s="2" t="s">
        <v>4254</v>
      </c>
      <c r="D2134" s="3" t="s">
        <v>169</v>
      </c>
      <c r="E2134" s="4">
        <v>1025</v>
      </c>
    </row>
    <row r="2135" spans="1:5" ht="19.95" customHeight="1" x14ac:dyDescent="0.3">
      <c r="A2135" s="5" t="s">
        <v>4255</v>
      </c>
      <c r="B2135" s="6" t="s">
        <v>277</v>
      </c>
      <c r="C2135" s="6" t="s">
        <v>4236</v>
      </c>
      <c r="D2135" s="7" t="s">
        <v>169</v>
      </c>
      <c r="E2135" s="8">
        <v>1000</v>
      </c>
    </row>
    <row r="2136" spans="1:5" ht="19.95" customHeight="1" x14ac:dyDescent="0.3">
      <c r="A2136" s="1" t="s">
        <v>4256</v>
      </c>
      <c r="B2136" s="2" t="s">
        <v>277</v>
      </c>
      <c r="C2136" s="2" t="s">
        <v>4257</v>
      </c>
      <c r="D2136" s="3" t="s">
        <v>169</v>
      </c>
      <c r="E2136" s="4">
        <v>1088</v>
      </c>
    </row>
    <row r="2137" spans="1:5" ht="19.95" customHeight="1" x14ac:dyDescent="0.3">
      <c r="A2137" s="5" t="s">
        <v>4258</v>
      </c>
      <c r="B2137" s="6" t="s">
        <v>1969</v>
      </c>
      <c r="C2137" s="6" t="s">
        <v>4259</v>
      </c>
      <c r="D2137" s="7" t="s">
        <v>169</v>
      </c>
      <c r="E2137" s="8">
        <v>600</v>
      </c>
    </row>
    <row r="2138" spans="1:5" ht="19.95" customHeight="1" x14ac:dyDescent="0.3">
      <c r="A2138" s="1" t="s">
        <v>4260</v>
      </c>
      <c r="B2138" s="2" t="s">
        <v>1969</v>
      </c>
      <c r="C2138" s="2" t="s">
        <v>4261</v>
      </c>
      <c r="D2138" s="3" t="s">
        <v>169</v>
      </c>
      <c r="E2138" s="4">
        <v>785</v>
      </c>
    </row>
    <row r="2139" spans="1:5" ht="19.95" customHeight="1" x14ac:dyDescent="0.3">
      <c r="A2139" s="5" t="s">
        <v>4262</v>
      </c>
      <c r="B2139" s="6" t="s">
        <v>277</v>
      </c>
      <c r="C2139" s="6" t="s">
        <v>4263</v>
      </c>
      <c r="D2139" s="7" t="s">
        <v>189</v>
      </c>
      <c r="E2139" s="8">
        <v>1600</v>
      </c>
    </row>
    <row r="2140" spans="1:5" ht="19.95" customHeight="1" x14ac:dyDescent="0.3">
      <c r="A2140" s="1" t="s">
        <v>4264</v>
      </c>
      <c r="B2140" s="2" t="s">
        <v>277</v>
      </c>
      <c r="C2140" s="2" t="s">
        <v>4265</v>
      </c>
      <c r="D2140" s="3" t="s">
        <v>4266</v>
      </c>
      <c r="E2140" s="4">
        <v>2</v>
      </c>
    </row>
    <row r="2141" spans="1:5" ht="19.95" customHeight="1" x14ac:dyDescent="0.3">
      <c r="A2141" s="5" t="s">
        <v>4267</v>
      </c>
      <c r="B2141" s="6" t="s">
        <v>277</v>
      </c>
      <c r="C2141" s="6" t="s">
        <v>4268</v>
      </c>
      <c r="D2141" s="7" t="s">
        <v>4266</v>
      </c>
      <c r="E2141" s="8">
        <v>2</v>
      </c>
    </row>
    <row r="2142" spans="1:5" ht="19.95" customHeight="1" x14ac:dyDescent="0.3">
      <c r="A2142" s="1" t="s">
        <v>4269</v>
      </c>
      <c r="B2142" s="2" t="s">
        <v>277</v>
      </c>
      <c r="C2142" s="2" t="s">
        <v>4270</v>
      </c>
      <c r="D2142" s="3" t="s">
        <v>4266</v>
      </c>
      <c r="E2142" s="4">
        <v>2</v>
      </c>
    </row>
  </sheetData>
  <sheetProtection sheet="1"/>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pane ySplit="2" topLeftCell="A3" activePane="bottomLeft" state="frozen"/>
      <selection pane="bottomLeft"/>
    </sheetView>
  </sheetViews>
  <sheetFormatPr defaultRowHeight="14.4" x14ac:dyDescent="0.3"/>
  <cols>
    <col min="1" max="1" width="16" style="151" customWidth="1"/>
    <col min="2" max="2" width="30" style="151" customWidth="1"/>
    <col min="3" max="3" width="18" style="151" customWidth="1"/>
    <col min="4" max="4" width="32" style="151" customWidth="1"/>
    <col min="5" max="6" width="22" style="151" customWidth="1"/>
    <col min="7" max="7" width="65" style="151" customWidth="1"/>
  </cols>
  <sheetData>
    <row r="1" spans="1:7" ht="31.95" customHeight="1" x14ac:dyDescent="0.3">
      <c r="A1" s="227" t="s">
        <v>4271</v>
      </c>
      <c r="B1" s="228"/>
      <c r="C1" s="228"/>
      <c r="D1" s="228"/>
      <c r="E1" s="228"/>
      <c r="F1" s="228"/>
      <c r="G1" s="228"/>
    </row>
    <row r="2" spans="1:7" ht="22.05" customHeight="1" x14ac:dyDescent="0.35">
      <c r="A2" s="9" t="s">
        <v>4272</v>
      </c>
      <c r="B2" s="10" t="s">
        <v>4273</v>
      </c>
      <c r="C2" s="11" t="s">
        <v>4274</v>
      </c>
      <c r="D2" s="12" t="s">
        <v>4275</v>
      </c>
    </row>
    <row r="4" spans="1:7" ht="24" customHeight="1" x14ac:dyDescent="0.4">
      <c r="A4" s="13" t="s">
        <v>4276</v>
      </c>
    </row>
    <row r="5" spans="1:7" ht="19.95" customHeight="1" x14ac:dyDescent="0.35">
      <c r="A5" s="14" t="s">
        <v>4277</v>
      </c>
      <c r="B5" s="15" t="s">
        <v>4278</v>
      </c>
      <c r="D5" s="237" t="s">
        <v>4279</v>
      </c>
      <c r="E5" s="230"/>
      <c r="F5" s="230"/>
      <c r="G5" s="231"/>
    </row>
    <row r="6" spans="1:7" ht="19.95" customHeight="1" x14ac:dyDescent="0.35">
      <c r="A6" s="14" t="s">
        <v>4280</v>
      </c>
      <c r="B6" s="15" t="s">
        <v>4281</v>
      </c>
      <c r="D6" s="232"/>
      <c r="E6" s="228"/>
      <c r="F6" s="228"/>
      <c r="G6" s="233"/>
    </row>
    <row r="7" spans="1:7" ht="19.95" customHeight="1" x14ac:dyDescent="0.35">
      <c r="A7" s="14" t="s">
        <v>4282</v>
      </c>
      <c r="B7" s="15" t="s">
        <v>4283</v>
      </c>
      <c r="D7" s="232"/>
      <c r="E7" s="228"/>
      <c r="F7" s="228"/>
      <c r="G7" s="233"/>
    </row>
    <row r="8" spans="1:7" ht="19.95" customHeight="1" x14ac:dyDescent="0.35">
      <c r="A8" s="14" t="s">
        <v>4284</v>
      </c>
      <c r="B8" s="15">
        <v>118</v>
      </c>
      <c r="D8" s="234"/>
      <c r="E8" s="235"/>
      <c r="F8" s="235"/>
      <c r="G8" s="236"/>
    </row>
    <row r="10" spans="1:7" ht="24" customHeight="1" x14ac:dyDescent="0.4">
      <c r="A10" s="13" t="s">
        <v>4285</v>
      </c>
    </row>
    <row r="11" spans="1:7" ht="25.95" customHeight="1" x14ac:dyDescent="0.3">
      <c r="A11" s="153" t="s">
        <v>4286</v>
      </c>
      <c r="B11" s="153" t="s">
        <v>4287</v>
      </c>
      <c r="C11" s="153" t="s">
        <v>4288</v>
      </c>
      <c r="D11" s="153" t="s">
        <v>4289</v>
      </c>
      <c r="E11" s="153" t="s">
        <v>4290</v>
      </c>
      <c r="F11" s="153" t="s">
        <v>4291</v>
      </c>
      <c r="G11" s="153" t="s">
        <v>4292</v>
      </c>
    </row>
    <row r="12" spans="1:7" ht="36" customHeight="1" x14ac:dyDescent="0.3">
      <c r="A12" s="16">
        <v>1</v>
      </c>
      <c r="B12" s="17" t="s">
        <v>4293</v>
      </c>
      <c r="C12" s="18">
        <v>0.01</v>
      </c>
      <c r="D12" s="17" t="s">
        <v>4294</v>
      </c>
      <c r="E12" s="19"/>
      <c r="F12" s="20">
        <f>IF(E12&lt;&gt;"", E12, C12)</f>
        <v>0.01</v>
      </c>
      <c r="G12" s="152" t="s">
        <v>4295</v>
      </c>
    </row>
    <row r="13" spans="1:7" ht="36" customHeight="1" x14ac:dyDescent="0.3">
      <c r="A13" s="16">
        <v>2</v>
      </c>
      <c r="B13" s="17" t="s">
        <v>4296</v>
      </c>
      <c r="C13" s="18">
        <v>0.14050000000000001</v>
      </c>
      <c r="D13" s="17" t="s">
        <v>4297</v>
      </c>
      <c r="E13" s="19"/>
      <c r="F13" s="20">
        <f>IF(E13&lt;&gt;"", E13, C13)</f>
        <v>0.14050000000000001</v>
      </c>
      <c r="G13" s="152" t="s">
        <v>4298</v>
      </c>
    </row>
    <row r="14" spans="1:7" ht="36" customHeight="1" x14ac:dyDescent="0.3">
      <c r="A14" s="16">
        <v>3</v>
      </c>
      <c r="B14" s="17" t="s">
        <v>4299</v>
      </c>
      <c r="C14" s="18">
        <v>0.15</v>
      </c>
      <c r="D14" s="17" t="s">
        <v>4300</v>
      </c>
      <c r="E14" s="19"/>
      <c r="F14" s="20">
        <f>IF(E14&lt;&gt;"", E14, C14)</f>
        <v>0.15</v>
      </c>
      <c r="G14" s="152" t="s">
        <v>4301</v>
      </c>
    </row>
    <row r="15" spans="1:7" ht="36" customHeight="1" x14ac:dyDescent="0.3">
      <c r="A15" s="16">
        <v>4</v>
      </c>
      <c r="B15" s="17" t="s">
        <v>4302</v>
      </c>
      <c r="C15" s="18">
        <v>0.01</v>
      </c>
      <c r="D15" s="17" t="s">
        <v>4303</v>
      </c>
      <c r="E15" s="19"/>
      <c r="F15" s="20">
        <f>IF(E15&lt;&gt;"", E15, C15)</f>
        <v>0.01</v>
      </c>
      <c r="G15" s="152" t="s">
        <v>4304</v>
      </c>
    </row>
    <row r="16" spans="1:7" ht="36" customHeight="1" x14ac:dyDescent="0.3">
      <c r="A16" s="16">
        <v>5</v>
      </c>
      <c r="B16" s="17" t="s">
        <v>4305</v>
      </c>
      <c r="C16" s="21">
        <v>2</v>
      </c>
      <c r="D16" s="17" t="s">
        <v>4306</v>
      </c>
      <c r="E16" s="22"/>
      <c r="F16" s="23">
        <f>IF(E16&lt;&gt;"", E16, C16)</f>
        <v>2</v>
      </c>
      <c r="G16" s="152" t="s">
        <v>4307</v>
      </c>
    </row>
    <row r="18" spans="1:7" ht="24" customHeight="1" x14ac:dyDescent="0.4">
      <c r="A18" s="13" t="s">
        <v>4308</v>
      </c>
    </row>
    <row r="19" spans="1:7" ht="24" customHeight="1" x14ac:dyDescent="0.3">
      <c r="A19" s="153" t="s">
        <v>4309</v>
      </c>
      <c r="B19" s="153" t="s">
        <v>4310</v>
      </c>
      <c r="C19" s="153" t="s">
        <v>4311</v>
      </c>
      <c r="D19" s="153" t="s">
        <v>4312</v>
      </c>
      <c r="E19" s="153" t="s">
        <v>4313</v>
      </c>
      <c r="F19" s="153" t="s">
        <v>4314</v>
      </c>
      <c r="G19" s="153" t="s">
        <v>4315</v>
      </c>
    </row>
    <row r="20" spans="1:7" ht="25.95" customHeight="1" x14ac:dyDescent="0.3">
      <c r="A20" s="24" t="s">
        <v>4316</v>
      </c>
      <c r="B20" s="25" t="s">
        <v>1624</v>
      </c>
      <c r="C20" s="3" t="s">
        <v>4317</v>
      </c>
      <c r="D20" s="3" t="s">
        <v>4317</v>
      </c>
      <c r="E20" s="26" t="s">
        <v>4318</v>
      </c>
      <c r="F20" s="3" t="s">
        <v>4317</v>
      </c>
      <c r="G20" s="152" t="s">
        <v>4319</v>
      </c>
    </row>
    <row r="21" spans="1:7" ht="25.95" customHeight="1" x14ac:dyDescent="0.3">
      <c r="A21" s="24" t="s">
        <v>4320</v>
      </c>
      <c r="B21" s="25" t="s">
        <v>4321</v>
      </c>
      <c r="C21" s="26" t="s">
        <v>4318</v>
      </c>
      <c r="D21" s="26" t="s">
        <v>4318</v>
      </c>
      <c r="E21" s="26" t="s">
        <v>4318</v>
      </c>
      <c r="F21" s="26" t="s">
        <v>4318</v>
      </c>
      <c r="G21" s="152" t="s">
        <v>4322</v>
      </c>
    </row>
    <row r="22" spans="1:7" ht="25.95" customHeight="1" x14ac:dyDescent="0.3">
      <c r="A22" s="24" t="s">
        <v>4323</v>
      </c>
      <c r="B22" s="25" t="s">
        <v>4324</v>
      </c>
      <c r="C22" s="3" t="s">
        <v>4317</v>
      </c>
      <c r="D22" s="3" t="s">
        <v>4317</v>
      </c>
      <c r="E22" s="3" t="s">
        <v>4317</v>
      </c>
      <c r="F22" s="3" t="s">
        <v>4317</v>
      </c>
      <c r="G22" s="152" t="s">
        <v>4325</v>
      </c>
    </row>
    <row r="23" spans="1:7" ht="25.95" customHeight="1" x14ac:dyDescent="0.3">
      <c r="A23" s="24" t="s">
        <v>4326</v>
      </c>
      <c r="B23" s="25" t="s">
        <v>4327</v>
      </c>
      <c r="C23" s="26" t="s">
        <v>4318</v>
      </c>
      <c r="D23" s="26" t="s">
        <v>4318</v>
      </c>
      <c r="E23" s="26" t="s">
        <v>4318</v>
      </c>
      <c r="F23" s="26" t="s">
        <v>4318</v>
      </c>
      <c r="G23" s="152" t="s">
        <v>4328</v>
      </c>
    </row>
    <row r="24" spans="1:7" ht="25.95" customHeight="1" x14ac:dyDescent="0.3">
      <c r="A24" s="24" t="s">
        <v>4329</v>
      </c>
      <c r="B24" s="25" t="s">
        <v>4330</v>
      </c>
      <c r="C24" s="26" t="s">
        <v>4318</v>
      </c>
      <c r="D24" s="26" t="s">
        <v>4318</v>
      </c>
      <c r="E24" s="26" t="s">
        <v>4318</v>
      </c>
      <c r="F24" s="26" t="s">
        <v>4318</v>
      </c>
      <c r="G24" s="152" t="s">
        <v>4331</v>
      </c>
    </row>
    <row r="25" spans="1:7" ht="25.95" customHeight="1" x14ac:dyDescent="0.3">
      <c r="A25" s="24" t="s">
        <v>4332</v>
      </c>
      <c r="B25" s="25" t="s">
        <v>4333</v>
      </c>
      <c r="C25" s="26" t="s">
        <v>4318</v>
      </c>
      <c r="D25" s="26" t="s">
        <v>4318</v>
      </c>
      <c r="E25" s="26" t="s">
        <v>4318</v>
      </c>
      <c r="F25" s="26" t="s">
        <v>4318</v>
      </c>
      <c r="G25" s="152" t="s">
        <v>4334</v>
      </c>
    </row>
    <row r="26" spans="1:7" ht="25.95" customHeight="1" x14ac:dyDescent="0.3">
      <c r="A26" s="24" t="s">
        <v>4335</v>
      </c>
      <c r="B26" s="25" t="s">
        <v>4336</v>
      </c>
      <c r="C26" s="26" t="s">
        <v>4318</v>
      </c>
      <c r="D26" s="26" t="s">
        <v>4318</v>
      </c>
      <c r="E26" s="26" t="s">
        <v>4318</v>
      </c>
      <c r="F26" s="26" t="s">
        <v>4318</v>
      </c>
      <c r="G26" s="152" t="s">
        <v>4337</v>
      </c>
    </row>
    <row r="27" spans="1:7" ht="25.95" customHeight="1" x14ac:dyDescent="0.3">
      <c r="A27" s="24" t="s">
        <v>4338</v>
      </c>
      <c r="B27" s="25" t="s">
        <v>4339</v>
      </c>
      <c r="C27" s="26" t="s">
        <v>4318</v>
      </c>
      <c r="D27" s="26" t="s">
        <v>4318</v>
      </c>
      <c r="E27" s="26" t="s">
        <v>4318</v>
      </c>
      <c r="F27" s="26" t="s">
        <v>4318</v>
      </c>
      <c r="G27" s="152" t="s">
        <v>4340</v>
      </c>
    </row>
    <row r="28" spans="1:7" ht="25.95" customHeight="1" x14ac:dyDescent="0.3">
      <c r="A28" s="24" t="s">
        <v>4341</v>
      </c>
      <c r="B28" s="25" t="s">
        <v>4342</v>
      </c>
      <c r="C28" s="26" t="s">
        <v>4318</v>
      </c>
      <c r="D28" s="26" t="s">
        <v>4318</v>
      </c>
      <c r="E28" s="26" t="s">
        <v>4318</v>
      </c>
      <c r="F28" s="26" t="s">
        <v>4318</v>
      </c>
      <c r="G28" s="152" t="s">
        <v>4343</v>
      </c>
    </row>
    <row r="29" spans="1:7" ht="25.95" customHeight="1" x14ac:dyDescent="0.3">
      <c r="A29" s="24" t="s">
        <v>4344</v>
      </c>
      <c r="B29" s="25" t="s">
        <v>4345</v>
      </c>
      <c r="C29" s="26" t="s">
        <v>4318</v>
      </c>
      <c r="D29" s="26" t="s">
        <v>4318</v>
      </c>
      <c r="E29" s="26" t="s">
        <v>4318</v>
      </c>
      <c r="F29" s="26" t="s">
        <v>4318</v>
      </c>
      <c r="G29" s="152" t="s">
        <v>4346</v>
      </c>
    </row>
    <row r="30" spans="1:7" ht="25.95" customHeight="1" x14ac:dyDescent="0.3">
      <c r="A30" s="24" t="s">
        <v>4347</v>
      </c>
      <c r="B30" s="25" t="s">
        <v>4348</v>
      </c>
      <c r="C30" s="26" t="s">
        <v>4318</v>
      </c>
      <c r="D30" s="26" t="s">
        <v>4318</v>
      </c>
      <c r="E30" s="26" t="s">
        <v>4318</v>
      </c>
      <c r="F30" s="26" t="s">
        <v>4318</v>
      </c>
      <c r="G30" s="152" t="s">
        <v>4349</v>
      </c>
    </row>
    <row r="31" spans="1:7" ht="25.95" customHeight="1" x14ac:dyDescent="0.3">
      <c r="A31" s="24" t="s">
        <v>4350</v>
      </c>
      <c r="B31" s="25" t="s">
        <v>4351</v>
      </c>
      <c r="C31" s="26" t="s">
        <v>4318</v>
      </c>
      <c r="D31" s="26" t="s">
        <v>4318</v>
      </c>
      <c r="E31" s="26" t="s">
        <v>4318</v>
      </c>
      <c r="F31" s="26" t="s">
        <v>4318</v>
      </c>
      <c r="G31" s="152" t="s">
        <v>4352</v>
      </c>
    </row>
  </sheetData>
  <sheetProtection sheet="1"/>
  <mergeCells count="2">
    <mergeCell ref="D5:G8"/>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06"/>
  <sheetViews>
    <sheetView workbookViewId="0">
      <pane ySplit="5" topLeftCell="A6" activePane="bottomLeft" state="frozen"/>
      <selection pane="bottomLeft"/>
    </sheetView>
  </sheetViews>
  <sheetFormatPr defaultRowHeight="14.4" x14ac:dyDescent="0.3"/>
  <cols>
    <col min="1" max="1" width="38" style="151" customWidth="1"/>
    <col min="2" max="2" width="20" style="151" customWidth="1"/>
    <col min="3" max="3" width="24" style="151" customWidth="1"/>
    <col min="4" max="4" width="14" style="151" customWidth="1"/>
    <col min="5" max="5" width="45" style="151" customWidth="1"/>
    <col min="6" max="6" width="16" style="151" customWidth="1"/>
    <col min="7" max="7" width="15" style="151" customWidth="1"/>
    <col min="8" max="8" width="12" style="151" customWidth="1"/>
    <col min="9" max="9" width="40" style="151" customWidth="1"/>
    <col min="10" max="10" width="12" style="151" customWidth="1"/>
    <col min="11" max="12" width="16" style="151" customWidth="1"/>
  </cols>
  <sheetData>
    <row r="1" spans="1:12" ht="30" customHeight="1" x14ac:dyDescent="0.3">
      <c r="A1" s="227" t="s">
        <v>4353</v>
      </c>
      <c r="B1" s="228"/>
      <c r="C1" s="228"/>
      <c r="D1" s="228"/>
      <c r="E1" s="228"/>
      <c r="F1" s="228"/>
      <c r="G1" s="228"/>
      <c r="H1" s="228"/>
      <c r="I1" s="228"/>
      <c r="J1" s="228"/>
      <c r="K1" s="228"/>
      <c r="L1" s="228"/>
    </row>
    <row r="2" spans="1:12" ht="40.049999999999997" customHeight="1" x14ac:dyDescent="0.3">
      <c r="A2" s="238" t="s">
        <v>4354</v>
      </c>
      <c r="B2" s="228"/>
      <c r="C2" s="228"/>
      <c r="D2" s="228"/>
      <c r="E2" s="228"/>
      <c r="F2" s="228"/>
      <c r="G2" s="228"/>
      <c r="H2" s="228"/>
      <c r="I2" s="228"/>
      <c r="J2" s="228"/>
      <c r="K2" s="228"/>
      <c r="L2" s="228"/>
    </row>
    <row r="4" spans="1:12" ht="24" customHeight="1" x14ac:dyDescent="0.3">
      <c r="A4" s="239" t="s">
        <v>4355</v>
      </c>
      <c r="B4" s="228"/>
      <c r="C4" s="228"/>
      <c r="D4" s="228"/>
      <c r="E4" s="228"/>
      <c r="F4" s="228"/>
      <c r="G4" s="228"/>
      <c r="H4" s="228"/>
      <c r="I4" s="228"/>
      <c r="J4" s="228"/>
      <c r="K4" s="228"/>
      <c r="L4" s="228"/>
    </row>
    <row r="5" spans="1:12" ht="25.95" customHeight="1" x14ac:dyDescent="0.3">
      <c r="A5" s="153" t="s">
        <v>4356</v>
      </c>
      <c r="B5" s="153" t="s">
        <v>4357</v>
      </c>
      <c r="C5" s="153" t="s">
        <v>4358</v>
      </c>
      <c r="D5" s="153" t="s">
        <v>3</v>
      </c>
      <c r="E5" s="153" t="s">
        <v>4359</v>
      </c>
      <c r="F5" s="153" t="s">
        <v>6</v>
      </c>
      <c r="G5" s="153" t="s">
        <v>4360</v>
      </c>
      <c r="H5" s="153" t="s">
        <v>4361</v>
      </c>
      <c r="I5" s="153" t="s">
        <v>4362</v>
      </c>
      <c r="J5" s="153" t="s">
        <v>4363</v>
      </c>
      <c r="K5" s="153" t="s">
        <v>4364</v>
      </c>
      <c r="L5" s="153" t="s">
        <v>7</v>
      </c>
    </row>
    <row r="6" spans="1:12" ht="19.95" customHeight="1" x14ac:dyDescent="0.3">
      <c r="A6" s="27" t="s">
        <v>4365</v>
      </c>
      <c r="B6" s="28" t="s">
        <v>4366</v>
      </c>
      <c r="C6" s="28" t="s">
        <v>4367</v>
      </c>
      <c r="D6" s="29" t="s">
        <v>209</v>
      </c>
      <c r="E6" s="30" t="s">
        <v>210</v>
      </c>
      <c r="F6" s="28" t="s">
        <v>11</v>
      </c>
      <c r="G6" s="31">
        <v>4.625</v>
      </c>
      <c r="H6" s="32">
        <v>2</v>
      </c>
      <c r="I6" s="32">
        <v>10.66</v>
      </c>
      <c r="J6" s="28">
        <v>4</v>
      </c>
      <c r="K6" s="28" t="s">
        <v>4368</v>
      </c>
      <c r="L6" s="33">
        <v>558</v>
      </c>
    </row>
    <row r="7" spans="1:12" ht="19.95" customHeight="1" x14ac:dyDescent="0.3">
      <c r="A7" s="6" t="s">
        <v>4365</v>
      </c>
      <c r="B7" s="7" t="s">
        <v>4366</v>
      </c>
      <c r="C7" s="7" t="s">
        <v>4369</v>
      </c>
      <c r="D7" s="5" t="s">
        <v>172</v>
      </c>
      <c r="E7" s="6" t="s">
        <v>4370</v>
      </c>
      <c r="F7" s="7" t="s">
        <v>11</v>
      </c>
      <c r="G7" s="31">
        <v>1</v>
      </c>
      <c r="H7" s="34">
        <v>1</v>
      </c>
      <c r="I7" s="34">
        <v>1</v>
      </c>
      <c r="J7" s="7">
        <v>1</v>
      </c>
      <c r="K7" s="7" t="s">
        <v>4371</v>
      </c>
      <c r="L7" s="35">
        <v>1500</v>
      </c>
    </row>
    <row r="8" spans="1:12" ht="19.95" customHeight="1" x14ac:dyDescent="0.3">
      <c r="A8" s="27" t="s">
        <v>4372</v>
      </c>
      <c r="B8" s="28" t="s">
        <v>4366</v>
      </c>
      <c r="C8" s="28" t="s">
        <v>4367</v>
      </c>
      <c r="D8" s="29" t="s">
        <v>209</v>
      </c>
      <c r="E8" s="30" t="s">
        <v>210</v>
      </c>
      <c r="F8" s="28" t="s">
        <v>11</v>
      </c>
      <c r="G8" s="31">
        <v>3.75</v>
      </c>
      <c r="H8" s="32">
        <v>3.75</v>
      </c>
      <c r="I8" s="32">
        <v>3.75</v>
      </c>
      <c r="J8" s="28">
        <v>1</v>
      </c>
      <c r="K8" s="28" t="s">
        <v>4368</v>
      </c>
      <c r="L8" s="33">
        <v>558</v>
      </c>
    </row>
    <row r="9" spans="1:12" ht="19.95" customHeight="1" x14ac:dyDescent="0.3">
      <c r="A9" s="27" t="s">
        <v>4373</v>
      </c>
      <c r="B9" s="28" t="s">
        <v>4374</v>
      </c>
      <c r="C9" s="28" t="s">
        <v>4367</v>
      </c>
      <c r="D9" s="29" t="s">
        <v>209</v>
      </c>
      <c r="E9" s="30" t="s">
        <v>210</v>
      </c>
      <c r="F9" s="28" t="s">
        <v>11</v>
      </c>
      <c r="G9" s="31">
        <v>1.1000000000000001</v>
      </c>
      <c r="H9" s="32">
        <v>0.06</v>
      </c>
      <c r="I9" s="32">
        <v>16.5</v>
      </c>
      <c r="J9" s="28">
        <v>47</v>
      </c>
      <c r="K9" s="28" t="s">
        <v>4368</v>
      </c>
      <c r="L9" s="33">
        <v>558</v>
      </c>
    </row>
    <row r="10" spans="1:12" ht="19.95" customHeight="1" x14ac:dyDescent="0.3">
      <c r="A10" s="6" t="s">
        <v>4373</v>
      </c>
      <c r="B10" s="7" t="s">
        <v>4374</v>
      </c>
      <c r="C10" s="7" t="s">
        <v>4367</v>
      </c>
      <c r="D10" s="5" t="s">
        <v>205</v>
      </c>
      <c r="E10" s="6" t="s">
        <v>206</v>
      </c>
      <c r="F10" s="7" t="s">
        <v>11</v>
      </c>
      <c r="G10" s="31">
        <v>0.25</v>
      </c>
      <c r="H10" s="34">
        <v>0.03</v>
      </c>
      <c r="I10" s="34">
        <v>1.5</v>
      </c>
      <c r="J10" s="7">
        <v>19</v>
      </c>
      <c r="K10" s="7" t="s">
        <v>4375</v>
      </c>
      <c r="L10" s="35">
        <v>679</v>
      </c>
    </row>
    <row r="11" spans="1:12" ht="19.95" customHeight="1" x14ac:dyDescent="0.3">
      <c r="A11" s="6" t="s">
        <v>4373</v>
      </c>
      <c r="B11" s="7" t="s">
        <v>4374</v>
      </c>
      <c r="C11" s="7" t="s">
        <v>4367</v>
      </c>
      <c r="D11" s="5" t="s">
        <v>211</v>
      </c>
      <c r="E11" s="6" t="s">
        <v>212</v>
      </c>
      <c r="F11" s="7" t="s">
        <v>11</v>
      </c>
      <c r="G11" s="31">
        <v>1.67</v>
      </c>
      <c r="H11" s="34">
        <v>0.17</v>
      </c>
      <c r="I11" s="34">
        <v>7</v>
      </c>
      <c r="J11" s="7">
        <v>12</v>
      </c>
      <c r="K11" s="7" t="s">
        <v>4376</v>
      </c>
      <c r="L11" s="35">
        <v>558</v>
      </c>
    </row>
    <row r="12" spans="1:12" ht="19.95" customHeight="1" x14ac:dyDescent="0.3">
      <c r="A12" s="6" t="s">
        <v>4373</v>
      </c>
      <c r="B12" s="7" t="s">
        <v>4374</v>
      </c>
      <c r="C12" s="7" t="s">
        <v>4367</v>
      </c>
      <c r="D12" s="5" t="s">
        <v>197</v>
      </c>
      <c r="E12" s="6" t="s">
        <v>198</v>
      </c>
      <c r="F12" s="7" t="s">
        <v>11</v>
      </c>
      <c r="G12" s="31">
        <v>0.4</v>
      </c>
      <c r="H12" s="34">
        <v>0.35</v>
      </c>
      <c r="I12" s="34">
        <v>0.5</v>
      </c>
      <c r="J12" s="7">
        <v>4</v>
      </c>
      <c r="K12" s="7" t="s">
        <v>4376</v>
      </c>
      <c r="L12" s="35">
        <v>617</v>
      </c>
    </row>
    <row r="13" spans="1:12" ht="19.95" customHeight="1" x14ac:dyDescent="0.3">
      <c r="A13" s="6" t="s">
        <v>4373</v>
      </c>
      <c r="B13" s="7" t="s">
        <v>4374</v>
      </c>
      <c r="C13" s="7" t="s">
        <v>4367</v>
      </c>
      <c r="D13" s="5" t="s">
        <v>231</v>
      </c>
      <c r="E13" s="6" t="s">
        <v>232</v>
      </c>
      <c r="F13" s="7" t="s">
        <v>11</v>
      </c>
      <c r="G13" s="31">
        <v>0.32</v>
      </c>
      <c r="H13" s="34">
        <v>0.1</v>
      </c>
      <c r="I13" s="34">
        <v>0.4</v>
      </c>
      <c r="J13" s="7">
        <v>3</v>
      </c>
      <c r="K13" s="7" t="s">
        <v>4376</v>
      </c>
      <c r="L13" s="35">
        <v>617</v>
      </c>
    </row>
    <row r="14" spans="1:12" ht="19.95" customHeight="1" x14ac:dyDescent="0.3">
      <c r="A14" s="6" t="s">
        <v>4373</v>
      </c>
      <c r="B14" s="7" t="s">
        <v>4374</v>
      </c>
      <c r="C14" s="7" t="s">
        <v>4367</v>
      </c>
      <c r="D14" s="5" t="s">
        <v>207</v>
      </c>
      <c r="E14" s="6" t="s">
        <v>208</v>
      </c>
      <c r="F14" s="7" t="s">
        <v>11</v>
      </c>
      <c r="G14" s="31">
        <v>8.0000000000000002E-3</v>
      </c>
      <c r="H14" s="34">
        <v>8.0000000000000002E-3</v>
      </c>
      <c r="I14" s="34">
        <v>8.0000000000000002E-3</v>
      </c>
      <c r="J14" s="7">
        <v>2</v>
      </c>
      <c r="K14" s="7" t="s">
        <v>4376</v>
      </c>
      <c r="L14" s="35">
        <v>558</v>
      </c>
    </row>
    <row r="15" spans="1:12" ht="19.95" customHeight="1" x14ac:dyDescent="0.3">
      <c r="A15" s="6" t="s">
        <v>4373</v>
      </c>
      <c r="B15" s="7" t="s">
        <v>4374</v>
      </c>
      <c r="C15" s="7" t="s">
        <v>4367</v>
      </c>
      <c r="D15" s="5" t="s">
        <v>223</v>
      </c>
      <c r="E15" s="6" t="s">
        <v>224</v>
      </c>
      <c r="F15" s="7" t="s">
        <v>11</v>
      </c>
      <c r="G15" s="31">
        <v>0.27500000000000002</v>
      </c>
      <c r="H15" s="34">
        <v>0.05</v>
      </c>
      <c r="I15" s="34">
        <v>0.5</v>
      </c>
      <c r="J15" s="7">
        <v>2</v>
      </c>
      <c r="K15" s="7" t="s">
        <v>4377</v>
      </c>
      <c r="L15" s="35">
        <v>679</v>
      </c>
    </row>
    <row r="16" spans="1:12" ht="19.95" customHeight="1" x14ac:dyDescent="0.3">
      <c r="A16" s="6" t="s">
        <v>4373</v>
      </c>
      <c r="B16" s="7" t="s">
        <v>4374</v>
      </c>
      <c r="C16" s="7" t="s">
        <v>4369</v>
      </c>
      <c r="D16" s="5" t="s">
        <v>14</v>
      </c>
      <c r="E16" s="6" t="s">
        <v>15</v>
      </c>
      <c r="F16" s="7" t="s">
        <v>11</v>
      </c>
      <c r="G16" s="31">
        <v>8.0000000000000002E-3</v>
      </c>
      <c r="H16" s="34">
        <v>8.0000000000000002E-3</v>
      </c>
      <c r="I16" s="34">
        <v>8.0000000000000002E-3</v>
      </c>
      <c r="J16" s="7">
        <v>2</v>
      </c>
      <c r="K16" s="7" t="s">
        <v>4376</v>
      </c>
      <c r="L16" s="35">
        <v>3000</v>
      </c>
    </row>
    <row r="17" spans="1:12" ht="19.95" customHeight="1" x14ac:dyDescent="0.3">
      <c r="A17" s="6" t="s">
        <v>4373</v>
      </c>
      <c r="B17" s="7" t="s">
        <v>4374</v>
      </c>
      <c r="C17" s="7" t="s">
        <v>4369</v>
      </c>
      <c r="D17" s="5" t="s">
        <v>45</v>
      </c>
      <c r="E17" s="6" t="s">
        <v>4378</v>
      </c>
      <c r="F17" s="7" t="s">
        <v>11</v>
      </c>
      <c r="G17" s="31">
        <v>4.1000000000000002E-2</v>
      </c>
      <c r="H17" s="34">
        <v>4.1000000000000002E-2</v>
      </c>
      <c r="I17" s="34">
        <v>4.1000000000000002E-2</v>
      </c>
      <c r="J17" s="7">
        <v>2</v>
      </c>
      <c r="K17" s="7" t="s">
        <v>4376</v>
      </c>
      <c r="L17" s="35">
        <v>5000</v>
      </c>
    </row>
    <row r="18" spans="1:12" ht="19.95" customHeight="1" x14ac:dyDescent="0.3">
      <c r="A18" s="6" t="s">
        <v>4373</v>
      </c>
      <c r="B18" s="7" t="s">
        <v>4374</v>
      </c>
      <c r="C18" s="7" t="s">
        <v>4369</v>
      </c>
      <c r="D18" s="5" t="s">
        <v>49</v>
      </c>
      <c r="E18" s="6" t="s">
        <v>4379</v>
      </c>
      <c r="F18" s="7" t="s">
        <v>11</v>
      </c>
      <c r="G18" s="31">
        <v>4.1000000000000002E-2</v>
      </c>
      <c r="H18" s="34">
        <v>4.1000000000000002E-2</v>
      </c>
      <c r="I18" s="34">
        <v>4.1000000000000002E-2</v>
      </c>
      <c r="J18" s="7">
        <v>2</v>
      </c>
      <c r="K18" s="7" t="s">
        <v>4376</v>
      </c>
      <c r="L18" s="35">
        <v>7000</v>
      </c>
    </row>
    <row r="19" spans="1:12" ht="19.95" customHeight="1" x14ac:dyDescent="0.3">
      <c r="A19" s="27" t="s">
        <v>4380</v>
      </c>
      <c r="B19" s="28" t="s">
        <v>4374</v>
      </c>
      <c r="C19" s="28" t="s">
        <v>4367</v>
      </c>
      <c r="D19" s="29" t="s">
        <v>197</v>
      </c>
      <c r="E19" s="30" t="s">
        <v>198</v>
      </c>
      <c r="F19" s="28" t="s">
        <v>11</v>
      </c>
      <c r="G19" s="31">
        <v>0.4</v>
      </c>
      <c r="H19" s="32">
        <v>0.4</v>
      </c>
      <c r="I19" s="32">
        <v>0.4</v>
      </c>
      <c r="J19" s="28">
        <v>1</v>
      </c>
      <c r="K19" s="28" t="s">
        <v>4376</v>
      </c>
      <c r="L19" s="33">
        <v>617</v>
      </c>
    </row>
    <row r="20" spans="1:12" ht="19.95" customHeight="1" x14ac:dyDescent="0.3">
      <c r="A20" s="6" t="s">
        <v>4380</v>
      </c>
      <c r="B20" s="7" t="s">
        <v>4374</v>
      </c>
      <c r="C20" s="7" t="s">
        <v>4367</v>
      </c>
      <c r="D20" s="5" t="s">
        <v>207</v>
      </c>
      <c r="E20" s="6" t="s">
        <v>208</v>
      </c>
      <c r="F20" s="7" t="s">
        <v>11</v>
      </c>
      <c r="G20" s="31">
        <v>8.0000000000000002E-3</v>
      </c>
      <c r="H20" s="34">
        <v>8.0000000000000002E-3</v>
      </c>
      <c r="I20" s="34">
        <v>8.0000000000000002E-3</v>
      </c>
      <c r="J20" s="7">
        <v>1</v>
      </c>
      <c r="K20" s="7" t="s">
        <v>4376</v>
      </c>
      <c r="L20" s="35">
        <v>558</v>
      </c>
    </row>
    <row r="21" spans="1:12" ht="19.95" customHeight="1" x14ac:dyDescent="0.3">
      <c r="A21" s="6" t="s">
        <v>4380</v>
      </c>
      <c r="B21" s="7" t="s">
        <v>4374</v>
      </c>
      <c r="C21" s="7" t="s">
        <v>4367</v>
      </c>
      <c r="D21" s="5" t="s">
        <v>211</v>
      </c>
      <c r="E21" s="6" t="s">
        <v>4381</v>
      </c>
      <c r="F21" s="7" t="s">
        <v>11</v>
      </c>
      <c r="G21" s="31">
        <v>0.8</v>
      </c>
      <c r="H21" s="34">
        <v>0.8</v>
      </c>
      <c r="I21" s="34">
        <v>0.8</v>
      </c>
      <c r="J21" s="7">
        <v>1</v>
      </c>
      <c r="K21" s="7" t="s">
        <v>4376</v>
      </c>
      <c r="L21" s="35">
        <v>558</v>
      </c>
    </row>
    <row r="22" spans="1:12" ht="19.95" customHeight="1" x14ac:dyDescent="0.3">
      <c r="A22" s="6" t="s">
        <v>4380</v>
      </c>
      <c r="B22" s="7" t="s">
        <v>4374</v>
      </c>
      <c r="C22" s="7" t="s">
        <v>4367</v>
      </c>
      <c r="D22" s="5" t="s">
        <v>231</v>
      </c>
      <c r="E22" s="6" t="s">
        <v>232</v>
      </c>
      <c r="F22" s="7" t="s">
        <v>11</v>
      </c>
      <c r="G22" s="31">
        <v>0.08</v>
      </c>
      <c r="H22" s="34">
        <v>0.08</v>
      </c>
      <c r="I22" s="34">
        <v>0.08</v>
      </c>
      <c r="J22" s="7">
        <v>1</v>
      </c>
      <c r="K22" s="7" t="s">
        <v>4376</v>
      </c>
      <c r="L22" s="35">
        <v>617</v>
      </c>
    </row>
    <row r="23" spans="1:12" ht="19.95" customHeight="1" x14ac:dyDescent="0.3">
      <c r="A23" s="6" t="s">
        <v>4380</v>
      </c>
      <c r="B23" s="7" t="s">
        <v>4374</v>
      </c>
      <c r="C23" s="7" t="s">
        <v>4369</v>
      </c>
      <c r="D23" s="5" t="s">
        <v>14</v>
      </c>
      <c r="E23" s="6" t="s">
        <v>15</v>
      </c>
      <c r="F23" s="7" t="s">
        <v>11</v>
      </c>
      <c r="G23" s="31">
        <v>8.0000000000000002E-3</v>
      </c>
      <c r="H23" s="34">
        <v>8.0000000000000002E-3</v>
      </c>
      <c r="I23" s="34">
        <v>8.0000000000000002E-3</v>
      </c>
      <c r="J23" s="7">
        <v>1</v>
      </c>
      <c r="K23" s="7" t="s">
        <v>4376</v>
      </c>
      <c r="L23" s="35">
        <v>3000</v>
      </c>
    </row>
    <row r="24" spans="1:12" ht="19.95" customHeight="1" x14ac:dyDescent="0.3">
      <c r="A24" s="27" t="s">
        <v>4382</v>
      </c>
      <c r="B24" s="28" t="s">
        <v>4374</v>
      </c>
      <c r="C24" s="28" t="s">
        <v>4367</v>
      </c>
      <c r="D24" s="29" t="s">
        <v>211</v>
      </c>
      <c r="E24" s="30" t="s">
        <v>212</v>
      </c>
      <c r="F24" s="28" t="s">
        <v>11</v>
      </c>
      <c r="G24" s="31">
        <v>1.3</v>
      </c>
      <c r="H24" s="32">
        <v>0.55000000000000004</v>
      </c>
      <c r="I24" s="32">
        <v>2.5</v>
      </c>
      <c r="J24" s="28">
        <v>9</v>
      </c>
      <c r="K24" s="28" t="s">
        <v>4376</v>
      </c>
      <c r="L24" s="33">
        <v>558</v>
      </c>
    </row>
    <row r="25" spans="1:12" ht="19.95" customHeight="1" x14ac:dyDescent="0.3">
      <c r="A25" s="6" t="s">
        <v>4382</v>
      </c>
      <c r="B25" s="7" t="s">
        <v>4374</v>
      </c>
      <c r="C25" s="7" t="s">
        <v>4367</v>
      </c>
      <c r="D25" s="5" t="s">
        <v>209</v>
      </c>
      <c r="E25" s="6" t="s">
        <v>210</v>
      </c>
      <c r="F25" s="7" t="s">
        <v>11</v>
      </c>
      <c r="G25" s="31">
        <v>0.625</v>
      </c>
      <c r="H25" s="34">
        <v>0.45</v>
      </c>
      <c r="I25" s="34">
        <v>1.95</v>
      </c>
      <c r="J25" s="7">
        <v>8</v>
      </c>
      <c r="K25" s="7" t="s">
        <v>4376</v>
      </c>
      <c r="L25" s="35">
        <v>558</v>
      </c>
    </row>
    <row r="26" spans="1:12" ht="19.95" customHeight="1" x14ac:dyDescent="0.3">
      <c r="A26" s="6" t="s">
        <v>4382</v>
      </c>
      <c r="B26" s="7" t="s">
        <v>4374</v>
      </c>
      <c r="C26" s="7" t="s">
        <v>4367</v>
      </c>
      <c r="D26" s="5" t="s">
        <v>239</v>
      </c>
      <c r="E26" s="6" t="s">
        <v>240</v>
      </c>
      <c r="F26" s="7" t="s">
        <v>11</v>
      </c>
      <c r="G26" s="31">
        <v>1.1499999999999999</v>
      </c>
      <c r="H26" s="34">
        <v>0.70499999999999996</v>
      </c>
      <c r="I26" s="34">
        <v>2.65</v>
      </c>
      <c r="J26" s="7">
        <v>6</v>
      </c>
      <c r="K26" s="7" t="s">
        <v>4376</v>
      </c>
      <c r="L26" s="35">
        <v>558</v>
      </c>
    </row>
    <row r="27" spans="1:12" ht="19.95" customHeight="1" x14ac:dyDescent="0.3">
      <c r="A27" s="6" t="s">
        <v>4382</v>
      </c>
      <c r="B27" s="7" t="s">
        <v>4374</v>
      </c>
      <c r="C27" s="7" t="s">
        <v>4367</v>
      </c>
      <c r="D27" s="5" t="s">
        <v>241</v>
      </c>
      <c r="E27" s="6" t="s">
        <v>242</v>
      </c>
      <c r="F27" s="7" t="s">
        <v>11</v>
      </c>
      <c r="G27" s="31">
        <v>2.9129999999999998</v>
      </c>
      <c r="H27" s="34">
        <v>1.59</v>
      </c>
      <c r="I27" s="34">
        <v>6.1749999999999998</v>
      </c>
      <c r="J27" s="7">
        <v>6</v>
      </c>
      <c r="K27" s="7" t="s">
        <v>4376</v>
      </c>
      <c r="L27" s="35">
        <v>558</v>
      </c>
    </row>
    <row r="28" spans="1:12" ht="19.95" customHeight="1" x14ac:dyDescent="0.3">
      <c r="A28" s="6" t="s">
        <v>4382</v>
      </c>
      <c r="B28" s="7" t="s">
        <v>4374</v>
      </c>
      <c r="C28" s="7" t="s">
        <v>4367</v>
      </c>
      <c r="D28" s="5" t="s">
        <v>243</v>
      </c>
      <c r="E28" s="6" t="s">
        <v>244</v>
      </c>
      <c r="F28" s="7" t="s">
        <v>11</v>
      </c>
      <c r="G28" s="31">
        <v>0.70799999999999996</v>
      </c>
      <c r="H28" s="34">
        <v>0.35499999999999998</v>
      </c>
      <c r="I28" s="34">
        <v>1.06</v>
      </c>
      <c r="J28" s="7">
        <v>4</v>
      </c>
      <c r="K28" s="7" t="s">
        <v>4376</v>
      </c>
      <c r="L28" s="35">
        <v>558</v>
      </c>
    </row>
    <row r="29" spans="1:12" ht="19.95" customHeight="1" x14ac:dyDescent="0.3">
      <c r="A29" s="6" t="s">
        <v>4382</v>
      </c>
      <c r="B29" s="7" t="s">
        <v>4374</v>
      </c>
      <c r="C29" s="7" t="s">
        <v>4367</v>
      </c>
      <c r="D29" s="5" t="s">
        <v>197</v>
      </c>
      <c r="E29" s="6" t="s">
        <v>198</v>
      </c>
      <c r="F29" s="7" t="s">
        <v>11</v>
      </c>
      <c r="G29" s="31">
        <v>0.2</v>
      </c>
      <c r="H29" s="34">
        <v>0.2</v>
      </c>
      <c r="I29" s="34">
        <v>0.35</v>
      </c>
      <c r="J29" s="7">
        <v>3</v>
      </c>
      <c r="K29" s="7" t="s">
        <v>4376</v>
      </c>
      <c r="L29" s="35">
        <v>617</v>
      </c>
    </row>
    <row r="30" spans="1:12" ht="19.95" customHeight="1" x14ac:dyDescent="0.3">
      <c r="A30" s="6" t="s">
        <v>4382</v>
      </c>
      <c r="B30" s="7" t="s">
        <v>4374</v>
      </c>
      <c r="C30" s="7" t="s">
        <v>4367</v>
      </c>
      <c r="D30" s="5" t="s">
        <v>231</v>
      </c>
      <c r="E30" s="6" t="s">
        <v>232</v>
      </c>
      <c r="F30" s="7" t="s">
        <v>11</v>
      </c>
      <c r="G30" s="31">
        <v>0.2</v>
      </c>
      <c r="H30" s="34">
        <v>0.2</v>
      </c>
      <c r="I30" s="34">
        <v>0.2</v>
      </c>
      <c r="J30" s="7">
        <v>3</v>
      </c>
      <c r="K30" s="7" t="s">
        <v>4376</v>
      </c>
      <c r="L30" s="35">
        <v>617</v>
      </c>
    </row>
    <row r="31" spans="1:12" ht="19.95" customHeight="1" x14ac:dyDescent="0.3">
      <c r="A31" s="6" t="s">
        <v>4382</v>
      </c>
      <c r="B31" s="7" t="s">
        <v>4374</v>
      </c>
      <c r="C31" s="7" t="s">
        <v>4367</v>
      </c>
      <c r="D31" s="5" t="s">
        <v>201</v>
      </c>
      <c r="E31" s="6" t="s">
        <v>202</v>
      </c>
      <c r="F31" s="7" t="s">
        <v>11</v>
      </c>
      <c r="G31" s="31">
        <v>0.17499999999999999</v>
      </c>
      <c r="H31" s="34">
        <v>0.17499999999999999</v>
      </c>
      <c r="I31" s="34">
        <v>0.17499999999999999</v>
      </c>
      <c r="J31" s="7">
        <v>2</v>
      </c>
      <c r="K31" s="7" t="s">
        <v>4376</v>
      </c>
      <c r="L31" s="35">
        <v>679</v>
      </c>
    </row>
    <row r="32" spans="1:12" ht="19.95" customHeight="1" x14ac:dyDescent="0.3">
      <c r="A32" s="6" t="s">
        <v>4382</v>
      </c>
      <c r="B32" s="7" t="s">
        <v>4374</v>
      </c>
      <c r="C32" s="7" t="s">
        <v>4367</v>
      </c>
      <c r="D32" s="5" t="s">
        <v>245</v>
      </c>
      <c r="E32" s="6" t="s">
        <v>246</v>
      </c>
      <c r="F32" s="7" t="s">
        <v>11</v>
      </c>
      <c r="G32" s="31">
        <v>1.06</v>
      </c>
      <c r="H32" s="34">
        <v>1.06</v>
      </c>
      <c r="I32" s="34">
        <v>1.06</v>
      </c>
      <c r="J32" s="7">
        <v>2</v>
      </c>
      <c r="K32" s="7" t="s">
        <v>4376</v>
      </c>
      <c r="L32" s="35">
        <v>617</v>
      </c>
    </row>
    <row r="33" spans="1:12" ht="19.95" customHeight="1" x14ac:dyDescent="0.3">
      <c r="A33" s="6" t="s">
        <v>4382</v>
      </c>
      <c r="B33" s="7" t="s">
        <v>4374</v>
      </c>
      <c r="C33" s="7" t="s">
        <v>4369</v>
      </c>
      <c r="D33" s="5" t="s">
        <v>43</v>
      </c>
      <c r="E33" s="6" t="s">
        <v>44</v>
      </c>
      <c r="F33" s="7" t="s">
        <v>11</v>
      </c>
      <c r="G33" s="31">
        <v>0.125</v>
      </c>
      <c r="H33" s="34">
        <v>6.2E-2</v>
      </c>
      <c r="I33" s="34">
        <v>0.125</v>
      </c>
      <c r="J33" s="7">
        <v>6</v>
      </c>
      <c r="K33" s="7" t="s">
        <v>4376</v>
      </c>
      <c r="L33" s="35">
        <v>1700</v>
      </c>
    </row>
    <row r="34" spans="1:12" ht="19.95" customHeight="1" x14ac:dyDescent="0.3">
      <c r="A34" s="6" t="s">
        <v>4382</v>
      </c>
      <c r="B34" s="7" t="s">
        <v>4374</v>
      </c>
      <c r="C34" s="7" t="s">
        <v>4369</v>
      </c>
      <c r="D34" s="5" t="s">
        <v>49</v>
      </c>
      <c r="E34" s="6" t="s">
        <v>4379</v>
      </c>
      <c r="F34" s="7" t="s">
        <v>11</v>
      </c>
      <c r="G34" s="31">
        <v>0.125</v>
      </c>
      <c r="H34" s="34">
        <v>6.2E-2</v>
      </c>
      <c r="I34" s="34">
        <v>0.125</v>
      </c>
      <c r="J34" s="7">
        <v>6</v>
      </c>
      <c r="K34" s="7" t="s">
        <v>4376</v>
      </c>
      <c r="L34" s="35">
        <v>7000</v>
      </c>
    </row>
    <row r="35" spans="1:12" ht="19.95" customHeight="1" x14ac:dyDescent="0.3">
      <c r="A35" s="27" t="s">
        <v>4383</v>
      </c>
      <c r="B35" s="28" t="s">
        <v>4324</v>
      </c>
      <c r="C35" s="28" t="s">
        <v>4367</v>
      </c>
      <c r="D35" s="29" t="s">
        <v>197</v>
      </c>
      <c r="E35" s="30" t="s">
        <v>198</v>
      </c>
      <c r="F35" s="28" t="s">
        <v>11</v>
      </c>
      <c r="G35" s="31">
        <v>7.0000000000000007E-2</v>
      </c>
      <c r="H35" s="32">
        <v>7.0000000000000007E-2</v>
      </c>
      <c r="I35" s="32">
        <v>0.45</v>
      </c>
      <c r="J35" s="28">
        <v>19</v>
      </c>
      <c r="K35" s="28" t="s">
        <v>4384</v>
      </c>
      <c r="L35" s="33">
        <v>617</v>
      </c>
    </row>
    <row r="36" spans="1:12" ht="19.95" customHeight="1" x14ac:dyDescent="0.3">
      <c r="A36" s="6" t="s">
        <v>4383</v>
      </c>
      <c r="B36" s="7" t="s">
        <v>4324</v>
      </c>
      <c r="C36" s="7" t="s">
        <v>4367</v>
      </c>
      <c r="D36" s="5" t="s">
        <v>209</v>
      </c>
      <c r="E36" s="6" t="s">
        <v>210</v>
      </c>
      <c r="F36" s="7" t="s">
        <v>11</v>
      </c>
      <c r="G36" s="31">
        <v>0.75</v>
      </c>
      <c r="H36" s="34">
        <v>0.63</v>
      </c>
      <c r="I36" s="34">
        <v>0.9</v>
      </c>
      <c r="J36" s="7">
        <v>19</v>
      </c>
      <c r="K36" s="7" t="s">
        <v>4384</v>
      </c>
      <c r="L36" s="35">
        <v>558</v>
      </c>
    </row>
    <row r="37" spans="1:12" ht="19.95" customHeight="1" x14ac:dyDescent="0.3">
      <c r="A37" s="27" t="s">
        <v>4385</v>
      </c>
      <c r="B37" s="28" t="s">
        <v>4386</v>
      </c>
      <c r="C37" s="28" t="s">
        <v>4367</v>
      </c>
      <c r="D37" s="29" t="s">
        <v>209</v>
      </c>
      <c r="E37" s="30" t="s">
        <v>210</v>
      </c>
      <c r="F37" s="28" t="s">
        <v>11</v>
      </c>
      <c r="G37" s="31">
        <v>1.63</v>
      </c>
      <c r="H37" s="32">
        <v>0.12</v>
      </c>
      <c r="I37" s="32">
        <v>6</v>
      </c>
      <c r="J37" s="28">
        <v>33</v>
      </c>
      <c r="K37" s="28" t="s">
        <v>4384</v>
      </c>
      <c r="L37" s="33">
        <v>558</v>
      </c>
    </row>
    <row r="38" spans="1:12" ht="19.95" customHeight="1" x14ac:dyDescent="0.3">
      <c r="A38" s="6" t="s">
        <v>4385</v>
      </c>
      <c r="B38" s="7" t="s">
        <v>4386</v>
      </c>
      <c r="C38" s="7" t="s">
        <v>4367</v>
      </c>
      <c r="D38" s="5" t="s">
        <v>197</v>
      </c>
      <c r="E38" s="6" t="s">
        <v>198</v>
      </c>
      <c r="F38" s="7" t="s">
        <v>11</v>
      </c>
      <c r="G38" s="31">
        <v>0.7</v>
      </c>
      <c r="H38" s="34">
        <v>0.33</v>
      </c>
      <c r="I38" s="34">
        <v>0.9</v>
      </c>
      <c r="J38" s="7">
        <v>23</v>
      </c>
      <c r="K38" s="7" t="s">
        <v>4384</v>
      </c>
      <c r="L38" s="35">
        <v>617</v>
      </c>
    </row>
    <row r="39" spans="1:12" ht="19.95" customHeight="1" x14ac:dyDescent="0.3">
      <c r="A39" s="6" t="s">
        <v>4385</v>
      </c>
      <c r="B39" s="7" t="s">
        <v>4386</v>
      </c>
      <c r="C39" s="7" t="s">
        <v>4367</v>
      </c>
      <c r="D39" s="5" t="s">
        <v>211</v>
      </c>
      <c r="E39" s="6" t="s">
        <v>212</v>
      </c>
      <c r="F39" s="7" t="s">
        <v>11</v>
      </c>
      <c r="G39" s="31">
        <v>0.93</v>
      </c>
      <c r="H39" s="34">
        <v>5.6000000000000001E-2</v>
      </c>
      <c r="I39" s="34">
        <v>1.88</v>
      </c>
      <c r="J39" s="7">
        <v>20</v>
      </c>
      <c r="K39" s="7" t="s">
        <v>4384</v>
      </c>
      <c r="L39" s="35">
        <v>558</v>
      </c>
    </row>
    <row r="40" spans="1:12" ht="19.95" customHeight="1" x14ac:dyDescent="0.3">
      <c r="A40" s="6" t="s">
        <v>4385</v>
      </c>
      <c r="B40" s="7" t="s">
        <v>4386</v>
      </c>
      <c r="C40" s="7" t="s">
        <v>4367</v>
      </c>
      <c r="D40" s="5" t="s">
        <v>255</v>
      </c>
      <c r="E40" s="6" t="s">
        <v>256</v>
      </c>
      <c r="F40" s="7" t="s">
        <v>11</v>
      </c>
      <c r="G40" s="31">
        <v>0.1</v>
      </c>
      <c r="H40" s="34">
        <v>0.1</v>
      </c>
      <c r="I40" s="34">
        <v>0.27</v>
      </c>
      <c r="J40" s="7">
        <v>19</v>
      </c>
      <c r="K40" s="7" t="s">
        <v>4384</v>
      </c>
      <c r="L40" s="35">
        <v>709</v>
      </c>
    </row>
    <row r="41" spans="1:12" ht="19.95" customHeight="1" x14ac:dyDescent="0.3">
      <c r="A41" s="6" t="s">
        <v>4385</v>
      </c>
      <c r="B41" s="7" t="s">
        <v>4386</v>
      </c>
      <c r="C41" s="7" t="s">
        <v>4367</v>
      </c>
      <c r="D41" s="5" t="s">
        <v>221</v>
      </c>
      <c r="E41" s="6" t="s">
        <v>222</v>
      </c>
      <c r="F41" s="7" t="s">
        <v>11</v>
      </c>
      <c r="G41" s="31">
        <v>0.06</v>
      </c>
      <c r="H41" s="34">
        <v>0.02</v>
      </c>
      <c r="I41" s="34">
        <v>0.6</v>
      </c>
      <c r="J41" s="7">
        <v>10</v>
      </c>
      <c r="K41" s="7" t="s">
        <v>4384</v>
      </c>
      <c r="L41" s="35">
        <v>738</v>
      </c>
    </row>
    <row r="42" spans="1:12" ht="19.95" customHeight="1" x14ac:dyDescent="0.3">
      <c r="A42" s="6" t="s">
        <v>4385</v>
      </c>
      <c r="B42" s="7" t="s">
        <v>4386</v>
      </c>
      <c r="C42" s="7" t="s">
        <v>4367</v>
      </c>
      <c r="D42" s="5" t="s">
        <v>223</v>
      </c>
      <c r="E42" s="6" t="s">
        <v>224</v>
      </c>
      <c r="F42" s="7" t="s">
        <v>11</v>
      </c>
      <c r="G42" s="31">
        <v>0.06</v>
      </c>
      <c r="H42" s="34">
        <v>0.02</v>
      </c>
      <c r="I42" s="34">
        <v>0.4</v>
      </c>
      <c r="J42" s="7">
        <v>6</v>
      </c>
      <c r="K42" s="7" t="s">
        <v>4384</v>
      </c>
      <c r="L42" s="35">
        <v>679</v>
      </c>
    </row>
    <row r="43" spans="1:12" ht="19.95" customHeight="1" x14ac:dyDescent="0.3">
      <c r="A43" s="6" t="s">
        <v>4385</v>
      </c>
      <c r="B43" s="7" t="s">
        <v>4386</v>
      </c>
      <c r="C43" s="7" t="s">
        <v>4367</v>
      </c>
      <c r="D43" s="5" t="s">
        <v>213</v>
      </c>
      <c r="E43" s="6" t="s">
        <v>214</v>
      </c>
      <c r="F43" s="7" t="s">
        <v>11</v>
      </c>
      <c r="G43" s="31">
        <v>1</v>
      </c>
      <c r="H43" s="34">
        <v>0.75</v>
      </c>
      <c r="I43" s="34">
        <v>3.5</v>
      </c>
      <c r="J43" s="7">
        <v>3</v>
      </c>
      <c r="K43" s="7" t="s">
        <v>4368</v>
      </c>
      <c r="L43" s="35">
        <v>738</v>
      </c>
    </row>
    <row r="44" spans="1:12" ht="19.95" customHeight="1" x14ac:dyDescent="0.3">
      <c r="A44" s="6" t="s">
        <v>4385</v>
      </c>
      <c r="B44" s="7" t="s">
        <v>4386</v>
      </c>
      <c r="C44" s="7" t="s">
        <v>4369</v>
      </c>
      <c r="D44" s="5" t="s">
        <v>33</v>
      </c>
      <c r="E44" s="6" t="s">
        <v>4387</v>
      </c>
      <c r="F44" s="7" t="s">
        <v>11</v>
      </c>
      <c r="G44" s="31">
        <v>7.0000000000000007E-2</v>
      </c>
      <c r="H44" s="34">
        <v>7.0000000000000007E-2</v>
      </c>
      <c r="I44" s="34">
        <v>7.0000000000000007E-2</v>
      </c>
      <c r="J44" s="7">
        <v>22</v>
      </c>
      <c r="K44" s="7" t="s">
        <v>4384</v>
      </c>
      <c r="L44" s="35">
        <v>370</v>
      </c>
    </row>
    <row r="45" spans="1:12" ht="19.95" customHeight="1" x14ac:dyDescent="0.3">
      <c r="A45" s="6" t="s">
        <v>4385</v>
      </c>
      <c r="B45" s="7" t="s">
        <v>4386</v>
      </c>
      <c r="C45" s="7" t="s">
        <v>4369</v>
      </c>
      <c r="D45" s="5" t="s">
        <v>12</v>
      </c>
      <c r="E45" s="6" t="s">
        <v>4388</v>
      </c>
      <c r="F45" s="7" t="s">
        <v>11</v>
      </c>
      <c r="G45" s="31">
        <v>7.0000000000000007E-2</v>
      </c>
      <c r="H45" s="34">
        <v>7.0000000000000007E-2</v>
      </c>
      <c r="I45" s="34">
        <v>7.0000000000000007E-2</v>
      </c>
      <c r="J45" s="7">
        <v>14</v>
      </c>
      <c r="K45" s="7" t="s">
        <v>4384</v>
      </c>
      <c r="L45" s="35">
        <v>800</v>
      </c>
    </row>
    <row r="46" spans="1:12" ht="19.95" customHeight="1" x14ac:dyDescent="0.3">
      <c r="A46" s="6" t="s">
        <v>4385</v>
      </c>
      <c r="B46" s="7" t="s">
        <v>4386</v>
      </c>
      <c r="C46" s="7" t="s">
        <v>4369</v>
      </c>
      <c r="D46" s="5" t="s">
        <v>16</v>
      </c>
      <c r="E46" s="6" t="s">
        <v>4389</v>
      </c>
      <c r="F46" s="7" t="s">
        <v>18</v>
      </c>
      <c r="G46" s="31">
        <v>1</v>
      </c>
      <c r="H46" s="34">
        <v>1</v>
      </c>
      <c r="I46" s="34">
        <v>1</v>
      </c>
      <c r="J46" s="7">
        <v>8</v>
      </c>
      <c r="K46" s="7" t="s">
        <v>4390</v>
      </c>
      <c r="L46" s="35">
        <v>350</v>
      </c>
    </row>
    <row r="47" spans="1:12" ht="19.95" customHeight="1" x14ac:dyDescent="0.3">
      <c r="A47" s="6" t="s">
        <v>4385</v>
      </c>
      <c r="B47" s="7" t="s">
        <v>4386</v>
      </c>
      <c r="C47" s="7" t="s">
        <v>4369</v>
      </c>
      <c r="D47" s="5" t="s">
        <v>67</v>
      </c>
      <c r="E47" s="6" t="s">
        <v>4391</v>
      </c>
      <c r="F47" s="7" t="s">
        <v>4392</v>
      </c>
      <c r="G47" s="31">
        <v>10</v>
      </c>
      <c r="H47" s="34">
        <v>10</v>
      </c>
      <c r="I47" s="34">
        <v>10</v>
      </c>
      <c r="J47" s="7">
        <v>8</v>
      </c>
      <c r="K47" s="7" t="s">
        <v>4390</v>
      </c>
      <c r="L47" s="35">
        <v>30</v>
      </c>
    </row>
    <row r="48" spans="1:12" ht="19.95" customHeight="1" x14ac:dyDescent="0.3">
      <c r="A48" s="6" t="s">
        <v>4385</v>
      </c>
      <c r="B48" s="7" t="s">
        <v>4386</v>
      </c>
      <c r="C48" s="7" t="s">
        <v>4369</v>
      </c>
      <c r="D48" s="5" t="s">
        <v>27</v>
      </c>
      <c r="E48" s="6" t="s">
        <v>4393</v>
      </c>
      <c r="F48" s="7" t="s">
        <v>18</v>
      </c>
      <c r="G48" s="31">
        <v>1</v>
      </c>
      <c r="H48" s="34">
        <v>1</v>
      </c>
      <c r="I48" s="34">
        <v>1</v>
      </c>
      <c r="J48" s="7">
        <v>4</v>
      </c>
      <c r="K48" s="7" t="s">
        <v>4390</v>
      </c>
      <c r="L48" s="35">
        <v>210</v>
      </c>
    </row>
    <row r="49" spans="1:12" ht="19.95" customHeight="1" x14ac:dyDescent="0.3">
      <c r="A49" s="6" t="s">
        <v>4385</v>
      </c>
      <c r="B49" s="7" t="s">
        <v>4386</v>
      </c>
      <c r="C49" s="7" t="s">
        <v>4369</v>
      </c>
      <c r="D49" s="5" t="s">
        <v>31</v>
      </c>
      <c r="E49" s="6" t="s">
        <v>4394</v>
      </c>
      <c r="F49" s="7" t="s">
        <v>11</v>
      </c>
      <c r="G49" s="31">
        <v>0.375</v>
      </c>
      <c r="H49" s="34">
        <v>0.375</v>
      </c>
      <c r="I49" s="34">
        <v>0.375</v>
      </c>
      <c r="J49" s="7">
        <v>1</v>
      </c>
      <c r="K49" s="7" t="s">
        <v>4395</v>
      </c>
      <c r="L49" s="35">
        <v>700</v>
      </c>
    </row>
    <row r="50" spans="1:12" ht="19.95" customHeight="1" x14ac:dyDescent="0.3">
      <c r="A50" s="27" t="s">
        <v>4396</v>
      </c>
      <c r="B50" s="28" t="s">
        <v>4386</v>
      </c>
      <c r="C50" s="28" t="s">
        <v>4367</v>
      </c>
      <c r="D50" s="29" t="s">
        <v>209</v>
      </c>
      <c r="E50" s="30" t="s">
        <v>210</v>
      </c>
      <c r="F50" s="28" t="s">
        <v>11</v>
      </c>
      <c r="G50" s="31">
        <v>1</v>
      </c>
      <c r="H50" s="32">
        <v>3.0000000000000001E-3</v>
      </c>
      <c r="I50" s="32">
        <v>73.510000000000005</v>
      </c>
      <c r="J50" s="28">
        <v>90</v>
      </c>
      <c r="K50" s="28" t="s">
        <v>4368</v>
      </c>
      <c r="L50" s="33">
        <v>558</v>
      </c>
    </row>
    <row r="51" spans="1:12" ht="19.95" customHeight="1" x14ac:dyDescent="0.3">
      <c r="A51" s="6" t="s">
        <v>4396</v>
      </c>
      <c r="B51" s="7" t="s">
        <v>4386</v>
      </c>
      <c r="C51" s="7" t="s">
        <v>4367</v>
      </c>
      <c r="D51" s="5" t="s">
        <v>221</v>
      </c>
      <c r="E51" s="6" t="s">
        <v>222</v>
      </c>
      <c r="F51" s="7" t="s">
        <v>11</v>
      </c>
      <c r="G51" s="31">
        <v>0.1</v>
      </c>
      <c r="H51" s="34">
        <v>1E-3</v>
      </c>
      <c r="I51" s="34">
        <v>5</v>
      </c>
      <c r="J51" s="7">
        <v>35</v>
      </c>
      <c r="K51" s="7" t="s">
        <v>4368</v>
      </c>
      <c r="L51" s="35">
        <v>738</v>
      </c>
    </row>
    <row r="52" spans="1:12" ht="19.95" customHeight="1" x14ac:dyDescent="0.3">
      <c r="A52" s="6" t="s">
        <v>4396</v>
      </c>
      <c r="B52" s="7" t="s">
        <v>4386</v>
      </c>
      <c r="C52" s="7" t="s">
        <v>4367</v>
      </c>
      <c r="D52" s="5" t="s">
        <v>197</v>
      </c>
      <c r="E52" s="6" t="s">
        <v>198</v>
      </c>
      <c r="F52" s="7" t="s">
        <v>11</v>
      </c>
      <c r="G52" s="31">
        <v>0.9</v>
      </c>
      <c r="H52" s="34">
        <v>2E-3</v>
      </c>
      <c r="I52" s="34">
        <v>24.06</v>
      </c>
      <c r="J52" s="7">
        <v>25</v>
      </c>
      <c r="K52" s="7" t="s">
        <v>4368</v>
      </c>
      <c r="L52" s="35">
        <v>617</v>
      </c>
    </row>
    <row r="53" spans="1:12" ht="19.95" customHeight="1" x14ac:dyDescent="0.3">
      <c r="A53" s="6" t="s">
        <v>4396</v>
      </c>
      <c r="B53" s="7" t="s">
        <v>4386</v>
      </c>
      <c r="C53" s="7" t="s">
        <v>4367</v>
      </c>
      <c r="D53" s="5" t="s">
        <v>223</v>
      </c>
      <c r="E53" s="6" t="s">
        <v>224</v>
      </c>
      <c r="F53" s="7" t="s">
        <v>11</v>
      </c>
      <c r="G53" s="31">
        <v>0.06</v>
      </c>
      <c r="H53" s="34">
        <v>1E-3</v>
      </c>
      <c r="I53" s="34">
        <v>5</v>
      </c>
      <c r="J53" s="7">
        <v>23</v>
      </c>
      <c r="K53" s="7" t="s">
        <v>4368</v>
      </c>
      <c r="L53" s="35">
        <v>679</v>
      </c>
    </row>
    <row r="54" spans="1:12" ht="19.95" customHeight="1" x14ac:dyDescent="0.3">
      <c r="A54" s="6" t="s">
        <v>4396</v>
      </c>
      <c r="B54" s="7" t="s">
        <v>4386</v>
      </c>
      <c r="C54" s="7" t="s">
        <v>4367</v>
      </c>
      <c r="D54" s="5" t="s">
        <v>199</v>
      </c>
      <c r="E54" s="6" t="s">
        <v>200</v>
      </c>
      <c r="F54" s="7" t="s">
        <v>11</v>
      </c>
      <c r="G54" s="31">
        <v>0.6</v>
      </c>
      <c r="H54" s="34">
        <v>0.05</v>
      </c>
      <c r="I54" s="34">
        <v>1</v>
      </c>
      <c r="J54" s="7">
        <v>22</v>
      </c>
      <c r="K54" s="7" t="s">
        <v>4397</v>
      </c>
      <c r="L54" s="35">
        <v>738</v>
      </c>
    </row>
    <row r="55" spans="1:12" ht="19.95" customHeight="1" x14ac:dyDescent="0.3">
      <c r="A55" s="6" t="s">
        <v>4396</v>
      </c>
      <c r="B55" s="7" t="s">
        <v>4386</v>
      </c>
      <c r="C55" s="7" t="s">
        <v>4367</v>
      </c>
      <c r="D55" s="5" t="s">
        <v>211</v>
      </c>
      <c r="E55" s="6" t="s">
        <v>212</v>
      </c>
      <c r="F55" s="7" t="s">
        <v>11</v>
      </c>
      <c r="G55" s="31">
        <v>1</v>
      </c>
      <c r="H55" s="34">
        <v>1.7999999999999999E-2</v>
      </c>
      <c r="I55" s="34">
        <v>50.12</v>
      </c>
      <c r="J55" s="7">
        <v>21</v>
      </c>
      <c r="K55" s="7" t="s">
        <v>4368</v>
      </c>
      <c r="L55" s="35">
        <v>558</v>
      </c>
    </row>
    <row r="56" spans="1:12" ht="19.95" customHeight="1" x14ac:dyDescent="0.3">
      <c r="A56" s="6" t="s">
        <v>4396</v>
      </c>
      <c r="B56" s="7" t="s">
        <v>4386</v>
      </c>
      <c r="C56" s="7" t="s">
        <v>4367</v>
      </c>
      <c r="D56" s="5" t="s">
        <v>205</v>
      </c>
      <c r="E56" s="6" t="s">
        <v>206</v>
      </c>
      <c r="F56" s="7" t="s">
        <v>11</v>
      </c>
      <c r="G56" s="31">
        <v>0.3</v>
      </c>
      <c r="H56" s="34">
        <v>6.7000000000000004E-2</v>
      </c>
      <c r="I56" s="34">
        <v>28</v>
      </c>
      <c r="J56" s="7">
        <v>17</v>
      </c>
      <c r="K56" s="7" t="s">
        <v>4398</v>
      </c>
      <c r="L56" s="35">
        <v>679</v>
      </c>
    </row>
    <row r="57" spans="1:12" ht="19.95" customHeight="1" x14ac:dyDescent="0.3">
      <c r="A57" s="6" t="s">
        <v>4396</v>
      </c>
      <c r="B57" s="7" t="s">
        <v>4386</v>
      </c>
      <c r="C57" s="7" t="s">
        <v>4367</v>
      </c>
      <c r="D57" s="5" t="s">
        <v>231</v>
      </c>
      <c r="E57" s="6" t="s">
        <v>232</v>
      </c>
      <c r="F57" s="7" t="s">
        <v>11</v>
      </c>
      <c r="G57" s="31">
        <v>0.04</v>
      </c>
      <c r="H57" s="34">
        <v>1E-3</v>
      </c>
      <c r="I57" s="34">
        <v>0.94</v>
      </c>
      <c r="J57" s="7">
        <v>12</v>
      </c>
      <c r="K57" s="7" t="s">
        <v>4368</v>
      </c>
      <c r="L57" s="35">
        <v>617</v>
      </c>
    </row>
    <row r="58" spans="1:12" ht="19.95" customHeight="1" x14ac:dyDescent="0.3">
      <c r="A58" s="6" t="s">
        <v>4396</v>
      </c>
      <c r="B58" s="7" t="s">
        <v>4386</v>
      </c>
      <c r="C58" s="7" t="s">
        <v>4367</v>
      </c>
      <c r="D58" s="5" t="s">
        <v>213</v>
      </c>
      <c r="E58" s="6" t="s">
        <v>214</v>
      </c>
      <c r="F58" s="7" t="s">
        <v>11</v>
      </c>
      <c r="G58" s="31">
        <v>3</v>
      </c>
      <c r="H58" s="34">
        <v>0.75</v>
      </c>
      <c r="I58" s="34">
        <v>3.5</v>
      </c>
      <c r="J58" s="7">
        <v>11</v>
      </c>
      <c r="K58" s="7" t="s">
        <v>4368</v>
      </c>
      <c r="L58" s="35">
        <v>738</v>
      </c>
    </row>
    <row r="59" spans="1:12" ht="19.95" customHeight="1" x14ac:dyDescent="0.3">
      <c r="A59" s="6" t="s">
        <v>4396</v>
      </c>
      <c r="B59" s="7" t="s">
        <v>4386</v>
      </c>
      <c r="C59" s="7" t="s">
        <v>4367</v>
      </c>
      <c r="D59" s="5" t="s">
        <v>255</v>
      </c>
      <c r="E59" s="6" t="s">
        <v>256</v>
      </c>
      <c r="F59" s="7" t="s">
        <v>11</v>
      </c>
      <c r="G59" s="31">
        <v>0.17</v>
      </c>
      <c r="H59" s="34">
        <v>0.17</v>
      </c>
      <c r="I59" s="34">
        <v>6.42</v>
      </c>
      <c r="J59" s="7">
        <v>11</v>
      </c>
      <c r="K59" s="7" t="s">
        <v>4390</v>
      </c>
      <c r="L59" s="35">
        <v>709</v>
      </c>
    </row>
    <row r="60" spans="1:12" ht="19.95" customHeight="1" x14ac:dyDescent="0.3">
      <c r="A60" s="6" t="s">
        <v>4396</v>
      </c>
      <c r="B60" s="7" t="s">
        <v>4386</v>
      </c>
      <c r="C60" s="7" t="s">
        <v>4367</v>
      </c>
      <c r="D60" s="5" t="s">
        <v>201</v>
      </c>
      <c r="E60" s="6" t="s">
        <v>202</v>
      </c>
      <c r="F60" s="7" t="s">
        <v>11</v>
      </c>
      <c r="G60" s="31">
        <v>0.2</v>
      </c>
      <c r="H60" s="34">
        <v>6.7000000000000004E-2</v>
      </c>
      <c r="I60" s="34">
        <v>0.25</v>
      </c>
      <c r="J60" s="7">
        <v>5</v>
      </c>
      <c r="K60" s="7" t="s">
        <v>4397</v>
      </c>
      <c r="L60" s="35">
        <v>679</v>
      </c>
    </row>
    <row r="61" spans="1:12" ht="19.95" customHeight="1" x14ac:dyDescent="0.3">
      <c r="A61" s="6" t="s">
        <v>4396</v>
      </c>
      <c r="B61" s="7" t="s">
        <v>4386</v>
      </c>
      <c r="C61" s="7" t="s">
        <v>4367</v>
      </c>
      <c r="D61" s="5" t="s">
        <v>227</v>
      </c>
      <c r="E61" s="6" t="s">
        <v>228</v>
      </c>
      <c r="F61" s="7" t="s">
        <v>11</v>
      </c>
      <c r="G61" s="31">
        <v>1</v>
      </c>
      <c r="H61" s="34">
        <v>1</v>
      </c>
      <c r="I61" s="34">
        <v>1</v>
      </c>
      <c r="J61" s="7">
        <v>1</v>
      </c>
      <c r="K61" s="7" t="s">
        <v>4368</v>
      </c>
      <c r="L61" s="35">
        <v>738</v>
      </c>
    </row>
    <row r="62" spans="1:12" ht="19.95" customHeight="1" x14ac:dyDescent="0.3">
      <c r="A62" s="6" t="s">
        <v>4396</v>
      </c>
      <c r="B62" s="7" t="s">
        <v>4386</v>
      </c>
      <c r="C62" s="7" t="s">
        <v>4369</v>
      </c>
      <c r="D62" s="5" t="s">
        <v>33</v>
      </c>
      <c r="E62" s="6" t="s">
        <v>4387</v>
      </c>
      <c r="F62" s="7" t="s">
        <v>11</v>
      </c>
      <c r="G62" s="31">
        <v>7.0000000000000007E-2</v>
      </c>
      <c r="H62" s="34">
        <v>0.05</v>
      </c>
      <c r="I62" s="34">
        <v>2.14</v>
      </c>
      <c r="J62" s="7">
        <v>12</v>
      </c>
      <c r="K62" s="7" t="s">
        <v>4390</v>
      </c>
      <c r="L62" s="35">
        <v>370</v>
      </c>
    </row>
    <row r="63" spans="1:12" ht="19.95" customHeight="1" x14ac:dyDescent="0.3">
      <c r="A63" s="6" t="s">
        <v>4396</v>
      </c>
      <c r="B63" s="7" t="s">
        <v>4386</v>
      </c>
      <c r="C63" s="7" t="s">
        <v>4369</v>
      </c>
      <c r="D63" s="5" t="s">
        <v>27</v>
      </c>
      <c r="E63" s="6" t="s">
        <v>4393</v>
      </c>
      <c r="F63" s="7" t="s">
        <v>18</v>
      </c>
      <c r="G63" s="31">
        <v>1</v>
      </c>
      <c r="H63" s="34">
        <v>1</v>
      </c>
      <c r="I63" s="34">
        <v>120</v>
      </c>
      <c r="J63" s="7">
        <v>10</v>
      </c>
      <c r="K63" s="7" t="s">
        <v>4390</v>
      </c>
      <c r="L63" s="35">
        <v>210</v>
      </c>
    </row>
    <row r="64" spans="1:12" ht="19.95" customHeight="1" x14ac:dyDescent="0.3">
      <c r="A64" s="6" t="s">
        <v>4396</v>
      </c>
      <c r="B64" s="7" t="s">
        <v>4386</v>
      </c>
      <c r="C64" s="7" t="s">
        <v>4369</v>
      </c>
      <c r="D64" s="5" t="s">
        <v>67</v>
      </c>
      <c r="E64" s="6" t="s">
        <v>4391</v>
      </c>
      <c r="F64" s="7" t="s">
        <v>4392</v>
      </c>
      <c r="G64" s="31">
        <v>10</v>
      </c>
      <c r="H64" s="34">
        <v>10</v>
      </c>
      <c r="I64" s="34">
        <v>1200</v>
      </c>
      <c r="J64" s="7">
        <v>7</v>
      </c>
      <c r="K64" s="7" t="s">
        <v>4390</v>
      </c>
      <c r="L64" s="35">
        <v>30</v>
      </c>
    </row>
    <row r="65" spans="1:12" ht="19.95" customHeight="1" x14ac:dyDescent="0.3">
      <c r="A65" s="6" t="s">
        <v>4396</v>
      </c>
      <c r="B65" s="7" t="s">
        <v>4386</v>
      </c>
      <c r="C65" s="7" t="s">
        <v>4369</v>
      </c>
      <c r="D65" s="5" t="s">
        <v>12</v>
      </c>
      <c r="E65" s="6" t="s">
        <v>4388</v>
      </c>
      <c r="F65" s="7" t="s">
        <v>11</v>
      </c>
      <c r="G65" s="31">
        <v>7.4999999999999997E-2</v>
      </c>
      <c r="H65" s="34">
        <v>0.05</v>
      </c>
      <c r="I65" s="34">
        <v>2.14</v>
      </c>
      <c r="J65" s="7">
        <v>6</v>
      </c>
      <c r="K65" s="7" t="s">
        <v>4384</v>
      </c>
      <c r="L65" s="35">
        <v>800</v>
      </c>
    </row>
    <row r="66" spans="1:12" ht="19.95" customHeight="1" x14ac:dyDescent="0.3">
      <c r="A66" s="6" t="s">
        <v>4396</v>
      </c>
      <c r="B66" s="7" t="s">
        <v>4386</v>
      </c>
      <c r="C66" s="7" t="s">
        <v>4369</v>
      </c>
      <c r="D66" s="5" t="s">
        <v>16</v>
      </c>
      <c r="E66" s="6" t="s">
        <v>4389</v>
      </c>
      <c r="F66" s="7" t="s">
        <v>18</v>
      </c>
      <c r="G66" s="31">
        <v>1</v>
      </c>
      <c r="H66" s="34">
        <v>1</v>
      </c>
      <c r="I66" s="34">
        <v>1</v>
      </c>
      <c r="J66" s="7">
        <v>6</v>
      </c>
      <c r="K66" s="7" t="s">
        <v>4390</v>
      </c>
      <c r="L66" s="35">
        <v>350</v>
      </c>
    </row>
    <row r="67" spans="1:12" ht="19.95" customHeight="1" x14ac:dyDescent="0.3">
      <c r="A67" s="6" t="s">
        <v>4396</v>
      </c>
      <c r="B67" s="7" t="s">
        <v>4386</v>
      </c>
      <c r="C67" s="7" t="s">
        <v>4369</v>
      </c>
      <c r="D67" s="5" t="s">
        <v>115</v>
      </c>
      <c r="E67" s="6" t="s">
        <v>116</v>
      </c>
      <c r="F67" s="7" t="s">
        <v>110</v>
      </c>
      <c r="G67" s="31">
        <v>1.6</v>
      </c>
      <c r="H67" s="34">
        <v>1.6</v>
      </c>
      <c r="I67" s="34">
        <v>1.6</v>
      </c>
      <c r="J67" s="7">
        <v>3</v>
      </c>
      <c r="K67" s="7" t="s">
        <v>4399</v>
      </c>
      <c r="L67" s="35">
        <v>900</v>
      </c>
    </row>
    <row r="68" spans="1:12" ht="19.95" customHeight="1" x14ac:dyDescent="0.3">
      <c r="A68" s="6" t="s">
        <v>4396</v>
      </c>
      <c r="B68" s="7" t="s">
        <v>4386</v>
      </c>
      <c r="C68" s="7" t="s">
        <v>4369</v>
      </c>
      <c r="D68" s="5" t="s">
        <v>145</v>
      </c>
      <c r="E68" s="6" t="s">
        <v>146</v>
      </c>
      <c r="F68" s="7" t="s">
        <v>110</v>
      </c>
      <c r="G68" s="31">
        <v>1.6</v>
      </c>
      <c r="H68" s="34">
        <v>1.6</v>
      </c>
      <c r="I68" s="34">
        <v>1.6</v>
      </c>
      <c r="J68" s="7">
        <v>3</v>
      </c>
      <c r="K68" s="7" t="s">
        <v>4399</v>
      </c>
      <c r="L68" s="35">
        <v>2400</v>
      </c>
    </row>
    <row r="69" spans="1:12" ht="19.95" customHeight="1" x14ac:dyDescent="0.3">
      <c r="A69" s="6" t="s">
        <v>4396</v>
      </c>
      <c r="B69" s="7" t="s">
        <v>4386</v>
      </c>
      <c r="C69" s="7" t="s">
        <v>4369</v>
      </c>
      <c r="D69" s="5" t="s">
        <v>152</v>
      </c>
      <c r="E69" s="6" t="s">
        <v>153</v>
      </c>
      <c r="F69" s="7" t="s">
        <v>110</v>
      </c>
      <c r="G69" s="31">
        <v>1.6</v>
      </c>
      <c r="H69" s="34">
        <v>1.6</v>
      </c>
      <c r="I69" s="34">
        <v>1.6</v>
      </c>
      <c r="J69" s="7">
        <v>3</v>
      </c>
      <c r="K69" s="7" t="s">
        <v>4399</v>
      </c>
      <c r="L69" s="35">
        <v>250</v>
      </c>
    </row>
    <row r="70" spans="1:12" ht="19.95" customHeight="1" x14ac:dyDescent="0.3">
      <c r="A70" s="6" t="s">
        <v>4396</v>
      </c>
      <c r="B70" s="7" t="s">
        <v>4386</v>
      </c>
      <c r="C70" s="7" t="s">
        <v>4369</v>
      </c>
      <c r="D70" s="5" t="s">
        <v>31</v>
      </c>
      <c r="E70" s="6" t="s">
        <v>4400</v>
      </c>
      <c r="F70" s="7" t="s">
        <v>11</v>
      </c>
      <c r="G70" s="31">
        <v>0.375</v>
      </c>
      <c r="H70" s="34">
        <v>0.375</v>
      </c>
      <c r="I70" s="34">
        <v>0.375</v>
      </c>
      <c r="J70" s="7">
        <v>1</v>
      </c>
      <c r="K70" s="7" t="s">
        <v>4401</v>
      </c>
      <c r="L70" s="35">
        <v>700</v>
      </c>
    </row>
    <row r="71" spans="1:12" ht="19.95" customHeight="1" x14ac:dyDescent="0.3">
      <c r="A71" s="6" t="s">
        <v>4396</v>
      </c>
      <c r="B71" s="7" t="s">
        <v>4386</v>
      </c>
      <c r="C71" s="7" t="s">
        <v>4369</v>
      </c>
      <c r="D71" s="5" t="s">
        <v>59</v>
      </c>
      <c r="E71" s="6" t="s">
        <v>60</v>
      </c>
      <c r="F71" s="7" t="s">
        <v>11</v>
      </c>
      <c r="G71" s="31">
        <v>1</v>
      </c>
      <c r="H71" s="34">
        <v>1</v>
      </c>
      <c r="I71" s="34">
        <v>1</v>
      </c>
      <c r="J71" s="7">
        <v>1</v>
      </c>
      <c r="K71" s="7" t="s">
        <v>4368</v>
      </c>
      <c r="L71" s="35">
        <v>3000</v>
      </c>
    </row>
    <row r="72" spans="1:12" ht="19.95" customHeight="1" x14ac:dyDescent="0.3">
      <c r="A72" s="6" t="s">
        <v>4396</v>
      </c>
      <c r="B72" s="7" t="s">
        <v>4386</v>
      </c>
      <c r="C72" s="7" t="s">
        <v>4369</v>
      </c>
      <c r="D72" s="5" t="s">
        <v>61</v>
      </c>
      <c r="E72" s="6" t="s">
        <v>62</v>
      </c>
      <c r="F72" s="7" t="s">
        <v>11</v>
      </c>
      <c r="G72" s="31">
        <v>2</v>
      </c>
      <c r="H72" s="34">
        <v>2</v>
      </c>
      <c r="I72" s="34">
        <v>2</v>
      </c>
      <c r="J72" s="7">
        <v>1</v>
      </c>
      <c r="K72" s="7" t="s">
        <v>4368</v>
      </c>
      <c r="L72" s="35">
        <v>3500</v>
      </c>
    </row>
    <row r="73" spans="1:12" ht="19.95" customHeight="1" x14ac:dyDescent="0.3">
      <c r="A73" s="6" t="s">
        <v>4396</v>
      </c>
      <c r="B73" s="7" t="s">
        <v>4386</v>
      </c>
      <c r="C73" s="7" t="s">
        <v>4369</v>
      </c>
      <c r="D73" s="5" t="s">
        <v>167</v>
      </c>
      <c r="E73" s="6" t="s">
        <v>168</v>
      </c>
      <c r="F73" s="7" t="s">
        <v>169</v>
      </c>
      <c r="G73" s="31">
        <v>240</v>
      </c>
      <c r="H73" s="34">
        <v>240</v>
      </c>
      <c r="I73" s="34">
        <v>240</v>
      </c>
      <c r="J73" s="7">
        <v>1</v>
      </c>
      <c r="K73" s="7" t="s">
        <v>4402</v>
      </c>
      <c r="L73" s="35">
        <v>1300</v>
      </c>
    </row>
    <row r="74" spans="1:12" ht="19.95" customHeight="1" x14ac:dyDescent="0.3">
      <c r="A74" s="27" t="s">
        <v>4403</v>
      </c>
      <c r="B74" s="28" t="s">
        <v>4404</v>
      </c>
      <c r="C74" s="28" t="s">
        <v>4367</v>
      </c>
      <c r="D74" s="29" t="s">
        <v>211</v>
      </c>
      <c r="E74" s="30" t="s">
        <v>212</v>
      </c>
      <c r="F74" s="28" t="s">
        <v>11</v>
      </c>
      <c r="G74" s="31">
        <v>1.37</v>
      </c>
      <c r="H74" s="32">
        <v>0.15</v>
      </c>
      <c r="I74" s="32">
        <v>5.33</v>
      </c>
      <c r="J74" s="28">
        <v>77</v>
      </c>
      <c r="K74" s="28" t="s">
        <v>4368</v>
      </c>
      <c r="L74" s="33">
        <v>558</v>
      </c>
    </row>
    <row r="75" spans="1:12" ht="19.95" customHeight="1" x14ac:dyDescent="0.3">
      <c r="A75" s="6" t="s">
        <v>4403</v>
      </c>
      <c r="B75" s="7" t="s">
        <v>4404</v>
      </c>
      <c r="C75" s="7" t="s">
        <v>4367</v>
      </c>
      <c r="D75" s="5" t="s">
        <v>221</v>
      </c>
      <c r="E75" s="6" t="s">
        <v>222</v>
      </c>
      <c r="F75" s="7" t="s">
        <v>11</v>
      </c>
      <c r="G75" s="31">
        <v>0.46500000000000002</v>
      </c>
      <c r="H75" s="34">
        <v>0.02</v>
      </c>
      <c r="I75" s="34">
        <v>1.5</v>
      </c>
      <c r="J75" s="7">
        <v>50</v>
      </c>
      <c r="K75" s="7" t="s">
        <v>4368</v>
      </c>
      <c r="L75" s="35">
        <v>738</v>
      </c>
    </row>
    <row r="76" spans="1:12" ht="19.95" customHeight="1" x14ac:dyDescent="0.3">
      <c r="A76" s="6" t="s">
        <v>4403</v>
      </c>
      <c r="B76" s="7" t="s">
        <v>4404</v>
      </c>
      <c r="C76" s="7" t="s">
        <v>4367</v>
      </c>
      <c r="D76" s="5" t="s">
        <v>223</v>
      </c>
      <c r="E76" s="6" t="s">
        <v>224</v>
      </c>
      <c r="F76" s="7" t="s">
        <v>11</v>
      </c>
      <c r="G76" s="31">
        <v>0.46</v>
      </c>
      <c r="H76" s="34">
        <v>0.02</v>
      </c>
      <c r="I76" s="34">
        <v>1.5</v>
      </c>
      <c r="J76" s="7">
        <v>49</v>
      </c>
      <c r="K76" s="7" t="s">
        <v>4368</v>
      </c>
      <c r="L76" s="35">
        <v>679</v>
      </c>
    </row>
    <row r="77" spans="1:12" ht="19.95" customHeight="1" x14ac:dyDescent="0.3">
      <c r="A77" s="6" t="s">
        <v>4403</v>
      </c>
      <c r="B77" s="7" t="s">
        <v>4404</v>
      </c>
      <c r="C77" s="7" t="s">
        <v>4367</v>
      </c>
      <c r="D77" s="5" t="s">
        <v>197</v>
      </c>
      <c r="E77" s="6" t="s">
        <v>198</v>
      </c>
      <c r="F77" s="7" t="s">
        <v>11</v>
      </c>
      <c r="G77" s="31">
        <v>0.2</v>
      </c>
      <c r="H77" s="34">
        <v>0.03</v>
      </c>
      <c r="I77" s="34">
        <v>0.7</v>
      </c>
      <c r="J77" s="7">
        <v>46</v>
      </c>
      <c r="K77" s="7" t="s">
        <v>4368</v>
      </c>
      <c r="L77" s="35">
        <v>617</v>
      </c>
    </row>
    <row r="78" spans="1:12" ht="19.95" customHeight="1" x14ac:dyDescent="0.3">
      <c r="A78" s="6" t="s">
        <v>4403</v>
      </c>
      <c r="B78" s="7" t="s">
        <v>4404</v>
      </c>
      <c r="C78" s="7" t="s">
        <v>4367</v>
      </c>
      <c r="D78" s="5" t="s">
        <v>209</v>
      </c>
      <c r="E78" s="6" t="s">
        <v>210</v>
      </c>
      <c r="F78" s="7" t="s">
        <v>11</v>
      </c>
      <c r="G78" s="31">
        <v>0.5</v>
      </c>
      <c r="H78" s="34">
        <v>0.06</v>
      </c>
      <c r="I78" s="34">
        <v>24</v>
      </c>
      <c r="J78" s="7">
        <v>9</v>
      </c>
      <c r="K78" s="7" t="s">
        <v>4368</v>
      </c>
      <c r="L78" s="35">
        <v>558</v>
      </c>
    </row>
    <row r="79" spans="1:12" ht="19.95" customHeight="1" x14ac:dyDescent="0.3">
      <c r="A79" s="6" t="s">
        <v>4403</v>
      </c>
      <c r="B79" s="7" t="s">
        <v>4404</v>
      </c>
      <c r="C79" s="7" t="s">
        <v>4367</v>
      </c>
      <c r="D79" s="5" t="s">
        <v>205</v>
      </c>
      <c r="E79" s="6" t="s">
        <v>206</v>
      </c>
      <c r="F79" s="7" t="s">
        <v>11</v>
      </c>
      <c r="G79" s="31">
        <v>28</v>
      </c>
      <c r="H79" s="34">
        <v>28</v>
      </c>
      <c r="I79" s="34">
        <v>28</v>
      </c>
      <c r="J79" s="7">
        <v>1</v>
      </c>
      <c r="K79" s="7" t="s">
        <v>4405</v>
      </c>
      <c r="L79" s="35">
        <v>679</v>
      </c>
    </row>
    <row r="80" spans="1:12" ht="19.95" customHeight="1" x14ac:dyDescent="0.3">
      <c r="A80" s="6" t="s">
        <v>4403</v>
      </c>
      <c r="B80" s="7" t="s">
        <v>4404</v>
      </c>
      <c r="C80" s="7" t="s">
        <v>4367</v>
      </c>
      <c r="D80" s="5" t="s">
        <v>255</v>
      </c>
      <c r="E80" s="6" t="s">
        <v>256</v>
      </c>
      <c r="F80" s="7" t="s">
        <v>11</v>
      </c>
      <c r="G80" s="31">
        <v>0.1</v>
      </c>
      <c r="H80" s="34">
        <v>0.1</v>
      </c>
      <c r="I80" s="34">
        <v>0.1</v>
      </c>
      <c r="J80" s="7">
        <v>1</v>
      </c>
      <c r="K80" s="7" t="s">
        <v>4368</v>
      </c>
      <c r="L80" s="35">
        <v>709</v>
      </c>
    </row>
    <row r="81" spans="1:12" ht="19.95" customHeight="1" x14ac:dyDescent="0.3">
      <c r="A81" s="6" t="s">
        <v>4403</v>
      </c>
      <c r="B81" s="7" t="s">
        <v>4404</v>
      </c>
      <c r="C81" s="7" t="s">
        <v>4369</v>
      </c>
      <c r="D81" s="5" t="s">
        <v>84</v>
      </c>
      <c r="E81" s="6" t="s">
        <v>85</v>
      </c>
      <c r="F81" s="7" t="s">
        <v>11</v>
      </c>
      <c r="G81" s="31">
        <v>0.125</v>
      </c>
      <c r="H81" s="34">
        <v>0.125</v>
      </c>
      <c r="I81" s="34">
        <v>0.125</v>
      </c>
      <c r="J81" s="7">
        <v>2</v>
      </c>
      <c r="K81" s="7" t="s">
        <v>4406</v>
      </c>
      <c r="L81" s="35">
        <v>7500</v>
      </c>
    </row>
    <row r="82" spans="1:12" ht="19.95" customHeight="1" x14ac:dyDescent="0.3">
      <c r="A82" s="6" t="s">
        <v>4403</v>
      </c>
      <c r="B82" s="7" t="s">
        <v>4404</v>
      </c>
      <c r="C82" s="7" t="s">
        <v>4369</v>
      </c>
      <c r="D82" s="5" t="s">
        <v>31</v>
      </c>
      <c r="E82" s="6" t="s">
        <v>4394</v>
      </c>
      <c r="F82" s="7" t="s">
        <v>11</v>
      </c>
      <c r="G82" s="31">
        <v>0.375</v>
      </c>
      <c r="H82" s="34">
        <v>0.375</v>
      </c>
      <c r="I82" s="34">
        <v>0.375</v>
      </c>
      <c r="J82" s="7">
        <v>1</v>
      </c>
      <c r="K82" s="7" t="s">
        <v>4401</v>
      </c>
      <c r="L82" s="35">
        <v>700</v>
      </c>
    </row>
    <row r="83" spans="1:12" ht="19.95" customHeight="1" x14ac:dyDescent="0.3">
      <c r="A83" s="27" t="s">
        <v>4407</v>
      </c>
      <c r="B83" s="28" t="s">
        <v>4408</v>
      </c>
      <c r="C83" s="28" t="s">
        <v>4367</v>
      </c>
      <c r="D83" s="29" t="s">
        <v>211</v>
      </c>
      <c r="E83" s="30" t="s">
        <v>212</v>
      </c>
      <c r="F83" s="28" t="s">
        <v>11</v>
      </c>
      <c r="G83" s="31">
        <v>2.1999999999999999E-2</v>
      </c>
      <c r="H83" s="32">
        <v>1.4999999999999999E-2</v>
      </c>
      <c r="I83" s="32">
        <v>1.1299999999999999</v>
      </c>
      <c r="J83" s="28">
        <v>72</v>
      </c>
      <c r="K83" s="28" t="s">
        <v>4409</v>
      </c>
      <c r="L83" s="33">
        <v>558</v>
      </c>
    </row>
    <row r="84" spans="1:12" ht="19.95" customHeight="1" x14ac:dyDescent="0.3">
      <c r="A84" s="6" t="s">
        <v>4407</v>
      </c>
      <c r="B84" s="7" t="s">
        <v>4408</v>
      </c>
      <c r="C84" s="7" t="s">
        <v>4367</v>
      </c>
      <c r="D84" s="5" t="s">
        <v>225</v>
      </c>
      <c r="E84" s="6" t="s">
        <v>4410</v>
      </c>
      <c r="F84" s="7" t="s">
        <v>11</v>
      </c>
      <c r="G84" s="31">
        <v>0.17599999999999999</v>
      </c>
      <c r="H84" s="34">
        <v>4.3999999999999997E-2</v>
      </c>
      <c r="I84" s="34">
        <v>7.62</v>
      </c>
      <c r="J84" s="7">
        <v>64</v>
      </c>
      <c r="K84" s="7" t="s">
        <v>4409</v>
      </c>
      <c r="L84" s="35">
        <v>679</v>
      </c>
    </row>
    <row r="85" spans="1:12" ht="19.95" customHeight="1" x14ac:dyDescent="0.3">
      <c r="A85" s="6" t="s">
        <v>4407</v>
      </c>
      <c r="B85" s="7" t="s">
        <v>4408</v>
      </c>
      <c r="C85" s="7" t="s">
        <v>4367</v>
      </c>
      <c r="D85" s="5" t="s">
        <v>209</v>
      </c>
      <c r="E85" s="6" t="s">
        <v>210</v>
      </c>
      <c r="F85" s="7" t="s">
        <v>11</v>
      </c>
      <c r="G85" s="31">
        <v>7.0000000000000007E-2</v>
      </c>
      <c r="H85" s="34">
        <v>0.02</v>
      </c>
      <c r="I85" s="34">
        <v>24</v>
      </c>
      <c r="J85" s="7">
        <v>60</v>
      </c>
      <c r="K85" s="7" t="s">
        <v>4409</v>
      </c>
      <c r="L85" s="35">
        <v>558</v>
      </c>
    </row>
    <row r="86" spans="1:12" ht="19.95" customHeight="1" x14ac:dyDescent="0.3">
      <c r="A86" s="6" t="s">
        <v>4407</v>
      </c>
      <c r="B86" s="7" t="s">
        <v>4408</v>
      </c>
      <c r="C86" s="7" t="s">
        <v>4367</v>
      </c>
      <c r="D86" s="5" t="s">
        <v>194</v>
      </c>
      <c r="E86" s="6" t="s">
        <v>196</v>
      </c>
      <c r="F86" s="7" t="s">
        <v>11</v>
      </c>
      <c r="G86" s="31">
        <v>4.3999999999999997E-2</v>
      </c>
      <c r="H86" s="34">
        <v>2.1999999999999999E-2</v>
      </c>
      <c r="I86" s="34">
        <v>0.27100000000000002</v>
      </c>
      <c r="J86" s="7">
        <v>38</v>
      </c>
      <c r="K86" s="7" t="s">
        <v>4409</v>
      </c>
      <c r="L86" s="35">
        <v>617</v>
      </c>
    </row>
    <row r="87" spans="1:12" ht="19.95" customHeight="1" x14ac:dyDescent="0.3">
      <c r="A87" s="6" t="s">
        <v>4407</v>
      </c>
      <c r="B87" s="7" t="s">
        <v>4408</v>
      </c>
      <c r="C87" s="7" t="s">
        <v>4367</v>
      </c>
      <c r="D87" s="5" t="s">
        <v>199</v>
      </c>
      <c r="E87" s="6" t="s">
        <v>200</v>
      </c>
      <c r="F87" s="7" t="s">
        <v>11</v>
      </c>
      <c r="G87" s="31">
        <v>6.0000000000000001E-3</v>
      </c>
      <c r="H87" s="34">
        <v>6.0000000000000001E-3</v>
      </c>
      <c r="I87" s="34">
        <v>3.6999999999999998E-2</v>
      </c>
      <c r="J87" s="7">
        <v>38</v>
      </c>
      <c r="K87" s="7" t="s">
        <v>4409</v>
      </c>
      <c r="L87" s="35">
        <v>738</v>
      </c>
    </row>
    <row r="88" spans="1:12" ht="19.95" customHeight="1" x14ac:dyDescent="0.3">
      <c r="A88" s="6" t="s">
        <v>4407</v>
      </c>
      <c r="B88" s="7" t="s">
        <v>4408</v>
      </c>
      <c r="C88" s="7" t="s">
        <v>4367</v>
      </c>
      <c r="D88" s="5" t="s">
        <v>197</v>
      </c>
      <c r="E88" s="6" t="s">
        <v>198</v>
      </c>
      <c r="F88" s="7" t="s">
        <v>11</v>
      </c>
      <c r="G88" s="31">
        <v>2.1999999999999999E-2</v>
      </c>
      <c r="H88" s="34">
        <v>2.1999999999999999E-2</v>
      </c>
      <c r="I88" s="34">
        <v>0.123</v>
      </c>
      <c r="J88" s="7">
        <v>25</v>
      </c>
      <c r="K88" s="7" t="s">
        <v>4409</v>
      </c>
      <c r="L88" s="35">
        <v>617</v>
      </c>
    </row>
    <row r="89" spans="1:12" ht="19.95" customHeight="1" x14ac:dyDescent="0.3">
      <c r="A89" s="6" t="s">
        <v>4407</v>
      </c>
      <c r="B89" s="7" t="s">
        <v>4408</v>
      </c>
      <c r="C89" s="7" t="s">
        <v>4367</v>
      </c>
      <c r="D89" s="5" t="s">
        <v>227</v>
      </c>
      <c r="E89" s="6" t="s">
        <v>228</v>
      </c>
      <c r="F89" s="7" t="s">
        <v>11</v>
      </c>
      <c r="G89" s="31">
        <v>0.35199999999999998</v>
      </c>
      <c r="H89" s="34">
        <v>0.17599999999999999</v>
      </c>
      <c r="I89" s="34">
        <v>0.95</v>
      </c>
      <c r="J89" s="7">
        <v>5</v>
      </c>
      <c r="K89" s="7" t="s">
        <v>4409</v>
      </c>
      <c r="L89" s="35">
        <v>738</v>
      </c>
    </row>
    <row r="90" spans="1:12" ht="19.95" customHeight="1" x14ac:dyDescent="0.3">
      <c r="A90" s="6" t="s">
        <v>4407</v>
      </c>
      <c r="B90" s="7" t="s">
        <v>4408</v>
      </c>
      <c r="C90" s="7" t="s">
        <v>4367</v>
      </c>
      <c r="D90" s="5" t="s">
        <v>221</v>
      </c>
      <c r="E90" s="6" t="s">
        <v>222</v>
      </c>
      <c r="F90" s="7" t="s">
        <v>11</v>
      </c>
      <c r="G90" s="31">
        <v>7.7</v>
      </c>
      <c r="H90" s="34">
        <v>0.02</v>
      </c>
      <c r="I90" s="34">
        <v>7.7</v>
      </c>
      <c r="J90" s="7">
        <v>3</v>
      </c>
      <c r="K90" s="7" t="s">
        <v>4368</v>
      </c>
      <c r="L90" s="35">
        <v>738</v>
      </c>
    </row>
    <row r="91" spans="1:12" ht="19.95" customHeight="1" x14ac:dyDescent="0.3">
      <c r="A91" s="6" t="s">
        <v>4407</v>
      </c>
      <c r="B91" s="7" t="s">
        <v>4408</v>
      </c>
      <c r="C91" s="7" t="s">
        <v>4367</v>
      </c>
      <c r="D91" s="5" t="s">
        <v>205</v>
      </c>
      <c r="E91" s="6" t="s">
        <v>206</v>
      </c>
      <c r="F91" s="7" t="s">
        <v>11</v>
      </c>
      <c r="G91" s="31">
        <v>28</v>
      </c>
      <c r="H91" s="34">
        <v>28</v>
      </c>
      <c r="I91" s="34">
        <v>28</v>
      </c>
      <c r="J91" s="7">
        <v>1</v>
      </c>
      <c r="K91" s="7" t="s">
        <v>4368</v>
      </c>
      <c r="L91" s="35">
        <v>679</v>
      </c>
    </row>
    <row r="92" spans="1:12" ht="19.95" customHeight="1" x14ac:dyDescent="0.3">
      <c r="A92" s="6" t="s">
        <v>4407</v>
      </c>
      <c r="B92" s="7" t="s">
        <v>4408</v>
      </c>
      <c r="C92" s="7" t="s">
        <v>4367</v>
      </c>
      <c r="D92" s="5" t="s">
        <v>223</v>
      </c>
      <c r="E92" s="6" t="s">
        <v>224</v>
      </c>
      <c r="F92" s="7" t="s">
        <v>11</v>
      </c>
      <c r="G92" s="31">
        <v>0.02</v>
      </c>
      <c r="H92" s="34">
        <v>0.02</v>
      </c>
      <c r="I92" s="34">
        <v>0.02</v>
      </c>
      <c r="J92" s="7">
        <v>1</v>
      </c>
      <c r="K92" s="7" t="s">
        <v>4384</v>
      </c>
      <c r="L92" s="35">
        <v>679</v>
      </c>
    </row>
    <row r="93" spans="1:12" ht="19.95" customHeight="1" x14ac:dyDescent="0.3">
      <c r="A93" s="6" t="s">
        <v>4407</v>
      </c>
      <c r="B93" s="7" t="s">
        <v>4408</v>
      </c>
      <c r="C93" s="7" t="s">
        <v>4369</v>
      </c>
      <c r="D93" s="5" t="s">
        <v>31</v>
      </c>
      <c r="E93" s="6" t="s">
        <v>4394</v>
      </c>
      <c r="F93" s="7" t="s">
        <v>11</v>
      </c>
      <c r="G93" s="31">
        <v>0.375</v>
      </c>
      <c r="H93" s="34">
        <v>0.375</v>
      </c>
      <c r="I93" s="34">
        <v>0.375</v>
      </c>
      <c r="J93" s="7">
        <v>1</v>
      </c>
      <c r="K93" s="7" t="s">
        <v>4401</v>
      </c>
      <c r="L93" s="35">
        <v>700</v>
      </c>
    </row>
    <row r="94" spans="1:12" ht="19.95" customHeight="1" x14ac:dyDescent="0.3">
      <c r="A94" s="27" t="s">
        <v>4411</v>
      </c>
      <c r="B94" s="28" t="s">
        <v>4412</v>
      </c>
      <c r="C94" s="28" t="s">
        <v>4367</v>
      </c>
      <c r="D94" s="29" t="s">
        <v>209</v>
      </c>
      <c r="E94" s="30" t="s">
        <v>210</v>
      </c>
      <c r="F94" s="28" t="s">
        <v>11</v>
      </c>
      <c r="G94" s="31">
        <v>0.33600000000000002</v>
      </c>
      <c r="H94" s="32">
        <v>0.2</v>
      </c>
      <c r="I94" s="32">
        <v>6.5</v>
      </c>
      <c r="J94" s="28">
        <v>79</v>
      </c>
      <c r="K94" s="28" t="s">
        <v>4413</v>
      </c>
      <c r="L94" s="33">
        <v>558</v>
      </c>
    </row>
    <row r="95" spans="1:12" ht="19.95" customHeight="1" x14ac:dyDescent="0.3">
      <c r="A95" s="6" t="s">
        <v>4411</v>
      </c>
      <c r="B95" s="7" t="s">
        <v>4412</v>
      </c>
      <c r="C95" s="7" t="s">
        <v>4367</v>
      </c>
      <c r="D95" s="5" t="s">
        <v>211</v>
      </c>
      <c r="E95" s="6" t="s">
        <v>212</v>
      </c>
      <c r="F95" s="7" t="s">
        <v>11</v>
      </c>
      <c r="G95" s="31">
        <v>0.33600000000000002</v>
      </c>
      <c r="H95" s="34">
        <v>0.112</v>
      </c>
      <c r="I95" s="34">
        <v>4.3</v>
      </c>
      <c r="J95" s="7">
        <v>54</v>
      </c>
      <c r="K95" s="7" t="s">
        <v>4413</v>
      </c>
      <c r="L95" s="35">
        <v>558</v>
      </c>
    </row>
    <row r="96" spans="1:12" ht="19.95" customHeight="1" x14ac:dyDescent="0.3">
      <c r="A96" s="6" t="s">
        <v>4411</v>
      </c>
      <c r="B96" s="7" t="s">
        <v>4412</v>
      </c>
      <c r="C96" s="7" t="s">
        <v>4367</v>
      </c>
      <c r="D96" s="5" t="s">
        <v>194</v>
      </c>
      <c r="E96" s="6" t="s">
        <v>196</v>
      </c>
      <c r="F96" s="7" t="s">
        <v>11</v>
      </c>
      <c r="G96" s="31">
        <v>0.33600000000000002</v>
      </c>
      <c r="H96" s="34">
        <v>0.224</v>
      </c>
      <c r="I96" s="34">
        <v>0.67</v>
      </c>
      <c r="J96" s="7">
        <v>48</v>
      </c>
      <c r="K96" s="7" t="s">
        <v>4413</v>
      </c>
      <c r="L96" s="35">
        <v>617</v>
      </c>
    </row>
    <row r="97" spans="1:12" ht="19.95" customHeight="1" x14ac:dyDescent="0.3">
      <c r="A97" s="6" t="s">
        <v>4411</v>
      </c>
      <c r="B97" s="7" t="s">
        <v>4412</v>
      </c>
      <c r="C97" s="7" t="s">
        <v>4367</v>
      </c>
      <c r="D97" s="5" t="s">
        <v>225</v>
      </c>
      <c r="E97" s="6" t="s">
        <v>4410</v>
      </c>
      <c r="F97" s="7" t="s">
        <v>11</v>
      </c>
      <c r="G97" s="31">
        <v>0.44800000000000001</v>
      </c>
      <c r="H97" s="34">
        <v>0.25</v>
      </c>
      <c r="I97" s="34">
        <v>6.5</v>
      </c>
      <c r="J97" s="7">
        <v>46</v>
      </c>
      <c r="K97" s="7" t="s">
        <v>4413</v>
      </c>
      <c r="L97" s="35">
        <v>679</v>
      </c>
    </row>
    <row r="98" spans="1:12" ht="19.95" customHeight="1" x14ac:dyDescent="0.3">
      <c r="A98" s="6" t="s">
        <v>4411</v>
      </c>
      <c r="B98" s="7" t="s">
        <v>4412</v>
      </c>
      <c r="C98" s="7" t="s">
        <v>4367</v>
      </c>
      <c r="D98" s="5" t="s">
        <v>197</v>
      </c>
      <c r="E98" s="6" t="s">
        <v>198</v>
      </c>
      <c r="F98" s="7" t="s">
        <v>11</v>
      </c>
      <c r="G98" s="31">
        <v>0.33600000000000002</v>
      </c>
      <c r="H98" s="34">
        <v>0.03</v>
      </c>
      <c r="I98" s="34">
        <v>1.5</v>
      </c>
      <c r="J98" s="7">
        <v>28</v>
      </c>
      <c r="K98" s="7" t="s">
        <v>4413</v>
      </c>
      <c r="L98" s="35">
        <v>617</v>
      </c>
    </row>
    <row r="99" spans="1:12" ht="19.95" customHeight="1" x14ac:dyDescent="0.3">
      <c r="A99" s="6" t="s">
        <v>4411</v>
      </c>
      <c r="B99" s="7" t="s">
        <v>4412</v>
      </c>
      <c r="C99" s="7" t="s">
        <v>4367</v>
      </c>
      <c r="D99" s="5" t="s">
        <v>199</v>
      </c>
      <c r="E99" s="6" t="s">
        <v>200</v>
      </c>
      <c r="F99" s="7" t="s">
        <v>11</v>
      </c>
      <c r="G99" s="31">
        <v>6.4000000000000001E-2</v>
      </c>
      <c r="H99" s="34">
        <v>3.2000000000000001E-2</v>
      </c>
      <c r="I99" s="34">
        <v>1.34</v>
      </c>
      <c r="J99" s="7">
        <v>24</v>
      </c>
      <c r="K99" s="7" t="s">
        <v>4413</v>
      </c>
      <c r="L99" s="35">
        <v>738</v>
      </c>
    </row>
    <row r="100" spans="1:12" ht="19.95" customHeight="1" x14ac:dyDescent="0.3">
      <c r="A100" s="6" t="s">
        <v>4411</v>
      </c>
      <c r="B100" s="7" t="s">
        <v>4412</v>
      </c>
      <c r="C100" s="7" t="s">
        <v>4367</v>
      </c>
      <c r="D100" s="5" t="s">
        <v>221</v>
      </c>
      <c r="E100" s="6" t="s">
        <v>222</v>
      </c>
      <c r="F100" s="7" t="s">
        <v>11</v>
      </c>
      <c r="G100" s="31">
        <v>0.48</v>
      </c>
      <c r="H100" s="34">
        <v>0.25</v>
      </c>
      <c r="I100" s="34">
        <v>1.44</v>
      </c>
      <c r="J100" s="7">
        <v>10</v>
      </c>
      <c r="K100" s="7" t="s">
        <v>4368</v>
      </c>
      <c r="L100" s="35">
        <v>738</v>
      </c>
    </row>
    <row r="101" spans="1:12" ht="19.95" customHeight="1" x14ac:dyDescent="0.3">
      <c r="A101" s="6" t="s">
        <v>4411</v>
      </c>
      <c r="B101" s="7" t="s">
        <v>4412</v>
      </c>
      <c r="C101" s="7" t="s">
        <v>4367</v>
      </c>
      <c r="D101" s="5" t="s">
        <v>205</v>
      </c>
      <c r="E101" s="6" t="s">
        <v>206</v>
      </c>
      <c r="F101" s="7" t="s">
        <v>11</v>
      </c>
      <c r="G101" s="31">
        <v>0.8</v>
      </c>
      <c r="H101" s="34">
        <v>0.75</v>
      </c>
      <c r="I101" s="34">
        <v>1.28</v>
      </c>
      <c r="J101" s="7">
        <v>8</v>
      </c>
      <c r="K101" s="7" t="s">
        <v>4368</v>
      </c>
      <c r="L101" s="35">
        <v>679</v>
      </c>
    </row>
    <row r="102" spans="1:12" ht="19.95" customHeight="1" x14ac:dyDescent="0.3">
      <c r="A102" s="6" t="s">
        <v>4411</v>
      </c>
      <c r="B102" s="7" t="s">
        <v>4412</v>
      </c>
      <c r="C102" s="7" t="s">
        <v>4367</v>
      </c>
      <c r="D102" s="5" t="s">
        <v>203</v>
      </c>
      <c r="E102" s="6" t="s">
        <v>204</v>
      </c>
      <c r="F102" s="7" t="s">
        <v>11</v>
      </c>
      <c r="G102" s="31">
        <v>2.15</v>
      </c>
      <c r="H102" s="34">
        <v>1</v>
      </c>
      <c r="I102" s="34">
        <v>3.8</v>
      </c>
      <c r="J102" s="7">
        <v>7</v>
      </c>
      <c r="K102" s="7" t="s">
        <v>4368</v>
      </c>
      <c r="L102" s="35">
        <v>738</v>
      </c>
    </row>
    <row r="103" spans="1:12" ht="19.95" customHeight="1" x14ac:dyDescent="0.3">
      <c r="A103" s="6" t="s">
        <v>4411</v>
      </c>
      <c r="B103" s="7" t="s">
        <v>4412</v>
      </c>
      <c r="C103" s="7" t="s">
        <v>4367</v>
      </c>
      <c r="D103" s="5" t="s">
        <v>227</v>
      </c>
      <c r="E103" s="6" t="s">
        <v>228</v>
      </c>
      <c r="F103" s="7" t="s">
        <v>11</v>
      </c>
      <c r="G103" s="31">
        <v>0.33500000000000002</v>
      </c>
      <c r="H103" s="34">
        <v>0.25</v>
      </c>
      <c r="I103" s="34">
        <v>0.67</v>
      </c>
      <c r="J103" s="7">
        <v>5</v>
      </c>
      <c r="K103" s="7" t="s">
        <v>4368</v>
      </c>
      <c r="L103" s="35">
        <v>738</v>
      </c>
    </row>
    <row r="104" spans="1:12" ht="19.95" customHeight="1" x14ac:dyDescent="0.3">
      <c r="A104" s="6" t="s">
        <v>4411</v>
      </c>
      <c r="B104" s="7" t="s">
        <v>4412</v>
      </c>
      <c r="C104" s="7" t="s">
        <v>4367</v>
      </c>
      <c r="D104" s="5" t="s">
        <v>213</v>
      </c>
      <c r="E104" s="6" t="s">
        <v>214</v>
      </c>
      <c r="F104" s="7" t="s">
        <v>11</v>
      </c>
      <c r="G104" s="31">
        <v>0.25</v>
      </c>
      <c r="H104" s="34">
        <v>0.25</v>
      </c>
      <c r="I104" s="34">
        <v>0.25</v>
      </c>
      <c r="J104" s="7">
        <v>3</v>
      </c>
      <c r="K104" s="7" t="s">
        <v>4414</v>
      </c>
      <c r="L104" s="35">
        <v>738</v>
      </c>
    </row>
    <row r="105" spans="1:12" ht="19.95" customHeight="1" x14ac:dyDescent="0.3">
      <c r="A105" s="6" t="s">
        <v>4411</v>
      </c>
      <c r="B105" s="7" t="s">
        <v>4412</v>
      </c>
      <c r="C105" s="7" t="s">
        <v>4367</v>
      </c>
      <c r="D105" s="5" t="s">
        <v>223</v>
      </c>
      <c r="E105" s="6" t="s">
        <v>224</v>
      </c>
      <c r="F105" s="7" t="s">
        <v>11</v>
      </c>
      <c r="G105" s="31">
        <v>0.75</v>
      </c>
      <c r="H105" s="34">
        <v>0.26</v>
      </c>
      <c r="I105" s="34">
        <v>1</v>
      </c>
      <c r="J105" s="7">
        <v>3</v>
      </c>
      <c r="K105" s="7" t="s">
        <v>4368</v>
      </c>
      <c r="L105" s="35">
        <v>679</v>
      </c>
    </row>
    <row r="106" spans="1:12" ht="19.95" customHeight="1" x14ac:dyDescent="0.3">
      <c r="A106" s="6" t="s">
        <v>4411</v>
      </c>
      <c r="B106" s="7" t="s">
        <v>4412</v>
      </c>
      <c r="C106" s="7" t="s">
        <v>4367</v>
      </c>
      <c r="D106" s="5" t="s">
        <v>231</v>
      </c>
      <c r="E106" s="6" t="s">
        <v>232</v>
      </c>
      <c r="F106" s="7" t="s">
        <v>11</v>
      </c>
      <c r="G106" s="31">
        <v>0.16500000000000001</v>
      </c>
      <c r="H106" s="34">
        <v>0.16500000000000001</v>
      </c>
      <c r="I106" s="34">
        <v>0.33</v>
      </c>
      <c r="J106" s="7">
        <v>3</v>
      </c>
      <c r="K106" s="7" t="s">
        <v>4368</v>
      </c>
      <c r="L106" s="35">
        <v>617</v>
      </c>
    </row>
    <row r="107" spans="1:12" ht="19.95" customHeight="1" x14ac:dyDescent="0.3">
      <c r="A107" s="6" t="s">
        <v>4411</v>
      </c>
      <c r="B107" s="7" t="s">
        <v>4412</v>
      </c>
      <c r="C107" s="7" t="s">
        <v>4367</v>
      </c>
      <c r="D107" s="5" t="s">
        <v>235</v>
      </c>
      <c r="E107" s="6" t="s">
        <v>236</v>
      </c>
      <c r="F107" s="7" t="s">
        <v>11</v>
      </c>
      <c r="G107" s="31">
        <v>0.6</v>
      </c>
      <c r="H107" s="34">
        <v>0.6</v>
      </c>
      <c r="I107" s="34">
        <v>0.6</v>
      </c>
      <c r="J107" s="7">
        <v>2</v>
      </c>
      <c r="K107" s="7" t="s">
        <v>4368</v>
      </c>
      <c r="L107" s="35">
        <v>738</v>
      </c>
    </row>
    <row r="108" spans="1:12" ht="19.95" customHeight="1" x14ac:dyDescent="0.3">
      <c r="A108" s="6" t="s">
        <v>4411</v>
      </c>
      <c r="B108" s="7" t="s">
        <v>4412</v>
      </c>
      <c r="C108" s="7" t="s">
        <v>4367</v>
      </c>
      <c r="D108" s="5" t="s">
        <v>201</v>
      </c>
      <c r="E108" s="6" t="s">
        <v>202</v>
      </c>
      <c r="F108" s="7" t="s">
        <v>11</v>
      </c>
      <c r="G108" s="31">
        <v>0.1</v>
      </c>
      <c r="H108" s="34">
        <v>0.1</v>
      </c>
      <c r="I108" s="34">
        <v>0.1</v>
      </c>
      <c r="J108" s="7">
        <v>1</v>
      </c>
      <c r="K108" s="7" t="s">
        <v>279</v>
      </c>
      <c r="L108" s="35">
        <v>679</v>
      </c>
    </row>
    <row r="109" spans="1:12" ht="19.95" customHeight="1" x14ac:dyDescent="0.3">
      <c r="A109" s="6" t="s">
        <v>4411</v>
      </c>
      <c r="B109" s="7" t="s">
        <v>4412</v>
      </c>
      <c r="C109" s="7" t="s">
        <v>4367</v>
      </c>
      <c r="D109" s="5" t="s">
        <v>249</v>
      </c>
      <c r="E109" s="6" t="s">
        <v>250</v>
      </c>
      <c r="F109" s="7" t="s">
        <v>11</v>
      </c>
      <c r="G109" s="31">
        <v>10.8</v>
      </c>
      <c r="H109" s="34">
        <v>10.8</v>
      </c>
      <c r="I109" s="34">
        <v>10.8</v>
      </c>
      <c r="J109" s="7">
        <v>1</v>
      </c>
      <c r="K109" s="7" t="s">
        <v>4368</v>
      </c>
      <c r="L109" s="35">
        <v>617</v>
      </c>
    </row>
    <row r="110" spans="1:12" ht="19.95" customHeight="1" x14ac:dyDescent="0.3">
      <c r="A110" s="6" t="s">
        <v>4411</v>
      </c>
      <c r="B110" s="7" t="s">
        <v>4412</v>
      </c>
      <c r="C110" s="7" t="s">
        <v>4369</v>
      </c>
      <c r="D110" s="5" t="s">
        <v>47</v>
      </c>
      <c r="E110" s="6" t="s">
        <v>4415</v>
      </c>
      <c r="F110" s="7" t="s">
        <v>11</v>
      </c>
      <c r="G110" s="31">
        <v>2</v>
      </c>
      <c r="H110" s="34">
        <v>1.5</v>
      </c>
      <c r="I110" s="34">
        <v>2.5</v>
      </c>
      <c r="J110" s="7">
        <v>2</v>
      </c>
      <c r="K110" s="7" t="s">
        <v>4344</v>
      </c>
      <c r="L110" s="35">
        <v>250</v>
      </c>
    </row>
    <row r="111" spans="1:12" ht="19.95" customHeight="1" x14ac:dyDescent="0.3">
      <c r="A111" s="6" t="s">
        <v>4411</v>
      </c>
      <c r="B111" s="7" t="s">
        <v>4412</v>
      </c>
      <c r="C111" s="7" t="s">
        <v>4369</v>
      </c>
      <c r="D111" s="5" t="s">
        <v>35</v>
      </c>
      <c r="E111" s="6" t="s">
        <v>36</v>
      </c>
      <c r="F111" s="7" t="s">
        <v>11</v>
      </c>
      <c r="G111" s="31">
        <v>1</v>
      </c>
      <c r="H111" s="34">
        <v>1</v>
      </c>
      <c r="I111" s="34">
        <v>1</v>
      </c>
      <c r="J111" s="7">
        <v>1</v>
      </c>
      <c r="K111" s="7" t="s">
        <v>4416</v>
      </c>
      <c r="L111" s="35">
        <v>300</v>
      </c>
    </row>
    <row r="112" spans="1:12" ht="19.95" customHeight="1" x14ac:dyDescent="0.3">
      <c r="A112" s="27" t="s">
        <v>4417</v>
      </c>
      <c r="B112" s="28" t="s">
        <v>4418</v>
      </c>
      <c r="C112" s="28" t="s">
        <v>4367</v>
      </c>
      <c r="D112" s="29" t="s">
        <v>209</v>
      </c>
      <c r="E112" s="30" t="s">
        <v>210</v>
      </c>
      <c r="F112" s="28" t="s">
        <v>11</v>
      </c>
      <c r="G112" s="31">
        <v>0.4</v>
      </c>
      <c r="H112" s="32">
        <v>7.0000000000000001E-3</v>
      </c>
      <c r="I112" s="32">
        <v>7.665</v>
      </c>
      <c r="J112" s="28">
        <v>173</v>
      </c>
      <c r="K112" s="28" t="s">
        <v>4419</v>
      </c>
      <c r="L112" s="33">
        <v>558</v>
      </c>
    </row>
    <row r="113" spans="1:12" ht="19.95" customHeight="1" x14ac:dyDescent="0.3">
      <c r="A113" s="6" t="s">
        <v>4417</v>
      </c>
      <c r="B113" s="7" t="s">
        <v>4418</v>
      </c>
      <c r="C113" s="7" t="s">
        <v>4367</v>
      </c>
      <c r="D113" s="5" t="s">
        <v>203</v>
      </c>
      <c r="E113" s="6" t="s">
        <v>204</v>
      </c>
      <c r="F113" s="7" t="s">
        <v>11</v>
      </c>
      <c r="G113" s="31">
        <v>0.17</v>
      </c>
      <c r="H113" s="34">
        <v>0.03</v>
      </c>
      <c r="I113" s="34">
        <v>6.57</v>
      </c>
      <c r="J113" s="7">
        <v>139</v>
      </c>
      <c r="K113" s="7" t="s">
        <v>4419</v>
      </c>
      <c r="L113" s="35">
        <v>738</v>
      </c>
    </row>
    <row r="114" spans="1:12" ht="19.95" customHeight="1" x14ac:dyDescent="0.3">
      <c r="A114" s="6" t="s">
        <v>4417</v>
      </c>
      <c r="B114" s="7" t="s">
        <v>4418</v>
      </c>
      <c r="C114" s="7" t="s">
        <v>4367</v>
      </c>
      <c r="D114" s="5" t="s">
        <v>205</v>
      </c>
      <c r="E114" s="6" t="s">
        <v>206</v>
      </c>
      <c r="F114" s="7" t="s">
        <v>11</v>
      </c>
      <c r="G114" s="31">
        <v>0.25</v>
      </c>
      <c r="H114" s="34">
        <v>0.06</v>
      </c>
      <c r="I114" s="34">
        <v>2.847</v>
      </c>
      <c r="J114" s="7">
        <v>126</v>
      </c>
      <c r="K114" s="7" t="s">
        <v>4419</v>
      </c>
      <c r="L114" s="35">
        <v>679</v>
      </c>
    </row>
    <row r="115" spans="1:12" ht="19.95" customHeight="1" x14ac:dyDescent="0.3">
      <c r="A115" s="6" t="s">
        <v>4417</v>
      </c>
      <c r="B115" s="7" t="s">
        <v>4418</v>
      </c>
      <c r="C115" s="7" t="s">
        <v>4367</v>
      </c>
      <c r="D115" s="5" t="s">
        <v>257</v>
      </c>
      <c r="E115" s="6" t="s">
        <v>258</v>
      </c>
      <c r="F115" s="7" t="s">
        <v>11</v>
      </c>
      <c r="G115" s="31">
        <v>0.55000000000000004</v>
      </c>
      <c r="H115" s="34">
        <v>7.1999999999999995E-2</v>
      </c>
      <c r="I115" s="34">
        <v>1.83</v>
      </c>
      <c r="J115" s="7">
        <v>44</v>
      </c>
      <c r="K115" s="7" t="s">
        <v>4368</v>
      </c>
      <c r="L115" s="35">
        <v>709</v>
      </c>
    </row>
    <row r="116" spans="1:12" ht="19.95" customHeight="1" x14ac:dyDescent="0.3">
      <c r="A116" s="6" t="s">
        <v>4417</v>
      </c>
      <c r="B116" s="7" t="s">
        <v>4418</v>
      </c>
      <c r="C116" s="7" t="s">
        <v>4367</v>
      </c>
      <c r="D116" s="5" t="s">
        <v>235</v>
      </c>
      <c r="E116" s="6" t="s">
        <v>236</v>
      </c>
      <c r="F116" s="7" t="s">
        <v>11</v>
      </c>
      <c r="G116" s="31">
        <v>0.1</v>
      </c>
      <c r="H116" s="34">
        <v>7.0000000000000007E-2</v>
      </c>
      <c r="I116" s="34">
        <v>0.11</v>
      </c>
      <c r="J116" s="7">
        <v>30</v>
      </c>
      <c r="K116" s="7" t="s">
        <v>4420</v>
      </c>
      <c r="L116" s="35">
        <v>738</v>
      </c>
    </row>
    <row r="117" spans="1:12" ht="19.95" customHeight="1" x14ac:dyDescent="0.3">
      <c r="A117" s="6" t="s">
        <v>4417</v>
      </c>
      <c r="B117" s="7" t="s">
        <v>4418</v>
      </c>
      <c r="C117" s="7" t="s">
        <v>4367</v>
      </c>
      <c r="D117" s="5" t="s">
        <v>217</v>
      </c>
      <c r="E117" s="6" t="s">
        <v>218</v>
      </c>
      <c r="F117" s="7" t="s">
        <v>11</v>
      </c>
      <c r="G117" s="31">
        <v>0.23</v>
      </c>
      <c r="H117" s="34">
        <v>0.15</v>
      </c>
      <c r="I117" s="34">
        <v>0.23</v>
      </c>
      <c r="J117" s="7">
        <v>12</v>
      </c>
      <c r="K117" s="7" t="s">
        <v>4421</v>
      </c>
      <c r="L117" s="35">
        <v>679</v>
      </c>
    </row>
    <row r="118" spans="1:12" ht="19.95" customHeight="1" x14ac:dyDescent="0.3">
      <c r="A118" s="6" t="s">
        <v>4417</v>
      </c>
      <c r="B118" s="7" t="s">
        <v>4418</v>
      </c>
      <c r="C118" s="7" t="s">
        <v>4367</v>
      </c>
      <c r="D118" s="5" t="s">
        <v>194</v>
      </c>
      <c r="E118" s="6" t="s">
        <v>196</v>
      </c>
      <c r="F118" s="7" t="s">
        <v>11</v>
      </c>
      <c r="G118" s="31">
        <v>0.7</v>
      </c>
      <c r="H118" s="34">
        <v>0.06</v>
      </c>
      <c r="I118" s="34">
        <v>0.7</v>
      </c>
      <c r="J118" s="7">
        <v>3</v>
      </c>
      <c r="K118" s="7" t="s">
        <v>4368</v>
      </c>
      <c r="L118" s="35">
        <v>617</v>
      </c>
    </row>
    <row r="119" spans="1:12" ht="19.95" customHeight="1" x14ac:dyDescent="0.3">
      <c r="A119" s="6" t="s">
        <v>4417</v>
      </c>
      <c r="B119" s="7" t="s">
        <v>4418</v>
      </c>
      <c r="C119" s="7" t="s">
        <v>4367</v>
      </c>
      <c r="D119" s="5" t="s">
        <v>199</v>
      </c>
      <c r="E119" s="6" t="s">
        <v>200</v>
      </c>
      <c r="F119" s="7" t="s">
        <v>11</v>
      </c>
      <c r="G119" s="31">
        <v>0.86</v>
      </c>
      <c r="H119" s="34">
        <v>0.86</v>
      </c>
      <c r="I119" s="34">
        <v>0.86</v>
      </c>
      <c r="J119" s="7">
        <v>2</v>
      </c>
      <c r="K119" s="7" t="s">
        <v>4368</v>
      </c>
      <c r="L119" s="35">
        <v>738</v>
      </c>
    </row>
    <row r="120" spans="1:12" ht="19.95" customHeight="1" x14ac:dyDescent="0.3">
      <c r="A120" s="6" t="s">
        <v>4417</v>
      </c>
      <c r="B120" s="7" t="s">
        <v>4418</v>
      </c>
      <c r="C120" s="7" t="s">
        <v>4367</v>
      </c>
      <c r="D120" s="5" t="s">
        <v>201</v>
      </c>
      <c r="E120" s="6" t="s">
        <v>202</v>
      </c>
      <c r="F120" s="7" t="s">
        <v>11</v>
      </c>
      <c r="G120" s="31">
        <v>0.28000000000000003</v>
      </c>
      <c r="H120" s="34">
        <v>0.03</v>
      </c>
      <c r="I120" s="34">
        <v>0.53</v>
      </c>
      <c r="J120" s="7">
        <v>2</v>
      </c>
      <c r="K120" s="7" t="s">
        <v>4368</v>
      </c>
      <c r="L120" s="35">
        <v>679</v>
      </c>
    </row>
    <row r="121" spans="1:12" ht="19.95" customHeight="1" x14ac:dyDescent="0.3">
      <c r="A121" s="6" t="s">
        <v>4417</v>
      </c>
      <c r="B121" s="7" t="s">
        <v>4418</v>
      </c>
      <c r="C121" s="7" t="s">
        <v>4367</v>
      </c>
      <c r="D121" s="5" t="s">
        <v>213</v>
      </c>
      <c r="E121" s="6" t="s">
        <v>214</v>
      </c>
      <c r="F121" s="7" t="s">
        <v>11</v>
      </c>
      <c r="G121" s="31">
        <v>0.4</v>
      </c>
      <c r="H121" s="34">
        <v>0.4</v>
      </c>
      <c r="I121" s="34">
        <v>0.4</v>
      </c>
      <c r="J121" s="7">
        <v>1</v>
      </c>
      <c r="K121" s="7" t="s">
        <v>4368</v>
      </c>
      <c r="L121" s="35">
        <v>738</v>
      </c>
    </row>
    <row r="122" spans="1:12" ht="19.95" customHeight="1" x14ac:dyDescent="0.3">
      <c r="A122" s="6" t="s">
        <v>4417</v>
      </c>
      <c r="B122" s="7" t="s">
        <v>4418</v>
      </c>
      <c r="C122" s="7" t="s">
        <v>4367</v>
      </c>
      <c r="D122" s="5" t="s">
        <v>221</v>
      </c>
      <c r="E122" s="6" t="s">
        <v>222</v>
      </c>
      <c r="F122" s="7" t="s">
        <v>11</v>
      </c>
      <c r="G122" s="31">
        <v>0.03</v>
      </c>
      <c r="H122" s="34">
        <v>0.03</v>
      </c>
      <c r="I122" s="34">
        <v>0.03</v>
      </c>
      <c r="J122" s="7">
        <v>1</v>
      </c>
      <c r="K122" s="7" t="s">
        <v>4368</v>
      </c>
      <c r="L122" s="35">
        <v>738</v>
      </c>
    </row>
    <row r="123" spans="1:12" ht="19.95" customHeight="1" x14ac:dyDescent="0.3">
      <c r="A123" s="27" t="s">
        <v>4422</v>
      </c>
      <c r="B123" s="28" t="s">
        <v>4418</v>
      </c>
      <c r="C123" s="28" t="s">
        <v>4367</v>
      </c>
      <c r="D123" s="29" t="s">
        <v>267</v>
      </c>
      <c r="E123" s="30" t="s">
        <v>4423</v>
      </c>
      <c r="F123" s="28" t="s">
        <v>169</v>
      </c>
      <c r="G123" s="31">
        <v>2.2949999999999999</v>
      </c>
      <c r="H123" s="32">
        <v>0.6</v>
      </c>
      <c r="I123" s="32">
        <v>8.4</v>
      </c>
      <c r="J123" s="28">
        <v>20</v>
      </c>
      <c r="K123" s="28" t="s">
        <v>4424</v>
      </c>
      <c r="L123" s="33">
        <v>485</v>
      </c>
    </row>
    <row r="124" spans="1:12" ht="19.95" customHeight="1" x14ac:dyDescent="0.3">
      <c r="A124" s="6" t="s">
        <v>4422</v>
      </c>
      <c r="B124" s="7" t="s">
        <v>4418</v>
      </c>
      <c r="C124" s="7" t="s">
        <v>4367</v>
      </c>
      <c r="D124" s="5" t="s">
        <v>269</v>
      </c>
      <c r="E124" s="6" t="s">
        <v>4425</v>
      </c>
      <c r="F124" s="7" t="s">
        <v>169</v>
      </c>
      <c r="G124" s="31">
        <v>2.2949999999999999</v>
      </c>
      <c r="H124" s="34">
        <v>0.6</v>
      </c>
      <c r="I124" s="34">
        <v>8.4</v>
      </c>
      <c r="J124" s="7">
        <v>20</v>
      </c>
      <c r="K124" s="7" t="s">
        <v>4424</v>
      </c>
      <c r="L124" s="35">
        <v>430</v>
      </c>
    </row>
    <row r="125" spans="1:12" ht="19.95" customHeight="1" x14ac:dyDescent="0.3">
      <c r="A125" s="6" t="s">
        <v>4422</v>
      </c>
      <c r="B125" s="7" t="s">
        <v>4418</v>
      </c>
      <c r="C125" s="7" t="s">
        <v>4367</v>
      </c>
      <c r="D125" s="5" t="s">
        <v>257</v>
      </c>
      <c r="E125" s="6" t="s">
        <v>258</v>
      </c>
      <c r="F125" s="7" t="s">
        <v>11</v>
      </c>
      <c r="G125" s="31">
        <v>0.27500000000000002</v>
      </c>
      <c r="H125" s="34">
        <v>0.125</v>
      </c>
      <c r="I125" s="34">
        <v>0.4</v>
      </c>
      <c r="J125" s="7">
        <v>18</v>
      </c>
      <c r="K125" s="7" t="s">
        <v>279</v>
      </c>
      <c r="L125" s="35">
        <v>709</v>
      </c>
    </row>
    <row r="126" spans="1:12" ht="19.95" customHeight="1" x14ac:dyDescent="0.3">
      <c r="A126" s="6" t="s">
        <v>4422</v>
      </c>
      <c r="B126" s="7" t="s">
        <v>4418</v>
      </c>
      <c r="C126" s="7" t="s">
        <v>4367</v>
      </c>
      <c r="D126" s="5" t="s">
        <v>209</v>
      </c>
      <c r="E126" s="6" t="s">
        <v>210</v>
      </c>
      <c r="F126" s="7" t="s">
        <v>11</v>
      </c>
      <c r="G126" s="31">
        <v>0.4</v>
      </c>
      <c r="H126" s="34">
        <v>0.14000000000000001</v>
      </c>
      <c r="I126" s="34">
        <v>0.4</v>
      </c>
      <c r="J126" s="7">
        <v>14</v>
      </c>
      <c r="K126" s="7" t="s">
        <v>4426</v>
      </c>
      <c r="L126" s="35">
        <v>558</v>
      </c>
    </row>
    <row r="127" spans="1:12" ht="19.95" customHeight="1" x14ac:dyDescent="0.3">
      <c r="A127" s="6" t="s">
        <v>4422</v>
      </c>
      <c r="B127" s="7" t="s">
        <v>4418</v>
      </c>
      <c r="C127" s="7" t="s">
        <v>4367</v>
      </c>
      <c r="D127" s="5" t="s">
        <v>203</v>
      </c>
      <c r="E127" s="6" t="s">
        <v>204</v>
      </c>
      <c r="F127" s="7" t="s">
        <v>11</v>
      </c>
      <c r="G127" s="31">
        <v>0.11</v>
      </c>
      <c r="H127" s="34">
        <v>0.11</v>
      </c>
      <c r="I127" s="34">
        <v>0.11</v>
      </c>
      <c r="J127" s="7">
        <v>1</v>
      </c>
      <c r="K127" s="7" t="s">
        <v>4390</v>
      </c>
      <c r="L127" s="35">
        <v>738</v>
      </c>
    </row>
    <row r="128" spans="1:12" ht="19.95" customHeight="1" x14ac:dyDescent="0.3">
      <c r="A128" s="6" t="s">
        <v>4422</v>
      </c>
      <c r="B128" s="7" t="s">
        <v>4418</v>
      </c>
      <c r="C128" s="7" t="s">
        <v>4367</v>
      </c>
      <c r="D128" s="5" t="s">
        <v>235</v>
      </c>
      <c r="E128" s="6" t="s">
        <v>236</v>
      </c>
      <c r="F128" s="7" t="s">
        <v>11</v>
      </c>
      <c r="G128" s="31">
        <v>0.02</v>
      </c>
      <c r="H128" s="34">
        <v>0.02</v>
      </c>
      <c r="I128" s="34">
        <v>0.02</v>
      </c>
      <c r="J128" s="7">
        <v>1</v>
      </c>
      <c r="K128" s="7" t="s">
        <v>4390</v>
      </c>
      <c r="L128" s="35">
        <v>738</v>
      </c>
    </row>
    <row r="129" spans="1:12" ht="19.95" customHeight="1" x14ac:dyDescent="0.3">
      <c r="A129" s="27" t="s">
        <v>4427</v>
      </c>
      <c r="B129" s="28" t="s">
        <v>4428</v>
      </c>
      <c r="C129" s="28" t="s">
        <v>4367</v>
      </c>
      <c r="D129" s="29" t="s">
        <v>209</v>
      </c>
      <c r="E129" s="30" t="s">
        <v>210</v>
      </c>
      <c r="F129" s="28" t="s">
        <v>11</v>
      </c>
      <c r="G129" s="31">
        <v>0.4</v>
      </c>
      <c r="H129" s="32">
        <v>2.7E-2</v>
      </c>
      <c r="I129" s="32">
        <v>8</v>
      </c>
      <c r="J129" s="28">
        <v>44</v>
      </c>
      <c r="K129" s="28" t="s">
        <v>4368</v>
      </c>
      <c r="L129" s="33">
        <v>558</v>
      </c>
    </row>
    <row r="130" spans="1:12" ht="19.95" customHeight="1" x14ac:dyDescent="0.3">
      <c r="A130" s="6" t="s">
        <v>4427</v>
      </c>
      <c r="B130" s="7" t="s">
        <v>4428</v>
      </c>
      <c r="C130" s="7" t="s">
        <v>4367</v>
      </c>
      <c r="D130" s="5" t="s">
        <v>213</v>
      </c>
      <c r="E130" s="6" t="s">
        <v>214</v>
      </c>
      <c r="F130" s="7" t="s">
        <v>11</v>
      </c>
      <c r="G130" s="31">
        <v>0.26</v>
      </c>
      <c r="H130" s="34">
        <v>0.06</v>
      </c>
      <c r="I130" s="34">
        <v>3</v>
      </c>
      <c r="J130" s="7">
        <v>23</v>
      </c>
      <c r="K130" s="7" t="s">
        <v>4368</v>
      </c>
      <c r="L130" s="35">
        <v>738</v>
      </c>
    </row>
    <row r="131" spans="1:12" ht="19.95" customHeight="1" x14ac:dyDescent="0.3">
      <c r="A131" s="6" t="s">
        <v>4427</v>
      </c>
      <c r="B131" s="7" t="s">
        <v>4428</v>
      </c>
      <c r="C131" s="7" t="s">
        <v>4367</v>
      </c>
      <c r="D131" s="5" t="s">
        <v>201</v>
      </c>
      <c r="E131" s="6" t="s">
        <v>202</v>
      </c>
      <c r="F131" s="7" t="s">
        <v>11</v>
      </c>
      <c r="G131" s="31">
        <v>0.17</v>
      </c>
      <c r="H131" s="34">
        <v>0.03</v>
      </c>
      <c r="I131" s="34">
        <v>6</v>
      </c>
      <c r="J131" s="7">
        <v>19</v>
      </c>
      <c r="K131" s="7" t="s">
        <v>4368</v>
      </c>
      <c r="L131" s="35">
        <v>679</v>
      </c>
    </row>
    <row r="132" spans="1:12" ht="19.95" customHeight="1" x14ac:dyDescent="0.3">
      <c r="A132" s="6" t="s">
        <v>4427</v>
      </c>
      <c r="B132" s="7" t="s">
        <v>4428</v>
      </c>
      <c r="C132" s="7" t="s">
        <v>4367</v>
      </c>
      <c r="D132" s="5" t="s">
        <v>199</v>
      </c>
      <c r="E132" s="6" t="s">
        <v>200</v>
      </c>
      <c r="F132" s="7" t="s">
        <v>11</v>
      </c>
      <c r="G132" s="31">
        <v>1.5</v>
      </c>
      <c r="H132" s="34">
        <v>0.06</v>
      </c>
      <c r="I132" s="34">
        <v>6</v>
      </c>
      <c r="J132" s="7">
        <v>14</v>
      </c>
      <c r="K132" s="7" t="s">
        <v>4368</v>
      </c>
      <c r="L132" s="35">
        <v>738</v>
      </c>
    </row>
    <row r="133" spans="1:12" ht="19.95" customHeight="1" x14ac:dyDescent="0.3">
      <c r="A133" s="6" t="s">
        <v>4427</v>
      </c>
      <c r="B133" s="7" t="s">
        <v>4428</v>
      </c>
      <c r="C133" s="7" t="s">
        <v>4367</v>
      </c>
      <c r="D133" s="5" t="s">
        <v>223</v>
      </c>
      <c r="E133" s="6" t="s">
        <v>224</v>
      </c>
      <c r="F133" s="7" t="s">
        <v>11</v>
      </c>
      <c r="G133" s="31">
        <v>0.12</v>
      </c>
      <c r="H133" s="34">
        <v>0.06</v>
      </c>
      <c r="I133" s="34">
        <v>0.6</v>
      </c>
      <c r="J133" s="7">
        <v>13</v>
      </c>
      <c r="K133" s="7" t="s">
        <v>4368</v>
      </c>
      <c r="L133" s="35">
        <v>679</v>
      </c>
    </row>
    <row r="134" spans="1:12" ht="19.95" customHeight="1" x14ac:dyDescent="0.3">
      <c r="A134" s="6" t="s">
        <v>4427</v>
      </c>
      <c r="B134" s="7" t="s">
        <v>4428</v>
      </c>
      <c r="C134" s="7" t="s">
        <v>4367</v>
      </c>
      <c r="D134" s="5" t="s">
        <v>194</v>
      </c>
      <c r="E134" s="6" t="s">
        <v>196</v>
      </c>
      <c r="F134" s="7" t="s">
        <v>11</v>
      </c>
      <c r="G134" s="31">
        <v>0.34499999999999997</v>
      </c>
      <c r="H134" s="34">
        <v>0.02</v>
      </c>
      <c r="I134" s="34">
        <v>0.75</v>
      </c>
      <c r="J134" s="7">
        <v>10</v>
      </c>
      <c r="K134" s="7" t="s">
        <v>4368</v>
      </c>
      <c r="L134" s="35">
        <v>617</v>
      </c>
    </row>
    <row r="135" spans="1:12" ht="19.95" customHeight="1" x14ac:dyDescent="0.3">
      <c r="A135" s="6" t="s">
        <v>4427</v>
      </c>
      <c r="B135" s="7" t="s">
        <v>4428</v>
      </c>
      <c r="C135" s="7" t="s">
        <v>4367</v>
      </c>
      <c r="D135" s="5" t="s">
        <v>221</v>
      </c>
      <c r="E135" s="6" t="s">
        <v>222</v>
      </c>
      <c r="F135" s="7" t="s">
        <v>11</v>
      </c>
      <c r="G135" s="31">
        <v>0.12</v>
      </c>
      <c r="H135" s="34">
        <v>0.06</v>
      </c>
      <c r="I135" s="34">
        <v>0.5</v>
      </c>
      <c r="J135" s="7">
        <v>9</v>
      </c>
      <c r="K135" s="7" t="s">
        <v>4368</v>
      </c>
      <c r="L135" s="35">
        <v>738</v>
      </c>
    </row>
    <row r="136" spans="1:12" ht="19.95" customHeight="1" x14ac:dyDescent="0.3">
      <c r="A136" s="6" t="s">
        <v>4427</v>
      </c>
      <c r="B136" s="7" t="s">
        <v>4428</v>
      </c>
      <c r="C136" s="7" t="s">
        <v>4367</v>
      </c>
      <c r="D136" s="5" t="s">
        <v>205</v>
      </c>
      <c r="E136" s="6" t="s">
        <v>206</v>
      </c>
      <c r="F136" s="7" t="s">
        <v>11</v>
      </c>
      <c r="G136" s="31">
        <v>0.17</v>
      </c>
      <c r="H136" s="34">
        <v>0.17</v>
      </c>
      <c r="I136" s="34">
        <v>0.17</v>
      </c>
      <c r="J136" s="7">
        <v>2</v>
      </c>
      <c r="K136" s="7" t="s">
        <v>4429</v>
      </c>
      <c r="L136" s="35">
        <v>679</v>
      </c>
    </row>
    <row r="137" spans="1:12" ht="19.95" customHeight="1" x14ac:dyDescent="0.3">
      <c r="A137" s="6" t="s">
        <v>4427</v>
      </c>
      <c r="B137" s="7" t="s">
        <v>4428</v>
      </c>
      <c r="C137" s="7" t="s">
        <v>4367</v>
      </c>
      <c r="D137" s="5" t="s">
        <v>217</v>
      </c>
      <c r="E137" s="6" t="s">
        <v>218</v>
      </c>
      <c r="F137" s="7" t="s">
        <v>11</v>
      </c>
      <c r="G137" s="31">
        <v>0.13</v>
      </c>
      <c r="H137" s="34">
        <v>0.13</v>
      </c>
      <c r="I137" s="34">
        <v>0.13</v>
      </c>
      <c r="J137" s="7">
        <v>2</v>
      </c>
      <c r="K137" s="7" t="s">
        <v>4430</v>
      </c>
      <c r="L137" s="35">
        <v>679</v>
      </c>
    </row>
    <row r="138" spans="1:12" ht="19.95" customHeight="1" x14ac:dyDescent="0.3">
      <c r="A138" s="6" t="s">
        <v>4427</v>
      </c>
      <c r="B138" s="7" t="s">
        <v>4428</v>
      </c>
      <c r="C138" s="7" t="s">
        <v>4367</v>
      </c>
      <c r="D138" s="5" t="s">
        <v>249</v>
      </c>
      <c r="E138" s="6" t="s">
        <v>250</v>
      </c>
      <c r="F138" s="7" t="s">
        <v>11</v>
      </c>
      <c r="G138" s="31">
        <v>3.1150000000000002</v>
      </c>
      <c r="H138" s="34">
        <v>0.83</v>
      </c>
      <c r="I138" s="34">
        <v>5.4</v>
      </c>
      <c r="J138" s="7">
        <v>2</v>
      </c>
      <c r="K138" s="7" t="s">
        <v>4431</v>
      </c>
      <c r="L138" s="35">
        <v>617</v>
      </c>
    </row>
    <row r="139" spans="1:12" ht="19.95" customHeight="1" x14ac:dyDescent="0.3">
      <c r="A139" s="6" t="s">
        <v>4427</v>
      </c>
      <c r="B139" s="7" t="s">
        <v>4428</v>
      </c>
      <c r="C139" s="7" t="s">
        <v>4367</v>
      </c>
      <c r="D139" s="5" t="s">
        <v>211</v>
      </c>
      <c r="E139" s="6" t="s">
        <v>4432</v>
      </c>
      <c r="F139" s="7" t="s">
        <v>11</v>
      </c>
      <c r="G139" s="31">
        <v>1.9E-2</v>
      </c>
      <c r="H139" s="34">
        <v>1.9E-2</v>
      </c>
      <c r="I139" s="34">
        <v>1.9E-2</v>
      </c>
      <c r="J139" s="7">
        <v>1</v>
      </c>
      <c r="K139" s="7" t="s">
        <v>4433</v>
      </c>
      <c r="L139" s="35">
        <v>558</v>
      </c>
    </row>
    <row r="140" spans="1:12" ht="19.95" customHeight="1" x14ac:dyDescent="0.3">
      <c r="A140" s="6" t="s">
        <v>4427</v>
      </c>
      <c r="B140" s="7" t="s">
        <v>4428</v>
      </c>
      <c r="C140" s="7" t="s">
        <v>4367</v>
      </c>
      <c r="D140" s="5" t="s">
        <v>231</v>
      </c>
      <c r="E140" s="6" t="s">
        <v>232</v>
      </c>
      <c r="F140" s="7" t="s">
        <v>11</v>
      </c>
      <c r="G140" s="31">
        <v>1E-3</v>
      </c>
      <c r="H140" s="34">
        <v>1E-3</v>
      </c>
      <c r="I140" s="34">
        <v>1E-3</v>
      </c>
      <c r="J140" s="7">
        <v>1</v>
      </c>
      <c r="K140" s="7" t="s">
        <v>4433</v>
      </c>
      <c r="L140" s="35">
        <v>617</v>
      </c>
    </row>
    <row r="141" spans="1:12" ht="19.95" customHeight="1" x14ac:dyDescent="0.3">
      <c r="A141" s="6" t="s">
        <v>4427</v>
      </c>
      <c r="B141" s="7" t="s">
        <v>4428</v>
      </c>
      <c r="C141" s="7" t="s">
        <v>4367</v>
      </c>
      <c r="D141" s="5" t="s">
        <v>235</v>
      </c>
      <c r="E141" s="6" t="s">
        <v>236</v>
      </c>
      <c r="F141" s="7" t="s">
        <v>11</v>
      </c>
      <c r="G141" s="31">
        <v>8.0000000000000002E-3</v>
      </c>
      <c r="H141" s="34">
        <v>8.0000000000000002E-3</v>
      </c>
      <c r="I141" s="34">
        <v>8.0000000000000002E-3</v>
      </c>
      <c r="J141" s="7">
        <v>1</v>
      </c>
      <c r="K141" s="7" t="s">
        <v>4433</v>
      </c>
      <c r="L141" s="35">
        <v>738</v>
      </c>
    </row>
    <row r="142" spans="1:12" ht="19.95" customHeight="1" x14ac:dyDescent="0.3">
      <c r="A142" s="27" t="s">
        <v>4434</v>
      </c>
      <c r="B142" s="28" t="s">
        <v>4351</v>
      </c>
      <c r="C142" s="28" t="s">
        <v>4367</v>
      </c>
      <c r="D142" s="29" t="s">
        <v>209</v>
      </c>
      <c r="E142" s="30" t="s">
        <v>210</v>
      </c>
      <c r="F142" s="28" t="s">
        <v>11</v>
      </c>
      <c r="G142" s="31">
        <v>1.64</v>
      </c>
      <c r="H142" s="32">
        <v>4.0000000000000001E-3</v>
      </c>
      <c r="I142" s="32">
        <v>31.103999999999999</v>
      </c>
      <c r="J142" s="28">
        <v>111</v>
      </c>
      <c r="K142" s="28" t="s">
        <v>4368</v>
      </c>
      <c r="L142" s="33">
        <v>558</v>
      </c>
    </row>
    <row r="143" spans="1:12" ht="19.95" customHeight="1" x14ac:dyDescent="0.3">
      <c r="A143" s="6" t="s">
        <v>4434</v>
      </c>
      <c r="B143" s="7" t="s">
        <v>4351</v>
      </c>
      <c r="C143" s="7" t="s">
        <v>4367</v>
      </c>
      <c r="D143" s="5" t="s">
        <v>203</v>
      </c>
      <c r="E143" s="6" t="s">
        <v>204</v>
      </c>
      <c r="F143" s="7" t="s">
        <v>11</v>
      </c>
      <c r="G143" s="31">
        <v>2.0499999999999998</v>
      </c>
      <c r="H143" s="34">
        <v>0.12</v>
      </c>
      <c r="I143" s="34">
        <v>28</v>
      </c>
      <c r="J143" s="7">
        <v>40</v>
      </c>
      <c r="K143" s="7" t="s">
        <v>4416</v>
      </c>
      <c r="L143" s="35">
        <v>738</v>
      </c>
    </row>
    <row r="144" spans="1:12" ht="19.95" customHeight="1" x14ac:dyDescent="0.3">
      <c r="A144" s="6" t="s">
        <v>4434</v>
      </c>
      <c r="B144" s="7" t="s">
        <v>4351</v>
      </c>
      <c r="C144" s="7" t="s">
        <v>4367</v>
      </c>
      <c r="D144" s="5" t="s">
        <v>205</v>
      </c>
      <c r="E144" s="6" t="s">
        <v>206</v>
      </c>
      <c r="F144" s="7" t="s">
        <v>11</v>
      </c>
      <c r="G144" s="31">
        <v>0.58499999999999996</v>
      </c>
      <c r="H144" s="34">
        <v>0.06</v>
      </c>
      <c r="I144" s="34">
        <v>31.103999999999999</v>
      </c>
      <c r="J144" s="7">
        <v>32</v>
      </c>
      <c r="K144" s="7" t="s">
        <v>4368</v>
      </c>
      <c r="L144" s="35">
        <v>679</v>
      </c>
    </row>
    <row r="145" spans="1:12" ht="19.95" customHeight="1" x14ac:dyDescent="0.3">
      <c r="A145" s="6" t="s">
        <v>4434</v>
      </c>
      <c r="B145" s="7" t="s">
        <v>4351</v>
      </c>
      <c r="C145" s="7" t="s">
        <v>4367</v>
      </c>
      <c r="D145" s="5" t="s">
        <v>235</v>
      </c>
      <c r="E145" s="6" t="s">
        <v>236</v>
      </c>
      <c r="F145" s="7" t="s">
        <v>11</v>
      </c>
      <c r="G145" s="31">
        <v>0.14000000000000001</v>
      </c>
      <c r="H145" s="34">
        <v>0.04</v>
      </c>
      <c r="I145" s="34">
        <v>2.34</v>
      </c>
      <c r="J145" s="7">
        <v>29</v>
      </c>
      <c r="K145" s="7" t="s">
        <v>4368</v>
      </c>
      <c r="L145" s="35">
        <v>738</v>
      </c>
    </row>
    <row r="146" spans="1:12" ht="19.95" customHeight="1" x14ac:dyDescent="0.3">
      <c r="A146" s="6" t="s">
        <v>4434</v>
      </c>
      <c r="B146" s="7" t="s">
        <v>4351</v>
      </c>
      <c r="C146" s="7" t="s">
        <v>4367</v>
      </c>
      <c r="D146" s="5" t="s">
        <v>199</v>
      </c>
      <c r="E146" s="6" t="s">
        <v>200</v>
      </c>
      <c r="F146" s="7" t="s">
        <v>11</v>
      </c>
      <c r="G146" s="31">
        <v>0.84</v>
      </c>
      <c r="H146" s="34">
        <v>0.12</v>
      </c>
      <c r="I146" s="34">
        <v>3.13</v>
      </c>
      <c r="J146" s="7">
        <v>19</v>
      </c>
      <c r="K146" s="7" t="s">
        <v>4435</v>
      </c>
      <c r="L146" s="35">
        <v>738</v>
      </c>
    </row>
    <row r="147" spans="1:12" ht="19.95" customHeight="1" x14ac:dyDescent="0.3">
      <c r="A147" s="6" t="s">
        <v>4434</v>
      </c>
      <c r="B147" s="7" t="s">
        <v>4351</v>
      </c>
      <c r="C147" s="7" t="s">
        <v>4367</v>
      </c>
      <c r="D147" s="5" t="s">
        <v>197</v>
      </c>
      <c r="E147" s="6" t="s">
        <v>198</v>
      </c>
      <c r="F147" s="7" t="s">
        <v>11</v>
      </c>
      <c r="G147" s="31">
        <v>0.25</v>
      </c>
      <c r="H147" s="34">
        <v>1E-3</v>
      </c>
      <c r="I147" s="34">
        <v>1.1000000000000001</v>
      </c>
      <c r="J147" s="7">
        <v>17</v>
      </c>
      <c r="K147" s="7" t="s">
        <v>4368</v>
      </c>
      <c r="L147" s="35">
        <v>617</v>
      </c>
    </row>
    <row r="148" spans="1:12" ht="19.95" customHeight="1" x14ac:dyDescent="0.3">
      <c r="A148" s="6" t="s">
        <v>4434</v>
      </c>
      <c r="B148" s="7" t="s">
        <v>4351</v>
      </c>
      <c r="C148" s="7" t="s">
        <v>4367</v>
      </c>
      <c r="D148" s="5" t="s">
        <v>211</v>
      </c>
      <c r="E148" s="6" t="s">
        <v>212</v>
      </c>
      <c r="F148" s="7" t="s">
        <v>11</v>
      </c>
      <c r="G148" s="31">
        <v>1.1299999999999999</v>
      </c>
      <c r="H148" s="34">
        <v>3.0000000000000001E-3</v>
      </c>
      <c r="I148" s="34">
        <v>2.5299999999999998</v>
      </c>
      <c r="J148" s="7">
        <v>17</v>
      </c>
      <c r="K148" s="7" t="s">
        <v>4368</v>
      </c>
      <c r="L148" s="35">
        <v>558</v>
      </c>
    </row>
    <row r="149" spans="1:12" ht="19.95" customHeight="1" x14ac:dyDescent="0.3">
      <c r="A149" s="6" t="s">
        <v>4434</v>
      </c>
      <c r="B149" s="7" t="s">
        <v>4351</v>
      </c>
      <c r="C149" s="7" t="s">
        <v>4367</v>
      </c>
      <c r="D149" s="5" t="s">
        <v>223</v>
      </c>
      <c r="E149" s="6" t="s">
        <v>224</v>
      </c>
      <c r="F149" s="7" t="s">
        <v>11</v>
      </c>
      <c r="G149" s="31">
        <v>0.75</v>
      </c>
      <c r="H149" s="34">
        <v>0</v>
      </c>
      <c r="I149" s="34">
        <v>1.6</v>
      </c>
      <c r="J149" s="7">
        <v>15</v>
      </c>
      <c r="K149" s="7" t="s">
        <v>4368</v>
      </c>
      <c r="L149" s="35">
        <v>679</v>
      </c>
    </row>
    <row r="150" spans="1:12" ht="19.95" customHeight="1" x14ac:dyDescent="0.3">
      <c r="A150" s="6" t="s">
        <v>4434</v>
      </c>
      <c r="B150" s="7" t="s">
        <v>4351</v>
      </c>
      <c r="C150" s="7" t="s">
        <v>4367</v>
      </c>
      <c r="D150" s="5" t="s">
        <v>221</v>
      </c>
      <c r="E150" s="6" t="s">
        <v>222</v>
      </c>
      <c r="F150" s="7" t="s">
        <v>11</v>
      </c>
      <c r="G150" s="31">
        <v>0.01</v>
      </c>
      <c r="H150" s="34">
        <v>0</v>
      </c>
      <c r="I150" s="34">
        <v>0.6</v>
      </c>
      <c r="J150" s="7">
        <v>9</v>
      </c>
      <c r="K150" s="7" t="s">
        <v>4368</v>
      </c>
      <c r="L150" s="35">
        <v>738</v>
      </c>
    </row>
    <row r="151" spans="1:12" ht="19.95" customHeight="1" x14ac:dyDescent="0.3">
      <c r="A151" s="6" t="s">
        <v>4434</v>
      </c>
      <c r="B151" s="7" t="s">
        <v>4351</v>
      </c>
      <c r="C151" s="7" t="s">
        <v>4367</v>
      </c>
      <c r="D151" s="5" t="s">
        <v>213</v>
      </c>
      <c r="E151" s="6" t="s">
        <v>214</v>
      </c>
      <c r="F151" s="7" t="s">
        <v>11</v>
      </c>
      <c r="G151" s="31">
        <v>0.125</v>
      </c>
      <c r="H151" s="34">
        <v>0.06</v>
      </c>
      <c r="I151" s="34">
        <v>0.23</v>
      </c>
      <c r="J151" s="7">
        <v>8</v>
      </c>
      <c r="K151" s="7" t="s">
        <v>4368</v>
      </c>
      <c r="L151" s="35">
        <v>738</v>
      </c>
    </row>
    <row r="152" spans="1:12" ht="19.95" customHeight="1" x14ac:dyDescent="0.3">
      <c r="A152" s="6" t="s">
        <v>4434</v>
      </c>
      <c r="B152" s="7" t="s">
        <v>4351</v>
      </c>
      <c r="C152" s="7" t="s">
        <v>4367</v>
      </c>
      <c r="D152" s="5" t="s">
        <v>219</v>
      </c>
      <c r="E152" s="6" t="s">
        <v>220</v>
      </c>
      <c r="F152" s="7" t="s">
        <v>11</v>
      </c>
      <c r="G152" s="31">
        <v>2</v>
      </c>
      <c r="H152" s="34">
        <v>1</v>
      </c>
      <c r="I152" s="34">
        <v>3.23</v>
      </c>
      <c r="J152" s="7">
        <v>5</v>
      </c>
      <c r="K152" s="7" t="s">
        <v>4436</v>
      </c>
      <c r="L152" s="35">
        <v>738</v>
      </c>
    </row>
    <row r="153" spans="1:12" ht="19.95" customHeight="1" x14ac:dyDescent="0.3">
      <c r="A153" s="6" t="s">
        <v>4434</v>
      </c>
      <c r="B153" s="7" t="s">
        <v>4351</v>
      </c>
      <c r="C153" s="7" t="s">
        <v>4367</v>
      </c>
      <c r="D153" s="5" t="s">
        <v>255</v>
      </c>
      <c r="E153" s="6" t="s">
        <v>256</v>
      </c>
      <c r="F153" s="7" t="s">
        <v>11</v>
      </c>
      <c r="G153" s="31">
        <v>8.1000000000000003E-2</v>
      </c>
      <c r="H153" s="34">
        <v>8.0000000000000002E-3</v>
      </c>
      <c r="I153" s="34">
        <v>1.52</v>
      </c>
      <c r="J153" s="7">
        <v>5</v>
      </c>
      <c r="K153" s="7" t="s">
        <v>4368</v>
      </c>
      <c r="L153" s="35">
        <v>709</v>
      </c>
    </row>
    <row r="154" spans="1:12" ht="19.95" customHeight="1" x14ac:dyDescent="0.3">
      <c r="A154" s="6" t="s">
        <v>4434</v>
      </c>
      <c r="B154" s="7" t="s">
        <v>4351</v>
      </c>
      <c r="C154" s="7" t="s">
        <v>4367</v>
      </c>
      <c r="D154" s="5" t="s">
        <v>194</v>
      </c>
      <c r="E154" s="6" t="s">
        <v>196</v>
      </c>
      <c r="F154" s="7" t="s">
        <v>11</v>
      </c>
      <c r="G154" s="31">
        <v>0.96499999999999997</v>
      </c>
      <c r="H154" s="34">
        <v>0.08</v>
      </c>
      <c r="I154" s="34">
        <v>1.82</v>
      </c>
      <c r="J154" s="7">
        <v>4</v>
      </c>
      <c r="K154" s="7" t="s">
        <v>4368</v>
      </c>
      <c r="L154" s="35">
        <v>617</v>
      </c>
    </row>
    <row r="155" spans="1:12" ht="19.95" customHeight="1" x14ac:dyDescent="0.3">
      <c r="A155" s="6" t="s">
        <v>4434</v>
      </c>
      <c r="B155" s="7" t="s">
        <v>4351</v>
      </c>
      <c r="C155" s="7" t="s">
        <v>4367</v>
      </c>
      <c r="D155" s="5" t="s">
        <v>201</v>
      </c>
      <c r="E155" s="6" t="s">
        <v>202</v>
      </c>
      <c r="F155" s="7" t="s">
        <v>11</v>
      </c>
      <c r="G155" s="31">
        <v>0.8</v>
      </c>
      <c r="H155" s="34">
        <v>0.8</v>
      </c>
      <c r="I155" s="34">
        <v>1</v>
      </c>
      <c r="J155" s="7">
        <v>4</v>
      </c>
      <c r="K155" s="7" t="s">
        <v>4344</v>
      </c>
      <c r="L155" s="35">
        <v>679</v>
      </c>
    </row>
    <row r="156" spans="1:12" ht="19.95" customHeight="1" x14ac:dyDescent="0.3">
      <c r="A156" s="6" t="s">
        <v>4434</v>
      </c>
      <c r="B156" s="7" t="s">
        <v>4351</v>
      </c>
      <c r="C156" s="7" t="s">
        <v>4367</v>
      </c>
      <c r="D156" s="5" t="s">
        <v>231</v>
      </c>
      <c r="E156" s="6" t="s">
        <v>232</v>
      </c>
      <c r="F156" s="7" t="s">
        <v>11</v>
      </c>
      <c r="G156" s="31">
        <v>0</v>
      </c>
      <c r="H156" s="34">
        <v>0</v>
      </c>
      <c r="I156" s="34">
        <v>4.0000000000000001E-3</v>
      </c>
      <c r="J156" s="7">
        <v>4</v>
      </c>
      <c r="K156" s="7" t="s">
        <v>4368</v>
      </c>
      <c r="L156" s="35">
        <v>617</v>
      </c>
    </row>
    <row r="157" spans="1:12" ht="19.95" customHeight="1" x14ac:dyDescent="0.3">
      <c r="A157" s="6" t="s">
        <v>4434</v>
      </c>
      <c r="B157" s="7" t="s">
        <v>4351</v>
      </c>
      <c r="C157" s="7" t="s">
        <v>4367</v>
      </c>
      <c r="D157" s="5" t="s">
        <v>215</v>
      </c>
      <c r="E157" s="6" t="s">
        <v>216</v>
      </c>
      <c r="F157" s="7" t="s">
        <v>11</v>
      </c>
      <c r="G157" s="31">
        <v>7.0000000000000007E-2</v>
      </c>
      <c r="H157" s="34">
        <v>0.06</v>
      </c>
      <c r="I157" s="34">
        <v>0.08</v>
      </c>
      <c r="J157" s="7">
        <v>2</v>
      </c>
      <c r="K157" s="7" t="s">
        <v>4437</v>
      </c>
      <c r="L157" s="35">
        <v>679</v>
      </c>
    </row>
    <row r="158" spans="1:12" ht="19.95" customHeight="1" x14ac:dyDescent="0.3">
      <c r="A158" s="6" t="s">
        <v>4434</v>
      </c>
      <c r="B158" s="7" t="s">
        <v>4351</v>
      </c>
      <c r="C158" s="7" t="s">
        <v>4367</v>
      </c>
      <c r="D158" s="5" t="s">
        <v>249</v>
      </c>
      <c r="E158" s="6" t="s">
        <v>250</v>
      </c>
      <c r="F158" s="7" t="s">
        <v>11</v>
      </c>
      <c r="G158" s="31">
        <v>1</v>
      </c>
      <c r="H158" s="34">
        <v>1</v>
      </c>
      <c r="I158" s="34">
        <v>1</v>
      </c>
      <c r="J158" s="7">
        <v>1</v>
      </c>
      <c r="K158" s="7" t="s">
        <v>4368</v>
      </c>
      <c r="L158" s="35">
        <v>617</v>
      </c>
    </row>
    <row r="159" spans="1:12" ht="19.95" customHeight="1" x14ac:dyDescent="0.3">
      <c r="A159" s="6" t="s">
        <v>4434</v>
      </c>
      <c r="B159" s="7" t="s">
        <v>4351</v>
      </c>
      <c r="C159" s="7" t="s">
        <v>4369</v>
      </c>
      <c r="D159" s="5" t="s">
        <v>35</v>
      </c>
      <c r="E159" s="6" t="s">
        <v>36</v>
      </c>
      <c r="F159" s="7" t="s">
        <v>11</v>
      </c>
      <c r="G159" s="31">
        <v>1.6</v>
      </c>
      <c r="H159" s="34">
        <v>1.6</v>
      </c>
      <c r="I159" s="34">
        <v>1.6</v>
      </c>
      <c r="J159" s="7">
        <v>1</v>
      </c>
      <c r="K159" s="7" t="s">
        <v>4368</v>
      </c>
      <c r="L159" s="35">
        <v>300</v>
      </c>
    </row>
    <row r="160" spans="1:12" ht="19.95" customHeight="1" x14ac:dyDescent="0.3">
      <c r="A160" s="27" t="s">
        <v>4438</v>
      </c>
      <c r="B160" s="28" t="s">
        <v>4348</v>
      </c>
      <c r="C160" s="28" t="s">
        <v>4367</v>
      </c>
      <c r="D160" s="29" t="s">
        <v>211</v>
      </c>
      <c r="E160" s="30" t="s">
        <v>212</v>
      </c>
      <c r="F160" s="28" t="s">
        <v>11</v>
      </c>
      <c r="G160" s="31">
        <v>1</v>
      </c>
      <c r="H160" s="32">
        <v>0.04</v>
      </c>
      <c r="I160" s="32">
        <v>3.25</v>
      </c>
      <c r="J160" s="28">
        <v>77</v>
      </c>
      <c r="K160" s="28" t="s">
        <v>4368</v>
      </c>
      <c r="L160" s="33">
        <v>558</v>
      </c>
    </row>
    <row r="161" spans="1:12" ht="19.95" customHeight="1" x14ac:dyDescent="0.3">
      <c r="A161" s="6" t="s">
        <v>4438</v>
      </c>
      <c r="B161" s="7" t="s">
        <v>4348</v>
      </c>
      <c r="C161" s="7" t="s">
        <v>4367</v>
      </c>
      <c r="D161" s="5" t="s">
        <v>221</v>
      </c>
      <c r="E161" s="6" t="s">
        <v>222</v>
      </c>
      <c r="F161" s="7" t="s">
        <v>11</v>
      </c>
      <c r="G161" s="31">
        <v>0.25</v>
      </c>
      <c r="H161" s="34">
        <v>0.04</v>
      </c>
      <c r="I161" s="34">
        <v>3.9</v>
      </c>
      <c r="J161" s="7">
        <v>51</v>
      </c>
      <c r="K161" s="7" t="s">
        <v>4368</v>
      </c>
      <c r="L161" s="35">
        <v>738</v>
      </c>
    </row>
    <row r="162" spans="1:12" ht="19.95" customHeight="1" x14ac:dyDescent="0.3">
      <c r="A162" s="6" t="s">
        <v>4438</v>
      </c>
      <c r="B162" s="7" t="s">
        <v>4348</v>
      </c>
      <c r="C162" s="7" t="s">
        <v>4367</v>
      </c>
      <c r="D162" s="5" t="s">
        <v>209</v>
      </c>
      <c r="E162" s="6" t="s">
        <v>210</v>
      </c>
      <c r="F162" s="7" t="s">
        <v>11</v>
      </c>
      <c r="G162" s="31">
        <v>1</v>
      </c>
      <c r="H162" s="34">
        <v>0.18</v>
      </c>
      <c r="I162" s="34">
        <v>25</v>
      </c>
      <c r="J162" s="7">
        <v>45</v>
      </c>
      <c r="K162" s="7" t="s">
        <v>4368</v>
      </c>
      <c r="L162" s="35">
        <v>558</v>
      </c>
    </row>
    <row r="163" spans="1:12" ht="19.95" customHeight="1" x14ac:dyDescent="0.3">
      <c r="A163" s="6" t="s">
        <v>4438</v>
      </c>
      <c r="B163" s="7" t="s">
        <v>4348</v>
      </c>
      <c r="C163" s="7" t="s">
        <v>4367</v>
      </c>
      <c r="D163" s="5" t="s">
        <v>223</v>
      </c>
      <c r="E163" s="6" t="s">
        <v>224</v>
      </c>
      <c r="F163" s="7" t="s">
        <v>11</v>
      </c>
      <c r="G163" s="31">
        <v>1.6</v>
      </c>
      <c r="H163" s="34">
        <v>0.2</v>
      </c>
      <c r="I163" s="34">
        <v>3.25</v>
      </c>
      <c r="J163" s="7">
        <v>42</v>
      </c>
      <c r="K163" s="7" t="s">
        <v>4368</v>
      </c>
      <c r="L163" s="35">
        <v>679</v>
      </c>
    </row>
    <row r="164" spans="1:12" ht="19.95" customHeight="1" x14ac:dyDescent="0.3">
      <c r="A164" s="6" t="s">
        <v>4438</v>
      </c>
      <c r="B164" s="7" t="s">
        <v>4348</v>
      </c>
      <c r="C164" s="7" t="s">
        <v>4367</v>
      </c>
      <c r="D164" s="5" t="s">
        <v>197</v>
      </c>
      <c r="E164" s="6" t="s">
        <v>198</v>
      </c>
      <c r="F164" s="7" t="s">
        <v>11</v>
      </c>
      <c r="G164" s="31">
        <v>1</v>
      </c>
      <c r="H164" s="34">
        <v>0.05</v>
      </c>
      <c r="I164" s="34">
        <v>1.04</v>
      </c>
      <c r="J164" s="7">
        <v>38</v>
      </c>
      <c r="K164" s="7" t="s">
        <v>4368</v>
      </c>
      <c r="L164" s="35">
        <v>617</v>
      </c>
    </row>
    <row r="165" spans="1:12" ht="19.95" customHeight="1" x14ac:dyDescent="0.3">
      <c r="A165" s="6" t="s">
        <v>4438</v>
      </c>
      <c r="B165" s="7" t="s">
        <v>4348</v>
      </c>
      <c r="C165" s="7" t="s">
        <v>4367</v>
      </c>
      <c r="D165" s="5" t="s">
        <v>229</v>
      </c>
      <c r="E165" s="6" t="s">
        <v>4439</v>
      </c>
      <c r="F165" s="7" t="s">
        <v>11</v>
      </c>
      <c r="G165" s="31">
        <v>0.03</v>
      </c>
      <c r="H165" s="34">
        <v>0.03</v>
      </c>
      <c r="I165" s="34">
        <v>0.03</v>
      </c>
      <c r="J165" s="7">
        <v>9</v>
      </c>
      <c r="K165" s="7" t="s">
        <v>4416</v>
      </c>
      <c r="L165" s="35">
        <v>738</v>
      </c>
    </row>
    <row r="166" spans="1:12" ht="19.95" customHeight="1" x14ac:dyDescent="0.3">
      <c r="A166" s="6" t="s">
        <v>4438</v>
      </c>
      <c r="B166" s="7" t="s">
        <v>4348</v>
      </c>
      <c r="C166" s="7" t="s">
        <v>4367</v>
      </c>
      <c r="D166" s="5" t="s">
        <v>194</v>
      </c>
      <c r="E166" s="6" t="s">
        <v>196</v>
      </c>
      <c r="F166" s="7" t="s">
        <v>11</v>
      </c>
      <c r="G166" s="31">
        <v>1.1000000000000001</v>
      </c>
      <c r="H166" s="34">
        <v>1.1000000000000001</v>
      </c>
      <c r="I166" s="34">
        <v>1.1000000000000001</v>
      </c>
      <c r="J166" s="7">
        <v>6</v>
      </c>
      <c r="K166" s="7" t="s">
        <v>4368</v>
      </c>
      <c r="L166" s="35">
        <v>617</v>
      </c>
    </row>
    <row r="167" spans="1:12" ht="19.95" customHeight="1" x14ac:dyDescent="0.3">
      <c r="A167" s="6" t="s">
        <v>4438</v>
      </c>
      <c r="B167" s="7" t="s">
        <v>4348</v>
      </c>
      <c r="C167" s="7" t="s">
        <v>4367</v>
      </c>
      <c r="D167" s="5" t="s">
        <v>203</v>
      </c>
      <c r="E167" s="6" t="s">
        <v>204</v>
      </c>
      <c r="F167" s="7" t="s">
        <v>11</v>
      </c>
      <c r="G167" s="31">
        <v>2.68</v>
      </c>
      <c r="H167" s="34">
        <v>1.75</v>
      </c>
      <c r="I167" s="34">
        <v>25</v>
      </c>
      <c r="J167" s="7">
        <v>5</v>
      </c>
      <c r="K167" s="7" t="s">
        <v>4440</v>
      </c>
      <c r="L167" s="35">
        <v>738</v>
      </c>
    </row>
    <row r="168" spans="1:12" ht="19.95" customHeight="1" x14ac:dyDescent="0.3">
      <c r="A168" s="6" t="s">
        <v>4438</v>
      </c>
      <c r="B168" s="7" t="s">
        <v>4348</v>
      </c>
      <c r="C168" s="7" t="s">
        <v>4367</v>
      </c>
      <c r="D168" s="5" t="s">
        <v>227</v>
      </c>
      <c r="E168" s="6" t="s">
        <v>228</v>
      </c>
      <c r="F168" s="7" t="s">
        <v>11</v>
      </c>
      <c r="G168" s="31">
        <v>1.75</v>
      </c>
      <c r="H168" s="34">
        <v>1.5</v>
      </c>
      <c r="I168" s="34">
        <v>2</v>
      </c>
      <c r="J168" s="7">
        <v>2</v>
      </c>
      <c r="K168" s="7" t="s">
        <v>4441</v>
      </c>
      <c r="L168" s="35">
        <v>738</v>
      </c>
    </row>
    <row r="169" spans="1:12" ht="19.95" customHeight="1" x14ac:dyDescent="0.3">
      <c r="A169" s="6" t="s">
        <v>4438</v>
      </c>
      <c r="B169" s="7" t="s">
        <v>4348</v>
      </c>
      <c r="C169" s="7" t="s">
        <v>4367</v>
      </c>
      <c r="D169" s="5" t="s">
        <v>201</v>
      </c>
      <c r="E169" s="6" t="s">
        <v>202</v>
      </c>
      <c r="F169" s="7" t="s">
        <v>11</v>
      </c>
      <c r="G169" s="31">
        <v>0.09</v>
      </c>
      <c r="H169" s="34">
        <v>0.09</v>
      </c>
      <c r="I169" s="34">
        <v>0.09</v>
      </c>
      <c r="J169" s="7">
        <v>1</v>
      </c>
      <c r="K169" s="7" t="s">
        <v>4442</v>
      </c>
      <c r="L169" s="35">
        <v>679</v>
      </c>
    </row>
    <row r="170" spans="1:12" ht="19.95" customHeight="1" x14ac:dyDescent="0.3">
      <c r="A170" s="6" t="s">
        <v>4438</v>
      </c>
      <c r="B170" s="7" t="s">
        <v>4348</v>
      </c>
      <c r="C170" s="7" t="s">
        <v>4367</v>
      </c>
      <c r="D170" s="5" t="s">
        <v>235</v>
      </c>
      <c r="E170" s="6" t="s">
        <v>236</v>
      </c>
      <c r="F170" s="7" t="s">
        <v>11</v>
      </c>
      <c r="G170" s="31">
        <v>0.1</v>
      </c>
      <c r="H170" s="34">
        <v>0.1</v>
      </c>
      <c r="I170" s="34">
        <v>0.1</v>
      </c>
      <c r="J170" s="7">
        <v>1</v>
      </c>
      <c r="K170" s="7" t="s">
        <v>4443</v>
      </c>
      <c r="L170" s="35">
        <v>738</v>
      </c>
    </row>
    <row r="171" spans="1:12" ht="19.95" customHeight="1" x14ac:dyDescent="0.3">
      <c r="A171" s="6" t="s">
        <v>4438</v>
      </c>
      <c r="B171" s="7" t="s">
        <v>4348</v>
      </c>
      <c r="C171" s="7" t="s">
        <v>4369</v>
      </c>
      <c r="D171" s="5" t="s">
        <v>12</v>
      </c>
      <c r="E171" s="6" t="s">
        <v>4388</v>
      </c>
      <c r="F171" s="7" t="s">
        <v>11</v>
      </c>
      <c r="G171" s="31">
        <v>0.03</v>
      </c>
      <c r="H171" s="34">
        <v>0.03</v>
      </c>
      <c r="I171" s="34">
        <v>0.03</v>
      </c>
      <c r="J171" s="7">
        <v>9</v>
      </c>
      <c r="K171" s="7" t="s">
        <v>4416</v>
      </c>
      <c r="L171" s="35">
        <v>800</v>
      </c>
    </row>
    <row r="172" spans="1:12" ht="19.95" customHeight="1" x14ac:dyDescent="0.3">
      <c r="A172" s="6" t="s">
        <v>4438</v>
      </c>
      <c r="B172" s="7" t="s">
        <v>4348</v>
      </c>
      <c r="C172" s="7" t="s">
        <v>4369</v>
      </c>
      <c r="D172" s="5" t="s">
        <v>47</v>
      </c>
      <c r="E172" s="6" t="s">
        <v>4444</v>
      </c>
      <c r="F172" s="7" t="s">
        <v>11</v>
      </c>
      <c r="G172" s="31">
        <v>2</v>
      </c>
      <c r="H172" s="34">
        <v>2</v>
      </c>
      <c r="I172" s="34">
        <v>2</v>
      </c>
      <c r="J172" s="7">
        <v>1</v>
      </c>
      <c r="K172" s="7" t="s">
        <v>4368</v>
      </c>
      <c r="L172" s="35">
        <v>250</v>
      </c>
    </row>
    <row r="173" spans="1:12" ht="19.95" customHeight="1" x14ac:dyDescent="0.3">
      <c r="A173" s="27" t="s">
        <v>4445</v>
      </c>
      <c r="B173" s="28" t="s">
        <v>4348</v>
      </c>
      <c r="C173" s="28" t="s">
        <v>4367</v>
      </c>
      <c r="D173" s="29" t="s">
        <v>249</v>
      </c>
      <c r="E173" s="30" t="s">
        <v>250</v>
      </c>
      <c r="F173" s="28" t="s">
        <v>11</v>
      </c>
      <c r="G173" s="31">
        <v>2.25</v>
      </c>
      <c r="H173" s="32">
        <v>0.61799999999999999</v>
      </c>
      <c r="I173" s="32">
        <v>7.6</v>
      </c>
      <c r="J173" s="28">
        <v>40</v>
      </c>
      <c r="K173" s="28" t="s">
        <v>4368</v>
      </c>
      <c r="L173" s="33">
        <v>617</v>
      </c>
    </row>
    <row r="174" spans="1:12" ht="19.95" customHeight="1" x14ac:dyDescent="0.3">
      <c r="A174" s="6" t="s">
        <v>4445</v>
      </c>
      <c r="B174" s="7" t="s">
        <v>4348</v>
      </c>
      <c r="C174" s="7" t="s">
        <v>4367</v>
      </c>
      <c r="D174" s="5" t="s">
        <v>197</v>
      </c>
      <c r="E174" s="6" t="s">
        <v>198</v>
      </c>
      <c r="F174" s="7" t="s">
        <v>11</v>
      </c>
      <c r="G174" s="31">
        <v>0.27</v>
      </c>
      <c r="H174" s="34">
        <v>0.27</v>
      </c>
      <c r="I174" s="34">
        <v>0.27</v>
      </c>
      <c r="J174" s="7">
        <v>2</v>
      </c>
      <c r="K174" s="7" t="s">
        <v>4416</v>
      </c>
      <c r="L174" s="35">
        <v>617</v>
      </c>
    </row>
    <row r="175" spans="1:12" ht="19.95" customHeight="1" x14ac:dyDescent="0.3">
      <c r="A175" s="6" t="s">
        <v>4445</v>
      </c>
      <c r="B175" s="7" t="s">
        <v>4348</v>
      </c>
      <c r="C175" s="7" t="s">
        <v>4367</v>
      </c>
      <c r="D175" s="5" t="s">
        <v>209</v>
      </c>
      <c r="E175" s="6" t="s">
        <v>210</v>
      </c>
      <c r="F175" s="7" t="s">
        <v>11</v>
      </c>
      <c r="G175" s="31">
        <v>1.73</v>
      </c>
      <c r="H175" s="34">
        <v>1.6</v>
      </c>
      <c r="I175" s="34">
        <v>1.86</v>
      </c>
      <c r="J175" s="7">
        <v>2</v>
      </c>
      <c r="K175" s="7" t="s">
        <v>4416</v>
      </c>
      <c r="L175" s="35">
        <v>558</v>
      </c>
    </row>
    <row r="176" spans="1:12" ht="19.95" customHeight="1" x14ac:dyDescent="0.3">
      <c r="A176" s="6" t="s">
        <v>4445</v>
      </c>
      <c r="B176" s="7" t="s">
        <v>4348</v>
      </c>
      <c r="C176" s="7" t="s">
        <v>4367</v>
      </c>
      <c r="D176" s="5" t="s">
        <v>211</v>
      </c>
      <c r="E176" s="6" t="s">
        <v>212</v>
      </c>
      <c r="F176" s="7" t="s">
        <v>11</v>
      </c>
      <c r="G176" s="31">
        <v>1.88</v>
      </c>
      <c r="H176" s="34">
        <v>1.88</v>
      </c>
      <c r="I176" s="34">
        <v>1.88</v>
      </c>
      <c r="J176" s="7">
        <v>2</v>
      </c>
      <c r="K176" s="7" t="s">
        <v>4416</v>
      </c>
      <c r="L176" s="35">
        <v>558</v>
      </c>
    </row>
    <row r="177" spans="1:12" ht="19.95" customHeight="1" x14ac:dyDescent="0.3">
      <c r="A177" s="6" t="s">
        <v>4445</v>
      </c>
      <c r="B177" s="7" t="s">
        <v>4348</v>
      </c>
      <c r="C177" s="7" t="s">
        <v>4367</v>
      </c>
      <c r="D177" s="5" t="s">
        <v>223</v>
      </c>
      <c r="E177" s="6" t="s">
        <v>224</v>
      </c>
      <c r="F177" s="7" t="s">
        <v>11</v>
      </c>
      <c r="G177" s="31">
        <v>2.15</v>
      </c>
      <c r="H177" s="34">
        <v>2.15</v>
      </c>
      <c r="I177" s="34">
        <v>2.15</v>
      </c>
      <c r="J177" s="7">
        <v>2</v>
      </c>
      <c r="K177" s="7" t="s">
        <v>4416</v>
      </c>
      <c r="L177" s="35">
        <v>679</v>
      </c>
    </row>
    <row r="178" spans="1:12" ht="19.95" customHeight="1" x14ac:dyDescent="0.3">
      <c r="A178" s="6" t="s">
        <v>4445</v>
      </c>
      <c r="B178" s="7" t="s">
        <v>4348</v>
      </c>
      <c r="C178" s="7" t="s">
        <v>4369</v>
      </c>
      <c r="D178" s="5" t="s">
        <v>35</v>
      </c>
      <c r="E178" s="6" t="s">
        <v>36</v>
      </c>
      <c r="F178" s="7" t="s">
        <v>11</v>
      </c>
      <c r="G178" s="31">
        <v>1.6</v>
      </c>
      <c r="H178" s="34">
        <v>0.98799999999999999</v>
      </c>
      <c r="I178" s="34">
        <v>4</v>
      </c>
      <c r="J178" s="7">
        <v>28</v>
      </c>
      <c r="K178" s="7" t="s">
        <v>4368</v>
      </c>
      <c r="L178" s="35">
        <v>300</v>
      </c>
    </row>
    <row r="179" spans="1:12" ht="19.95" customHeight="1" x14ac:dyDescent="0.3">
      <c r="A179" s="27" t="s">
        <v>4446</v>
      </c>
      <c r="B179" s="28" t="s">
        <v>4447</v>
      </c>
      <c r="C179" s="28" t="s">
        <v>4367</v>
      </c>
      <c r="D179" s="29" t="s">
        <v>237</v>
      </c>
      <c r="E179" s="30" t="s">
        <v>238</v>
      </c>
      <c r="F179" s="28" t="s">
        <v>11</v>
      </c>
      <c r="G179" s="31">
        <v>1.1299999999999999</v>
      </c>
      <c r="H179" s="32">
        <v>0.15</v>
      </c>
      <c r="I179" s="32">
        <v>10.37</v>
      </c>
      <c r="J179" s="28">
        <v>20</v>
      </c>
      <c r="K179" s="28" t="s">
        <v>4448</v>
      </c>
      <c r="L179" s="33">
        <v>679</v>
      </c>
    </row>
    <row r="181" spans="1:12" ht="24" customHeight="1" x14ac:dyDescent="0.3">
      <c r="A181" s="239" t="s">
        <v>4449</v>
      </c>
      <c r="B181" s="228"/>
      <c r="C181" s="228"/>
      <c r="D181" s="228"/>
      <c r="E181" s="228"/>
      <c r="F181" s="228"/>
      <c r="G181" s="228"/>
      <c r="H181" s="228"/>
      <c r="I181" s="228"/>
      <c r="J181" s="228"/>
      <c r="K181" s="228"/>
      <c r="L181" s="228"/>
    </row>
    <row r="182" spans="1:12" ht="25.95" customHeight="1" x14ac:dyDescent="0.3">
      <c r="A182" s="153" t="s">
        <v>4356</v>
      </c>
      <c r="B182" s="153" t="s">
        <v>4357</v>
      </c>
      <c r="C182" s="153" t="s">
        <v>4450</v>
      </c>
      <c r="D182" s="153" t="s">
        <v>4451</v>
      </c>
      <c r="E182" s="153" t="s">
        <v>4452</v>
      </c>
      <c r="F182" s="153" t="s">
        <v>4364</v>
      </c>
      <c r="G182" s="153" t="s">
        <v>4358</v>
      </c>
      <c r="H182" s="153" t="s">
        <v>3</v>
      </c>
      <c r="I182" s="153" t="s">
        <v>4359</v>
      </c>
      <c r="J182" s="153" t="s">
        <v>6</v>
      </c>
      <c r="K182" s="153" t="s">
        <v>4453</v>
      </c>
      <c r="L182" s="153" t="s">
        <v>7</v>
      </c>
    </row>
    <row r="183" spans="1:12" ht="19.95" customHeight="1" x14ac:dyDescent="0.3">
      <c r="A183" s="6" t="s">
        <v>4365</v>
      </c>
      <c r="B183" s="7" t="s">
        <v>4366</v>
      </c>
      <c r="C183" s="6" t="s">
        <v>4454</v>
      </c>
      <c r="D183" s="7"/>
      <c r="E183" s="6"/>
      <c r="F183" s="7" t="s">
        <v>4371</v>
      </c>
      <c r="G183" s="7" t="s">
        <v>4369</v>
      </c>
      <c r="H183" s="5" t="s">
        <v>172</v>
      </c>
      <c r="I183" s="6" t="s">
        <v>4370</v>
      </c>
      <c r="J183" s="7" t="s">
        <v>11</v>
      </c>
      <c r="K183" s="36">
        <v>1</v>
      </c>
      <c r="L183" s="37">
        <v>1500</v>
      </c>
    </row>
    <row r="184" spans="1:12" ht="19.95" customHeight="1" x14ac:dyDescent="0.3">
      <c r="A184" s="2" t="s">
        <v>4365</v>
      </c>
      <c r="B184" s="3" t="s">
        <v>4366</v>
      </c>
      <c r="C184" s="2" t="s">
        <v>4454</v>
      </c>
      <c r="D184" s="3"/>
      <c r="E184" s="2"/>
      <c r="F184" s="3" t="s">
        <v>4371</v>
      </c>
      <c r="G184" s="3" t="s">
        <v>4367</v>
      </c>
      <c r="H184" s="1" t="s">
        <v>209</v>
      </c>
      <c r="I184" s="2" t="s">
        <v>210</v>
      </c>
      <c r="J184" s="3" t="s">
        <v>11</v>
      </c>
      <c r="K184" s="38">
        <v>6</v>
      </c>
      <c r="L184" s="39">
        <v>558</v>
      </c>
    </row>
    <row r="185" spans="1:12" ht="19.95" customHeight="1" x14ac:dyDescent="0.3">
      <c r="A185" s="6" t="s">
        <v>4365</v>
      </c>
      <c r="B185" s="7" t="s">
        <v>4366</v>
      </c>
      <c r="C185" s="6" t="s">
        <v>4454</v>
      </c>
      <c r="D185" s="7"/>
      <c r="E185" s="6"/>
      <c r="F185" s="7" t="s">
        <v>4371</v>
      </c>
      <c r="G185" s="7" t="s">
        <v>4367</v>
      </c>
      <c r="H185" s="5" t="s">
        <v>209</v>
      </c>
      <c r="I185" s="6" t="s">
        <v>210</v>
      </c>
      <c r="J185" s="7" t="s">
        <v>11</v>
      </c>
      <c r="K185" s="36">
        <v>0</v>
      </c>
      <c r="L185" s="37">
        <v>558</v>
      </c>
    </row>
    <row r="186" spans="1:12" ht="19.95" customHeight="1" x14ac:dyDescent="0.3">
      <c r="A186" s="2" t="s">
        <v>4365</v>
      </c>
      <c r="B186" s="3" t="s">
        <v>4366</v>
      </c>
      <c r="C186" s="2" t="s">
        <v>4454</v>
      </c>
      <c r="D186" s="3"/>
      <c r="E186" s="2"/>
      <c r="F186" s="3" t="s">
        <v>4371</v>
      </c>
      <c r="G186" s="3" t="s">
        <v>4367</v>
      </c>
      <c r="H186" s="1" t="s">
        <v>211</v>
      </c>
      <c r="I186" s="2" t="s">
        <v>212</v>
      </c>
      <c r="J186" s="3" t="s">
        <v>11</v>
      </c>
      <c r="K186" s="38">
        <v>0</v>
      </c>
      <c r="L186" s="39">
        <v>558</v>
      </c>
    </row>
    <row r="187" spans="1:12" ht="19.95" customHeight="1" x14ac:dyDescent="0.3">
      <c r="A187" s="6" t="s">
        <v>4365</v>
      </c>
      <c r="B187" s="7" t="s">
        <v>4366</v>
      </c>
      <c r="C187" s="6" t="s">
        <v>4454</v>
      </c>
      <c r="D187" s="7" t="s">
        <v>4455</v>
      </c>
      <c r="E187" s="6" t="s">
        <v>4456</v>
      </c>
      <c r="F187" s="7" t="s">
        <v>4368</v>
      </c>
      <c r="G187" s="7" t="s">
        <v>4367</v>
      </c>
      <c r="H187" s="5" t="s">
        <v>209</v>
      </c>
      <c r="I187" s="6" t="s">
        <v>210</v>
      </c>
      <c r="J187" s="7" t="s">
        <v>4457</v>
      </c>
      <c r="K187" s="36">
        <v>0</v>
      </c>
      <c r="L187" s="37">
        <v>558</v>
      </c>
    </row>
    <row r="188" spans="1:12" ht="19.95" customHeight="1" x14ac:dyDescent="0.3">
      <c r="A188" s="2" t="s">
        <v>4365</v>
      </c>
      <c r="B188" s="3" t="s">
        <v>4366</v>
      </c>
      <c r="C188" s="2" t="s">
        <v>4454</v>
      </c>
      <c r="D188" s="3" t="s">
        <v>4455</v>
      </c>
      <c r="E188" s="2" t="s">
        <v>4456</v>
      </c>
      <c r="F188" s="3" t="s">
        <v>4368</v>
      </c>
      <c r="G188" s="3" t="s">
        <v>4367</v>
      </c>
      <c r="H188" s="1" t="s">
        <v>211</v>
      </c>
      <c r="I188" s="2" t="s">
        <v>212</v>
      </c>
      <c r="J188" s="3" t="s">
        <v>4457</v>
      </c>
      <c r="K188" s="38">
        <v>0</v>
      </c>
      <c r="L188" s="39">
        <v>558</v>
      </c>
    </row>
    <row r="189" spans="1:12" ht="19.95" customHeight="1" x14ac:dyDescent="0.3">
      <c r="A189" s="6" t="s">
        <v>4365</v>
      </c>
      <c r="B189" s="7" t="s">
        <v>4366</v>
      </c>
      <c r="C189" s="6" t="s">
        <v>4454</v>
      </c>
      <c r="D189" s="7" t="s">
        <v>4458</v>
      </c>
      <c r="E189" s="6" t="s">
        <v>4459</v>
      </c>
      <c r="F189" s="7" t="s">
        <v>4368</v>
      </c>
      <c r="G189" s="7" t="s">
        <v>4367</v>
      </c>
      <c r="H189" s="5" t="s">
        <v>209</v>
      </c>
      <c r="I189" s="6" t="s">
        <v>210</v>
      </c>
      <c r="J189" s="7" t="s">
        <v>11</v>
      </c>
      <c r="K189" s="36">
        <v>10.66</v>
      </c>
      <c r="L189" s="37">
        <v>558</v>
      </c>
    </row>
    <row r="190" spans="1:12" ht="19.95" customHeight="1" x14ac:dyDescent="0.3">
      <c r="A190" s="2" t="s">
        <v>4365</v>
      </c>
      <c r="B190" s="3" t="s">
        <v>4366</v>
      </c>
      <c r="C190" s="2" t="s">
        <v>4454</v>
      </c>
      <c r="D190" s="3" t="s">
        <v>4460</v>
      </c>
      <c r="E190" s="2" t="s">
        <v>4461</v>
      </c>
      <c r="F190" s="3" t="s">
        <v>4368</v>
      </c>
      <c r="G190" s="3" t="s">
        <v>4367</v>
      </c>
      <c r="H190" s="1" t="s">
        <v>209</v>
      </c>
      <c r="I190" s="2" t="s">
        <v>210</v>
      </c>
      <c r="J190" s="3" t="s">
        <v>11</v>
      </c>
      <c r="K190" s="38">
        <v>2</v>
      </c>
      <c r="L190" s="39">
        <v>558</v>
      </c>
    </row>
    <row r="191" spans="1:12" ht="19.95" customHeight="1" x14ac:dyDescent="0.3">
      <c r="A191" s="6" t="s">
        <v>4365</v>
      </c>
      <c r="B191" s="7" t="s">
        <v>4366</v>
      </c>
      <c r="C191" s="6" t="s">
        <v>4454</v>
      </c>
      <c r="D191" s="7" t="s">
        <v>4460</v>
      </c>
      <c r="E191" s="6" t="s">
        <v>4461</v>
      </c>
      <c r="F191" s="7" t="s">
        <v>4368</v>
      </c>
      <c r="G191" s="7" t="s">
        <v>4367</v>
      </c>
      <c r="H191" s="5" t="s">
        <v>209</v>
      </c>
      <c r="I191" s="6" t="s">
        <v>210</v>
      </c>
      <c r="J191" s="7" t="s">
        <v>11</v>
      </c>
      <c r="K191" s="36">
        <v>3.25</v>
      </c>
      <c r="L191" s="37">
        <v>558</v>
      </c>
    </row>
    <row r="192" spans="1:12" ht="19.95" customHeight="1" x14ac:dyDescent="0.3">
      <c r="A192" s="2" t="s">
        <v>4372</v>
      </c>
      <c r="B192" s="3" t="s">
        <v>4366</v>
      </c>
      <c r="C192" s="2" t="s">
        <v>4454</v>
      </c>
      <c r="D192" s="3" t="s">
        <v>4462</v>
      </c>
      <c r="E192" s="2" t="s">
        <v>4463</v>
      </c>
      <c r="F192" s="3" t="s">
        <v>4368</v>
      </c>
      <c r="G192" s="3" t="s">
        <v>4367</v>
      </c>
      <c r="H192" s="1" t="s">
        <v>209</v>
      </c>
      <c r="I192" s="2" t="s">
        <v>210</v>
      </c>
      <c r="J192" s="3" t="s">
        <v>11</v>
      </c>
      <c r="K192" s="38">
        <v>3.75</v>
      </c>
      <c r="L192" s="39">
        <v>558</v>
      </c>
    </row>
    <row r="193" spans="1:12" ht="19.95" customHeight="1" x14ac:dyDescent="0.3">
      <c r="A193" s="6" t="s">
        <v>4373</v>
      </c>
      <c r="B193" s="7" t="s">
        <v>4374</v>
      </c>
      <c r="C193" s="6" t="s">
        <v>4464</v>
      </c>
      <c r="D193" s="7" t="s">
        <v>4465</v>
      </c>
      <c r="E193" s="6" t="s">
        <v>4466</v>
      </c>
      <c r="F193" s="7" t="s">
        <v>4368</v>
      </c>
      <c r="G193" s="7" t="s">
        <v>4367</v>
      </c>
      <c r="H193" s="5" t="s">
        <v>209</v>
      </c>
      <c r="I193" s="6" t="s">
        <v>4467</v>
      </c>
      <c r="J193" s="7" t="s">
        <v>11</v>
      </c>
      <c r="K193" s="36">
        <v>0.45</v>
      </c>
      <c r="L193" s="37">
        <v>558</v>
      </c>
    </row>
    <row r="194" spans="1:12" ht="19.95" customHeight="1" x14ac:dyDescent="0.3">
      <c r="A194" s="2" t="s">
        <v>4373</v>
      </c>
      <c r="B194" s="3" t="s">
        <v>4374</v>
      </c>
      <c r="C194" s="2" t="s">
        <v>4464</v>
      </c>
      <c r="D194" s="3" t="s">
        <v>4465</v>
      </c>
      <c r="E194" s="2" t="s">
        <v>4466</v>
      </c>
      <c r="F194" s="3" t="s">
        <v>4368</v>
      </c>
      <c r="G194" s="3" t="s">
        <v>4367</v>
      </c>
      <c r="H194" s="1" t="s">
        <v>197</v>
      </c>
      <c r="I194" s="2" t="s">
        <v>198</v>
      </c>
      <c r="J194" s="3" t="s">
        <v>11</v>
      </c>
      <c r="K194" s="38">
        <v>0.35</v>
      </c>
      <c r="L194" s="39">
        <v>617</v>
      </c>
    </row>
    <row r="195" spans="1:12" ht="19.95" customHeight="1" x14ac:dyDescent="0.3">
      <c r="A195" s="6" t="s">
        <v>4373</v>
      </c>
      <c r="B195" s="7" t="s">
        <v>4374</v>
      </c>
      <c r="C195" s="6" t="s">
        <v>4464</v>
      </c>
      <c r="D195" s="7" t="s">
        <v>4468</v>
      </c>
      <c r="E195" s="6" t="s">
        <v>4469</v>
      </c>
      <c r="F195" s="7" t="s">
        <v>4470</v>
      </c>
      <c r="G195" s="7" t="s">
        <v>4367</v>
      </c>
      <c r="H195" s="5" t="s">
        <v>209</v>
      </c>
      <c r="I195" s="6" t="s">
        <v>210</v>
      </c>
      <c r="J195" s="7" t="s">
        <v>11</v>
      </c>
      <c r="K195" s="36">
        <v>6.8</v>
      </c>
      <c r="L195" s="37">
        <v>558</v>
      </c>
    </row>
    <row r="196" spans="1:12" ht="19.95" customHeight="1" x14ac:dyDescent="0.3">
      <c r="A196" s="2" t="s">
        <v>4373</v>
      </c>
      <c r="B196" s="3" t="s">
        <v>4374</v>
      </c>
      <c r="C196" s="2" t="s">
        <v>4464</v>
      </c>
      <c r="D196" s="3" t="s">
        <v>4468</v>
      </c>
      <c r="E196" s="2" t="s">
        <v>4469</v>
      </c>
      <c r="F196" s="3" t="s">
        <v>4470</v>
      </c>
      <c r="G196" s="3" t="s">
        <v>4367</v>
      </c>
      <c r="H196" s="1" t="s">
        <v>211</v>
      </c>
      <c r="I196" s="2" t="s">
        <v>212</v>
      </c>
      <c r="J196" s="3" t="s">
        <v>11</v>
      </c>
      <c r="K196" s="38">
        <v>5.6</v>
      </c>
      <c r="L196" s="39">
        <v>558</v>
      </c>
    </row>
    <row r="197" spans="1:12" ht="19.95" customHeight="1" x14ac:dyDescent="0.3">
      <c r="A197" s="6" t="s">
        <v>4373</v>
      </c>
      <c r="B197" s="7" t="s">
        <v>4374</v>
      </c>
      <c r="C197" s="6" t="s">
        <v>4464</v>
      </c>
      <c r="D197" s="7" t="s">
        <v>4471</v>
      </c>
      <c r="E197" s="6" t="s">
        <v>4472</v>
      </c>
      <c r="F197" s="7" t="s">
        <v>4473</v>
      </c>
      <c r="G197" s="7" t="s">
        <v>4367</v>
      </c>
      <c r="H197" s="5" t="s">
        <v>205</v>
      </c>
      <c r="I197" s="6" t="s">
        <v>206</v>
      </c>
      <c r="J197" s="7" t="s">
        <v>11</v>
      </c>
      <c r="K197" s="36">
        <v>0.5</v>
      </c>
      <c r="L197" s="37">
        <v>679</v>
      </c>
    </row>
    <row r="198" spans="1:12" ht="19.95" customHeight="1" x14ac:dyDescent="0.3">
      <c r="A198" s="2" t="s">
        <v>4373</v>
      </c>
      <c r="B198" s="3" t="s">
        <v>4374</v>
      </c>
      <c r="C198" s="2" t="s">
        <v>4464</v>
      </c>
      <c r="D198" s="3" t="s">
        <v>4471</v>
      </c>
      <c r="E198" s="2" t="s">
        <v>4472</v>
      </c>
      <c r="F198" s="3" t="s">
        <v>4473</v>
      </c>
      <c r="G198" s="3" t="s">
        <v>4367</v>
      </c>
      <c r="H198" s="1" t="s">
        <v>209</v>
      </c>
      <c r="I198" s="2" t="s">
        <v>210</v>
      </c>
      <c r="J198" s="3" t="s">
        <v>11</v>
      </c>
      <c r="K198" s="38">
        <v>1</v>
      </c>
      <c r="L198" s="39">
        <v>558</v>
      </c>
    </row>
    <row r="199" spans="1:12" ht="19.95" customHeight="1" x14ac:dyDescent="0.3">
      <c r="A199" s="6" t="s">
        <v>4373</v>
      </c>
      <c r="B199" s="7" t="s">
        <v>4374</v>
      </c>
      <c r="C199" s="6" t="s">
        <v>4464</v>
      </c>
      <c r="D199" s="7" t="s">
        <v>4474</v>
      </c>
      <c r="E199" s="6" t="s">
        <v>4475</v>
      </c>
      <c r="F199" s="7" t="s">
        <v>4473</v>
      </c>
      <c r="G199" s="7" t="s">
        <v>4367</v>
      </c>
      <c r="H199" s="5" t="s">
        <v>205</v>
      </c>
      <c r="I199" s="6" t="s">
        <v>206</v>
      </c>
      <c r="J199" s="7" t="s">
        <v>11</v>
      </c>
      <c r="K199" s="36">
        <v>0.75</v>
      </c>
      <c r="L199" s="37">
        <v>679</v>
      </c>
    </row>
    <row r="200" spans="1:12" ht="19.95" customHeight="1" x14ac:dyDescent="0.3">
      <c r="A200" s="2" t="s">
        <v>4373</v>
      </c>
      <c r="B200" s="3" t="s">
        <v>4374</v>
      </c>
      <c r="C200" s="2" t="s">
        <v>4464</v>
      </c>
      <c r="D200" s="3" t="s">
        <v>4474</v>
      </c>
      <c r="E200" s="2" t="s">
        <v>4475</v>
      </c>
      <c r="F200" s="3" t="s">
        <v>4473</v>
      </c>
      <c r="G200" s="3" t="s">
        <v>4367</v>
      </c>
      <c r="H200" s="1" t="s">
        <v>209</v>
      </c>
      <c r="I200" s="2" t="s">
        <v>210</v>
      </c>
      <c r="J200" s="3" t="s">
        <v>11</v>
      </c>
      <c r="K200" s="38">
        <v>2</v>
      </c>
      <c r="L200" s="39">
        <v>558</v>
      </c>
    </row>
    <row r="201" spans="1:12" ht="19.95" customHeight="1" x14ac:dyDescent="0.3">
      <c r="A201" s="6" t="s">
        <v>4373</v>
      </c>
      <c r="B201" s="7" t="s">
        <v>4374</v>
      </c>
      <c r="C201" s="6" t="s">
        <v>4464</v>
      </c>
      <c r="D201" s="7" t="s">
        <v>4476</v>
      </c>
      <c r="E201" s="6" t="s">
        <v>4477</v>
      </c>
      <c r="F201" s="7" t="s">
        <v>4473</v>
      </c>
      <c r="G201" s="7" t="s">
        <v>4367</v>
      </c>
      <c r="H201" s="5" t="s">
        <v>205</v>
      </c>
      <c r="I201" s="6" t="s">
        <v>206</v>
      </c>
      <c r="J201" s="7" t="s">
        <v>11</v>
      </c>
      <c r="K201" s="36">
        <v>1.5</v>
      </c>
      <c r="L201" s="37">
        <v>679</v>
      </c>
    </row>
    <row r="202" spans="1:12" ht="19.95" customHeight="1" x14ac:dyDescent="0.3">
      <c r="A202" s="2" t="s">
        <v>4373</v>
      </c>
      <c r="B202" s="3" t="s">
        <v>4374</v>
      </c>
      <c r="C202" s="2" t="s">
        <v>4464</v>
      </c>
      <c r="D202" s="3" t="s">
        <v>4476</v>
      </c>
      <c r="E202" s="2" t="s">
        <v>4477</v>
      </c>
      <c r="F202" s="3" t="s">
        <v>4473</v>
      </c>
      <c r="G202" s="3" t="s">
        <v>4367</v>
      </c>
      <c r="H202" s="1" t="s">
        <v>209</v>
      </c>
      <c r="I202" s="2" t="s">
        <v>210</v>
      </c>
      <c r="J202" s="3" t="s">
        <v>11</v>
      </c>
      <c r="K202" s="38">
        <v>4</v>
      </c>
      <c r="L202" s="39">
        <v>558</v>
      </c>
    </row>
    <row r="203" spans="1:12" ht="19.95" customHeight="1" x14ac:dyDescent="0.3">
      <c r="A203" s="6" t="s">
        <v>4373</v>
      </c>
      <c r="B203" s="7" t="s">
        <v>4374</v>
      </c>
      <c r="C203" s="6" t="s">
        <v>4464</v>
      </c>
      <c r="D203" s="7" t="s">
        <v>4478</v>
      </c>
      <c r="E203" s="6" t="s">
        <v>4479</v>
      </c>
      <c r="F203" s="7" t="s">
        <v>4375</v>
      </c>
      <c r="G203" s="7" t="s">
        <v>4367</v>
      </c>
      <c r="H203" s="5" t="s">
        <v>205</v>
      </c>
      <c r="I203" s="6" t="s">
        <v>206</v>
      </c>
      <c r="J203" s="7" t="s">
        <v>11</v>
      </c>
      <c r="K203" s="36">
        <v>0.06</v>
      </c>
      <c r="L203" s="37">
        <v>679</v>
      </c>
    </row>
    <row r="204" spans="1:12" ht="19.95" customHeight="1" x14ac:dyDescent="0.3">
      <c r="A204" s="2" t="s">
        <v>4373</v>
      </c>
      <c r="B204" s="3" t="s">
        <v>4374</v>
      </c>
      <c r="C204" s="2" t="s">
        <v>4464</v>
      </c>
      <c r="D204" s="3" t="s">
        <v>4478</v>
      </c>
      <c r="E204" s="2" t="s">
        <v>4479</v>
      </c>
      <c r="F204" s="3" t="s">
        <v>4375</v>
      </c>
      <c r="G204" s="3" t="s">
        <v>4367</v>
      </c>
      <c r="H204" s="1" t="s">
        <v>209</v>
      </c>
      <c r="I204" s="2" t="s">
        <v>210</v>
      </c>
      <c r="J204" s="3" t="s">
        <v>11</v>
      </c>
      <c r="K204" s="38">
        <v>0.12</v>
      </c>
      <c r="L204" s="39">
        <v>558</v>
      </c>
    </row>
    <row r="205" spans="1:12" ht="19.95" customHeight="1" x14ac:dyDescent="0.3">
      <c r="A205" s="6" t="s">
        <v>4373</v>
      </c>
      <c r="B205" s="7" t="s">
        <v>4374</v>
      </c>
      <c r="C205" s="6" t="s">
        <v>4464</v>
      </c>
      <c r="D205" s="7" t="s">
        <v>4480</v>
      </c>
      <c r="E205" s="6" t="s">
        <v>4481</v>
      </c>
      <c r="F205" s="7" t="s">
        <v>4375</v>
      </c>
      <c r="G205" s="7" t="s">
        <v>4367</v>
      </c>
      <c r="H205" s="5" t="s">
        <v>205</v>
      </c>
      <c r="I205" s="6" t="s">
        <v>206</v>
      </c>
      <c r="J205" s="7" t="s">
        <v>11</v>
      </c>
      <c r="K205" s="36">
        <v>0.12</v>
      </c>
      <c r="L205" s="37">
        <v>679</v>
      </c>
    </row>
    <row r="206" spans="1:12" ht="19.95" customHeight="1" x14ac:dyDescent="0.3">
      <c r="A206" s="2" t="s">
        <v>4373</v>
      </c>
      <c r="B206" s="3" t="s">
        <v>4374</v>
      </c>
      <c r="C206" s="2" t="s">
        <v>4464</v>
      </c>
      <c r="D206" s="3" t="s">
        <v>4480</v>
      </c>
      <c r="E206" s="2" t="s">
        <v>4481</v>
      </c>
      <c r="F206" s="3" t="s">
        <v>4375</v>
      </c>
      <c r="G206" s="3" t="s">
        <v>4367</v>
      </c>
      <c r="H206" s="1" t="s">
        <v>209</v>
      </c>
      <c r="I206" s="2" t="s">
        <v>210</v>
      </c>
      <c r="J206" s="3" t="s">
        <v>11</v>
      </c>
      <c r="K206" s="38">
        <v>0.25</v>
      </c>
      <c r="L206" s="39">
        <v>558</v>
      </c>
    </row>
    <row r="207" spans="1:12" ht="19.95" customHeight="1" x14ac:dyDescent="0.3">
      <c r="A207" s="6" t="s">
        <v>4373</v>
      </c>
      <c r="B207" s="7" t="s">
        <v>4374</v>
      </c>
      <c r="C207" s="6" t="s">
        <v>4464</v>
      </c>
      <c r="D207" s="7" t="s">
        <v>4482</v>
      </c>
      <c r="E207" s="6" t="s">
        <v>4483</v>
      </c>
      <c r="F207" s="7" t="s">
        <v>4375</v>
      </c>
      <c r="G207" s="7" t="s">
        <v>4367</v>
      </c>
      <c r="H207" s="5" t="s">
        <v>205</v>
      </c>
      <c r="I207" s="6" t="s">
        <v>206</v>
      </c>
      <c r="J207" s="7" t="s">
        <v>11</v>
      </c>
      <c r="K207" s="36">
        <v>0.19</v>
      </c>
      <c r="L207" s="37">
        <v>679</v>
      </c>
    </row>
    <row r="208" spans="1:12" ht="19.95" customHeight="1" x14ac:dyDescent="0.3">
      <c r="A208" s="2" t="s">
        <v>4373</v>
      </c>
      <c r="B208" s="3" t="s">
        <v>4374</v>
      </c>
      <c r="C208" s="2" t="s">
        <v>4464</v>
      </c>
      <c r="D208" s="3" t="s">
        <v>4482</v>
      </c>
      <c r="E208" s="2" t="s">
        <v>4483</v>
      </c>
      <c r="F208" s="3" t="s">
        <v>4375</v>
      </c>
      <c r="G208" s="3" t="s">
        <v>4367</v>
      </c>
      <c r="H208" s="1" t="s">
        <v>209</v>
      </c>
      <c r="I208" s="2" t="s">
        <v>210</v>
      </c>
      <c r="J208" s="3" t="s">
        <v>11</v>
      </c>
      <c r="K208" s="38">
        <v>0.38</v>
      </c>
      <c r="L208" s="39">
        <v>558</v>
      </c>
    </row>
    <row r="209" spans="1:12" ht="19.95" customHeight="1" x14ac:dyDescent="0.3">
      <c r="A209" s="6" t="s">
        <v>4373</v>
      </c>
      <c r="B209" s="7" t="s">
        <v>4374</v>
      </c>
      <c r="C209" s="6" t="s">
        <v>4464</v>
      </c>
      <c r="D209" s="7" t="s">
        <v>4484</v>
      </c>
      <c r="E209" s="6" t="s">
        <v>4485</v>
      </c>
      <c r="F209" s="7" t="s">
        <v>4486</v>
      </c>
      <c r="G209" s="7" t="s">
        <v>4367</v>
      </c>
      <c r="H209" s="5" t="s">
        <v>205</v>
      </c>
      <c r="I209" s="6" t="s">
        <v>206</v>
      </c>
      <c r="J209" s="7" t="s">
        <v>11</v>
      </c>
      <c r="K209" s="36">
        <v>0.25</v>
      </c>
      <c r="L209" s="37">
        <v>679</v>
      </c>
    </row>
    <row r="210" spans="1:12" ht="19.95" customHeight="1" x14ac:dyDescent="0.3">
      <c r="A210" s="2" t="s">
        <v>4373</v>
      </c>
      <c r="B210" s="3" t="s">
        <v>4374</v>
      </c>
      <c r="C210" s="2" t="s">
        <v>4464</v>
      </c>
      <c r="D210" s="3" t="s">
        <v>4484</v>
      </c>
      <c r="E210" s="2" t="s">
        <v>4485</v>
      </c>
      <c r="F210" s="3" t="s">
        <v>4486</v>
      </c>
      <c r="G210" s="3" t="s">
        <v>4367</v>
      </c>
      <c r="H210" s="1" t="s">
        <v>209</v>
      </c>
      <c r="I210" s="2" t="s">
        <v>210</v>
      </c>
      <c r="J210" s="3" t="s">
        <v>11</v>
      </c>
      <c r="K210" s="38">
        <v>0.5</v>
      </c>
      <c r="L210" s="39">
        <v>558</v>
      </c>
    </row>
    <row r="211" spans="1:12" ht="19.95" customHeight="1" x14ac:dyDescent="0.3">
      <c r="A211" s="6" t="s">
        <v>4373</v>
      </c>
      <c r="B211" s="7" t="s">
        <v>4374</v>
      </c>
      <c r="C211" s="6" t="s">
        <v>4464</v>
      </c>
      <c r="D211" s="7" t="s">
        <v>4487</v>
      </c>
      <c r="E211" s="6" t="s">
        <v>4488</v>
      </c>
      <c r="F211" s="7" t="s">
        <v>4486</v>
      </c>
      <c r="G211" s="7" t="s">
        <v>4367</v>
      </c>
      <c r="H211" s="5" t="s">
        <v>205</v>
      </c>
      <c r="I211" s="6" t="s">
        <v>206</v>
      </c>
      <c r="J211" s="7" t="s">
        <v>11</v>
      </c>
      <c r="K211" s="36">
        <v>0.5</v>
      </c>
      <c r="L211" s="37">
        <v>679</v>
      </c>
    </row>
    <row r="212" spans="1:12" ht="19.95" customHeight="1" x14ac:dyDescent="0.3">
      <c r="A212" s="2" t="s">
        <v>4373</v>
      </c>
      <c r="B212" s="3" t="s">
        <v>4374</v>
      </c>
      <c r="C212" s="2" t="s">
        <v>4464</v>
      </c>
      <c r="D212" s="3" t="s">
        <v>4487</v>
      </c>
      <c r="E212" s="2" t="s">
        <v>4488</v>
      </c>
      <c r="F212" s="3" t="s">
        <v>4486</v>
      </c>
      <c r="G212" s="3" t="s">
        <v>4367</v>
      </c>
      <c r="H212" s="1" t="s">
        <v>209</v>
      </c>
      <c r="I212" s="2" t="s">
        <v>210</v>
      </c>
      <c r="J212" s="3" t="s">
        <v>11</v>
      </c>
      <c r="K212" s="38">
        <v>1</v>
      </c>
      <c r="L212" s="39">
        <v>558</v>
      </c>
    </row>
    <row r="213" spans="1:12" ht="19.95" customHeight="1" x14ac:dyDescent="0.3">
      <c r="A213" s="6" t="s">
        <v>4373</v>
      </c>
      <c r="B213" s="7" t="s">
        <v>4374</v>
      </c>
      <c r="C213" s="6" t="s">
        <v>4464</v>
      </c>
      <c r="D213" s="7" t="s">
        <v>4489</v>
      </c>
      <c r="E213" s="6" t="s">
        <v>4490</v>
      </c>
      <c r="F213" s="7" t="s">
        <v>4486</v>
      </c>
      <c r="G213" s="7" t="s">
        <v>4367</v>
      </c>
      <c r="H213" s="5" t="s">
        <v>205</v>
      </c>
      <c r="I213" s="6" t="s">
        <v>206</v>
      </c>
      <c r="J213" s="7" t="s">
        <v>11</v>
      </c>
      <c r="K213" s="36">
        <v>0.75</v>
      </c>
      <c r="L213" s="37">
        <v>679</v>
      </c>
    </row>
    <row r="214" spans="1:12" ht="19.95" customHeight="1" x14ac:dyDescent="0.3">
      <c r="A214" s="2" t="s">
        <v>4373</v>
      </c>
      <c r="B214" s="3" t="s">
        <v>4374</v>
      </c>
      <c r="C214" s="2" t="s">
        <v>4464</v>
      </c>
      <c r="D214" s="3" t="s">
        <v>4489</v>
      </c>
      <c r="E214" s="2" t="s">
        <v>4490</v>
      </c>
      <c r="F214" s="3" t="s">
        <v>4486</v>
      </c>
      <c r="G214" s="3" t="s">
        <v>4367</v>
      </c>
      <c r="H214" s="1" t="s">
        <v>209</v>
      </c>
      <c r="I214" s="2" t="s">
        <v>210</v>
      </c>
      <c r="J214" s="3" t="s">
        <v>11</v>
      </c>
      <c r="K214" s="38">
        <v>1.5</v>
      </c>
      <c r="L214" s="39">
        <v>558</v>
      </c>
    </row>
    <row r="215" spans="1:12" ht="19.95" customHeight="1" x14ac:dyDescent="0.3">
      <c r="A215" s="6" t="s">
        <v>4373</v>
      </c>
      <c r="B215" s="7" t="s">
        <v>4374</v>
      </c>
      <c r="C215" s="6" t="s">
        <v>4464</v>
      </c>
      <c r="D215" s="7" t="s">
        <v>4491</v>
      </c>
      <c r="E215" s="6" t="s">
        <v>4492</v>
      </c>
      <c r="F215" s="7" t="s">
        <v>4376</v>
      </c>
      <c r="G215" s="7" t="s">
        <v>4367</v>
      </c>
      <c r="H215" s="5" t="s">
        <v>209</v>
      </c>
      <c r="I215" s="6" t="s">
        <v>210</v>
      </c>
      <c r="J215" s="7" t="s">
        <v>11</v>
      </c>
      <c r="K215" s="36">
        <v>5.9</v>
      </c>
      <c r="L215" s="37">
        <v>558</v>
      </c>
    </row>
    <row r="216" spans="1:12" ht="19.95" customHeight="1" x14ac:dyDescent="0.3">
      <c r="A216" s="2" t="s">
        <v>4373</v>
      </c>
      <c r="B216" s="3" t="s">
        <v>4374</v>
      </c>
      <c r="C216" s="2" t="s">
        <v>4464</v>
      </c>
      <c r="D216" s="3" t="s">
        <v>4491</v>
      </c>
      <c r="E216" s="2" t="s">
        <v>4492</v>
      </c>
      <c r="F216" s="3" t="s">
        <v>4376</v>
      </c>
      <c r="G216" s="3" t="s">
        <v>4367</v>
      </c>
      <c r="H216" s="1" t="s">
        <v>211</v>
      </c>
      <c r="I216" s="2" t="s">
        <v>212</v>
      </c>
      <c r="J216" s="3" t="s">
        <v>11</v>
      </c>
      <c r="K216" s="38">
        <v>3.6</v>
      </c>
      <c r="L216" s="39">
        <v>558</v>
      </c>
    </row>
    <row r="217" spans="1:12" ht="19.95" customHeight="1" x14ac:dyDescent="0.3">
      <c r="A217" s="6" t="s">
        <v>4373</v>
      </c>
      <c r="B217" s="7" t="s">
        <v>4374</v>
      </c>
      <c r="C217" s="6" t="s">
        <v>4464</v>
      </c>
      <c r="D217" s="7" t="s">
        <v>4491</v>
      </c>
      <c r="E217" s="6" t="s">
        <v>4492</v>
      </c>
      <c r="F217" s="7" t="s">
        <v>4376</v>
      </c>
      <c r="G217" s="7" t="s">
        <v>4367</v>
      </c>
      <c r="H217" s="5" t="s">
        <v>197</v>
      </c>
      <c r="I217" s="6" t="s">
        <v>198</v>
      </c>
      <c r="J217" s="7" t="s">
        <v>11</v>
      </c>
      <c r="K217" s="36">
        <v>0.4</v>
      </c>
      <c r="L217" s="37">
        <v>617</v>
      </c>
    </row>
    <row r="218" spans="1:12" ht="19.95" customHeight="1" x14ac:dyDescent="0.3">
      <c r="A218" s="2" t="s">
        <v>4373</v>
      </c>
      <c r="B218" s="3" t="s">
        <v>4374</v>
      </c>
      <c r="C218" s="2" t="s">
        <v>4464</v>
      </c>
      <c r="D218" s="3" t="s">
        <v>4491</v>
      </c>
      <c r="E218" s="2" t="s">
        <v>4492</v>
      </c>
      <c r="F218" s="3" t="s">
        <v>4376</v>
      </c>
      <c r="G218" s="3" t="s">
        <v>4367</v>
      </c>
      <c r="H218" s="1" t="s">
        <v>207</v>
      </c>
      <c r="I218" s="2" t="s">
        <v>208</v>
      </c>
      <c r="J218" s="3" t="s">
        <v>11</v>
      </c>
      <c r="K218" s="38">
        <v>8.0000000000000002E-3</v>
      </c>
      <c r="L218" s="39">
        <v>558</v>
      </c>
    </row>
    <row r="219" spans="1:12" ht="19.95" customHeight="1" x14ac:dyDescent="0.3">
      <c r="A219" s="6" t="s">
        <v>4373</v>
      </c>
      <c r="B219" s="7" t="s">
        <v>4374</v>
      </c>
      <c r="C219" s="6" t="s">
        <v>4464</v>
      </c>
      <c r="D219" s="7" t="s">
        <v>4491</v>
      </c>
      <c r="E219" s="6" t="s">
        <v>4492</v>
      </c>
      <c r="F219" s="7" t="s">
        <v>4376</v>
      </c>
      <c r="G219" s="7" t="s">
        <v>4369</v>
      </c>
      <c r="H219" s="5" t="s">
        <v>14</v>
      </c>
      <c r="I219" s="6" t="s">
        <v>15</v>
      </c>
      <c r="J219" s="7" t="s">
        <v>11</v>
      </c>
      <c r="K219" s="36">
        <v>8.0000000000000002E-3</v>
      </c>
      <c r="L219" s="37">
        <v>3000</v>
      </c>
    </row>
    <row r="220" spans="1:12" ht="19.95" customHeight="1" x14ac:dyDescent="0.3">
      <c r="A220" s="2" t="s">
        <v>4373</v>
      </c>
      <c r="B220" s="3" t="s">
        <v>4374</v>
      </c>
      <c r="C220" s="2" t="s">
        <v>4464</v>
      </c>
      <c r="D220" s="3" t="s">
        <v>4493</v>
      </c>
      <c r="E220" s="2" t="s">
        <v>4494</v>
      </c>
      <c r="F220" s="3" t="s">
        <v>4495</v>
      </c>
      <c r="G220" s="3" t="s">
        <v>4367</v>
      </c>
      <c r="H220" s="1" t="s">
        <v>205</v>
      </c>
      <c r="I220" s="2" t="s">
        <v>206</v>
      </c>
      <c r="J220" s="3" t="s">
        <v>11</v>
      </c>
      <c r="K220" s="38">
        <v>0.25</v>
      </c>
      <c r="L220" s="39">
        <v>679</v>
      </c>
    </row>
    <row r="221" spans="1:12" ht="19.95" customHeight="1" x14ac:dyDescent="0.3">
      <c r="A221" s="6" t="s">
        <v>4373</v>
      </c>
      <c r="B221" s="7" t="s">
        <v>4374</v>
      </c>
      <c r="C221" s="6" t="s">
        <v>4464</v>
      </c>
      <c r="D221" s="7" t="s">
        <v>4493</v>
      </c>
      <c r="E221" s="6" t="s">
        <v>4494</v>
      </c>
      <c r="F221" s="7" t="s">
        <v>4495</v>
      </c>
      <c r="G221" s="7" t="s">
        <v>4367</v>
      </c>
      <c r="H221" s="5" t="s">
        <v>209</v>
      </c>
      <c r="I221" s="6" t="s">
        <v>210</v>
      </c>
      <c r="J221" s="7" t="s">
        <v>11</v>
      </c>
      <c r="K221" s="36">
        <v>0.5</v>
      </c>
      <c r="L221" s="37">
        <v>558</v>
      </c>
    </row>
    <row r="222" spans="1:12" ht="19.95" customHeight="1" x14ac:dyDescent="0.3">
      <c r="A222" s="2" t="s">
        <v>4373</v>
      </c>
      <c r="B222" s="3" t="s">
        <v>4374</v>
      </c>
      <c r="C222" s="2" t="s">
        <v>4464</v>
      </c>
      <c r="D222" s="3" t="s">
        <v>4496</v>
      </c>
      <c r="E222" s="2" t="s">
        <v>4497</v>
      </c>
      <c r="F222" s="3" t="s">
        <v>4495</v>
      </c>
      <c r="G222" s="3" t="s">
        <v>4367</v>
      </c>
      <c r="H222" s="1" t="s">
        <v>205</v>
      </c>
      <c r="I222" s="2" t="s">
        <v>206</v>
      </c>
      <c r="J222" s="3" t="s">
        <v>11</v>
      </c>
      <c r="K222" s="38">
        <v>0.5</v>
      </c>
      <c r="L222" s="39">
        <v>679</v>
      </c>
    </row>
    <row r="223" spans="1:12" ht="19.95" customHeight="1" x14ac:dyDescent="0.3">
      <c r="A223" s="6" t="s">
        <v>4373</v>
      </c>
      <c r="B223" s="7" t="s">
        <v>4374</v>
      </c>
      <c r="C223" s="6" t="s">
        <v>4464</v>
      </c>
      <c r="D223" s="7" t="s">
        <v>4496</v>
      </c>
      <c r="E223" s="6" t="s">
        <v>4497</v>
      </c>
      <c r="F223" s="7" t="s">
        <v>4495</v>
      </c>
      <c r="G223" s="7" t="s">
        <v>4367</v>
      </c>
      <c r="H223" s="5" t="s">
        <v>209</v>
      </c>
      <c r="I223" s="6" t="s">
        <v>210</v>
      </c>
      <c r="J223" s="7" t="s">
        <v>11</v>
      </c>
      <c r="K223" s="36">
        <v>1</v>
      </c>
      <c r="L223" s="37">
        <v>558</v>
      </c>
    </row>
    <row r="224" spans="1:12" ht="19.95" customHeight="1" x14ac:dyDescent="0.3">
      <c r="A224" s="2" t="s">
        <v>4373</v>
      </c>
      <c r="B224" s="3" t="s">
        <v>4374</v>
      </c>
      <c r="C224" s="2" t="s">
        <v>4464</v>
      </c>
      <c r="D224" s="3" t="s">
        <v>4498</v>
      </c>
      <c r="E224" s="2" t="s">
        <v>4499</v>
      </c>
      <c r="F224" s="3" t="s">
        <v>4495</v>
      </c>
      <c r="G224" s="3" t="s">
        <v>4367</v>
      </c>
      <c r="H224" s="1" t="s">
        <v>205</v>
      </c>
      <c r="I224" s="2" t="s">
        <v>206</v>
      </c>
      <c r="J224" s="3" t="s">
        <v>11</v>
      </c>
      <c r="K224" s="38">
        <v>1</v>
      </c>
      <c r="L224" s="39">
        <v>679</v>
      </c>
    </row>
    <row r="225" spans="1:12" ht="19.95" customHeight="1" x14ac:dyDescent="0.3">
      <c r="A225" s="6" t="s">
        <v>4373</v>
      </c>
      <c r="B225" s="7" t="s">
        <v>4374</v>
      </c>
      <c r="C225" s="6" t="s">
        <v>4464</v>
      </c>
      <c r="D225" s="7" t="s">
        <v>4498</v>
      </c>
      <c r="E225" s="6" t="s">
        <v>4499</v>
      </c>
      <c r="F225" s="7" t="s">
        <v>4495</v>
      </c>
      <c r="G225" s="7" t="s">
        <v>4367</v>
      </c>
      <c r="H225" s="5" t="s">
        <v>209</v>
      </c>
      <c r="I225" s="6" t="s">
        <v>210</v>
      </c>
      <c r="J225" s="7" t="s">
        <v>11</v>
      </c>
      <c r="K225" s="36">
        <v>1.75</v>
      </c>
      <c r="L225" s="37">
        <v>558</v>
      </c>
    </row>
    <row r="226" spans="1:12" ht="19.95" customHeight="1" x14ac:dyDescent="0.3">
      <c r="A226" s="2" t="s">
        <v>4373</v>
      </c>
      <c r="B226" s="3" t="s">
        <v>4374</v>
      </c>
      <c r="C226" s="2" t="s">
        <v>4464</v>
      </c>
      <c r="D226" s="3" t="s">
        <v>4500</v>
      </c>
      <c r="E226" s="2" t="s">
        <v>4501</v>
      </c>
      <c r="F226" s="3" t="s">
        <v>4375</v>
      </c>
      <c r="G226" s="3" t="s">
        <v>4367</v>
      </c>
      <c r="H226" s="1" t="s">
        <v>205</v>
      </c>
      <c r="I226" s="2" t="s">
        <v>206</v>
      </c>
      <c r="J226" s="3" t="s">
        <v>11</v>
      </c>
      <c r="K226" s="38">
        <v>0.03</v>
      </c>
      <c r="L226" s="39">
        <v>679</v>
      </c>
    </row>
    <row r="227" spans="1:12" ht="19.95" customHeight="1" x14ac:dyDescent="0.3">
      <c r="A227" s="6" t="s">
        <v>4373</v>
      </c>
      <c r="B227" s="7" t="s">
        <v>4374</v>
      </c>
      <c r="C227" s="6" t="s">
        <v>4464</v>
      </c>
      <c r="D227" s="7" t="s">
        <v>4500</v>
      </c>
      <c r="E227" s="6" t="s">
        <v>4501</v>
      </c>
      <c r="F227" s="7" t="s">
        <v>4375</v>
      </c>
      <c r="G227" s="7" t="s">
        <v>4367</v>
      </c>
      <c r="H227" s="5" t="s">
        <v>209</v>
      </c>
      <c r="I227" s="6" t="s">
        <v>210</v>
      </c>
      <c r="J227" s="7" t="s">
        <v>11</v>
      </c>
      <c r="K227" s="36">
        <v>0.06</v>
      </c>
      <c r="L227" s="37">
        <v>558</v>
      </c>
    </row>
    <row r="228" spans="1:12" ht="19.95" customHeight="1" x14ac:dyDescent="0.3">
      <c r="A228" s="2" t="s">
        <v>4373</v>
      </c>
      <c r="B228" s="3" t="s">
        <v>4374</v>
      </c>
      <c r="C228" s="2" t="s">
        <v>4464</v>
      </c>
      <c r="D228" s="3" t="s">
        <v>4502</v>
      </c>
      <c r="E228" s="2" t="s">
        <v>4503</v>
      </c>
      <c r="F228" s="3" t="s">
        <v>4375</v>
      </c>
      <c r="G228" s="3" t="s">
        <v>4367</v>
      </c>
      <c r="H228" s="1" t="s">
        <v>205</v>
      </c>
      <c r="I228" s="2" t="s">
        <v>206</v>
      </c>
      <c r="J228" s="3" t="s">
        <v>11</v>
      </c>
      <c r="K228" s="38">
        <v>0.06</v>
      </c>
      <c r="L228" s="39">
        <v>679</v>
      </c>
    </row>
    <row r="229" spans="1:12" ht="19.95" customHeight="1" x14ac:dyDescent="0.3">
      <c r="A229" s="6" t="s">
        <v>4373</v>
      </c>
      <c r="B229" s="7" t="s">
        <v>4374</v>
      </c>
      <c r="C229" s="6" t="s">
        <v>4464</v>
      </c>
      <c r="D229" s="7" t="s">
        <v>4502</v>
      </c>
      <c r="E229" s="6" t="s">
        <v>4503</v>
      </c>
      <c r="F229" s="7" t="s">
        <v>4375</v>
      </c>
      <c r="G229" s="7" t="s">
        <v>4367</v>
      </c>
      <c r="H229" s="5" t="s">
        <v>209</v>
      </c>
      <c r="I229" s="6" t="s">
        <v>210</v>
      </c>
      <c r="J229" s="7" t="s">
        <v>11</v>
      </c>
      <c r="K229" s="36">
        <v>0.12</v>
      </c>
      <c r="L229" s="37">
        <v>558</v>
      </c>
    </row>
    <row r="230" spans="1:12" ht="19.95" customHeight="1" x14ac:dyDescent="0.3">
      <c r="A230" s="2" t="s">
        <v>4373</v>
      </c>
      <c r="B230" s="3" t="s">
        <v>4374</v>
      </c>
      <c r="C230" s="2" t="s">
        <v>4464</v>
      </c>
      <c r="D230" s="3" t="s">
        <v>4504</v>
      </c>
      <c r="E230" s="2" t="s">
        <v>4505</v>
      </c>
      <c r="F230" s="3" t="s">
        <v>4375</v>
      </c>
      <c r="G230" s="3" t="s">
        <v>4367</v>
      </c>
      <c r="H230" s="1" t="s">
        <v>205</v>
      </c>
      <c r="I230" s="2" t="s">
        <v>206</v>
      </c>
      <c r="J230" s="3" t="s">
        <v>11</v>
      </c>
      <c r="K230" s="38">
        <v>0.1</v>
      </c>
      <c r="L230" s="39">
        <v>679</v>
      </c>
    </row>
    <row r="231" spans="1:12" ht="19.95" customHeight="1" x14ac:dyDescent="0.3">
      <c r="A231" s="6" t="s">
        <v>4373</v>
      </c>
      <c r="B231" s="7" t="s">
        <v>4374</v>
      </c>
      <c r="C231" s="6" t="s">
        <v>4464</v>
      </c>
      <c r="D231" s="7" t="s">
        <v>4504</v>
      </c>
      <c r="E231" s="6" t="s">
        <v>4505</v>
      </c>
      <c r="F231" s="7" t="s">
        <v>4375</v>
      </c>
      <c r="G231" s="7" t="s">
        <v>4367</v>
      </c>
      <c r="H231" s="5" t="s">
        <v>209</v>
      </c>
      <c r="I231" s="6" t="s">
        <v>210</v>
      </c>
      <c r="J231" s="7" t="s">
        <v>11</v>
      </c>
      <c r="K231" s="36">
        <v>0.2</v>
      </c>
      <c r="L231" s="37">
        <v>558</v>
      </c>
    </row>
    <row r="232" spans="1:12" ht="19.95" customHeight="1" x14ac:dyDescent="0.3">
      <c r="A232" s="2" t="s">
        <v>4373</v>
      </c>
      <c r="B232" s="3" t="s">
        <v>4374</v>
      </c>
      <c r="C232" s="2" t="s">
        <v>4464</v>
      </c>
      <c r="D232" s="3" t="s">
        <v>4506</v>
      </c>
      <c r="E232" s="2" t="s">
        <v>4507</v>
      </c>
      <c r="F232" s="3" t="s">
        <v>4486</v>
      </c>
      <c r="G232" s="3" t="s">
        <v>4367</v>
      </c>
      <c r="H232" s="1" t="s">
        <v>205</v>
      </c>
      <c r="I232" s="2" t="s">
        <v>206</v>
      </c>
      <c r="J232" s="3" t="s">
        <v>11</v>
      </c>
      <c r="K232" s="38">
        <v>0.12</v>
      </c>
      <c r="L232" s="39">
        <v>679</v>
      </c>
    </row>
    <row r="233" spans="1:12" ht="19.95" customHeight="1" x14ac:dyDescent="0.3">
      <c r="A233" s="6" t="s">
        <v>4373</v>
      </c>
      <c r="B233" s="7" t="s">
        <v>4374</v>
      </c>
      <c r="C233" s="6" t="s">
        <v>4464</v>
      </c>
      <c r="D233" s="7" t="s">
        <v>4506</v>
      </c>
      <c r="E233" s="6" t="s">
        <v>4507</v>
      </c>
      <c r="F233" s="7" t="s">
        <v>4486</v>
      </c>
      <c r="G233" s="7" t="s">
        <v>4367</v>
      </c>
      <c r="H233" s="5" t="s">
        <v>209</v>
      </c>
      <c r="I233" s="6" t="s">
        <v>210</v>
      </c>
      <c r="J233" s="7" t="s">
        <v>11</v>
      </c>
      <c r="K233" s="36">
        <v>0.25</v>
      </c>
      <c r="L233" s="37">
        <v>558</v>
      </c>
    </row>
    <row r="234" spans="1:12" ht="19.95" customHeight="1" x14ac:dyDescent="0.3">
      <c r="A234" s="2" t="s">
        <v>4373</v>
      </c>
      <c r="B234" s="3" t="s">
        <v>4374</v>
      </c>
      <c r="C234" s="2" t="s">
        <v>4464</v>
      </c>
      <c r="D234" s="3" t="s">
        <v>4508</v>
      </c>
      <c r="E234" s="2" t="s">
        <v>4509</v>
      </c>
      <c r="F234" s="3" t="s">
        <v>4486</v>
      </c>
      <c r="G234" s="3" t="s">
        <v>4367</v>
      </c>
      <c r="H234" s="1" t="s">
        <v>205</v>
      </c>
      <c r="I234" s="2" t="s">
        <v>206</v>
      </c>
      <c r="J234" s="3" t="s">
        <v>11</v>
      </c>
      <c r="K234" s="38">
        <v>0.25</v>
      </c>
      <c r="L234" s="39">
        <v>679</v>
      </c>
    </row>
    <row r="235" spans="1:12" ht="19.95" customHeight="1" x14ac:dyDescent="0.3">
      <c r="A235" s="6" t="s">
        <v>4373</v>
      </c>
      <c r="B235" s="7" t="s">
        <v>4374</v>
      </c>
      <c r="C235" s="6" t="s">
        <v>4464</v>
      </c>
      <c r="D235" s="7" t="s">
        <v>4508</v>
      </c>
      <c r="E235" s="6" t="s">
        <v>4509</v>
      </c>
      <c r="F235" s="7" t="s">
        <v>4486</v>
      </c>
      <c r="G235" s="7" t="s">
        <v>4367</v>
      </c>
      <c r="H235" s="5" t="s">
        <v>209</v>
      </c>
      <c r="I235" s="6" t="s">
        <v>210</v>
      </c>
      <c r="J235" s="7" t="s">
        <v>11</v>
      </c>
      <c r="K235" s="36">
        <v>0.5</v>
      </c>
      <c r="L235" s="37">
        <v>558</v>
      </c>
    </row>
    <row r="236" spans="1:12" ht="19.95" customHeight="1" x14ac:dyDescent="0.3">
      <c r="A236" s="2" t="s">
        <v>4373</v>
      </c>
      <c r="B236" s="3" t="s">
        <v>4374</v>
      </c>
      <c r="C236" s="2" t="s">
        <v>4464</v>
      </c>
      <c r="D236" s="3" t="s">
        <v>4510</v>
      </c>
      <c r="E236" s="2" t="s">
        <v>4511</v>
      </c>
      <c r="F236" s="3" t="s">
        <v>4486</v>
      </c>
      <c r="G236" s="3" t="s">
        <v>4367</v>
      </c>
      <c r="H236" s="1" t="s">
        <v>205</v>
      </c>
      <c r="I236" s="2" t="s">
        <v>206</v>
      </c>
      <c r="J236" s="3" t="s">
        <v>11</v>
      </c>
      <c r="K236" s="38">
        <v>0.5</v>
      </c>
      <c r="L236" s="39">
        <v>679</v>
      </c>
    </row>
    <row r="237" spans="1:12" ht="19.95" customHeight="1" x14ac:dyDescent="0.3">
      <c r="A237" s="6" t="s">
        <v>4373</v>
      </c>
      <c r="B237" s="7" t="s">
        <v>4374</v>
      </c>
      <c r="C237" s="6" t="s">
        <v>4464</v>
      </c>
      <c r="D237" s="7" t="s">
        <v>4510</v>
      </c>
      <c r="E237" s="6" t="s">
        <v>4511</v>
      </c>
      <c r="F237" s="7" t="s">
        <v>4486</v>
      </c>
      <c r="G237" s="7" t="s">
        <v>4367</v>
      </c>
      <c r="H237" s="5" t="s">
        <v>209</v>
      </c>
      <c r="I237" s="6" t="s">
        <v>210</v>
      </c>
      <c r="J237" s="7" t="s">
        <v>11</v>
      </c>
      <c r="K237" s="36">
        <v>0.88</v>
      </c>
      <c r="L237" s="37">
        <v>558</v>
      </c>
    </row>
    <row r="238" spans="1:12" ht="19.95" customHeight="1" x14ac:dyDescent="0.3">
      <c r="A238" s="2" t="s">
        <v>4373</v>
      </c>
      <c r="B238" s="3" t="s">
        <v>4374</v>
      </c>
      <c r="C238" s="2" t="s">
        <v>4464</v>
      </c>
      <c r="D238" s="3" t="s">
        <v>4512</v>
      </c>
      <c r="E238" s="2" t="s">
        <v>4513</v>
      </c>
      <c r="F238" s="3" t="s">
        <v>4368</v>
      </c>
      <c r="G238" s="3" t="s">
        <v>4367</v>
      </c>
      <c r="H238" s="1" t="s">
        <v>209</v>
      </c>
      <c r="I238" s="2" t="s">
        <v>210</v>
      </c>
      <c r="J238" s="3" t="s">
        <v>11</v>
      </c>
      <c r="K238" s="38">
        <v>2</v>
      </c>
      <c r="L238" s="39">
        <v>558</v>
      </c>
    </row>
    <row r="239" spans="1:12" ht="19.95" customHeight="1" x14ac:dyDescent="0.3">
      <c r="A239" s="6" t="s">
        <v>4373</v>
      </c>
      <c r="B239" s="7" t="s">
        <v>4374</v>
      </c>
      <c r="C239" s="6" t="s">
        <v>4464</v>
      </c>
      <c r="D239" s="7" t="s">
        <v>4512</v>
      </c>
      <c r="E239" s="6" t="s">
        <v>4513</v>
      </c>
      <c r="F239" s="7" t="s">
        <v>4368</v>
      </c>
      <c r="G239" s="7" t="s">
        <v>4367</v>
      </c>
      <c r="H239" s="5" t="s">
        <v>209</v>
      </c>
      <c r="I239" s="6" t="s">
        <v>210</v>
      </c>
      <c r="J239" s="7" t="s">
        <v>11</v>
      </c>
      <c r="K239" s="36">
        <v>2.2000000000000002</v>
      </c>
      <c r="L239" s="37">
        <v>558</v>
      </c>
    </row>
    <row r="240" spans="1:12" ht="19.95" customHeight="1" x14ac:dyDescent="0.3">
      <c r="A240" s="2" t="s">
        <v>4373</v>
      </c>
      <c r="B240" s="3" t="s">
        <v>4374</v>
      </c>
      <c r="C240" s="2" t="s">
        <v>4464</v>
      </c>
      <c r="D240" s="3" t="s">
        <v>4512</v>
      </c>
      <c r="E240" s="2" t="s">
        <v>4513</v>
      </c>
      <c r="F240" s="3" t="s">
        <v>4368</v>
      </c>
      <c r="G240" s="3" t="s">
        <v>4367</v>
      </c>
      <c r="H240" s="1" t="s">
        <v>209</v>
      </c>
      <c r="I240" s="2" t="s">
        <v>210</v>
      </c>
      <c r="J240" s="3" t="s">
        <v>11</v>
      </c>
      <c r="K240" s="38">
        <v>0.94</v>
      </c>
      <c r="L240" s="39">
        <v>558</v>
      </c>
    </row>
    <row r="241" spans="1:12" ht="19.95" customHeight="1" x14ac:dyDescent="0.3">
      <c r="A241" s="6" t="s">
        <v>4373</v>
      </c>
      <c r="B241" s="7" t="s">
        <v>4374</v>
      </c>
      <c r="C241" s="6" t="s">
        <v>4464</v>
      </c>
      <c r="D241" s="7" t="s">
        <v>4512</v>
      </c>
      <c r="E241" s="6" t="s">
        <v>4513</v>
      </c>
      <c r="F241" s="7" t="s">
        <v>4368</v>
      </c>
      <c r="G241" s="7" t="s">
        <v>4367</v>
      </c>
      <c r="H241" s="5" t="s">
        <v>209</v>
      </c>
      <c r="I241" s="6" t="s">
        <v>210</v>
      </c>
      <c r="J241" s="7" t="s">
        <v>11</v>
      </c>
      <c r="K241" s="36">
        <v>2.5</v>
      </c>
      <c r="L241" s="37">
        <v>558</v>
      </c>
    </row>
    <row r="242" spans="1:12" ht="19.95" customHeight="1" x14ac:dyDescent="0.3">
      <c r="A242" s="2" t="s">
        <v>4373</v>
      </c>
      <c r="B242" s="3" t="s">
        <v>4374</v>
      </c>
      <c r="C242" s="2" t="s">
        <v>4464</v>
      </c>
      <c r="D242" s="3" t="s">
        <v>4512</v>
      </c>
      <c r="E242" s="2" t="s">
        <v>4513</v>
      </c>
      <c r="F242" s="3" t="s">
        <v>4368</v>
      </c>
      <c r="G242" s="3" t="s">
        <v>4367</v>
      </c>
      <c r="H242" s="1" t="s">
        <v>209</v>
      </c>
      <c r="I242" s="2" t="s">
        <v>210</v>
      </c>
      <c r="J242" s="3" t="s">
        <v>11</v>
      </c>
      <c r="K242" s="38">
        <v>2.75</v>
      </c>
      <c r="L242" s="39">
        <v>558</v>
      </c>
    </row>
    <row r="243" spans="1:12" ht="19.95" customHeight="1" x14ac:dyDescent="0.3">
      <c r="A243" s="6" t="s">
        <v>4373</v>
      </c>
      <c r="B243" s="7" t="s">
        <v>4374</v>
      </c>
      <c r="C243" s="6" t="s">
        <v>4464</v>
      </c>
      <c r="D243" s="7" t="s">
        <v>4512</v>
      </c>
      <c r="E243" s="6" t="s">
        <v>4513</v>
      </c>
      <c r="F243" s="7" t="s">
        <v>4368</v>
      </c>
      <c r="G243" s="7" t="s">
        <v>4367</v>
      </c>
      <c r="H243" s="5" t="s">
        <v>209</v>
      </c>
      <c r="I243" s="6" t="s">
        <v>210</v>
      </c>
      <c r="J243" s="7" t="s">
        <v>11</v>
      </c>
      <c r="K243" s="36">
        <v>1.17</v>
      </c>
      <c r="L243" s="37">
        <v>558</v>
      </c>
    </row>
    <row r="244" spans="1:12" ht="19.95" customHeight="1" x14ac:dyDescent="0.3">
      <c r="A244" s="2" t="s">
        <v>4373</v>
      </c>
      <c r="B244" s="3" t="s">
        <v>4374</v>
      </c>
      <c r="C244" s="2" t="s">
        <v>4464</v>
      </c>
      <c r="D244" s="3" t="s">
        <v>4512</v>
      </c>
      <c r="E244" s="2" t="s">
        <v>4513</v>
      </c>
      <c r="F244" s="3" t="s">
        <v>4368</v>
      </c>
      <c r="G244" s="3" t="s">
        <v>4367</v>
      </c>
      <c r="H244" s="1" t="s">
        <v>209</v>
      </c>
      <c r="I244" s="2" t="s">
        <v>210</v>
      </c>
      <c r="J244" s="3" t="s">
        <v>11</v>
      </c>
      <c r="K244" s="38">
        <v>2.5</v>
      </c>
      <c r="L244" s="39">
        <v>558</v>
      </c>
    </row>
    <row r="245" spans="1:12" ht="19.95" customHeight="1" x14ac:dyDescent="0.3">
      <c r="A245" s="6" t="s">
        <v>4373</v>
      </c>
      <c r="B245" s="7" t="s">
        <v>4374</v>
      </c>
      <c r="C245" s="6" t="s">
        <v>4464</v>
      </c>
      <c r="D245" s="7" t="s">
        <v>4512</v>
      </c>
      <c r="E245" s="6" t="s">
        <v>4513</v>
      </c>
      <c r="F245" s="7" t="s">
        <v>4368</v>
      </c>
      <c r="G245" s="7" t="s">
        <v>4367</v>
      </c>
      <c r="H245" s="5" t="s">
        <v>209</v>
      </c>
      <c r="I245" s="6" t="s">
        <v>210</v>
      </c>
      <c r="J245" s="7" t="s">
        <v>11</v>
      </c>
      <c r="K245" s="36">
        <v>2.75</v>
      </c>
      <c r="L245" s="37">
        <v>558</v>
      </c>
    </row>
    <row r="246" spans="1:12" ht="19.95" customHeight="1" x14ac:dyDescent="0.3">
      <c r="A246" s="2" t="s">
        <v>4373</v>
      </c>
      <c r="B246" s="3" t="s">
        <v>4374</v>
      </c>
      <c r="C246" s="2" t="s">
        <v>4464</v>
      </c>
      <c r="D246" s="3" t="s">
        <v>4512</v>
      </c>
      <c r="E246" s="2" t="s">
        <v>4513</v>
      </c>
      <c r="F246" s="3" t="s">
        <v>4368</v>
      </c>
      <c r="G246" s="3" t="s">
        <v>4367</v>
      </c>
      <c r="H246" s="1" t="s">
        <v>209</v>
      </c>
      <c r="I246" s="2" t="s">
        <v>210</v>
      </c>
      <c r="J246" s="3" t="s">
        <v>11</v>
      </c>
      <c r="K246" s="38">
        <v>1.17</v>
      </c>
      <c r="L246" s="39">
        <v>558</v>
      </c>
    </row>
    <row r="247" spans="1:12" ht="19.95" customHeight="1" x14ac:dyDescent="0.3">
      <c r="A247" s="6" t="s">
        <v>4373</v>
      </c>
      <c r="B247" s="7" t="s">
        <v>4374</v>
      </c>
      <c r="C247" s="6" t="s">
        <v>4464</v>
      </c>
      <c r="D247" s="7" t="s">
        <v>4512</v>
      </c>
      <c r="E247" s="6" t="s">
        <v>4513</v>
      </c>
      <c r="F247" s="7" t="s">
        <v>4368</v>
      </c>
      <c r="G247" s="7" t="s">
        <v>4367</v>
      </c>
      <c r="H247" s="5" t="s">
        <v>209</v>
      </c>
      <c r="I247" s="6" t="s">
        <v>210</v>
      </c>
      <c r="J247" s="7" t="s">
        <v>11</v>
      </c>
      <c r="K247" s="36">
        <v>9.25</v>
      </c>
      <c r="L247" s="37">
        <v>558</v>
      </c>
    </row>
    <row r="248" spans="1:12" ht="19.95" customHeight="1" x14ac:dyDescent="0.3">
      <c r="A248" s="2" t="s">
        <v>4373</v>
      </c>
      <c r="B248" s="3" t="s">
        <v>4374</v>
      </c>
      <c r="C248" s="2" t="s">
        <v>4464</v>
      </c>
      <c r="D248" s="3" t="s">
        <v>4514</v>
      </c>
      <c r="E248" s="2" t="s">
        <v>4492</v>
      </c>
      <c r="F248" s="3" t="s">
        <v>4376</v>
      </c>
      <c r="G248" s="3" t="s">
        <v>4367</v>
      </c>
      <c r="H248" s="1" t="s">
        <v>231</v>
      </c>
      <c r="I248" s="2" t="s">
        <v>232</v>
      </c>
      <c r="J248" s="3" t="s">
        <v>11</v>
      </c>
      <c r="K248" s="38">
        <v>0.1</v>
      </c>
      <c r="L248" s="39">
        <v>617</v>
      </c>
    </row>
    <row r="249" spans="1:12" ht="19.95" customHeight="1" x14ac:dyDescent="0.3">
      <c r="A249" s="6" t="s">
        <v>4373</v>
      </c>
      <c r="B249" s="7" t="s">
        <v>4374</v>
      </c>
      <c r="C249" s="6" t="s">
        <v>4464</v>
      </c>
      <c r="D249" s="7" t="s">
        <v>4514</v>
      </c>
      <c r="E249" s="6" t="s">
        <v>4492</v>
      </c>
      <c r="F249" s="7" t="s">
        <v>4376</v>
      </c>
      <c r="G249" s="7" t="s">
        <v>4367</v>
      </c>
      <c r="H249" s="5" t="s">
        <v>209</v>
      </c>
      <c r="I249" s="6" t="s">
        <v>210</v>
      </c>
      <c r="J249" s="7" t="s">
        <v>11</v>
      </c>
      <c r="K249" s="36">
        <v>1.1000000000000001</v>
      </c>
      <c r="L249" s="37">
        <v>558</v>
      </c>
    </row>
    <row r="250" spans="1:12" ht="19.95" customHeight="1" x14ac:dyDescent="0.3">
      <c r="A250" s="2" t="s">
        <v>4373</v>
      </c>
      <c r="B250" s="3" t="s">
        <v>4374</v>
      </c>
      <c r="C250" s="2" t="s">
        <v>4464</v>
      </c>
      <c r="D250" s="3" t="s">
        <v>4515</v>
      </c>
      <c r="E250" s="2" t="s">
        <v>4516</v>
      </c>
      <c r="F250" s="3" t="s">
        <v>4368</v>
      </c>
      <c r="G250" s="3" t="s">
        <v>4367</v>
      </c>
      <c r="H250" s="1" t="s">
        <v>209</v>
      </c>
      <c r="I250" s="2" t="s">
        <v>210</v>
      </c>
      <c r="J250" s="3" t="s">
        <v>11</v>
      </c>
      <c r="K250" s="38">
        <v>16.5</v>
      </c>
      <c r="L250" s="39">
        <v>558</v>
      </c>
    </row>
    <row r="251" spans="1:12" ht="19.95" customHeight="1" x14ac:dyDescent="0.3">
      <c r="A251" s="6" t="s">
        <v>4373</v>
      </c>
      <c r="B251" s="7" t="s">
        <v>4374</v>
      </c>
      <c r="C251" s="6" t="s">
        <v>4464</v>
      </c>
      <c r="D251" s="7" t="s">
        <v>4517</v>
      </c>
      <c r="E251" s="6" t="s">
        <v>4518</v>
      </c>
      <c r="F251" s="7" t="s">
        <v>4519</v>
      </c>
      <c r="G251" s="7" t="s">
        <v>4367</v>
      </c>
      <c r="H251" s="5" t="s">
        <v>209</v>
      </c>
      <c r="I251" s="6" t="s">
        <v>210</v>
      </c>
      <c r="J251" s="7" t="s">
        <v>11</v>
      </c>
      <c r="K251" s="36">
        <v>1.97</v>
      </c>
      <c r="L251" s="37">
        <v>558</v>
      </c>
    </row>
    <row r="252" spans="1:12" ht="19.95" customHeight="1" x14ac:dyDescent="0.3">
      <c r="A252" s="2" t="s">
        <v>4373</v>
      </c>
      <c r="B252" s="3" t="s">
        <v>4374</v>
      </c>
      <c r="C252" s="2" t="s">
        <v>4464</v>
      </c>
      <c r="D252" s="3" t="s">
        <v>4517</v>
      </c>
      <c r="E252" s="2" t="s">
        <v>4518</v>
      </c>
      <c r="F252" s="3" t="s">
        <v>4519</v>
      </c>
      <c r="G252" s="3" t="s">
        <v>4367</v>
      </c>
      <c r="H252" s="1" t="s">
        <v>211</v>
      </c>
      <c r="I252" s="2" t="s">
        <v>212</v>
      </c>
      <c r="J252" s="3" t="s">
        <v>11</v>
      </c>
      <c r="K252" s="38">
        <v>1.29</v>
      </c>
      <c r="L252" s="39">
        <v>558</v>
      </c>
    </row>
    <row r="253" spans="1:12" ht="19.95" customHeight="1" x14ac:dyDescent="0.3">
      <c r="A253" s="6" t="s">
        <v>4373</v>
      </c>
      <c r="B253" s="7" t="s">
        <v>4374</v>
      </c>
      <c r="C253" s="6" t="s">
        <v>4464</v>
      </c>
      <c r="D253" s="7" t="s">
        <v>4520</v>
      </c>
      <c r="E253" s="6" t="s">
        <v>4518</v>
      </c>
      <c r="F253" s="7" t="s">
        <v>4519</v>
      </c>
      <c r="G253" s="7" t="s">
        <v>4367</v>
      </c>
      <c r="H253" s="5" t="s">
        <v>209</v>
      </c>
      <c r="I253" s="6" t="s">
        <v>210</v>
      </c>
      <c r="J253" s="7" t="s">
        <v>11</v>
      </c>
      <c r="K253" s="36">
        <v>2.75</v>
      </c>
      <c r="L253" s="37">
        <v>558</v>
      </c>
    </row>
    <row r="254" spans="1:12" ht="19.95" customHeight="1" x14ac:dyDescent="0.3">
      <c r="A254" s="2" t="s">
        <v>4373</v>
      </c>
      <c r="B254" s="3" t="s">
        <v>4374</v>
      </c>
      <c r="C254" s="2" t="s">
        <v>4464</v>
      </c>
      <c r="D254" s="3" t="s">
        <v>4520</v>
      </c>
      <c r="E254" s="2" t="s">
        <v>4518</v>
      </c>
      <c r="F254" s="3" t="s">
        <v>4519</v>
      </c>
      <c r="G254" s="3" t="s">
        <v>4367</v>
      </c>
      <c r="H254" s="1" t="s">
        <v>197</v>
      </c>
      <c r="I254" s="2" t="s">
        <v>198</v>
      </c>
      <c r="J254" s="3" t="s">
        <v>11</v>
      </c>
      <c r="K254" s="38">
        <v>0.5</v>
      </c>
      <c r="L254" s="39">
        <v>617</v>
      </c>
    </row>
    <row r="255" spans="1:12" ht="19.95" customHeight="1" x14ac:dyDescent="0.3">
      <c r="A255" s="6" t="s">
        <v>4373</v>
      </c>
      <c r="B255" s="7" t="s">
        <v>4374</v>
      </c>
      <c r="C255" s="6" t="s">
        <v>4464</v>
      </c>
      <c r="D255" s="7" t="s">
        <v>4521</v>
      </c>
      <c r="E255" s="6" t="s">
        <v>4492</v>
      </c>
      <c r="F255" s="7" t="s">
        <v>4376</v>
      </c>
      <c r="G255" s="7" t="s">
        <v>4367</v>
      </c>
      <c r="H255" s="5" t="s">
        <v>209</v>
      </c>
      <c r="I255" s="6" t="s">
        <v>210</v>
      </c>
      <c r="J255" s="7" t="s">
        <v>11</v>
      </c>
      <c r="K255" s="36">
        <v>2.2000000000000002</v>
      </c>
      <c r="L255" s="37">
        <v>558</v>
      </c>
    </row>
    <row r="256" spans="1:12" ht="19.95" customHeight="1" x14ac:dyDescent="0.3">
      <c r="A256" s="2" t="s">
        <v>4373</v>
      </c>
      <c r="B256" s="3" t="s">
        <v>4374</v>
      </c>
      <c r="C256" s="2" t="s">
        <v>4464</v>
      </c>
      <c r="D256" s="3" t="s">
        <v>4521</v>
      </c>
      <c r="E256" s="2" t="s">
        <v>4492</v>
      </c>
      <c r="F256" s="3" t="s">
        <v>4376</v>
      </c>
      <c r="G256" s="3" t="s">
        <v>4367</v>
      </c>
      <c r="H256" s="1" t="s">
        <v>211</v>
      </c>
      <c r="I256" s="2" t="s">
        <v>212</v>
      </c>
      <c r="J256" s="3" t="s">
        <v>11</v>
      </c>
      <c r="K256" s="38">
        <v>3.6</v>
      </c>
      <c r="L256" s="39">
        <v>558</v>
      </c>
    </row>
    <row r="257" spans="1:12" ht="19.95" customHeight="1" x14ac:dyDescent="0.3">
      <c r="A257" s="6" t="s">
        <v>4373</v>
      </c>
      <c r="B257" s="7" t="s">
        <v>4374</v>
      </c>
      <c r="C257" s="6" t="s">
        <v>4464</v>
      </c>
      <c r="D257" s="7" t="s">
        <v>4521</v>
      </c>
      <c r="E257" s="6" t="s">
        <v>4492</v>
      </c>
      <c r="F257" s="7" t="s">
        <v>4376</v>
      </c>
      <c r="G257" s="7" t="s">
        <v>4367</v>
      </c>
      <c r="H257" s="5" t="s">
        <v>197</v>
      </c>
      <c r="I257" s="6" t="s">
        <v>198</v>
      </c>
      <c r="J257" s="7" t="s">
        <v>11</v>
      </c>
      <c r="K257" s="36">
        <v>0.4</v>
      </c>
      <c r="L257" s="37">
        <v>617</v>
      </c>
    </row>
    <row r="258" spans="1:12" ht="19.95" customHeight="1" x14ac:dyDescent="0.3">
      <c r="A258" s="2" t="s">
        <v>4373</v>
      </c>
      <c r="B258" s="3" t="s">
        <v>4374</v>
      </c>
      <c r="C258" s="2" t="s">
        <v>4464</v>
      </c>
      <c r="D258" s="3" t="s">
        <v>4521</v>
      </c>
      <c r="E258" s="2" t="s">
        <v>4492</v>
      </c>
      <c r="F258" s="3" t="s">
        <v>4376</v>
      </c>
      <c r="G258" s="3" t="s">
        <v>4369</v>
      </c>
      <c r="H258" s="1" t="s">
        <v>14</v>
      </c>
      <c r="I258" s="2" t="s">
        <v>15</v>
      </c>
      <c r="J258" s="3" t="s">
        <v>11</v>
      </c>
      <c r="K258" s="38">
        <v>8.0000000000000002E-3</v>
      </c>
      <c r="L258" s="39">
        <v>3000</v>
      </c>
    </row>
    <row r="259" spans="1:12" ht="19.95" customHeight="1" x14ac:dyDescent="0.3">
      <c r="A259" s="6" t="s">
        <v>4373</v>
      </c>
      <c r="B259" s="7" t="s">
        <v>4374</v>
      </c>
      <c r="C259" s="6" t="s">
        <v>4464</v>
      </c>
      <c r="D259" s="7" t="s">
        <v>4521</v>
      </c>
      <c r="E259" s="6" t="s">
        <v>4492</v>
      </c>
      <c r="F259" s="7" t="s">
        <v>4376</v>
      </c>
      <c r="G259" s="7" t="s">
        <v>4367</v>
      </c>
      <c r="H259" s="5" t="s">
        <v>207</v>
      </c>
      <c r="I259" s="6" t="s">
        <v>208</v>
      </c>
      <c r="J259" s="7" t="s">
        <v>11</v>
      </c>
      <c r="K259" s="36">
        <v>8.0000000000000002E-3</v>
      </c>
      <c r="L259" s="37">
        <v>558</v>
      </c>
    </row>
    <row r="260" spans="1:12" ht="19.95" customHeight="1" x14ac:dyDescent="0.3">
      <c r="A260" s="2" t="s">
        <v>4373</v>
      </c>
      <c r="B260" s="3" t="s">
        <v>4374</v>
      </c>
      <c r="C260" s="2" t="s">
        <v>4464</v>
      </c>
      <c r="D260" s="3" t="s">
        <v>4522</v>
      </c>
      <c r="E260" s="2" t="s">
        <v>4523</v>
      </c>
      <c r="F260" s="3" t="s">
        <v>4519</v>
      </c>
      <c r="G260" s="3" t="s">
        <v>4367</v>
      </c>
      <c r="H260" s="1" t="s">
        <v>209</v>
      </c>
      <c r="I260" s="2" t="s">
        <v>210</v>
      </c>
      <c r="J260" s="3" t="s">
        <v>11</v>
      </c>
      <c r="K260" s="38">
        <v>1.08</v>
      </c>
      <c r="L260" s="39">
        <v>558</v>
      </c>
    </row>
    <row r="261" spans="1:12" ht="19.95" customHeight="1" x14ac:dyDescent="0.3">
      <c r="A261" s="6" t="s">
        <v>4373</v>
      </c>
      <c r="B261" s="7" t="s">
        <v>4374</v>
      </c>
      <c r="C261" s="6" t="s">
        <v>4464</v>
      </c>
      <c r="D261" s="7" t="s">
        <v>4522</v>
      </c>
      <c r="E261" s="6" t="s">
        <v>4523</v>
      </c>
      <c r="F261" s="7" t="s">
        <v>4519</v>
      </c>
      <c r="G261" s="7" t="s">
        <v>4367</v>
      </c>
      <c r="H261" s="5" t="s">
        <v>211</v>
      </c>
      <c r="I261" s="6" t="s">
        <v>212</v>
      </c>
      <c r="J261" s="7" t="s">
        <v>11</v>
      </c>
      <c r="K261" s="36">
        <v>0.6</v>
      </c>
      <c r="L261" s="37">
        <v>558</v>
      </c>
    </row>
    <row r="262" spans="1:12" ht="19.95" customHeight="1" x14ac:dyDescent="0.3">
      <c r="A262" s="2" t="s">
        <v>4373</v>
      </c>
      <c r="B262" s="3" t="s">
        <v>4374</v>
      </c>
      <c r="C262" s="2" t="s">
        <v>4464</v>
      </c>
      <c r="D262" s="3" t="s">
        <v>4524</v>
      </c>
      <c r="E262" s="2" t="s">
        <v>4525</v>
      </c>
      <c r="F262" s="3" t="s">
        <v>4519</v>
      </c>
      <c r="G262" s="3" t="s">
        <v>4367</v>
      </c>
      <c r="H262" s="1" t="s">
        <v>209</v>
      </c>
      <c r="I262" s="2" t="s">
        <v>210</v>
      </c>
      <c r="J262" s="3" t="s">
        <v>11</v>
      </c>
      <c r="K262" s="38">
        <v>0.6</v>
      </c>
      <c r="L262" s="39">
        <v>558</v>
      </c>
    </row>
    <row r="263" spans="1:12" ht="19.95" customHeight="1" x14ac:dyDescent="0.3">
      <c r="A263" s="6" t="s">
        <v>4373</v>
      </c>
      <c r="B263" s="7" t="s">
        <v>4374</v>
      </c>
      <c r="C263" s="6" t="s">
        <v>4464</v>
      </c>
      <c r="D263" s="7" t="s">
        <v>4524</v>
      </c>
      <c r="E263" s="6" t="s">
        <v>4525</v>
      </c>
      <c r="F263" s="7" t="s">
        <v>4519</v>
      </c>
      <c r="G263" s="7" t="s">
        <v>4367</v>
      </c>
      <c r="H263" s="5" t="s">
        <v>211</v>
      </c>
      <c r="I263" s="6" t="s">
        <v>212</v>
      </c>
      <c r="J263" s="7" t="s">
        <v>11</v>
      </c>
      <c r="K263" s="36">
        <v>0.25</v>
      </c>
      <c r="L263" s="37">
        <v>558</v>
      </c>
    </row>
    <row r="264" spans="1:12" ht="19.95" customHeight="1" x14ac:dyDescent="0.3">
      <c r="A264" s="2" t="s">
        <v>4373</v>
      </c>
      <c r="B264" s="3" t="s">
        <v>4374</v>
      </c>
      <c r="C264" s="2" t="s">
        <v>4464</v>
      </c>
      <c r="D264" s="3" t="s">
        <v>4526</v>
      </c>
      <c r="E264" s="2" t="s">
        <v>4527</v>
      </c>
      <c r="F264" s="3" t="s">
        <v>4528</v>
      </c>
      <c r="G264" s="3" t="s">
        <v>4367</v>
      </c>
      <c r="H264" s="1" t="s">
        <v>209</v>
      </c>
      <c r="I264" s="2" t="s">
        <v>210</v>
      </c>
      <c r="J264" s="3" t="s">
        <v>11</v>
      </c>
      <c r="K264" s="38">
        <v>0.33</v>
      </c>
      <c r="L264" s="39">
        <v>558</v>
      </c>
    </row>
    <row r="265" spans="1:12" ht="19.95" customHeight="1" x14ac:dyDescent="0.3">
      <c r="A265" s="6" t="s">
        <v>4373</v>
      </c>
      <c r="B265" s="7" t="s">
        <v>4374</v>
      </c>
      <c r="C265" s="6" t="s">
        <v>4464</v>
      </c>
      <c r="D265" s="7" t="s">
        <v>4526</v>
      </c>
      <c r="E265" s="6" t="s">
        <v>4527</v>
      </c>
      <c r="F265" s="7" t="s">
        <v>4528</v>
      </c>
      <c r="G265" s="7" t="s">
        <v>4367</v>
      </c>
      <c r="H265" s="5" t="s">
        <v>211</v>
      </c>
      <c r="I265" s="6" t="s">
        <v>212</v>
      </c>
      <c r="J265" s="7" t="s">
        <v>11</v>
      </c>
      <c r="K265" s="36">
        <v>0.17</v>
      </c>
      <c r="L265" s="37">
        <v>558</v>
      </c>
    </row>
    <row r="266" spans="1:12" ht="19.95" customHeight="1" x14ac:dyDescent="0.3">
      <c r="A266" s="2" t="s">
        <v>4373</v>
      </c>
      <c r="B266" s="3" t="s">
        <v>4374</v>
      </c>
      <c r="C266" s="2" t="s">
        <v>4464</v>
      </c>
      <c r="D266" s="3" t="s">
        <v>4529</v>
      </c>
      <c r="E266" s="2" t="s">
        <v>4530</v>
      </c>
      <c r="F266" s="3" t="s">
        <v>4531</v>
      </c>
      <c r="G266" s="3" t="s">
        <v>4367</v>
      </c>
      <c r="H266" s="1" t="s">
        <v>209</v>
      </c>
      <c r="I266" s="2" t="s">
        <v>210</v>
      </c>
      <c r="J266" s="3" t="s">
        <v>11</v>
      </c>
      <c r="K266" s="38">
        <v>1.5</v>
      </c>
      <c r="L266" s="39">
        <v>558</v>
      </c>
    </row>
    <row r="267" spans="1:12" ht="19.95" customHeight="1" x14ac:dyDescent="0.3">
      <c r="A267" s="6" t="s">
        <v>4373</v>
      </c>
      <c r="B267" s="7" t="s">
        <v>4374</v>
      </c>
      <c r="C267" s="6" t="s">
        <v>4464</v>
      </c>
      <c r="D267" s="7" t="s">
        <v>4529</v>
      </c>
      <c r="E267" s="6" t="s">
        <v>4530</v>
      </c>
      <c r="F267" s="7" t="s">
        <v>4531</v>
      </c>
      <c r="G267" s="7" t="s">
        <v>4367</v>
      </c>
      <c r="H267" s="5" t="s">
        <v>211</v>
      </c>
      <c r="I267" s="6" t="s">
        <v>212</v>
      </c>
      <c r="J267" s="7" t="s">
        <v>11</v>
      </c>
      <c r="K267" s="36">
        <v>0.75</v>
      </c>
      <c r="L267" s="37">
        <v>558</v>
      </c>
    </row>
    <row r="268" spans="1:12" ht="19.95" customHeight="1" x14ac:dyDescent="0.3">
      <c r="A268" s="2" t="s">
        <v>4373</v>
      </c>
      <c r="B268" s="3" t="s">
        <v>4374</v>
      </c>
      <c r="C268" s="2" t="s">
        <v>4464</v>
      </c>
      <c r="D268" s="3" t="s">
        <v>4532</v>
      </c>
      <c r="E268" s="2" t="s">
        <v>4533</v>
      </c>
      <c r="F268" s="3" t="s">
        <v>4534</v>
      </c>
      <c r="G268" s="3" t="s">
        <v>4367</v>
      </c>
      <c r="H268" s="1" t="s">
        <v>209</v>
      </c>
      <c r="I268" s="2" t="s">
        <v>210</v>
      </c>
      <c r="J268" s="3" t="s">
        <v>11</v>
      </c>
      <c r="K268" s="38">
        <v>7</v>
      </c>
      <c r="L268" s="39">
        <v>558</v>
      </c>
    </row>
    <row r="269" spans="1:12" ht="19.95" customHeight="1" x14ac:dyDescent="0.3">
      <c r="A269" s="6" t="s">
        <v>4373</v>
      </c>
      <c r="B269" s="7" t="s">
        <v>4374</v>
      </c>
      <c r="C269" s="6" t="s">
        <v>4464</v>
      </c>
      <c r="D269" s="7" t="s">
        <v>4532</v>
      </c>
      <c r="E269" s="6" t="s">
        <v>4533</v>
      </c>
      <c r="F269" s="7" t="s">
        <v>4534</v>
      </c>
      <c r="G269" s="7" t="s">
        <v>4367</v>
      </c>
      <c r="H269" s="5" t="s">
        <v>211</v>
      </c>
      <c r="I269" s="6" t="s">
        <v>212</v>
      </c>
      <c r="J269" s="7" t="s">
        <v>11</v>
      </c>
      <c r="K269" s="36">
        <v>3.5</v>
      </c>
      <c r="L269" s="37">
        <v>558</v>
      </c>
    </row>
    <row r="270" spans="1:12" ht="19.95" customHeight="1" x14ac:dyDescent="0.3">
      <c r="A270" s="2" t="s">
        <v>4373</v>
      </c>
      <c r="B270" s="3" t="s">
        <v>4374</v>
      </c>
      <c r="C270" s="2" t="s">
        <v>4464</v>
      </c>
      <c r="D270" s="3" t="s">
        <v>4535</v>
      </c>
      <c r="E270" s="2" t="s">
        <v>4536</v>
      </c>
      <c r="F270" s="3" t="s">
        <v>4537</v>
      </c>
      <c r="G270" s="3" t="s">
        <v>4367</v>
      </c>
      <c r="H270" s="1" t="s">
        <v>209</v>
      </c>
      <c r="I270" s="2" t="s">
        <v>210</v>
      </c>
      <c r="J270" s="3" t="s">
        <v>11</v>
      </c>
      <c r="K270" s="38">
        <v>14</v>
      </c>
      <c r="L270" s="39">
        <v>558</v>
      </c>
    </row>
    <row r="271" spans="1:12" ht="19.95" customHeight="1" x14ac:dyDescent="0.3">
      <c r="A271" s="6" t="s">
        <v>4373</v>
      </c>
      <c r="B271" s="7" t="s">
        <v>4374</v>
      </c>
      <c r="C271" s="6" t="s">
        <v>4464</v>
      </c>
      <c r="D271" s="7" t="s">
        <v>4535</v>
      </c>
      <c r="E271" s="6" t="s">
        <v>4536</v>
      </c>
      <c r="F271" s="7" t="s">
        <v>4537</v>
      </c>
      <c r="G271" s="7" t="s">
        <v>4367</v>
      </c>
      <c r="H271" s="5" t="s">
        <v>211</v>
      </c>
      <c r="I271" s="6" t="s">
        <v>212</v>
      </c>
      <c r="J271" s="7" t="s">
        <v>11</v>
      </c>
      <c r="K271" s="36">
        <v>7</v>
      </c>
      <c r="L271" s="37">
        <v>558</v>
      </c>
    </row>
    <row r="272" spans="1:12" ht="19.95" customHeight="1" x14ac:dyDescent="0.3">
      <c r="A272" s="2" t="s">
        <v>4373</v>
      </c>
      <c r="B272" s="3" t="s">
        <v>4374</v>
      </c>
      <c r="C272" s="2" t="s">
        <v>4464</v>
      </c>
      <c r="D272" s="3" t="s">
        <v>4538</v>
      </c>
      <c r="E272" s="2" t="s">
        <v>4539</v>
      </c>
      <c r="F272" s="3" t="s">
        <v>4540</v>
      </c>
      <c r="G272" s="3" t="s">
        <v>4367</v>
      </c>
      <c r="H272" s="1" t="s">
        <v>209</v>
      </c>
      <c r="I272" s="2" t="s">
        <v>210</v>
      </c>
      <c r="J272" s="3" t="s">
        <v>11</v>
      </c>
      <c r="K272" s="38">
        <v>0.33</v>
      </c>
      <c r="L272" s="39">
        <v>558</v>
      </c>
    </row>
    <row r="273" spans="1:12" ht="19.95" customHeight="1" x14ac:dyDescent="0.3">
      <c r="A273" s="6" t="s">
        <v>4373</v>
      </c>
      <c r="B273" s="7" t="s">
        <v>4374</v>
      </c>
      <c r="C273" s="6" t="s">
        <v>4464</v>
      </c>
      <c r="D273" s="7" t="s">
        <v>4541</v>
      </c>
      <c r="E273" s="6" t="s">
        <v>4542</v>
      </c>
      <c r="F273" s="7" t="s">
        <v>4540</v>
      </c>
      <c r="G273" s="7" t="s">
        <v>4367</v>
      </c>
      <c r="H273" s="5" t="s">
        <v>209</v>
      </c>
      <c r="I273" s="6" t="s">
        <v>210</v>
      </c>
      <c r="J273" s="7" t="s">
        <v>11</v>
      </c>
      <c r="K273" s="36">
        <v>0.4</v>
      </c>
      <c r="L273" s="37">
        <v>558</v>
      </c>
    </row>
    <row r="274" spans="1:12" ht="19.95" customHeight="1" x14ac:dyDescent="0.3">
      <c r="A274" s="2" t="s">
        <v>4373</v>
      </c>
      <c r="B274" s="3" t="s">
        <v>4374</v>
      </c>
      <c r="C274" s="2" t="s">
        <v>4464</v>
      </c>
      <c r="D274" s="3" t="s">
        <v>4543</v>
      </c>
      <c r="E274" s="2" t="s">
        <v>4544</v>
      </c>
      <c r="F274" s="3" t="s">
        <v>4377</v>
      </c>
      <c r="G274" s="3" t="s">
        <v>4367</v>
      </c>
      <c r="H274" s="1" t="s">
        <v>209</v>
      </c>
      <c r="I274" s="2" t="s">
        <v>210</v>
      </c>
      <c r="J274" s="3" t="s">
        <v>11</v>
      </c>
      <c r="K274" s="38">
        <v>2</v>
      </c>
      <c r="L274" s="39">
        <v>558</v>
      </c>
    </row>
    <row r="275" spans="1:12" ht="19.95" customHeight="1" x14ac:dyDescent="0.3">
      <c r="A275" s="6" t="s">
        <v>4373</v>
      </c>
      <c r="B275" s="7" t="s">
        <v>4374</v>
      </c>
      <c r="C275" s="6" t="s">
        <v>4464</v>
      </c>
      <c r="D275" s="7" t="s">
        <v>4543</v>
      </c>
      <c r="E275" s="6" t="s">
        <v>4544</v>
      </c>
      <c r="F275" s="7" t="s">
        <v>4377</v>
      </c>
      <c r="G275" s="7" t="s">
        <v>4367</v>
      </c>
      <c r="H275" s="5" t="s">
        <v>223</v>
      </c>
      <c r="I275" s="6" t="s">
        <v>224</v>
      </c>
      <c r="J275" s="7" t="s">
        <v>11</v>
      </c>
      <c r="K275" s="36">
        <v>0.5</v>
      </c>
      <c r="L275" s="37">
        <v>679</v>
      </c>
    </row>
    <row r="276" spans="1:12" ht="19.95" customHeight="1" x14ac:dyDescent="0.3">
      <c r="A276" s="2" t="s">
        <v>4373</v>
      </c>
      <c r="B276" s="3" t="s">
        <v>4374</v>
      </c>
      <c r="C276" s="2" t="s">
        <v>4464</v>
      </c>
      <c r="D276" s="3" t="s">
        <v>4545</v>
      </c>
      <c r="E276" s="2" t="s">
        <v>4546</v>
      </c>
      <c r="F276" s="3" t="s">
        <v>4540</v>
      </c>
      <c r="G276" s="3" t="s">
        <v>4367</v>
      </c>
      <c r="H276" s="1" t="s">
        <v>209</v>
      </c>
      <c r="I276" s="2" t="s">
        <v>210</v>
      </c>
      <c r="J276" s="3" t="s">
        <v>11</v>
      </c>
      <c r="K276" s="38">
        <v>0.3</v>
      </c>
      <c r="L276" s="39">
        <v>558</v>
      </c>
    </row>
    <row r="277" spans="1:12" ht="19.95" customHeight="1" x14ac:dyDescent="0.3">
      <c r="A277" s="6" t="s">
        <v>4373</v>
      </c>
      <c r="B277" s="7" t="s">
        <v>4374</v>
      </c>
      <c r="C277" s="6" t="s">
        <v>4464</v>
      </c>
      <c r="D277" s="7" t="s">
        <v>4545</v>
      </c>
      <c r="E277" s="6" t="s">
        <v>4546</v>
      </c>
      <c r="F277" s="7" t="s">
        <v>4540</v>
      </c>
      <c r="G277" s="7" t="s">
        <v>4367</v>
      </c>
      <c r="H277" s="5" t="s">
        <v>223</v>
      </c>
      <c r="I277" s="6" t="s">
        <v>224</v>
      </c>
      <c r="J277" s="7" t="s">
        <v>11</v>
      </c>
      <c r="K277" s="36">
        <v>0.05</v>
      </c>
      <c r="L277" s="37">
        <v>679</v>
      </c>
    </row>
    <row r="278" spans="1:12" ht="19.95" customHeight="1" x14ac:dyDescent="0.3">
      <c r="A278" s="2" t="s">
        <v>4373</v>
      </c>
      <c r="B278" s="3" t="s">
        <v>4374</v>
      </c>
      <c r="C278" s="2" t="s">
        <v>4464</v>
      </c>
      <c r="D278" s="3" t="s">
        <v>4547</v>
      </c>
      <c r="E278" s="2" t="s">
        <v>4548</v>
      </c>
      <c r="F278" s="3" t="s">
        <v>4540</v>
      </c>
      <c r="G278" s="3" t="s">
        <v>4367</v>
      </c>
      <c r="H278" s="1" t="s">
        <v>205</v>
      </c>
      <c r="I278" s="2" t="s">
        <v>206</v>
      </c>
      <c r="J278" s="3" t="s">
        <v>11</v>
      </c>
      <c r="K278" s="38">
        <v>0.2</v>
      </c>
      <c r="L278" s="39">
        <v>679</v>
      </c>
    </row>
    <row r="279" spans="1:12" ht="19.95" customHeight="1" x14ac:dyDescent="0.3">
      <c r="A279" s="6" t="s">
        <v>4373</v>
      </c>
      <c r="B279" s="7" t="s">
        <v>4374</v>
      </c>
      <c r="C279" s="6" t="s">
        <v>4464</v>
      </c>
      <c r="D279" s="7" t="s">
        <v>4547</v>
      </c>
      <c r="E279" s="6" t="s">
        <v>4548</v>
      </c>
      <c r="F279" s="7" t="s">
        <v>4540</v>
      </c>
      <c r="G279" s="7" t="s">
        <v>4367</v>
      </c>
      <c r="H279" s="5" t="s">
        <v>209</v>
      </c>
      <c r="I279" s="6" t="s">
        <v>210</v>
      </c>
      <c r="J279" s="7" t="s">
        <v>11</v>
      </c>
      <c r="K279" s="36">
        <v>0.2</v>
      </c>
      <c r="L279" s="37">
        <v>558</v>
      </c>
    </row>
    <row r="280" spans="1:12" ht="19.95" customHeight="1" x14ac:dyDescent="0.3">
      <c r="A280" s="2" t="s">
        <v>4373</v>
      </c>
      <c r="B280" s="3" t="s">
        <v>4374</v>
      </c>
      <c r="C280" s="2" t="s">
        <v>4464</v>
      </c>
      <c r="D280" s="3" t="s">
        <v>4549</v>
      </c>
      <c r="E280" s="2" t="s">
        <v>4550</v>
      </c>
      <c r="F280" s="3" t="s">
        <v>4376</v>
      </c>
      <c r="G280" s="3" t="s">
        <v>4369</v>
      </c>
      <c r="H280" s="1" t="s">
        <v>49</v>
      </c>
      <c r="I280" s="2" t="s">
        <v>4379</v>
      </c>
      <c r="J280" s="3" t="s">
        <v>11</v>
      </c>
      <c r="K280" s="38">
        <v>4.1000000000000002E-2</v>
      </c>
      <c r="L280" s="39">
        <v>7000</v>
      </c>
    </row>
    <row r="281" spans="1:12" ht="19.95" customHeight="1" x14ac:dyDescent="0.3">
      <c r="A281" s="6" t="s">
        <v>4373</v>
      </c>
      <c r="B281" s="7" t="s">
        <v>4374</v>
      </c>
      <c r="C281" s="6" t="s">
        <v>4464</v>
      </c>
      <c r="D281" s="7" t="s">
        <v>4549</v>
      </c>
      <c r="E281" s="6" t="s">
        <v>4550</v>
      </c>
      <c r="F281" s="7" t="s">
        <v>4376</v>
      </c>
      <c r="G281" s="7" t="s">
        <v>4369</v>
      </c>
      <c r="H281" s="5" t="s">
        <v>45</v>
      </c>
      <c r="I281" s="6" t="s">
        <v>4378</v>
      </c>
      <c r="J281" s="7" t="s">
        <v>11</v>
      </c>
      <c r="K281" s="36">
        <v>4.1000000000000002E-2</v>
      </c>
      <c r="L281" s="37">
        <v>5000</v>
      </c>
    </row>
    <row r="282" spans="1:12" ht="19.95" customHeight="1" x14ac:dyDescent="0.3">
      <c r="A282" s="2" t="s">
        <v>4373</v>
      </c>
      <c r="B282" s="3" t="s">
        <v>4374</v>
      </c>
      <c r="C282" s="2" t="s">
        <v>4464</v>
      </c>
      <c r="D282" s="3" t="s">
        <v>4549</v>
      </c>
      <c r="E282" s="2" t="s">
        <v>4550</v>
      </c>
      <c r="F282" s="3" t="s">
        <v>4376</v>
      </c>
      <c r="G282" s="3" t="s">
        <v>4367</v>
      </c>
      <c r="H282" s="1" t="s">
        <v>231</v>
      </c>
      <c r="I282" s="2" t="s">
        <v>232</v>
      </c>
      <c r="J282" s="3" t="s">
        <v>11</v>
      </c>
      <c r="K282" s="38">
        <v>0.32</v>
      </c>
      <c r="L282" s="39">
        <v>617</v>
      </c>
    </row>
    <row r="283" spans="1:12" ht="19.95" customHeight="1" x14ac:dyDescent="0.3">
      <c r="A283" s="6" t="s">
        <v>4373</v>
      </c>
      <c r="B283" s="7" t="s">
        <v>4374</v>
      </c>
      <c r="C283" s="6" t="s">
        <v>4464</v>
      </c>
      <c r="D283" s="7" t="s">
        <v>4549</v>
      </c>
      <c r="E283" s="6" t="s">
        <v>4550</v>
      </c>
      <c r="F283" s="7" t="s">
        <v>4376</v>
      </c>
      <c r="G283" s="7" t="s">
        <v>4367</v>
      </c>
      <c r="H283" s="5" t="s">
        <v>211</v>
      </c>
      <c r="I283" s="6" t="s">
        <v>212</v>
      </c>
      <c r="J283" s="7" t="s">
        <v>11</v>
      </c>
      <c r="K283" s="36">
        <v>1.2</v>
      </c>
      <c r="L283" s="37">
        <v>558</v>
      </c>
    </row>
    <row r="284" spans="1:12" ht="19.95" customHeight="1" x14ac:dyDescent="0.3">
      <c r="A284" s="2" t="s">
        <v>4373</v>
      </c>
      <c r="B284" s="3" t="s">
        <v>4374</v>
      </c>
      <c r="C284" s="2" t="s">
        <v>4464</v>
      </c>
      <c r="D284" s="3" t="s">
        <v>4551</v>
      </c>
      <c r="E284" s="2" t="s">
        <v>4552</v>
      </c>
      <c r="F284" s="3" t="s">
        <v>4376</v>
      </c>
      <c r="G284" s="3" t="s">
        <v>4369</v>
      </c>
      <c r="H284" s="1" t="s">
        <v>49</v>
      </c>
      <c r="I284" s="2" t="s">
        <v>4379</v>
      </c>
      <c r="J284" s="3" t="s">
        <v>11</v>
      </c>
      <c r="K284" s="38">
        <v>4.1250000000000002E-2</v>
      </c>
      <c r="L284" s="39">
        <v>7000</v>
      </c>
    </row>
    <row r="285" spans="1:12" ht="19.95" customHeight="1" x14ac:dyDescent="0.3">
      <c r="A285" s="6" t="s">
        <v>4373</v>
      </c>
      <c r="B285" s="7" t="s">
        <v>4374</v>
      </c>
      <c r="C285" s="6" t="s">
        <v>4464</v>
      </c>
      <c r="D285" s="7" t="s">
        <v>4551</v>
      </c>
      <c r="E285" s="6" t="s">
        <v>4552</v>
      </c>
      <c r="F285" s="7" t="s">
        <v>4376</v>
      </c>
      <c r="G285" s="7" t="s">
        <v>4369</v>
      </c>
      <c r="H285" s="5" t="s">
        <v>45</v>
      </c>
      <c r="I285" s="6" t="s">
        <v>4378</v>
      </c>
      <c r="J285" s="7" t="s">
        <v>11</v>
      </c>
      <c r="K285" s="36">
        <v>4.1250000000000002E-2</v>
      </c>
      <c r="L285" s="37">
        <v>5000</v>
      </c>
    </row>
    <row r="286" spans="1:12" ht="19.95" customHeight="1" x14ac:dyDescent="0.3">
      <c r="A286" s="2" t="s">
        <v>4373</v>
      </c>
      <c r="B286" s="3" t="s">
        <v>4374</v>
      </c>
      <c r="C286" s="2" t="s">
        <v>4464</v>
      </c>
      <c r="D286" s="3" t="s">
        <v>4551</v>
      </c>
      <c r="E286" s="2" t="s">
        <v>4552</v>
      </c>
      <c r="F286" s="3" t="s">
        <v>4376</v>
      </c>
      <c r="G286" s="3" t="s">
        <v>4367</v>
      </c>
      <c r="H286" s="1" t="s">
        <v>231</v>
      </c>
      <c r="I286" s="2" t="s">
        <v>232</v>
      </c>
      <c r="J286" s="3" t="s">
        <v>11</v>
      </c>
      <c r="K286" s="38">
        <v>0.4</v>
      </c>
      <c r="L286" s="39">
        <v>617</v>
      </c>
    </row>
    <row r="287" spans="1:12" ht="19.95" customHeight="1" x14ac:dyDescent="0.3">
      <c r="A287" s="6" t="s">
        <v>4373</v>
      </c>
      <c r="B287" s="7" t="s">
        <v>4374</v>
      </c>
      <c r="C287" s="6" t="s">
        <v>4464</v>
      </c>
      <c r="D287" s="7" t="s">
        <v>4551</v>
      </c>
      <c r="E287" s="6" t="s">
        <v>4552</v>
      </c>
      <c r="F287" s="7" t="s">
        <v>4376</v>
      </c>
      <c r="G287" s="7" t="s">
        <v>4367</v>
      </c>
      <c r="H287" s="5" t="s">
        <v>211</v>
      </c>
      <c r="I287" s="6" t="s">
        <v>212</v>
      </c>
      <c r="J287" s="7" t="s">
        <v>11</v>
      </c>
      <c r="K287" s="36">
        <v>2.0499999999999998</v>
      </c>
      <c r="L287" s="37">
        <v>558</v>
      </c>
    </row>
    <row r="288" spans="1:12" ht="19.95" customHeight="1" x14ac:dyDescent="0.3">
      <c r="A288" s="2" t="s">
        <v>4380</v>
      </c>
      <c r="B288" s="3" t="s">
        <v>4374</v>
      </c>
      <c r="C288" s="2" t="s">
        <v>4464</v>
      </c>
      <c r="D288" s="3" t="s">
        <v>4553</v>
      </c>
      <c r="E288" s="2" t="s">
        <v>4554</v>
      </c>
      <c r="F288" s="3" t="s">
        <v>4376</v>
      </c>
      <c r="G288" s="3" t="s">
        <v>4367</v>
      </c>
      <c r="H288" s="1" t="s">
        <v>231</v>
      </c>
      <c r="I288" s="2" t="s">
        <v>232</v>
      </c>
      <c r="J288" s="3" t="s">
        <v>11</v>
      </c>
      <c r="K288" s="38">
        <v>0.08</v>
      </c>
      <c r="L288" s="39">
        <v>617</v>
      </c>
    </row>
    <row r="289" spans="1:12" ht="19.95" customHeight="1" x14ac:dyDescent="0.3">
      <c r="A289" s="6" t="s">
        <v>4380</v>
      </c>
      <c r="B289" s="7" t="s">
        <v>4374</v>
      </c>
      <c r="C289" s="6" t="s">
        <v>4464</v>
      </c>
      <c r="D289" s="7" t="s">
        <v>4553</v>
      </c>
      <c r="E289" s="6" t="s">
        <v>4554</v>
      </c>
      <c r="F289" s="7" t="s">
        <v>4376</v>
      </c>
      <c r="G289" s="7" t="s">
        <v>4367</v>
      </c>
      <c r="H289" s="5" t="s">
        <v>211</v>
      </c>
      <c r="I289" s="6" t="s">
        <v>4381</v>
      </c>
      <c r="J289" s="7" t="s">
        <v>11</v>
      </c>
      <c r="K289" s="36">
        <v>0.8</v>
      </c>
      <c r="L289" s="37">
        <v>558</v>
      </c>
    </row>
    <row r="290" spans="1:12" ht="19.95" customHeight="1" x14ac:dyDescent="0.3">
      <c r="A290" s="2" t="s">
        <v>4380</v>
      </c>
      <c r="B290" s="3" t="s">
        <v>4374</v>
      </c>
      <c r="C290" s="2" t="s">
        <v>4464</v>
      </c>
      <c r="D290" s="3" t="s">
        <v>4555</v>
      </c>
      <c r="E290" s="2" t="s">
        <v>4556</v>
      </c>
      <c r="F290" s="3" t="s">
        <v>4376</v>
      </c>
      <c r="G290" s="3" t="s">
        <v>4367</v>
      </c>
      <c r="H290" s="1" t="s">
        <v>207</v>
      </c>
      <c r="I290" s="2" t="s">
        <v>208</v>
      </c>
      <c r="J290" s="3" t="s">
        <v>11</v>
      </c>
      <c r="K290" s="38">
        <v>8.0000000000000002E-3</v>
      </c>
      <c r="L290" s="39">
        <v>558</v>
      </c>
    </row>
    <row r="291" spans="1:12" ht="19.95" customHeight="1" x14ac:dyDescent="0.3">
      <c r="A291" s="6" t="s">
        <v>4380</v>
      </c>
      <c r="B291" s="7" t="s">
        <v>4374</v>
      </c>
      <c r="C291" s="6" t="s">
        <v>4464</v>
      </c>
      <c r="D291" s="7" t="s">
        <v>4555</v>
      </c>
      <c r="E291" s="6" t="s">
        <v>4556</v>
      </c>
      <c r="F291" s="7" t="s">
        <v>4376</v>
      </c>
      <c r="G291" s="7" t="s">
        <v>4369</v>
      </c>
      <c r="H291" s="5" t="s">
        <v>14</v>
      </c>
      <c r="I291" s="6" t="s">
        <v>15</v>
      </c>
      <c r="J291" s="7" t="s">
        <v>11</v>
      </c>
      <c r="K291" s="36">
        <v>8.0000000000000002E-3</v>
      </c>
      <c r="L291" s="37">
        <v>3000</v>
      </c>
    </row>
    <row r="292" spans="1:12" ht="19.95" customHeight="1" x14ac:dyDescent="0.3">
      <c r="A292" s="2" t="s">
        <v>4380</v>
      </c>
      <c r="B292" s="3" t="s">
        <v>4374</v>
      </c>
      <c r="C292" s="2" t="s">
        <v>4464</v>
      </c>
      <c r="D292" s="3" t="s">
        <v>4557</v>
      </c>
      <c r="E292" s="2" t="s">
        <v>4558</v>
      </c>
      <c r="F292" s="3" t="s">
        <v>4376</v>
      </c>
      <c r="G292" s="3" t="s">
        <v>4367</v>
      </c>
      <c r="H292" s="1" t="s">
        <v>197</v>
      </c>
      <c r="I292" s="2" t="s">
        <v>198</v>
      </c>
      <c r="J292" s="3" t="s">
        <v>11</v>
      </c>
      <c r="K292" s="38">
        <v>0.4</v>
      </c>
      <c r="L292" s="39">
        <v>617</v>
      </c>
    </row>
    <row r="293" spans="1:12" ht="19.95" customHeight="1" x14ac:dyDescent="0.3">
      <c r="A293" s="6" t="s">
        <v>4382</v>
      </c>
      <c r="B293" s="7" t="s">
        <v>4374</v>
      </c>
      <c r="C293" s="6" t="s">
        <v>4464</v>
      </c>
      <c r="D293" s="7" t="s">
        <v>4512</v>
      </c>
      <c r="E293" s="6" t="s">
        <v>4559</v>
      </c>
      <c r="F293" s="7" t="s">
        <v>4376</v>
      </c>
      <c r="G293" s="7" t="s">
        <v>4367</v>
      </c>
      <c r="H293" s="5" t="s">
        <v>231</v>
      </c>
      <c r="I293" s="6" t="s">
        <v>232</v>
      </c>
      <c r="J293" s="7" t="s">
        <v>11</v>
      </c>
      <c r="K293" s="36">
        <v>0.2</v>
      </c>
      <c r="L293" s="37">
        <v>617</v>
      </c>
    </row>
    <row r="294" spans="1:12" ht="19.95" customHeight="1" x14ac:dyDescent="0.3">
      <c r="A294" s="2" t="s">
        <v>4382</v>
      </c>
      <c r="B294" s="3" t="s">
        <v>4374</v>
      </c>
      <c r="C294" s="2" t="s">
        <v>4464</v>
      </c>
      <c r="D294" s="3" t="s">
        <v>4512</v>
      </c>
      <c r="E294" s="2" t="s">
        <v>4559</v>
      </c>
      <c r="F294" s="3" t="s">
        <v>4376</v>
      </c>
      <c r="G294" s="3" t="s">
        <v>4367</v>
      </c>
      <c r="H294" s="1" t="s">
        <v>211</v>
      </c>
      <c r="I294" s="2" t="s">
        <v>212</v>
      </c>
      <c r="J294" s="3" t="s">
        <v>11</v>
      </c>
      <c r="K294" s="38">
        <v>2.5</v>
      </c>
      <c r="L294" s="39">
        <v>558</v>
      </c>
    </row>
    <row r="295" spans="1:12" ht="19.95" customHeight="1" x14ac:dyDescent="0.3">
      <c r="A295" s="6" t="s">
        <v>4382</v>
      </c>
      <c r="B295" s="7" t="s">
        <v>4374</v>
      </c>
      <c r="C295" s="6" t="s">
        <v>4464</v>
      </c>
      <c r="D295" s="7" t="s">
        <v>4512</v>
      </c>
      <c r="E295" s="6" t="s">
        <v>4559</v>
      </c>
      <c r="F295" s="7" t="s">
        <v>4376</v>
      </c>
      <c r="G295" s="7" t="s">
        <v>4367</v>
      </c>
      <c r="H295" s="5" t="s">
        <v>197</v>
      </c>
      <c r="I295" s="6" t="s">
        <v>198</v>
      </c>
      <c r="J295" s="7" t="s">
        <v>11</v>
      </c>
      <c r="K295" s="36">
        <v>0.2</v>
      </c>
      <c r="L295" s="37">
        <v>617</v>
      </c>
    </row>
    <row r="296" spans="1:12" ht="19.95" customHeight="1" x14ac:dyDescent="0.3">
      <c r="A296" s="2" t="s">
        <v>4382</v>
      </c>
      <c r="B296" s="3" t="s">
        <v>4374</v>
      </c>
      <c r="C296" s="2" t="s">
        <v>4464</v>
      </c>
      <c r="D296" s="3" t="s">
        <v>4515</v>
      </c>
      <c r="E296" s="2" t="s">
        <v>4560</v>
      </c>
      <c r="F296" s="3" t="s">
        <v>4376</v>
      </c>
      <c r="G296" s="3" t="s">
        <v>4367</v>
      </c>
      <c r="H296" s="1" t="s">
        <v>231</v>
      </c>
      <c r="I296" s="2" t="s">
        <v>232</v>
      </c>
      <c r="J296" s="3" t="s">
        <v>11</v>
      </c>
      <c r="K296" s="38">
        <v>0.2</v>
      </c>
      <c r="L296" s="39">
        <v>617</v>
      </c>
    </row>
    <row r="297" spans="1:12" ht="19.95" customHeight="1" x14ac:dyDescent="0.3">
      <c r="A297" s="6" t="s">
        <v>4382</v>
      </c>
      <c r="B297" s="7" t="s">
        <v>4374</v>
      </c>
      <c r="C297" s="6" t="s">
        <v>4464</v>
      </c>
      <c r="D297" s="7" t="s">
        <v>4515</v>
      </c>
      <c r="E297" s="6" t="s">
        <v>4560</v>
      </c>
      <c r="F297" s="7" t="s">
        <v>4376</v>
      </c>
      <c r="G297" s="7" t="s">
        <v>4367</v>
      </c>
      <c r="H297" s="5" t="s">
        <v>209</v>
      </c>
      <c r="I297" s="6" t="s">
        <v>210</v>
      </c>
      <c r="J297" s="7" t="s">
        <v>11</v>
      </c>
      <c r="K297" s="36">
        <v>1.95</v>
      </c>
      <c r="L297" s="37">
        <v>558</v>
      </c>
    </row>
    <row r="298" spans="1:12" ht="19.95" customHeight="1" x14ac:dyDescent="0.3">
      <c r="A298" s="2" t="s">
        <v>4382</v>
      </c>
      <c r="B298" s="3" t="s">
        <v>4374</v>
      </c>
      <c r="C298" s="2" t="s">
        <v>4464</v>
      </c>
      <c r="D298" s="3" t="s">
        <v>4515</v>
      </c>
      <c r="E298" s="2" t="s">
        <v>4560</v>
      </c>
      <c r="F298" s="3" t="s">
        <v>4376</v>
      </c>
      <c r="G298" s="3" t="s">
        <v>4367</v>
      </c>
      <c r="H298" s="1" t="s">
        <v>209</v>
      </c>
      <c r="I298" s="2" t="s">
        <v>210</v>
      </c>
      <c r="J298" s="3" t="s">
        <v>11</v>
      </c>
      <c r="K298" s="38">
        <v>0.89</v>
      </c>
      <c r="L298" s="39">
        <v>558</v>
      </c>
    </row>
    <row r="299" spans="1:12" ht="19.95" customHeight="1" x14ac:dyDescent="0.3">
      <c r="A299" s="6" t="s">
        <v>4382</v>
      </c>
      <c r="B299" s="7" t="s">
        <v>4374</v>
      </c>
      <c r="C299" s="6" t="s">
        <v>4464</v>
      </c>
      <c r="D299" s="7" t="s">
        <v>4515</v>
      </c>
      <c r="E299" s="6" t="s">
        <v>4560</v>
      </c>
      <c r="F299" s="7" t="s">
        <v>4376</v>
      </c>
      <c r="G299" s="7" t="s">
        <v>4367</v>
      </c>
      <c r="H299" s="5" t="s">
        <v>211</v>
      </c>
      <c r="I299" s="6" t="s">
        <v>212</v>
      </c>
      <c r="J299" s="7" t="s">
        <v>11</v>
      </c>
      <c r="K299" s="36">
        <v>1.07</v>
      </c>
      <c r="L299" s="37">
        <v>558</v>
      </c>
    </row>
    <row r="300" spans="1:12" ht="19.95" customHeight="1" x14ac:dyDescent="0.3">
      <c r="A300" s="2" t="s">
        <v>4382</v>
      </c>
      <c r="B300" s="3" t="s">
        <v>4374</v>
      </c>
      <c r="C300" s="2" t="s">
        <v>4464</v>
      </c>
      <c r="D300" s="3" t="s">
        <v>4515</v>
      </c>
      <c r="E300" s="2" t="s">
        <v>4560</v>
      </c>
      <c r="F300" s="3" t="s">
        <v>4376</v>
      </c>
      <c r="G300" s="3" t="s">
        <v>4367</v>
      </c>
      <c r="H300" s="1" t="s">
        <v>197</v>
      </c>
      <c r="I300" s="2" t="s">
        <v>198</v>
      </c>
      <c r="J300" s="3" t="s">
        <v>11</v>
      </c>
      <c r="K300" s="38">
        <v>0.35</v>
      </c>
      <c r="L300" s="39">
        <v>617</v>
      </c>
    </row>
    <row r="301" spans="1:12" ht="19.95" customHeight="1" x14ac:dyDescent="0.3">
      <c r="A301" s="6" t="s">
        <v>4382</v>
      </c>
      <c r="B301" s="7" t="s">
        <v>4374</v>
      </c>
      <c r="C301" s="6" t="s">
        <v>4464</v>
      </c>
      <c r="D301" s="7" t="s">
        <v>4561</v>
      </c>
      <c r="E301" s="6" t="s">
        <v>4562</v>
      </c>
      <c r="F301" s="7" t="s">
        <v>4376</v>
      </c>
      <c r="G301" s="7" t="s">
        <v>4367</v>
      </c>
      <c r="H301" s="5" t="s">
        <v>231</v>
      </c>
      <c r="I301" s="6" t="s">
        <v>232</v>
      </c>
      <c r="J301" s="7" t="s">
        <v>11</v>
      </c>
      <c r="K301" s="36">
        <v>0.2</v>
      </c>
      <c r="L301" s="37">
        <v>617</v>
      </c>
    </row>
    <row r="302" spans="1:12" ht="19.95" customHeight="1" x14ac:dyDescent="0.3">
      <c r="A302" s="2" t="s">
        <v>4382</v>
      </c>
      <c r="B302" s="3" t="s">
        <v>4374</v>
      </c>
      <c r="C302" s="2" t="s">
        <v>4464</v>
      </c>
      <c r="D302" s="3" t="s">
        <v>4561</v>
      </c>
      <c r="E302" s="2" t="s">
        <v>4562</v>
      </c>
      <c r="F302" s="3" t="s">
        <v>4376</v>
      </c>
      <c r="G302" s="3" t="s">
        <v>4367</v>
      </c>
      <c r="H302" s="1" t="s">
        <v>211</v>
      </c>
      <c r="I302" s="2" t="s">
        <v>212</v>
      </c>
      <c r="J302" s="3" t="s">
        <v>11</v>
      </c>
      <c r="K302" s="38">
        <v>2.5</v>
      </c>
      <c r="L302" s="39">
        <v>558</v>
      </c>
    </row>
    <row r="303" spans="1:12" ht="19.95" customHeight="1" x14ac:dyDescent="0.3">
      <c r="A303" s="6" t="s">
        <v>4382</v>
      </c>
      <c r="B303" s="7" t="s">
        <v>4374</v>
      </c>
      <c r="C303" s="6" t="s">
        <v>4464</v>
      </c>
      <c r="D303" s="7" t="s">
        <v>4561</v>
      </c>
      <c r="E303" s="6" t="s">
        <v>4562</v>
      </c>
      <c r="F303" s="7" t="s">
        <v>4376</v>
      </c>
      <c r="G303" s="7" t="s">
        <v>4367</v>
      </c>
      <c r="H303" s="5" t="s">
        <v>197</v>
      </c>
      <c r="I303" s="6" t="s">
        <v>198</v>
      </c>
      <c r="J303" s="7" t="s">
        <v>11</v>
      </c>
      <c r="K303" s="36">
        <v>0.2</v>
      </c>
      <c r="L303" s="37">
        <v>617</v>
      </c>
    </row>
    <row r="304" spans="1:12" ht="19.95" customHeight="1" x14ac:dyDescent="0.3">
      <c r="A304" s="2" t="s">
        <v>4382</v>
      </c>
      <c r="B304" s="3" t="s">
        <v>4374</v>
      </c>
      <c r="C304" s="2" t="s">
        <v>4464</v>
      </c>
      <c r="D304" s="3" t="s">
        <v>4563</v>
      </c>
      <c r="E304" s="2" t="s">
        <v>4564</v>
      </c>
      <c r="F304" s="3" t="s">
        <v>4376</v>
      </c>
      <c r="G304" s="3" t="s">
        <v>4369</v>
      </c>
      <c r="H304" s="1" t="s">
        <v>49</v>
      </c>
      <c r="I304" s="2" t="s">
        <v>4379</v>
      </c>
      <c r="J304" s="3" t="s">
        <v>11</v>
      </c>
      <c r="K304" s="38">
        <v>6.3E-2</v>
      </c>
      <c r="L304" s="39">
        <v>7000</v>
      </c>
    </row>
    <row r="305" spans="1:12" ht="19.95" customHeight="1" x14ac:dyDescent="0.3">
      <c r="A305" s="6" t="s">
        <v>4382</v>
      </c>
      <c r="B305" s="7" t="s">
        <v>4374</v>
      </c>
      <c r="C305" s="6" t="s">
        <v>4464</v>
      </c>
      <c r="D305" s="7" t="s">
        <v>4563</v>
      </c>
      <c r="E305" s="6" t="s">
        <v>4564</v>
      </c>
      <c r="F305" s="7" t="s">
        <v>4376</v>
      </c>
      <c r="G305" s="7" t="s">
        <v>4369</v>
      </c>
      <c r="H305" s="5" t="s">
        <v>43</v>
      </c>
      <c r="I305" s="6" t="s">
        <v>44</v>
      </c>
      <c r="J305" s="7" t="s">
        <v>11</v>
      </c>
      <c r="K305" s="36">
        <v>6.3E-2</v>
      </c>
      <c r="L305" s="37">
        <v>1700</v>
      </c>
    </row>
    <row r="306" spans="1:12" ht="19.95" customHeight="1" x14ac:dyDescent="0.3">
      <c r="A306" s="2" t="s">
        <v>4382</v>
      </c>
      <c r="B306" s="3" t="s">
        <v>4374</v>
      </c>
      <c r="C306" s="2" t="s">
        <v>4464</v>
      </c>
      <c r="D306" s="3" t="s">
        <v>4563</v>
      </c>
      <c r="E306" s="2" t="s">
        <v>4564</v>
      </c>
      <c r="F306" s="3" t="s">
        <v>4376</v>
      </c>
      <c r="G306" s="3" t="s">
        <v>4367</v>
      </c>
      <c r="H306" s="1" t="s">
        <v>239</v>
      </c>
      <c r="I306" s="2" t="s">
        <v>240</v>
      </c>
      <c r="J306" s="3" t="s">
        <v>11</v>
      </c>
      <c r="K306" s="38">
        <v>0.70499999999999996</v>
      </c>
      <c r="L306" s="39">
        <v>558</v>
      </c>
    </row>
    <row r="307" spans="1:12" ht="19.95" customHeight="1" x14ac:dyDescent="0.3">
      <c r="A307" s="6" t="s">
        <v>4382</v>
      </c>
      <c r="B307" s="7" t="s">
        <v>4374</v>
      </c>
      <c r="C307" s="6" t="s">
        <v>4464</v>
      </c>
      <c r="D307" s="7" t="s">
        <v>4563</v>
      </c>
      <c r="E307" s="6" t="s">
        <v>4564</v>
      </c>
      <c r="F307" s="7" t="s">
        <v>4376</v>
      </c>
      <c r="G307" s="7" t="s">
        <v>4367</v>
      </c>
      <c r="H307" s="5" t="s">
        <v>241</v>
      </c>
      <c r="I307" s="6" t="s">
        <v>242</v>
      </c>
      <c r="J307" s="7" t="s">
        <v>11</v>
      </c>
      <c r="K307" s="36">
        <v>1.59</v>
      </c>
      <c r="L307" s="37">
        <v>558</v>
      </c>
    </row>
    <row r="308" spans="1:12" ht="19.95" customHeight="1" x14ac:dyDescent="0.3">
      <c r="A308" s="2" t="s">
        <v>4382</v>
      </c>
      <c r="B308" s="3" t="s">
        <v>4374</v>
      </c>
      <c r="C308" s="2" t="s">
        <v>4464</v>
      </c>
      <c r="D308" s="3" t="s">
        <v>4563</v>
      </c>
      <c r="E308" s="2" t="s">
        <v>4564</v>
      </c>
      <c r="F308" s="3" t="s">
        <v>4376</v>
      </c>
      <c r="G308" s="3" t="s">
        <v>4367</v>
      </c>
      <c r="H308" s="1" t="s">
        <v>243</v>
      </c>
      <c r="I308" s="2" t="s">
        <v>244</v>
      </c>
      <c r="J308" s="3" t="s">
        <v>11</v>
      </c>
      <c r="K308" s="38">
        <v>0.35499999999999998</v>
      </c>
      <c r="L308" s="39">
        <v>558</v>
      </c>
    </row>
    <row r="309" spans="1:12" ht="19.95" customHeight="1" x14ac:dyDescent="0.3">
      <c r="A309" s="6" t="s">
        <v>4382</v>
      </c>
      <c r="B309" s="7" t="s">
        <v>4374</v>
      </c>
      <c r="C309" s="6" t="s">
        <v>4464</v>
      </c>
      <c r="D309" s="7" t="s">
        <v>4563</v>
      </c>
      <c r="E309" s="6" t="s">
        <v>4564</v>
      </c>
      <c r="F309" s="7" t="s">
        <v>4376</v>
      </c>
      <c r="G309" s="7" t="s">
        <v>4367</v>
      </c>
      <c r="H309" s="5" t="s">
        <v>209</v>
      </c>
      <c r="I309" s="6" t="s">
        <v>210</v>
      </c>
      <c r="J309" s="7" t="s">
        <v>11</v>
      </c>
      <c r="K309" s="36">
        <v>0.5</v>
      </c>
      <c r="L309" s="37">
        <v>558</v>
      </c>
    </row>
    <row r="310" spans="1:12" ht="19.95" customHeight="1" x14ac:dyDescent="0.3">
      <c r="A310" s="2" t="s">
        <v>4382</v>
      </c>
      <c r="B310" s="3" t="s">
        <v>4374</v>
      </c>
      <c r="C310" s="2" t="s">
        <v>4464</v>
      </c>
      <c r="D310" s="3" t="s">
        <v>4563</v>
      </c>
      <c r="E310" s="2" t="s">
        <v>4564</v>
      </c>
      <c r="F310" s="3" t="s">
        <v>4376</v>
      </c>
      <c r="G310" s="3" t="s">
        <v>4367</v>
      </c>
      <c r="H310" s="1" t="s">
        <v>211</v>
      </c>
      <c r="I310" s="2" t="s">
        <v>212</v>
      </c>
      <c r="J310" s="3" t="s">
        <v>11</v>
      </c>
      <c r="K310" s="38">
        <v>0.55000000000000004</v>
      </c>
      <c r="L310" s="39">
        <v>558</v>
      </c>
    </row>
    <row r="311" spans="1:12" ht="19.95" customHeight="1" x14ac:dyDescent="0.3">
      <c r="A311" s="6" t="s">
        <v>4382</v>
      </c>
      <c r="B311" s="7" t="s">
        <v>4374</v>
      </c>
      <c r="C311" s="6" t="s">
        <v>4464</v>
      </c>
      <c r="D311" s="7" t="s">
        <v>4565</v>
      </c>
      <c r="E311" s="6" t="s">
        <v>4566</v>
      </c>
      <c r="F311" s="7" t="s">
        <v>4376</v>
      </c>
      <c r="G311" s="7" t="s">
        <v>4369</v>
      </c>
      <c r="H311" s="5" t="s">
        <v>49</v>
      </c>
      <c r="I311" s="6" t="s">
        <v>4379</v>
      </c>
      <c r="J311" s="7" t="s">
        <v>11</v>
      </c>
      <c r="K311" s="36">
        <v>0.125</v>
      </c>
      <c r="L311" s="37">
        <v>7000</v>
      </c>
    </row>
    <row r="312" spans="1:12" ht="19.95" customHeight="1" x14ac:dyDescent="0.3">
      <c r="A312" s="2" t="s">
        <v>4382</v>
      </c>
      <c r="B312" s="3" t="s">
        <v>4374</v>
      </c>
      <c r="C312" s="2" t="s">
        <v>4464</v>
      </c>
      <c r="D312" s="3" t="s">
        <v>4565</v>
      </c>
      <c r="E312" s="2" t="s">
        <v>4566</v>
      </c>
      <c r="F312" s="3" t="s">
        <v>4376</v>
      </c>
      <c r="G312" s="3" t="s">
        <v>4369</v>
      </c>
      <c r="H312" s="1" t="s">
        <v>43</v>
      </c>
      <c r="I312" s="2" t="s">
        <v>44</v>
      </c>
      <c r="J312" s="3" t="s">
        <v>11</v>
      </c>
      <c r="K312" s="38">
        <v>0.125</v>
      </c>
      <c r="L312" s="39">
        <v>1700</v>
      </c>
    </row>
    <row r="313" spans="1:12" ht="19.95" customHeight="1" x14ac:dyDescent="0.3">
      <c r="A313" s="6" t="s">
        <v>4382</v>
      </c>
      <c r="B313" s="7" t="s">
        <v>4374</v>
      </c>
      <c r="C313" s="6" t="s">
        <v>4464</v>
      </c>
      <c r="D313" s="7" t="s">
        <v>4565</v>
      </c>
      <c r="E313" s="6" t="s">
        <v>4566</v>
      </c>
      <c r="F313" s="7" t="s">
        <v>4376</v>
      </c>
      <c r="G313" s="7" t="s">
        <v>4367</v>
      </c>
      <c r="H313" s="5" t="s">
        <v>239</v>
      </c>
      <c r="I313" s="6" t="s">
        <v>240</v>
      </c>
      <c r="J313" s="7" t="s">
        <v>11</v>
      </c>
      <c r="K313" s="36">
        <v>1.06</v>
      </c>
      <c r="L313" s="37">
        <v>558</v>
      </c>
    </row>
    <row r="314" spans="1:12" ht="19.95" customHeight="1" x14ac:dyDescent="0.3">
      <c r="A314" s="2" t="s">
        <v>4382</v>
      </c>
      <c r="B314" s="3" t="s">
        <v>4374</v>
      </c>
      <c r="C314" s="2" t="s">
        <v>4464</v>
      </c>
      <c r="D314" s="3" t="s">
        <v>4565</v>
      </c>
      <c r="E314" s="2" t="s">
        <v>4566</v>
      </c>
      <c r="F314" s="3" t="s">
        <v>4376</v>
      </c>
      <c r="G314" s="3" t="s">
        <v>4367</v>
      </c>
      <c r="H314" s="1" t="s">
        <v>241</v>
      </c>
      <c r="I314" s="2" t="s">
        <v>242</v>
      </c>
      <c r="J314" s="3" t="s">
        <v>11</v>
      </c>
      <c r="K314" s="38">
        <v>2.8250000000000002</v>
      </c>
      <c r="L314" s="39">
        <v>558</v>
      </c>
    </row>
    <row r="315" spans="1:12" ht="19.95" customHeight="1" x14ac:dyDescent="0.3">
      <c r="A315" s="6" t="s">
        <v>4382</v>
      </c>
      <c r="B315" s="7" t="s">
        <v>4374</v>
      </c>
      <c r="C315" s="6" t="s">
        <v>4464</v>
      </c>
      <c r="D315" s="7" t="s">
        <v>4565</v>
      </c>
      <c r="E315" s="6" t="s">
        <v>4566</v>
      </c>
      <c r="F315" s="7" t="s">
        <v>4376</v>
      </c>
      <c r="G315" s="7" t="s">
        <v>4367</v>
      </c>
      <c r="H315" s="5" t="s">
        <v>243</v>
      </c>
      <c r="I315" s="6" t="s">
        <v>244</v>
      </c>
      <c r="J315" s="7" t="s">
        <v>11</v>
      </c>
      <c r="K315" s="36">
        <v>0.88500000000000001</v>
      </c>
      <c r="L315" s="37">
        <v>558</v>
      </c>
    </row>
    <row r="316" spans="1:12" ht="19.95" customHeight="1" x14ac:dyDescent="0.3">
      <c r="A316" s="2" t="s">
        <v>4382</v>
      </c>
      <c r="B316" s="3" t="s">
        <v>4374</v>
      </c>
      <c r="C316" s="2" t="s">
        <v>4464</v>
      </c>
      <c r="D316" s="3" t="s">
        <v>4565</v>
      </c>
      <c r="E316" s="2" t="s">
        <v>4566</v>
      </c>
      <c r="F316" s="3" t="s">
        <v>4376</v>
      </c>
      <c r="G316" s="3" t="s">
        <v>4367</v>
      </c>
      <c r="H316" s="1" t="s">
        <v>209</v>
      </c>
      <c r="I316" s="2" t="s">
        <v>210</v>
      </c>
      <c r="J316" s="3" t="s">
        <v>11</v>
      </c>
      <c r="K316" s="38">
        <v>0.45</v>
      </c>
      <c r="L316" s="39">
        <v>558</v>
      </c>
    </row>
    <row r="317" spans="1:12" ht="19.95" customHeight="1" x14ac:dyDescent="0.3">
      <c r="A317" s="6" t="s">
        <v>4382</v>
      </c>
      <c r="B317" s="7" t="s">
        <v>4374</v>
      </c>
      <c r="C317" s="6" t="s">
        <v>4464</v>
      </c>
      <c r="D317" s="7" t="s">
        <v>4565</v>
      </c>
      <c r="E317" s="6" t="s">
        <v>4566</v>
      </c>
      <c r="F317" s="7" t="s">
        <v>4376</v>
      </c>
      <c r="G317" s="7" t="s">
        <v>4367</v>
      </c>
      <c r="H317" s="5" t="s">
        <v>211</v>
      </c>
      <c r="I317" s="6" t="s">
        <v>212</v>
      </c>
      <c r="J317" s="7" t="s">
        <v>11</v>
      </c>
      <c r="K317" s="36">
        <v>0.55000000000000004</v>
      </c>
      <c r="L317" s="37">
        <v>558</v>
      </c>
    </row>
    <row r="318" spans="1:12" ht="19.95" customHeight="1" x14ac:dyDescent="0.3">
      <c r="A318" s="2" t="s">
        <v>4382</v>
      </c>
      <c r="B318" s="3" t="s">
        <v>4374</v>
      </c>
      <c r="C318" s="2" t="s">
        <v>4464</v>
      </c>
      <c r="D318" s="3" t="s">
        <v>4567</v>
      </c>
      <c r="E318" s="2" t="s">
        <v>4568</v>
      </c>
      <c r="F318" s="3" t="s">
        <v>4376</v>
      </c>
      <c r="G318" s="3" t="s">
        <v>4369</v>
      </c>
      <c r="H318" s="1" t="s">
        <v>49</v>
      </c>
      <c r="I318" s="2" t="s">
        <v>4379</v>
      </c>
      <c r="J318" s="3" t="s">
        <v>11</v>
      </c>
      <c r="K318" s="38">
        <v>0.125</v>
      </c>
      <c r="L318" s="39">
        <v>7000</v>
      </c>
    </row>
    <row r="319" spans="1:12" ht="19.95" customHeight="1" x14ac:dyDescent="0.3">
      <c r="A319" s="6" t="s">
        <v>4382</v>
      </c>
      <c r="B319" s="7" t="s">
        <v>4374</v>
      </c>
      <c r="C319" s="6" t="s">
        <v>4464</v>
      </c>
      <c r="D319" s="7" t="s">
        <v>4567</v>
      </c>
      <c r="E319" s="6" t="s">
        <v>4568</v>
      </c>
      <c r="F319" s="7" t="s">
        <v>4376</v>
      </c>
      <c r="G319" s="7" t="s">
        <v>4369</v>
      </c>
      <c r="H319" s="5" t="s">
        <v>43</v>
      </c>
      <c r="I319" s="6" t="s">
        <v>44</v>
      </c>
      <c r="J319" s="7" t="s">
        <v>11</v>
      </c>
      <c r="K319" s="36">
        <v>0.125</v>
      </c>
      <c r="L319" s="37">
        <v>1700</v>
      </c>
    </row>
    <row r="320" spans="1:12" ht="19.95" customHeight="1" x14ac:dyDescent="0.3">
      <c r="A320" s="2" t="s">
        <v>4382</v>
      </c>
      <c r="B320" s="3" t="s">
        <v>4374</v>
      </c>
      <c r="C320" s="2" t="s">
        <v>4464</v>
      </c>
      <c r="D320" s="3" t="s">
        <v>4567</v>
      </c>
      <c r="E320" s="2" t="s">
        <v>4568</v>
      </c>
      <c r="F320" s="3" t="s">
        <v>4376</v>
      </c>
      <c r="G320" s="3" t="s">
        <v>4367</v>
      </c>
      <c r="H320" s="1" t="s">
        <v>239</v>
      </c>
      <c r="I320" s="2" t="s">
        <v>240</v>
      </c>
      <c r="J320" s="3" t="s">
        <v>11</v>
      </c>
      <c r="K320" s="38">
        <v>2.4700000000000002</v>
      </c>
      <c r="L320" s="39">
        <v>558</v>
      </c>
    </row>
    <row r="321" spans="1:12" ht="19.95" customHeight="1" x14ac:dyDescent="0.3">
      <c r="A321" s="6" t="s">
        <v>4382</v>
      </c>
      <c r="B321" s="7" t="s">
        <v>4374</v>
      </c>
      <c r="C321" s="6" t="s">
        <v>4464</v>
      </c>
      <c r="D321" s="7" t="s">
        <v>4567</v>
      </c>
      <c r="E321" s="6" t="s">
        <v>4568</v>
      </c>
      <c r="F321" s="7" t="s">
        <v>4376</v>
      </c>
      <c r="G321" s="7" t="s">
        <v>4367</v>
      </c>
      <c r="H321" s="5" t="s">
        <v>241</v>
      </c>
      <c r="I321" s="6" t="s">
        <v>242</v>
      </c>
      <c r="J321" s="7" t="s">
        <v>11</v>
      </c>
      <c r="K321" s="36">
        <v>6</v>
      </c>
      <c r="L321" s="37">
        <v>558</v>
      </c>
    </row>
    <row r="322" spans="1:12" ht="19.95" customHeight="1" x14ac:dyDescent="0.3">
      <c r="A322" s="2" t="s">
        <v>4382</v>
      </c>
      <c r="B322" s="3" t="s">
        <v>4374</v>
      </c>
      <c r="C322" s="2" t="s">
        <v>4464</v>
      </c>
      <c r="D322" s="3" t="s">
        <v>4567</v>
      </c>
      <c r="E322" s="2" t="s">
        <v>4568</v>
      </c>
      <c r="F322" s="3" t="s">
        <v>4376</v>
      </c>
      <c r="G322" s="3" t="s">
        <v>4367</v>
      </c>
      <c r="H322" s="1" t="s">
        <v>245</v>
      </c>
      <c r="I322" s="2" t="s">
        <v>246</v>
      </c>
      <c r="J322" s="3" t="s">
        <v>11</v>
      </c>
      <c r="K322" s="38">
        <v>1.06</v>
      </c>
      <c r="L322" s="39">
        <v>617</v>
      </c>
    </row>
    <row r="323" spans="1:12" ht="19.95" customHeight="1" x14ac:dyDescent="0.3">
      <c r="A323" s="6" t="s">
        <v>4382</v>
      </c>
      <c r="B323" s="7" t="s">
        <v>4374</v>
      </c>
      <c r="C323" s="6" t="s">
        <v>4464</v>
      </c>
      <c r="D323" s="7" t="s">
        <v>4567</v>
      </c>
      <c r="E323" s="6" t="s">
        <v>4568</v>
      </c>
      <c r="F323" s="7" t="s">
        <v>4376</v>
      </c>
      <c r="G323" s="7" t="s">
        <v>4367</v>
      </c>
      <c r="H323" s="5" t="s">
        <v>201</v>
      </c>
      <c r="I323" s="6" t="s">
        <v>202</v>
      </c>
      <c r="J323" s="7" t="s">
        <v>11</v>
      </c>
      <c r="K323" s="36">
        <v>0.17499999999999999</v>
      </c>
      <c r="L323" s="37">
        <v>679</v>
      </c>
    </row>
    <row r="324" spans="1:12" ht="19.95" customHeight="1" x14ac:dyDescent="0.3">
      <c r="A324" s="2" t="s">
        <v>4382</v>
      </c>
      <c r="B324" s="3" t="s">
        <v>4374</v>
      </c>
      <c r="C324" s="2" t="s">
        <v>4464</v>
      </c>
      <c r="D324" s="3" t="s">
        <v>4567</v>
      </c>
      <c r="E324" s="2" t="s">
        <v>4568</v>
      </c>
      <c r="F324" s="3" t="s">
        <v>4376</v>
      </c>
      <c r="G324" s="3" t="s">
        <v>4367</v>
      </c>
      <c r="H324" s="1" t="s">
        <v>209</v>
      </c>
      <c r="I324" s="2" t="s">
        <v>210</v>
      </c>
      <c r="J324" s="3" t="s">
        <v>11</v>
      </c>
      <c r="K324" s="38">
        <v>0.75</v>
      </c>
      <c r="L324" s="39">
        <v>558</v>
      </c>
    </row>
    <row r="325" spans="1:12" ht="19.95" customHeight="1" x14ac:dyDescent="0.3">
      <c r="A325" s="6" t="s">
        <v>4382</v>
      </c>
      <c r="B325" s="7" t="s">
        <v>4374</v>
      </c>
      <c r="C325" s="6" t="s">
        <v>4464</v>
      </c>
      <c r="D325" s="7" t="s">
        <v>4567</v>
      </c>
      <c r="E325" s="6" t="s">
        <v>4568</v>
      </c>
      <c r="F325" s="7" t="s">
        <v>4376</v>
      </c>
      <c r="G325" s="7" t="s">
        <v>4367</v>
      </c>
      <c r="H325" s="5" t="s">
        <v>211</v>
      </c>
      <c r="I325" s="6" t="s">
        <v>212</v>
      </c>
      <c r="J325" s="7" t="s">
        <v>11</v>
      </c>
      <c r="K325" s="36">
        <v>1</v>
      </c>
      <c r="L325" s="37">
        <v>558</v>
      </c>
    </row>
    <row r="326" spans="1:12" ht="19.95" customHeight="1" x14ac:dyDescent="0.3">
      <c r="A326" s="2" t="s">
        <v>4382</v>
      </c>
      <c r="B326" s="3" t="s">
        <v>4374</v>
      </c>
      <c r="C326" s="2" t="s">
        <v>4464</v>
      </c>
      <c r="D326" s="3" t="s">
        <v>4569</v>
      </c>
      <c r="E326" s="2" t="s">
        <v>4564</v>
      </c>
      <c r="F326" s="3" t="s">
        <v>4376</v>
      </c>
      <c r="G326" s="3" t="s">
        <v>4369</v>
      </c>
      <c r="H326" s="1" t="s">
        <v>49</v>
      </c>
      <c r="I326" s="2" t="s">
        <v>4379</v>
      </c>
      <c r="J326" s="3" t="s">
        <v>11</v>
      </c>
      <c r="K326" s="38">
        <v>6.25E-2</v>
      </c>
      <c r="L326" s="39">
        <v>7000</v>
      </c>
    </row>
    <row r="327" spans="1:12" ht="19.95" customHeight="1" x14ac:dyDescent="0.3">
      <c r="A327" s="6" t="s">
        <v>4382</v>
      </c>
      <c r="B327" s="7" t="s">
        <v>4374</v>
      </c>
      <c r="C327" s="6" t="s">
        <v>4464</v>
      </c>
      <c r="D327" s="7" t="s">
        <v>4569</v>
      </c>
      <c r="E327" s="6" t="s">
        <v>4564</v>
      </c>
      <c r="F327" s="7" t="s">
        <v>4376</v>
      </c>
      <c r="G327" s="7" t="s">
        <v>4369</v>
      </c>
      <c r="H327" s="5" t="s">
        <v>43</v>
      </c>
      <c r="I327" s="6" t="s">
        <v>44</v>
      </c>
      <c r="J327" s="7" t="s">
        <v>11</v>
      </c>
      <c r="K327" s="36">
        <v>6.25E-2</v>
      </c>
      <c r="L327" s="37">
        <v>1700</v>
      </c>
    </row>
    <row r="328" spans="1:12" ht="19.95" customHeight="1" x14ac:dyDescent="0.3">
      <c r="A328" s="2" t="s">
        <v>4382</v>
      </c>
      <c r="B328" s="3" t="s">
        <v>4374</v>
      </c>
      <c r="C328" s="2" t="s">
        <v>4464</v>
      </c>
      <c r="D328" s="3" t="s">
        <v>4569</v>
      </c>
      <c r="E328" s="2" t="s">
        <v>4564</v>
      </c>
      <c r="F328" s="3" t="s">
        <v>4376</v>
      </c>
      <c r="G328" s="3" t="s">
        <v>4367</v>
      </c>
      <c r="H328" s="1" t="s">
        <v>239</v>
      </c>
      <c r="I328" s="2" t="s">
        <v>240</v>
      </c>
      <c r="J328" s="3" t="s">
        <v>11</v>
      </c>
      <c r="K328" s="38">
        <v>0.88500000000000001</v>
      </c>
      <c r="L328" s="39">
        <v>558</v>
      </c>
    </row>
    <row r="329" spans="1:12" ht="19.95" customHeight="1" x14ac:dyDescent="0.3">
      <c r="A329" s="6" t="s">
        <v>4382</v>
      </c>
      <c r="B329" s="7" t="s">
        <v>4374</v>
      </c>
      <c r="C329" s="6" t="s">
        <v>4464</v>
      </c>
      <c r="D329" s="7" t="s">
        <v>4569</v>
      </c>
      <c r="E329" s="6" t="s">
        <v>4564</v>
      </c>
      <c r="F329" s="7" t="s">
        <v>4376</v>
      </c>
      <c r="G329" s="7" t="s">
        <v>4367</v>
      </c>
      <c r="H329" s="5" t="s">
        <v>241</v>
      </c>
      <c r="I329" s="6" t="s">
        <v>242</v>
      </c>
      <c r="J329" s="7" t="s">
        <v>11</v>
      </c>
      <c r="K329" s="36">
        <v>1.7649999999999999</v>
      </c>
      <c r="L329" s="37">
        <v>558</v>
      </c>
    </row>
    <row r="330" spans="1:12" ht="19.95" customHeight="1" x14ac:dyDescent="0.3">
      <c r="A330" s="2" t="s">
        <v>4382</v>
      </c>
      <c r="B330" s="3" t="s">
        <v>4374</v>
      </c>
      <c r="C330" s="2" t="s">
        <v>4464</v>
      </c>
      <c r="D330" s="3" t="s">
        <v>4569</v>
      </c>
      <c r="E330" s="2" t="s">
        <v>4564</v>
      </c>
      <c r="F330" s="3" t="s">
        <v>4376</v>
      </c>
      <c r="G330" s="3" t="s">
        <v>4367</v>
      </c>
      <c r="H330" s="1" t="s">
        <v>243</v>
      </c>
      <c r="I330" s="2" t="s">
        <v>244</v>
      </c>
      <c r="J330" s="3" t="s">
        <v>11</v>
      </c>
      <c r="K330" s="38">
        <v>0.53</v>
      </c>
      <c r="L330" s="39">
        <v>558</v>
      </c>
    </row>
    <row r="331" spans="1:12" ht="19.95" customHeight="1" x14ac:dyDescent="0.3">
      <c r="A331" s="6" t="s">
        <v>4382</v>
      </c>
      <c r="B331" s="7" t="s">
        <v>4374</v>
      </c>
      <c r="C331" s="6" t="s">
        <v>4464</v>
      </c>
      <c r="D331" s="7" t="s">
        <v>4569</v>
      </c>
      <c r="E331" s="6" t="s">
        <v>4564</v>
      </c>
      <c r="F331" s="7" t="s">
        <v>4376</v>
      </c>
      <c r="G331" s="7" t="s">
        <v>4367</v>
      </c>
      <c r="H331" s="5" t="s">
        <v>209</v>
      </c>
      <c r="I331" s="6" t="s">
        <v>210</v>
      </c>
      <c r="J331" s="7" t="s">
        <v>11</v>
      </c>
      <c r="K331" s="36">
        <v>0.5</v>
      </c>
      <c r="L331" s="37">
        <v>558</v>
      </c>
    </row>
    <row r="332" spans="1:12" ht="19.95" customHeight="1" x14ac:dyDescent="0.3">
      <c r="A332" s="2" t="s">
        <v>4382</v>
      </c>
      <c r="B332" s="3" t="s">
        <v>4374</v>
      </c>
      <c r="C332" s="2" t="s">
        <v>4464</v>
      </c>
      <c r="D332" s="3" t="s">
        <v>4569</v>
      </c>
      <c r="E332" s="2" t="s">
        <v>4564</v>
      </c>
      <c r="F332" s="3" t="s">
        <v>4376</v>
      </c>
      <c r="G332" s="3" t="s">
        <v>4367</v>
      </c>
      <c r="H332" s="1" t="s">
        <v>211</v>
      </c>
      <c r="I332" s="2" t="s">
        <v>212</v>
      </c>
      <c r="J332" s="3" t="s">
        <v>11</v>
      </c>
      <c r="K332" s="38">
        <v>1.3</v>
      </c>
      <c r="L332" s="39">
        <v>558</v>
      </c>
    </row>
    <row r="333" spans="1:12" ht="19.95" customHeight="1" x14ac:dyDescent="0.3">
      <c r="A333" s="6" t="s">
        <v>4382</v>
      </c>
      <c r="B333" s="7" t="s">
        <v>4374</v>
      </c>
      <c r="C333" s="6" t="s">
        <v>4464</v>
      </c>
      <c r="D333" s="7" t="s">
        <v>4570</v>
      </c>
      <c r="E333" s="6" t="s">
        <v>4566</v>
      </c>
      <c r="F333" s="7" t="s">
        <v>4376</v>
      </c>
      <c r="G333" s="7" t="s">
        <v>4369</v>
      </c>
      <c r="H333" s="5" t="s">
        <v>49</v>
      </c>
      <c r="I333" s="6" t="s">
        <v>4379</v>
      </c>
      <c r="J333" s="7" t="s">
        <v>11</v>
      </c>
      <c r="K333" s="36">
        <v>0.125</v>
      </c>
      <c r="L333" s="37">
        <v>7000</v>
      </c>
    </row>
    <row r="334" spans="1:12" ht="19.95" customHeight="1" x14ac:dyDescent="0.3">
      <c r="A334" s="2" t="s">
        <v>4382</v>
      </c>
      <c r="B334" s="3" t="s">
        <v>4374</v>
      </c>
      <c r="C334" s="2" t="s">
        <v>4464</v>
      </c>
      <c r="D334" s="3" t="s">
        <v>4570</v>
      </c>
      <c r="E334" s="2" t="s">
        <v>4566</v>
      </c>
      <c r="F334" s="3" t="s">
        <v>4376</v>
      </c>
      <c r="G334" s="3" t="s">
        <v>4369</v>
      </c>
      <c r="H334" s="1" t="s">
        <v>43</v>
      </c>
      <c r="I334" s="2" t="s">
        <v>44</v>
      </c>
      <c r="J334" s="3" t="s">
        <v>11</v>
      </c>
      <c r="K334" s="38">
        <v>0.125</v>
      </c>
      <c r="L334" s="39">
        <v>1700</v>
      </c>
    </row>
    <row r="335" spans="1:12" ht="19.95" customHeight="1" x14ac:dyDescent="0.3">
      <c r="A335" s="6" t="s">
        <v>4382</v>
      </c>
      <c r="B335" s="7" t="s">
        <v>4374</v>
      </c>
      <c r="C335" s="6" t="s">
        <v>4464</v>
      </c>
      <c r="D335" s="7" t="s">
        <v>4570</v>
      </c>
      <c r="E335" s="6" t="s">
        <v>4566</v>
      </c>
      <c r="F335" s="7" t="s">
        <v>4376</v>
      </c>
      <c r="G335" s="7" t="s">
        <v>4367</v>
      </c>
      <c r="H335" s="5" t="s">
        <v>239</v>
      </c>
      <c r="I335" s="6" t="s">
        <v>240</v>
      </c>
      <c r="J335" s="7" t="s">
        <v>11</v>
      </c>
      <c r="K335" s="36">
        <v>1.24</v>
      </c>
      <c r="L335" s="37">
        <v>558</v>
      </c>
    </row>
    <row r="336" spans="1:12" ht="19.95" customHeight="1" x14ac:dyDescent="0.3">
      <c r="A336" s="2" t="s">
        <v>4382</v>
      </c>
      <c r="B336" s="3" t="s">
        <v>4374</v>
      </c>
      <c r="C336" s="2" t="s">
        <v>4464</v>
      </c>
      <c r="D336" s="3" t="s">
        <v>4570</v>
      </c>
      <c r="E336" s="2" t="s">
        <v>4566</v>
      </c>
      <c r="F336" s="3" t="s">
        <v>4376</v>
      </c>
      <c r="G336" s="3" t="s">
        <v>4367</v>
      </c>
      <c r="H336" s="1" t="s">
        <v>241</v>
      </c>
      <c r="I336" s="2" t="s">
        <v>242</v>
      </c>
      <c r="J336" s="3" t="s">
        <v>11</v>
      </c>
      <c r="K336" s="38">
        <v>3</v>
      </c>
      <c r="L336" s="39">
        <v>558</v>
      </c>
    </row>
    <row r="337" spans="1:12" ht="19.95" customHeight="1" x14ac:dyDescent="0.3">
      <c r="A337" s="6" t="s">
        <v>4382</v>
      </c>
      <c r="B337" s="7" t="s">
        <v>4374</v>
      </c>
      <c r="C337" s="6" t="s">
        <v>4464</v>
      </c>
      <c r="D337" s="7" t="s">
        <v>4570</v>
      </c>
      <c r="E337" s="6" t="s">
        <v>4566</v>
      </c>
      <c r="F337" s="7" t="s">
        <v>4376</v>
      </c>
      <c r="G337" s="7" t="s">
        <v>4367</v>
      </c>
      <c r="H337" s="5" t="s">
        <v>243</v>
      </c>
      <c r="I337" s="6" t="s">
        <v>244</v>
      </c>
      <c r="J337" s="7" t="s">
        <v>11</v>
      </c>
      <c r="K337" s="36">
        <v>1.06</v>
      </c>
      <c r="L337" s="37">
        <v>558</v>
      </c>
    </row>
    <row r="338" spans="1:12" ht="19.95" customHeight="1" x14ac:dyDescent="0.3">
      <c r="A338" s="2" t="s">
        <v>4382</v>
      </c>
      <c r="B338" s="3" t="s">
        <v>4374</v>
      </c>
      <c r="C338" s="2" t="s">
        <v>4464</v>
      </c>
      <c r="D338" s="3" t="s">
        <v>4570</v>
      </c>
      <c r="E338" s="2" t="s">
        <v>4566</v>
      </c>
      <c r="F338" s="3" t="s">
        <v>4376</v>
      </c>
      <c r="G338" s="3" t="s">
        <v>4367</v>
      </c>
      <c r="H338" s="1" t="s">
        <v>209</v>
      </c>
      <c r="I338" s="2" t="s">
        <v>210</v>
      </c>
      <c r="J338" s="3" t="s">
        <v>11</v>
      </c>
      <c r="K338" s="38">
        <v>0.5</v>
      </c>
      <c r="L338" s="39">
        <v>558</v>
      </c>
    </row>
    <row r="339" spans="1:12" ht="19.95" customHeight="1" x14ac:dyDescent="0.3">
      <c r="A339" s="6" t="s">
        <v>4382</v>
      </c>
      <c r="B339" s="7" t="s">
        <v>4374</v>
      </c>
      <c r="C339" s="6" t="s">
        <v>4464</v>
      </c>
      <c r="D339" s="7" t="s">
        <v>4570</v>
      </c>
      <c r="E339" s="6" t="s">
        <v>4566</v>
      </c>
      <c r="F339" s="7" t="s">
        <v>4376</v>
      </c>
      <c r="G339" s="7" t="s">
        <v>4367</v>
      </c>
      <c r="H339" s="5" t="s">
        <v>211</v>
      </c>
      <c r="I339" s="6" t="s">
        <v>212</v>
      </c>
      <c r="J339" s="7" t="s">
        <v>11</v>
      </c>
      <c r="K339" s="36">
        <v>1.3</v>
      </c>
      <c r="L339" s="37">
        <v>558</v>
      </c>
    </row>
    <row r="340" spans="1:12" ht="19.95" customHeight="1" x14ac:dyDescent="0.3">
      <c r="A340" s="2" t="s">
        <v>4382</v>
      </c>
      <c r="B340" s="3" t="s">
        <v>4374</v>
      </c>
      <c r="C340" s="2" t="s">
        <v>4464</v>
      </c>
      <c r="D340" s="3" t="s">
        <v>4571</v>
      </c>
      <c r="E340" s="2" t="s">
        <v>4568</v>
      </c>
      <c r="F340" s="3" t="s">
        <v>4376</v>
      </c>
      <c r="G340" s="3" t="s">
        <v>4369</v>
      </c>
      <c r="H340" s="1" t="s">
        <v>49</v>
      </c>
      <c r="I340" s="2" t="s">
        <v>4379</v>
      </c>
      <c r="J340" s="3" t="s">
        <v>11</v>
      </c>
      <c r="K340" s="38">
        <v>0.125</v>
      </c>
      <c r="L340" s="39">
        <v>7000</v>
      </c>
    </row>
    <row r="341" spans="1:12" ht="19.95" customHeight="1" x14ac:dyDescent="0.3">
      <c r="A341" s="6" t="s">
        <v>4382</v>
      </c>
      <c r="B341" s="7" t="s">
        <v>4374</v>
      </c>
      <c r="C341" s="6" t="s">
        <v>4464</v>
      </c>
      <c r="D341" s="7" t="s">
        <v>4571</v>
      </c>
      <c r="E341" s="6" t="s">
        <v>4568</v>
      </c>
      <c r="F341" s="7" t="s">
        <v>4376</v>
      </c>
      <c r="G341" s="7" t="s">
        <v>4369</v>
      </c>
      <c r="H341" s="5" t="s">
        <v>43</v>
      </c>
      <c r="I341" s="6" t="s">
        <v>44</v>
      </c>
      <c r="J341" s="7" t="s">
        <v>11</v>
      </c>
      <c r="K341" s="36">
        <v>0.125</v>
      </c>
      <c r="L341" s="37">
        <v>1700</v>
      </c>
    </row>
    <row r="342" spans="1:12" ht="19.95" customHeight="1" x14ac:dyDescent="0.3">
      <c r="A342" s="2" t="s">
        <v>4382</v>
      </c>
      <c r="B342" s="3" t="s">
        <v>4374</v>
      </c>
      <c r="C342" s="2" t="s">
        <v>4464</v>
      </c>
      <c r="D342" s="3" t="s">
        <v>4571</v>
      </c>
      <c r="E342" s="2" t="s">
        <v>4568</v>
      </c>
      <c r="F342" s="3" t="s">
        <v>4376</v>
      </c>
      <c r="G342" s="3" t="s">
        <v>4367</v>
      </c>
      <c r="H342" s="1" t="s">
        <v>239</v>
      </c>
      <c r="I342" s="2" t="s">
        <v>240</v>
      </c>
      <c r="J342" s="3" t="s">
        <v>11</v>
      </c>
      <c r="K342" s="38">
        <v>2.65</v>
      </c>
      <c r="L342" s="39">
        <v>558</v>
      </c>
    </row>
    <row r="343" spans="1:12" ht="19.95" customHeight="1" x14ac:dyDescent="0.3">
      <c r="A343" s="6" t="s">
        <v>4382</v>
      </c>
      <c r="B343" s="7" t="s">
        <v>4374</v>
      </c>
      <c r="C343" s="6" t="s">
        <v>4464</v>
      </c>
      <c r="D343" s="7" t="s">
        <v>4571</v>
      </c>
      <c r="E343" s="6" t="s">
        <v>4568</v>
      </c>
      <c r="F343" s="7" t="s">
        <v>4376</v>
      </c>
      <c r="G343" s="7" t="s">
        <v>4367</v>
      </c>
      <c r="H343" s="5" t="s">
        <v>241</v>
      </c>
      <c r="I343" s="6" t="s">
        <v>242</v>
      </c>
      <c r="J343" s="7" t="s">
        <v>11</v>
      </c>
      <c r="K343" s="36">
        <v>6.1749999999999998</v>
      </c>
      <c r="L343" s="37">
        <v>558</v>
      </c>
    </row>
    <row r="344" spans="1:12" ht="19.95" customHeight="1" x14ac:dyDescent="0.3">
      <c r="A344" s="2" t="s">
        <v>4382</v>
      </c>
      <c r="B344" s="3" t="s">
        <v>4374</v>
      </c>
      <c r="C344" s="2" t="s">
        <v>4464</v>
      </c>
      <c r="D344" s="3" t="s">
        <v>4571</v>
      </c>
      <c r="E344" s="2" t="s">
        <v>4568</v>
      </c>
      <c r="F344" s="3" t="s">
        <v>4376</v>
      </c>
      <c r="G344" s="3" t="s">
        <v>4367</v>
      </c>
      <c r="H344" s="1" t="s">
        <v>245</v>
      </c>
      <c r="I344" s="2" t="s">
        <v>246</v>
      </c>
      <c r="J344" s="3" t="s">
        <v>11</v>
      </c>
      <c r="K344" s="38">
        <v>1.06</v>
      </c>
      <c r="L344" s="39">
        <v>617</v>
      </c>
    </row>
    <row r="345" spans="1:12" ht="19.95" customHeight="1" x14ac:dyDescent="0.3">
      <c r="A345" s="6" t="s">
        <v>4382</v>
      </c>
      <c r="B345" s="7" t="s">
        <v>4374</v>
      </c>
      <c r="C345" s="6" t="s">
        <v>4464</v>
      </c>
      <c r="D345" s="7" t="s">
        <v>4571</v>
      </c>
      <c r="E345" s="6" t="s">
        <v>4568</v>
      </c>
      <c r="F345" s="7" t="s">
        <v>4376</v>
      </c>
      <c r="G345" s="7" t="s">
        <v>4367</v>
      </c>
      <c r="H345" s="5" t="s">
        <v>201</v>
      </c>
      <c r="I345" s="6" t="s">
        <v>202</v>
      </c>
      <c r="J345" s="7" t="s">
        <v>11</v>
      </c>
      <c r="K345" s="36">
        <v>0.17499999999999999</v>
      </c>
      <c r="L345" s="37">
        <v>679</v>
      </c>
    </row>
    <row r="346" spans="1:12" ht="19.95" customHeight="1" x14ac:dyDescent="0.3">
      <c r="A346" s="2" t="s">
        <v>4382</v>
      </c>
      <c r="B346" s="3" t="s">
        <v>4374</v>
      </c>
      <c r="C346" s="2" t="s">
        <v>4464</v>
      </c>
      <c r="D346" s="3" t="s">
        <v>4571</v>
      </c>
      <c r="E346" s="2" t="s">
        <v>4568</v>
      </c>
      <c r="F346" s="3" t="s">
        <v>4376</v>
      </c>
      <c r="G346" s="3" t="s">
        <v>4367</v>
      </c>
      <c r="H346" s="1" t="s">
        <v>209</v>
      </c>
      <c r="I346" s="2" t="s">
        <v>210</v>
      </c>
      <c r="J346" s="3" t="s">
        <v>11</v>
      </c>
      <c r="K346" s="38">
        <v>0.75</v>
      </c>
      <c r="L346" s="39">
        <v>558</v>
      </c>
    </row>
    <row r="347" spans="1:12" ht="19.95" customHeight="1" x14ac:dyDescent="0.3">
      <c r="A347" s="6" t="s">
        <v>4382</v>
      </c>
      <c r="B347" s="7" t="s">
        <v>4374</v>
      </c>
      <c r="C347" s="6" t="s">
        <v>4464</v>
      </c>
      <c r="D347" s="7" t="s">
        <v>4571</v>
      </c>
      <c r="E347" s="6" t="s">
        <v>4568</v>
      </c>
      <c r="F347" s="7" t="s">
        <v>4376</v>
      </c>
      <c r="G347" s="7" t="s">
        <v>4367</v>
      </c>
      <c r="H347" s="5" t="s">
        <v>211</v>
      </c>
      <c r="I347" s="6" t="s">
        <v>212</v>
      </c>
      <c r="J347" s="7" t="s">
        <v>11</v>
      </c>
      <c r="K347" s="36">
        <v>1.5</v>
      </c>
      <c r="L347" s="37">
        <v>558</v>
      </c>
    </row>
    <row r="348" spans="1:12" ht="19.95" customHeight="1" x14ac:dyDescent="0.3">
      <c r="A348" s="2" t="s">
        <v>4383</v>
      </c>
      <c r="B348" s="3" t="s">
        <v>4324</v>
      </c>
      <c r="C348" s="2" t="s">
        <v>4572</v>
      </c>
      <c r="D348" s="3" t="s">
        <v>4573</v>
      </c>
      <c r="E348" s="2" t="s">
        <v>4574</v>
      </c>
      <c r="F348" s="3" t="s">
        <v>4384</v>
      </c>
      <c r="G348" s="3" t="s">
        <v>4367</v>
      </c>
      <c r="H348" s="1" t="s">
        <v>209</v>
      </c>
      <c r="I348" s="2" t="s">
        <v>210</v>
      </c>
      <c r="J348" s="3" t="s">
        <v>11</v>
      </c>
      <c r="K348" s="38">
        <v>0.75</v>
      </c>
      <c r="L348" s="39">
        <v>558</v>
      </c>
    </row>
    <row r="349" spans="1:12" ht="19.95" customHeight="1" x14ac:dyDescent="0.3">
      <c r="A349" s="6" t="s">
        <v>4383</v>
      </c>
      <c r="B349" s="7" t="s">
        <v>4324</v>
      </c>
      <c r="C349" s="6" t="s">
        <v>4572</v>
      </c>
      <c r="D349" s="7" t="s">
        <v>4573</v>
      </c>
      <c r="E349" s="6" t="s">
        <v>4574</v>
      </c>
      <c r="F349" s="7" t="s">
        <v>4384</v>
      </c>
      <c r="G349" s="7" t="s">
        <v>4367</v>
      </c>
      <c r="H349" s="5" t="s">
        <v>197</v>
      </c>
      <c r="I349" s="6" t="s">
        <v>198</v>
      </c>
      <c r="J349" s="7" t="s">
        <v>11</v>
      </c>
      <c r="K349" s="36">
        <v>7.0000000000000007E-2</v>
      </c>
      <c r="L349" s="37">
        <v>617</v>
      </c>
    </row>
    <row r="350" spans="1:12" ht="19.95" customHeight="1" x14ac:dyDescent="0.3">
      <c r="A350" s="2" t="s">
        <v>4383</v>
      </c>
      <c r="B350" s="3" t="s">
        <v>4324</v>
      </c>
      <c r="C350" s="2" t="s">
        <v>4572</v>
      </c>
      <c r="D350" s="3" t="s">
        <v>4575</v>
      </c>
      <c r="E350" s="2" t="s">
        <v>4576</v>
      </c>
      <c r="F350" s="3" t="s">
        <v>4384</v>
      </c>
      <c r="G350" s="3" t="s">
        <v>4367</v>
      </c>
      <c r="H350" s="1" t="s">
        <v>209</v>
      </c>
      <c r="I350" s="2" t="s">
        <v>210</v>
      </c>
      <c r="J350" s="3" t="s">
        <v>11</v>
      </c>
      <c r="K350" s="38">
        <v>0.75</v>
      </c>
      <c r="L350" s="39">
        <v>558</v>
      </c>
    </row>
    <row r="351" spans="1:12" ht="19.95" customHeight="1" x14ac:dyDescent="0.3">
      <c r="A351" s="6" t="s">
        <v>4383</v>
      </c>
      <c r="B351" s="7" t="s">
        <v>4324</v>
      </c>
      <c r="C351" s="6" t="s">
        <v>4572</v>
      </c>
      <c r="D351" s="7" t="s">
        <v>4575</v>
      </c>
      <c r="E351" s="6" t="s">
        <v>4576</v>
      </c>
      <c r="F351" s="7" t="s">
        <v>4384</v>
      </c>
      <c r="G351" s="7" t="s">
        <v>4367</v>
      </c>
      <c r="H351" s="5" t="s">
        <v>197</v>
      </c>
      <c r="I351" s="6" t="s">
        <v>198</v>
      </c>
      <c r="J351" s="7" t="s">
        <v>11</v>
      </c>
      <c r="K351" s="36">
        <v>7.0000000000000007E-2</v>
      </c>
      <c r="L351" s="37">
        <v>617</v>
      </c>
    </row>
    <row r="352" spans="1:12" ht="19.95" customHeight="1" x14ac:dyDescent="0.3">
      <c r="A352" s="2" t="s">
        <v>4383</v>
      </c>
      <c r="B352" s="3" t="s">
        <v>4324</v>
      </c>
      <c r="C352" s="2" t="s">
        <v>4572</v>
      </c>
      <c r="D352" s="3" t="s">
        <v>4577</v>
      </c>
      <c r="E352" s="2" t="s">
        <v>4578</v>
      </c>
      <c r="F352" s="3" t="s">
        <v>4384</v>
      </c>
      <c r="G352" s="3" t="s">
        <v>4367</v>
      </c>
      <c r="H352" s="1" t="s">
        <v>209</v>
      </c>
      <c r="I352" s="2" t="s">
        <v>210</v>
      </c>
      <c r="J352" s="3" t="s">
        <v>11</v>
      </c>
      <c r="K352" s="38">
        <v>0.75</v>
      </c>
      <c r="L352" s="39">
        <v>558</v>
      </c>
    </row>
    <row r="353" spans="1:12" ht="19.95" customHeight="1" x14ac:dyDescent="0.3">
      <c r="A353" s="6" t="s">
        <v>4383</v>
      </c>
      <c r="B353" s="7" t="s">
        <v>4324</v>
      </c>
      <c r="C353" s="6" t="s">
        <v>4572</v>
      </c>
      <c r="D353" s="7" t="s">
        <v>4577</v>
      </c>
      <c r="E353" s="6" t="s">
        <v>4578</v>
      </c>
      <c r="F353" s="7" t="s">
        <v>4384</v>
      </c>
      <c r="G353" s="7" t="s">
        <v>4367</v>
      </c>
      <c r="H353" s="5" t="s">
        <v>197</v>
      </c>
      <c r="I353" s="6" t="s">
        <v>198</v>
      </c>
      <c r="J353" s="7" t="s">
        <v>11</v>
      </c>
      <c r="K353" s="36">
        <v>7.0000000000000007E-2</v>
      </c>
      <c r="L353" s="37">
        <v>617</v>
      </c>
    </row>
    <row r="354" spans="1:12" ht="19.95" customHeight="1" x14ac:dyDescent="0.3">
      <c r="A354" s="2" t="s">
        <v>4383</v>
      </c>
      <c r="B354" s="3" t="s">
        <v>4324</v>
      </c>
      <c r="C354" s="2" t="s">
        <v>4572</v>
      </c>
      <c r="D354" s="3" t="s">
        <v>4579</v>
      </c>
      <c r="E354" s="2" t="s">
        <v>4580</v>
      </c>
      <c r="F354" s="3" t="s">
        <v>4384</v>
      </c>
      <c r="G354" s="3" t="s">
        <v>4367</v>
      </c>
      <c r="H354" s="1" t="s">
        <v>209</v>
      </c>
      <c r="I354" s="2" t="s">
        <v>210</v>
      </c>
      <c r="J354" s="3" t="s">
        <v>11</v>
      </c>
      <c r="K354" s="38">
        <v>0.75</v>
      </c>
      <c r="L354" s="39">
        <v>558</v>
      </c>
    </row>
    <row r="355" spans="1:12" ht="19.95" customHeight="1" x14ac:dyDescent="0.3">
      <c r="A355" s="6" t="s">
        <v>4383</v>
      </c>
      <c r="B355" s="7" t="s">
        <v>4324</v>
      </c>
      <c r="C355" s="6" t="s">
        <v>4572</v>
      </c>
      <c r="D355" s="7" t="s">
        <v>4579</v>
      </c>
      <c r="E355" s="6" t="s">
        <v>4580</v>
      </c>
      <c r="F355" s="7" t="s">
        <v>4384</v>
      </c>
      <c r="G355" s="7" t="s">
        <v>4367</v>
      </c>
      <c r="H355" s="5" t="s">
        <v>197</v>
      </c>
      <c r="I355" s="6" t="s">
        <v>198</v>
      </c>
      <c r="J355" s="7" t="s">
        <v>11</v>
      </c>
      <c r="K355" s="36">
        <v>7.0000000000000007E-2</v>
      </c>
      <c r="L355" s="37">
        <v>617</v>
      </c>
    </row>
    <row r="356" spans="1:12" ht="19.95" customHeight="1" x14ac:dyDescent="0.3">
      <c r="A356" s="2" t="s">
        <v>4383</v>
      </c>
      <c r="B356" s="3" t="s">
        <v>4324</v>
      </c>
      <c r="C356" s="2" t="s">
        <v>4572</v>
      </c>
      <c r="D356" s="3" t="s">
        <v>4581</v>
      </c>
      <c r="E356" s="2" t="s">
        <v>4582</v>
      </c>
      <c r="F356" s="3" t="s">
        <v>4384</v>
      </c>
      <c r="G356" s="3" t="s">
        <v>4367</v>
      </c>
      <c r="H356" s="1" t="s">
        <v>209</v>
      </c>
      <c r="I356" s="2" t="s">
        <v>210</v>
      </c>
      <c r="J356" s="3" t="s">
        <v>11</v>
      </c>
      <c r="K356" s="38">
        <v>0.75</v>
      </c>
      <c r="L356" s="39">
        <v>558</v>
      </c>
    </row>
    <row r="357" spans="1:12" ht="19.95" customHeight="1" x14ac:dyDescent="0.3">
      <c r="A357" s="6" t="s">
        <v>4383</v>
      </c>
      <c r="B357" s="7" t="s">
        <v>4324</v>
      </c>
      <c r="C357" s="6" t="s">
        <v>4572</v>
      </c>
      <c r="D357" s="7" t="s">
        <v>4581</v>
      </c>
      <c r="E357" s="6" t="s">
        <v>4582</v>
      </c>
      <c r="F357" s="7" t="s">
        <v>4384</v>
      </c>
      <c r="G357" s="7" t="s">
        <v>4367</v>
      </c>
      <c r="H357" s="5" t="s">
        <v>197</v>
      </c>
      <c r="I357" s="6" t="s">
        <v>198</v>
      </c>
      <c r="J357" s="7" t="s">
        <v>11</v>
      </c>
      <c r="K357" s="36">
        <v>7.0000000000000007E-2</v>
      </c>
      <c r="L357" s="37">
        <v>617</v>
      </c>
    </row>
    <row r="358" spans="1:12" ht="19.95" customHeight="1" x14ac:dyDescent="0.3">
      <c r="A358" s="2" t="s">
        <v>4383</v>
      </c>
      <c r="B358" s="3" t="s">
        <v>4324</v>
      </c>
      <c r="C358" s="2" t="s">
        <v>4572</v>
      </c>
      <c r="D358" s="3" t="s">
        <v>4583</v>
      </c>
      <c r="E358" s="2" t="s">
        <v>4584</v>
      </c>
      <c r="F358" s="3" t="s">
        <v>4384</v>
      </c>
      <c r="G358" s="3" t="s">
        <v>4367</v>
      </c>
      <c r="H358" s="1" t="s">
        <v>209</v>
      </c>
      <c r="I358" s="2" t="s">
        <v>210</v>
      </c>
      <c r="J358" s="3" t="s">
        <v>11</v>
      </c>
      <c r="K358" s="38">
        <v>0.75</v>
      </c>
      <c r="L358" s="39">
        <v>558</v>
      </c>
    </row>
    <row r="359" spans="1:12" ht="19.95" customHeight="1" x14ac:dyDescent="0.3">
      <c r="A359" s="6" t="s">
        <v>4383</v>
      </c>
      <c r="B359" s="7" t="s">
        <v>4324</v>
      </c>
      <c r="C359" s="6" t="s">
        <v>4572</v>
      </c>
      <c r="D359" s="7" t="s">
        <v>4583</v>
      </c>
      <c r="E359" s="6" t="s">
        <v>4584</v>
      </c>
      <c r="F359" s="7" t="s">
        <v>4384</v>
      </c>
      <c r="G359" s="7" t="s">
        <v>4367</v>
      </c>
      <c r="H359" s="5" t="s">
        <v>197</v>
      </c>
      <c r="I359" s="6" t="s">
        <v>198</v>
      </c>
      <c r="J359" s="7" t="s">
        <v>11</v>
      </c>
      <c r="K359" s="36">
        <v>7.0000000000000007E-2</v>
      </c>
      <c r="L359" s="37">
        <v>617</v>
      </c>
    </row>
    <row r="360" spans="1:12" ht="19.95" customHeight="1" x14ac:dyDescent="0.3">
      <c r="A360" s="2" t="s">
        <v>4383</v>
      </c>
      <c r="B360" s="3" t="s">
        <v>4324</v>
      </c>
      <c r="C360" s="2" t="s">
        <v>4572</v>
      </c>
      <c r="D360" s="3" t="s">
        <v>4585</v>
      </c>
      <c r="E360" s="2" t="s">
        <v>4586</v>
      </c>
      <c r="F360" s="3" t="s">
        <v>4384</v>
      </c>
      <c r="G360" s="3" t="s">
        <v>4367</v>
      </c>
      <c r="H360" s="1" t="s">
        <v>209</v>
      </c>
      <c r="I360" s="2" t="s">
        <v>210</v>
      </c>
      <c r="J360" s="3" t="s">
        <v>11</v>
      </c>
      <c r="K360" s="38">
        <v>0.75</v>
      </c>
      <c r="L360" s="39">
        <v>558</v>
      </c>
    </row>
    <row r="361" spans="1:12" ht="19.95" customHeight="1" x14ac:dyDescent="0.3">
      <c r="A361" s="6" t="s">
        <v>4383</v>
      </c>
      <c r="B361" s="7" t="s">
        <v>4324</v>
      </c>
      <c r="C361" s="6" t="s">
        <v>4572</v>
      </c>
      <c r="D361" s="7" t="s">
        <v>4585</v>
      </c>
      <c r="E361" s="6" t="s">
        <v>4586</v>
      </c>
      <c r="F361" s="7" t="s">
        <v>4384</v>
      </c>
      <c r="G361" s="7" t="s">
        <v>4367</v>
      </c>
      <c r="H361" s="5" t="s">
        <v>197</v>
      </c>
      <c r="I361" s="6" t="s">
        <v>198</v>
      </c>
      <c r="J361" s="7" t="s">
        <v>11</v>
      </c>
      <c r="K361" s="36">
        <v>7.0000000000000007E-2</v>
      </c>
      <c r="L361" s="37">
        <v>617</v>
      </c>
    </row>
    <row r="362" spans="1:12" ht="19.95" customHeight="1" x14ac:dyDescent="0.3">
      <c r="A362" s="2" t="s">
        <v>4383</v>
      </c>
      <c r="B362" s="3" t="s">
        <v>4324</v>
      </c>
      <c r="C362" s="2" t="s">
        <v>4572</v>
      </c>
      <c r="D362" s="3" t="s">
        <v>4587</v>
      </c>
      <c r="E362" s="2" t="s">
        <v>4588</v>
      </c>
      <c r="F362" s="3" t="s">
        <v>4384</v>
      </c>
      <c r="G362" s="3" t="s">
        <v>4367</v>
      </c>
      <c r="H362" s="1" t="s">
        <v>209</v>
      </c>
      <c r="I362" s="2" t="s">
        <v>210</v>
      </c>
      <c r="J362" s="3" t="s">
        <v>11</v>
      </c>
      <c r="K362" s="38">
        <v>0.75</v>
      </c>
      <c r="L362" s="39">
        <v>558</v>
      </c>
    </row>
    <row r="363" spans="1:12" ht="19.95" customHeight="1" x14ac:dyDescent="0.3">
      <c r="A363" s="6" t="s">
        <v>4383</v>
      </c>
      <c r="B363" s="7" t="s">
        <v>4324</v>
      </c>
      <c r="C363" s="6" t="s">
        <v>4572</v>
      </c>
      <c r="D363" s="7" t="s">
        <v>4587</v>
      </c>
      <c r="E363" s="6" t="s">
        <v>4588</v>
      </c>
      <c r="F363" s="7" t="s">
        <v>4384</v>
      </c>
      <c r="G363" s="7" t="s">
        <v>4367</v>
      </c>
      <c r="H363" s="5" t="s">
        <v>197</v>
      </c>
      <c r="I363" s="6" t="s">
        <v>198</v>
      </c>
      <c r="J363" s="7" t="s">
        <v>11</v>
      </c>
      <c r="K363" s="36">
        <v>7.0000000000000007E-2</v>
      </c>
      <c r="L363" s="37">
        <v>617</v>
      </c>
    </row>
    <row r="364" spans="1:12" ht="19.95" customHeight="1" x14ac:dyDescent="0.3">
      <c r="A364" s="2" t="s">
        <v>4383</v>
      </c>
      <c r="B364" s="3" t="s">
        <v>4324</v>
      </c>
      <c r="C364" s="2" t="s">
        <v>4572</v>
      </c>
      <c r="D364" s="3" t="s">
        <v>4589</v>
      </c>
      <c r="E364" s="2" t="s">
        <v>4590</v>
      </c>
      <c r="F364" s="3" t="s">
        <v>4384</v>
      </c>
      <c r="G364" s="3" t="s">
        <v>4367</v>
      </c>
      <c r="H364" s="1" t="s">
        <v>209</v>
      </c>
      <c r="I364" s="2" t="s">
        <v>210</v>
      </c>
      <c r="J364" s="3" t="s">
        <v>11</v>
      </c>
      <c r="K364" s="38">
        <v>0.75</v>
      </c>
      <c r="L364" s="39">
        <v>558</v>
      </c>
    </row>
    <row r="365" spans="1:12" ht="19.95" customHeight="1" x14ac:dyDescent="0.3">
      <c r="A365" s="6" t="s">
        <v>4383</v>
      </c>
      <c r="B365" s="7" t="s">
        <v>4324</v>
      </c>
      <c r="C365" s="6" t="s">
        <v>4572</v>
      </c>
      <c r="D365" s="7" t="s">
        <v>4589</v>
      </c>
      <c r="E365" s="6" t="s">
        <v>4590</v>
      </c>
      <c r="F365" s="7" t="s">
        <v>4384</v>
      </c>
      <c r="G365" s="7" t="s">
        <v>4367</v>
      </c>
      <c r="H365" s="5" t="s">
        <v>197</v>
      </c>
      <c r="I365" s="6" t="s">
        <v>198</v>
      </c>
      <c r="J365" s="7" t="s">
        <v>11</v>
      </c>
      <c r="K365" s="36">
        <v>7.0000000000000007E-2</v>
      </c>
      <c r="L365" s="37">
        <v>617</v>
      </c>
    </row>
    <row r="366" spans="1:12" ht="19.95" customHeight="1" x14ac:dyDescent="0.3">
      <c r="A366" s="2" t="s">
        <v>4383</v>
      </c>
      <c r="B366" s="3" t="s">
        <v>4324</v>
      </c>
      <c r="C366" s="2" t="s">
        <v>4572</v>
      </c>
      <c r="D366" s="3" t="s">
        <v>4591</v>
      </c>
      <c r="E366" s="2" t="s">
        <v>4592</v>
      </c>
      <c r="F366" s="3" t="s">
        <v>4368</v>
      </c>
      <c r="G366" s="3" t="s">
        <v>4367</v>
      </c>
      <c r="H366" s="1" t="s">
        <v>209</v>
      </c>
      <c r="I366" s="2" t="s">
        <v>210</v>
      </c>
      <c r="J366" s="3" t="s">
        <v>11</v>
      </c>
      <c r="K366" s="38">
        <v>0.63</v>
      </c>
      <c r="L366" s="39">
        <v>558</v>
      </c>
    </row>
    <row r="367" spans="1:12" ht="19.95" customHeight="1" x14ac:dyDescent="0.3">
      <c r="A367" s="6" t="s">
        <v>4383</v>
      </c>
      <c r="B367" s="7" t="s">
        <v>4324</v>
      </c>
      <c r="C367" s="6" t="s">
        <v>4572</v>
      </c>
      <c r="D367" s="7" t="s">
        <v>4591</v>
      </c>
      <c r="E367" s="6" t="s">
        <v>4592</v>
      </c>
      <c r="F367" s="7" t="s">
        <v>4368</v>
      </c>
      <c r="G367" s="7" t="s">
        <v>4367</v>
      </c>
      <c r="H367" s="5" t="s">
        <v>197</v>
      </c>
      <c r="I367" s="6" t="s">
        <v>198</v>
      </c>
      <c r="J367" s="7" t="s">
        <v>11</v>
      </c>
      <c r="K367" s="36">
        <v>0.315</v>
      </c>
      <c r="L367" s="37">
        <v>617</v>
      </c>
    </row>
    <row r="368" spans="1:12" ht="19.95" customHeight="1" x14ac:dyDescent="0.3">
      <c r="A368" s="2" t="s">
        <v>4383</v>
      </c>
      <c r="B368" s="3" t="s">
        <v>4324</v>
      </c>
      <c r="C368" s="2" t="s">
        <v>4572</v>
      </c>
      <c r="D368" s="3" t="s">
        <v>4591</v>
      </c>
      <c r="E368" s="2" t="s">
        <v>4592</v>
      </c>
      <c r="F368" s="3" t="s">
        <v>4384</v>
      </c>
      <c r="G368" s="3" t="s">
        <v>4367</v>
      </c>
      <c r="H368" s="1" t="s">
        <v>209</v>
      </c>
      <c r="I368" s="2" t="s">
        <v>210</v>
      </c>
      <c r="J368" s="3" t="s">
        <v>11</v>
      </c>
      <c r="K368" s="38">
        <v>0.9</v>
      </c>
      <c r="L368" s="39">
        <v>558</v>
      </c>
    </row>
    <row r="369" spans="1:12" ht="19.95" customHeight="1" x14ac:dyDescent="0.3">
      <c r="A369" s="6" t="s">
        <v>4383</v>
      </c>
      <c r="B369" s="7" t="s">
        <v>4324</v>
      </c>
      <c r="C369" s="6" t="s">
        <v>4572</v>
      </c>
      <c r="D369" s="7" t="s">
        <v>4591</v>
      </c>
      <c r="E369" s="6" t="s">
        <v>4592</v>
      </c>
      <c r="F369" s="7" t="s">
        <v>4384</v>
      </c>
      <c r="G369" s="7" t="s">
        <v>4367</v>
      </c>
      <c r="H369" s="5" t="s">
        <v>197</v>
      </c>
      <c r="I369" s="6" t="s">
        <v>198</v>
      </c>
      <c r="J369" s="7" t="s">
        <v>11</v>
      </c>
      <c r="K369" s="36">
        <v>0.45</v>
      </c>
      <c r="L369" s="37">
        <v>617</v>
      </c>
    </row>
    <row r="370" spans="1:12" ht="19.95" customHeight="1" x14ac:dyDescent="0.3">
      <c r="A370" s="2" t="s">
        <v>4383</v>
      </c>
      <c r="B370" s="3" t="s">
        <v>4324</v>
      </c>
      <c r="C370" s="2" t="s">
        <v>4572</v>
      </c>
      <c r="D370" s="3" t="s">
        <v>4593</v>
      </c>
      <c r="E370" s="2" t="s">
        <v>4594</v>
      </c>
      <c r="F370" s="3" t="s">
        <v>4384</v>
      </c>
      <c r="G370" s="3" t="s">
        <v>4367</v>
      </c>
      <c r="H370" s="1" t="s">
        <v>209</v>
      </c>
      <c r="I370" s="2" t="s">
        <v>210</v>
      </c>
      <c r="J370" s="3" t="s">
        <v>11</v>
      </c>
      <c r="K370" s="38">
        <v>0.75</v>
      </c>
      <c r="L370" s="39">
        <v>558</v>
      </c>
    </row>
    <row r="371" spans="1:12" ht="19.95" customHeight="1" x14ac:dyDescent="0.3">
      <c r="A371" s="6" t="s">
        <v>4383</v>
      </c>
      <c r="B371" s="7" t="s">
        <v>4324</v>
      </c>
      <c r="C371" s="6" t="s">
        <v>4572</v>
      </c>
      <c r="D371" s="7" t="s">
        <v>4593</v>
      </c>
      <c r="E371" s="6" t="s">
        <v>4594</v>
      </c>
      <c r="F371" s="7" t="s">
        <v>4384</v>
      </c>
      <c r="G371" s="7" t="s">
        <v>4367</v>
      </c>
      <c r="H371" s="5" t="s">
        <v>197</v>
      </c>
      <c r="I371" s="6" t="s">
        <v>198</v>
      </c>
      <c r="J371" s="7" t="s">
        <v>11</v>
      </c>
      <c r="K371" s="36">
        <v>7.0000000000000007E-2</v>
      </c>
      <c r="L371" s="37">
        <v>617</v>
      </c>
    </row>
    <row r="372" spans="1:12" ht="19.95" customHeight="1" x14ac:dyDescent="0.3">
      <c r="A372" s="2" t="s">
        <v>4383</v>
      </c>
      <c r="B372" s="3" t="s">
        <v>4324</v>
      </c>
      <c r="C372" s="2" t="s">
        <v>4572</v>
      </c>
      <c r="D372" s="3" t="s">
        <v>4595</v>
      </c>
      <c r="E372" s="2" t="s">
        <v>4596</v>
      </c>
      <c r="F372" s="3" t="s">
        <v>4384</v>
      </c>
      <c r="G372" s="3" t="s">
        <v>4367</v>
      </c>
      <c r="H372" s="1" t="s">
        <v>209</v>
      </c>
      <c r="I372" s="2" t="s">
        <v>210</v>
      </c>
      <c r="J372" s="3" t="s">
        <v>11</v>
      </c>
      <c r="K372" s="38">
        <v>0.75</v>
      </c>
      <c r="L372" s="39">
        <v>558</v>
      </c>
    </row>
    <row r="373" spans="1:12" ht="19.95" customHeight="1" x14ac:dyDescent="0.3">
      <c r="A373" s="6" t="s">
        <v>4383</v>
      </c>
      <c r="B373" s="7" t="s">
        <v>4324</v>
      </c>
      <c r="C373" s="6" t="s">
        <v>4572</v>
      </c>
      <c r="D373" s="7" t="s">
        <v>4595</v>
      </c>
      <c r="E373" s="6" t="s">
        <v>4596</v>
      </c>
      <c r="F373" s="7" t="s">
        <v>4384</v>
      </c>
      <c r="G373" s="7" t="s">
        <v>4367</v>
      </c>
      <c r="H373" s="5" t="s">
        <v>197</v>
      </c>
      <c r="I373" s="6" t="s">
        <v>198</v>
      </c>
      <c r="J373" s="7" t="s">
        <v>11</v>
      </c>
      <c r="K373" s="36">
        <v>7.0000000000000007E-2</v>
      </c>
      <c r="L373" s="37">
        <v>617</v>
      </c>
    </row>
    <row r="374" spans="1:12" ht="19.95" customHeight="1" x14ac:dyDescent="0.3">
      <c r="A374" s="2" t="s">
        <v>4383</v>
      </c>
      <c r="B374" s="3" t="s">
        <v>4324</v>
      </c>
      <c r="C374" s="2" t="s">
        <v>4572</v>
      </c>
      <c r="D374" s="3" t="s">
        <v>4597</v>
      </c>
      <c r="E374" s="2" t="s">
        <v>4598</v>
      </c>
      <c r="F374" s="3" t="s">
        <v>4384</v>
      </c>
      <c r="G374" s="3" t="s">
        <v>4367</v>
      </c>
      <c r="H374" s="1" t="s">
        <v>209</v>
      </c>
      <c r="I374" s="2" t="s">
        <v>210</v>
      </c>
      <c r="J374" s="3" t="s">
        <v>11</v>
      </c>
      <c r="K374" s="38">
        <v>0.75</v>
      </c>
      <c r="L374" s="39">
        <v>558</v>
      </c>
    </row>
    <row r="375" spans="1:12" ht="19.95" customHeight="1" x14ac:dyDescent="0.3">
      <c r="A375" s="6" t="s">
        <v>4383</v>
      </c>
      <c r="B375" s="7" t="s">
        <v>4324</v>
      </c>
      <c r="C375" s="6" t="s">
        <v>4572</v>
      </c>
      <c r="D375" s="7" t="s">
        <v>4597</v>
      </c>
      <c r="E375" s="6" t="s">
        <v>4598</v>
      </c>
      <c r="F375" s="7" t="s">
        <v>4384</v>
      </c>
      <c r="G375" s="7" t="s">
        <v>4367</v>
      </c>
      <c r="H375" s="5" t="s">
        <v>197</v>
      </c>
      <c r="I375" s="6" t="s">
        <v>198</v>
      </c>
      <c r="J375" s="7" t="s">
        <v>11</v>
      </c>
      <c r="K375" s="36">
        <v>7.0000000000000007E-2</v>
      </c>
      <c r="L375" s="37">
        <v>617</v>
      </c>
    </row>
    <row r="376" spans="1:12" ht="19.95" customHeight="1" x14ac:dyDescent="0.3">
      <c r="A376" s="2" t="s">
        <v>4383</v>
      </c>
      <c r="B376" s="3" t="s">
        <v>4324</v>
      </c>
      <c r="C376" s="2" t="s">
        <v>4572</v>
      </c>
      <c r="D376" s="3" t="s">
        <v>4599</v>
      </c>
      <c r="E376" s="2" t="s">
        <v>4600</v>
      </c>
      <c r="F376" s="3" t="s">
        <v>4384</v>
      </c>
      <c r="G376" s="3" t="s">
        <v>4367</v>
      </c>
      <c r="H376" s="1" t="s">
        <v>209</v>
      </c>
      <c r="I376" s="2" t="s">
        <v>210</v>
      </c>
      <c r="J376" s="3" t="s">
        <v>11</v>
      </c>
      <c r="K376" s="38">
        <v>0.75</v>
      </c>
      <c r="L376" s="39">
        <v>558</v>
      </c>
    </row>
    <row r="377" spans="1:12" ht="19.95" customHeight="1" x14ac:dyDescent="0.3">
      <c r="A377" s="6" t="s">
        <v>4383</v>
      </c>
      <c r="B377" s="7" t="s">
        <v>4324</v>
      </c>
      <c r="C377" s="6" t="s">
        <v>4572</v>
      </c>
      <c r="D377" s="7" t="s">
        <v>4599</v>
      </c>
      <c r="E377" s="6" t="s">
        <v>4600</v>
      </c>
      <c r="F377" s="7" t="s">
        <v>4384</v>
      </c>
      <c r="G377" s="7" t="s">
        <v>4367</v>
      </c>
      <c r="H377" s="5" t="s">
        <v>197</v>
      </c>
      <c r="I377" s="6" t="s">
        <v>198</v>
      </c>
      <c r="J377" s="7" t="s">
        <v>11</v>
      </c>
      <c r="K377" s="36">
        <v>7.0000000000000007E-2</v>
      </c>
      <c r="L377" s="37">
        <v>617</v>
      </c>
    </row>
    <row r="378" spans="1:12" ht="19.95" customHeight="1" x14ac:dyDescent="0.3">
      <c r="A378" s="2" t="s">
        <v>4383</v>
      </c>
      <c r="B378" s="3" t="s">
        <v>4324</v>
      </c>
      <c r="C378" s="2" t="s">
        <v>4572</v>
      </c>
      <c r="D378" s="3" t="s">
        <v>4601</v>
      </c>
      <c r="E378" s="2" t="s">
        <v>4602</v>
      </c>
      <c r="F378" s="3" t="s">
        <v>4384</v>
      </c>
      <c r="G378" s="3" t="s">
        <v>4367</v>
      </c>
      <c r="H378" s="1" t="s">
        <v>209</v>
      </c>
      <c r="I378" s="2" t="s">
        <v>210</v>
      </c>
      <c r="J378" s="3" t="s">
        <v>11</v>
      </c>
      <c r="K378" s="38">
        <v>0.75</v>
      </c>
      <c r="L378" s="39">
        <v>558</v>
      </c>
    </row>
    <row r="379" spans="1:12" ht="19.95" customHeight="1" x14ac:dyDescent="0.3">
      <c r="A379" s="6" t="s">
        <v>4383</v>
      </c>
      <c r="B379" s="7" t="s">
        <v>4324</v>
      </c>
      <c r="C379" s="6" t="s">
        <v>4572</v>
      </c>
      <c r="D379" s="7" t="s">
        <v>4601</v>
      </c>
      <c r="E379" s="6" t="s">
        <v>4602</v>
      </c>
      <c r="F379" s="7" t="s">
        <v>4384</v>
      </c>
      <c r="G379" s="7" t="s">
        <v>4367</v>
      </c>
      <c r="H379" s="5" t="s">
        <v>197</v>
      </c>
      <c r="I379" s="6" t="s">
        <v>198</v>
      </c>
      <c r="J379" s="7" t="s">
        <v>11</v>
      </c>
      <c r="K379" s="36">
        <v>7.0000000000000007E-2</v>
      </c>
      <c r="L379" s="37">
        <v>617</v>
      </c>
    </row>
    <row r="380" spans="1:12" ht="19.95" customHeight="1" x14ac:dyDescent="0.3">
      <c r="A380" s="2" t="s">
        <v>4383</v>
      </c>
      <c r="B380" s="3" t="s">
        <v>4324</v>
      </c>
      <c r="C380" s="2" t="s">
        <v>4572</v>
      </c>
      <c r="D380" s="3" t="s">
        <v>4603</v>
      </c>
      <c r="E380" s="2" t="s">
        <v>4604</v>
      </c>
      <c r="F380" s="3" t="s">
        <v>4384</v>
      </c>
      <c r="G380" s="3" t="s">
        <v>4367</v>
      </c>
      <c r="H380" s="1" t="s">
        <v>209</v>
      </c>
      <c r="I380" s="2" t="s">
        <v>210</v>
      </c>
      <c r="J380" s="3" t="s">
        <v>11</v>
      </c>
      <c r="K380" s="38">
        <v>0.75</v>
      </c>
      <c r="L380" s="39">
        <v>558</v>
      </c>
    </row>
    <row r="381" spans="1:12" ht="19.95" customHeight="1" x14ac:dyDescent="0.3">
      <c r="A381" s="6" t="s">
        <v>4383</v>
      </c>
      <c r="B381" s="7" t="s">
        <v>4324</v>
      </c>
      <c r="C381" s="6" t="s">
        <v>4572</v>
      </c>
      <c r="D381" s="7" t="s">
        <v>4603</v>
      </c>
      <c r="E381" s="6" t="s">
        <v>4604</v>
      </c>
      <c r="F381" s="7" t="s">
        <v>4384</v>
      </c>
      <c r="G381" s="7" t="s">
        <v>4367</v>
      </c>
      <c r="H381" s="5" t="s">
        <v>197</v>
      </c>
      <c r="I381" s="6" t="s">
        <v>198</v>
      </c>
      <c r="J381" s="7" t="s">
        <v>11</v>
      </c>
      <c r="K381" s="36">
        <v>7.0000000000000007E-2</v>
      </c>
      <c r="L381" s="37">
        <v>617</v>
      </c>
    </row>
    <row r="382" spans="1:12" ht="19.95" customHeight="1" x14ac:dyDescent="0.3">
      <c r="A382" s="2" t="s">
        <v>4383</v>
      </c>
      <c r="B382" s="3" t="s">
        <v>4324</v>
      </c>
      <c r="C382" s="2" t="s">
        <v>4572</v>
      </c>
      <c r="D382" s="3" t="s">
        <v>4605</v>
      </c>
      <c r="E382" s="2" t="s">
        <v>4606</v>
      </c>
      <c r="F382" s="3" t="s">
        <v>4384</v>
      </c>
      <c r="G382" s="3" t="s">
        <v>4367</v>
      </c>
      <c r="H382" s="1" t="s">
        <v>209</v>
      </c>
      <c r="I382" s="2" t="s">
        <v>210</v>
      </c>
      <c r="J382" s="3" t="s">
        <v>11</v>
      </c>
      <c r="K382" s="38">
        <v>0.75</v>
      </c>
      <c r="L382" s="39">
        <v>558</v>
      </c>
    </row>
    <row r="383" spans="1:12" ht="19.95" customHeight="1" x14ac:dyDescent="0.3">
      <c r="A383" s="6" t="s">
        <v>4383</v>
      </c>
      <c r="B383" s="7" t="s">
        <v>4324</v>
      </c>
      <c r="C383" s="6" t="s">
        <v>4572</v>
      </c>
      <c r="D383" s="7" t="s">
        <v>4605</v>
      </c>
      <c r="E383" s="6" t="s">
        <v>4606</v>
      </c>
      <c r="F383" s="7" t="s">
        <v>4384</v>
      </c>
      <c r="G383" s="7" t="s">
        <v>4367</v>
      </c>
      <c r="H383" s="5" t="s">
        <v>197</v>
      </c>
      <c r="I383" s="6" t="s">
        <v>198</v>
      </c>
      <c r="J383" s="7" t="s">
        <v>11</v>
      </c>
      <c r="K383" s="36">
        <v>7.0000000000000007E-2</v>
      </c>
      <c r="L383" s="37">
        <v>617</v>
      </c>
    </row>
    <row r="384" spans="1:12" ht="19.95" customHeight="1" x14ac:dyDescent="0.3">
      <c r="A384" s="2" t="s">
        <v>4383</v>
      </c>
      <c r="B384" s="3" t="s">
        <v>4324</v>
      </c>
      <c r="C384" s="2" t="s">
        <v>4572</v>
      </c>
      <c r="D384" s="3" t="s">
        <v>4607</v>
      </c>
      <c r="E384" s="2" t="s">
        <v>4608</v>
      </c>
      <c r="F384" s="3" t="s">
        <v>4384</v>
      </c>
      <c r="G384" s="3" t="s">
        <v>4367</v>
      </c>
      <c r="H384" s="1" t="s">
        <v>209</v>
      </c>
      <c r="I384" s="2" t="s">
        <v>210</v>
      </c>
      <c r="J384" s="3" t="s">
        <v>11</v>
      </c>
      <c r="K384" s="38">
        <v>0.75</v>
      </c>
      <c r="L384" s="39">
        <v>558</v>
      </c>
    </row>
    <row r="385" spans="1:12" ht="19.95" customHeight="1" x14ac:dyDescent="0.3">
      <c r="A385" s="6" t="s">
        <v>4383</v>
      </c>
      <c r="B385" s="7" t="s">
        <v>4324</v>
      </c>
      <c r="C385" s="6" t="s">
        <v>4572</v>
      </c>
      <c r="D385" s="7" t="s">
        <v>4607</v>
      </c>
      <c r="E385" s="6" t="s">
        <v>4608</v>
      </c>
      <c r="F385" s="7" t="s">
        <v>4384</v>
      </c>
      <c r="G385" s="7" t="s">
        <v>4367</v>
      </c>
      <c r="H385" s="5" t="s">
        <v>197</v>
      </c>
      <c r="I385" s="6" t="s">
        <v>198</v>
      </c>
      <c r="J385" s="7" t="s">
        <v>11</v>
      </c>
      <c r="K385" s="36">
        <v>7.0000000000000007E-2</v>
      </c>
      <c r="L385" s="37">
        <v>617</v>
      </c>
    </row>
    <row r="386" spans="1:12" ht="19.95" customHeight="1" x14ac:dyDescent="0.3">
      <c r="A386" s="2" t="s">
        <v>4385</v>
      </c>
      <c r="B386" s="3" t="s">
        <v>4386</v>
      </c>
      <c r="C386" s="2" t="s">
        <v>4609</v>
      </c>
      <c r="D386" s="3" t="s">
        <v>4603</v>
      </c>
      <c r="E386" s="2" t="s">
        <v>4610</v>
      </c>
      <c r="F386" s="3" t="s">
        <v>4368</v>
      </c>
      <c r="G386" s="3" t="s">
        <v>4367</v>
      </c>
      <c r="H386" s="1" t="s">
        <v>211</v>
      </c>
      <c r="I386" s="2" t="s">
        <v>212</v>
      </c>
      <c r="J386" s="3" t="s">
        <v>11</v>
      </c>
      <c r="K386" s="38">
        <v>5.6000000000000001E-2</v>
      </c>
      <c r="L386" s="39">
        <v>558</v>
      </c>
    </row>
    <row r="387" spans="1:12" ht="19.95" customHeight="1" x14ac:dyDescent="0.3">
      <c r="A387" s="6" t="s">
        <v>4385</v>
      </c>
      <c r="B387" s="7" t="s">
        <v>4386</v>
      </c>
      <c r="C387" s="6" t="s">
        <v>4609</v>
      </c>
      <c r="D387" s="7" t="s">
        <v>4603</v>
      </c>
      <c r="E387" s="6" t="s">
        <v>4610</v>
      </c>
      <c r="F387" s="7" t="s">
        <v>4368</v>
      </c>
      <c r="G387" s="7" t="s">
        <v>4367</v>
      </c>
      <c r="H387" s="5" t="s">
        <v>221</v>
      </c>
      <c r="I387" s="6" t="s">
        <v>222</v>
      </c>
      <c r="J387" s="7" t="s">
        <v>11</v>
      </c>
      <c r="K387" s="36">
        <v>0.05</v>
      </c>
      <c r="L387" s="37">
        <v>738</v>
      </c>
    </row>
    <row r="388" spans="1:12" ht="19.95" customHeight="1" x14ac:dyDescent="0.3">
      <c r="A388" s="2" t="s">
        <v>4385</v>
      </c>
      <c r="B388" s="3" t="s">
        <v>4386</v>
      </c>
      <c r="C388" s="2" t="s">
        <v>4609</v>
      </c>
      <c r="D388" s="3" t="s">
        <v>4603</v>
      </c>
      <c r="E388" s="2" t="s">
        <v>4610</v>
      </c>
      <c r="F388" s="3" t="s">
        <v>4368</v>
      </c>
      <c r="G388" s="3" t="s">
        <v>4367</v>
      </c>
      <c r="H388" s="1" t="s">
        <v>209</v>
      </c>
      <c r="I388" s="2" t="s">
        <v>210</v>
      </c>
      <c r="J388" s="3" t="s">
        <v>11</v>
      </c>
      <c r="K388" s="38">
        <v>0.3</v>
      </c>
      <c r="L388" s="39">
        <v>558</v>
      </c>
    </row>
    <row r="389" spans="1:12" ht="19.95" customHeight="1" x14ac:dyDescent="0.3">
      <c r="A389" s="6" t="s">
        <v>4385</v>
      </c>
      <c r="B389" s="7" t="s">
        <v>4386</v>
      </c>
      <c r="C389" s="6" t="s">
        <v>4609</v>
      </c>
      <c r="D389" s="7" t="s">
        <v>4605</v>
      </c>
      <c r="E389" s="6" t="s">
        <v>4611</v>
      </c>
      <c r="F389" s="7" t="s">
        <v>4368</v>
      </c>
      <c r="G389" s="7" t="s">
        <v>4367</v>
      </c>
      <c r="H389" s="5" t="s">
        <v>211</v>
      </c>
      <c r="I389" s="6" t="s">
        <v>212</v>
      </c>
      <c r="J389" s="7" t="s">
        <v>11</v>
      </c>
      <c r="K389" s="36">
        <v>0.68</v>
      </c>
      <c r="L389" s="37">
        <v>558</v>
      </c>
    </row>
    <row r="390" spans="1:12" ht="19.95" customHeight="1" x14ac:dyDescent="0.3">
      <c r="A390" s="2" t="s">
        <v>4385</v>
      </c>
      <c r="B390" s="3" t="s">
        <v>4386</v>
      </c>
      <c r="C390" s="2" t="s">
        <v>4609</v>
      </c>
      <c r="D390" s="3" t="s">
        <v>4605</v>
      </c>
      <c r="E390" s="2" t="s">
        <v>4611</v>
      </c>
      <c r="F390" s="3" t="s">
        <v>4368</v>
      </c>
      <c r="G390" s="3" t="s">
        <v>4367</v>
      </c>
      <c r="H390" s="1" t="s">
        <v>221</v>
      </c>
      <c r="I390" s="2" t="s">
        <v>222</v>
      </c>
      <c r="J390" s="3" t="s">
        <v>11</v>
      </c>
      <c r="K390" s="38">
        <v>0.6</v>
      </c>
      <c r="L390" s="39">
        <v>738</v>
      </c>
    </row>
    <row r="391" spans="1:12" ht="19.95" customHeight="1" x14ac:dyDescent="0.3">
      <c r="A391" s="6" t="s">
        <v>4385</v>
      </c>
      <c r="B391" s="7" t="s">
        <v>4386</v>
      </c>
      <c r="C391" s="6" t="s">
        <v>4609</v>
      </c>
      <c r="D391" s="7" t="s">
        <v>4605</v>
      </c>
      <c r="E391" s="6" t="s">
        <v>4611</v>
      </c>
      <c r="F391" s="7" t="s">
        <v>4368</v>
      </c>
      <c r="G391" s="7" t="s">
        <v>4367</v>
      </c>
      <c r="H391" s="5" t="s">
        <v>209</v>
      </c>
      <c r="I391" s="6" t="s">
        <v>210</v>
      </c>
      <c r="J391" s="7" t="s">
        <v>11</v>
      </c>
      <c r="K391" s="36">
        <v>3.6</v>
      </c>
      <c r="L391" s="37">
        <v>558</v>
      </c>
    </row>
    <row r="392" spans="1:12" ht="19.95" customHeight="1" x14ac:dyDescent="0.3">
      <c r="A392" s="2" t="s">
        <v>4385</v>
      </c>
      <c r="B392" s="3" t="s">
        <v>4386</v>
      </c>
      <c r="C392" s="2" t="s">
        <v>4609</v>
      </c>
      <c r="D392" s="3" t="s">
        <v>4612</v>
      </c>
      <c r="E392" s="2" t="s">
        <v>4613</v>
      </c>
      <c r="F392" s="3" t="s">
        <v>4384</v>
      </c>
      <c r="G392" s="3" t="s">
        <v>4367</v>
      </c>
      <c r="H392" s="1" t="s">
        <v>255</v>
      </c>
      <c r="I392" s="2" t="s">
        <v>256</v>
      </c>
      <c r="J392" s="3" t="s">
        <v>11</v>
      </c>
      <c r="K392" s="38">
        <v>0.1</v>
      </c>
      <c r="L392" s="39">
        <v>709</v>
      </c>
    </row>
    <row r="393" spans="1:12" ht="19.95" customHeight="1" x14ac:dyDescent="0.3">
      <c r="A393" s="6" t="s">
        <v>4385</v>
      </c>
      <c r="B393" s="7" t="s">
        <v>4386</v>
      </c>
      <c r="C393" s="6" t="s">
        <v>4609</v>
      </c>
      <c r="D393" s="7" t="s">
        <v>4612</v>
      </c>
      <c r="E393" s="6" t="s">
        <v>4613</v>
      </c>
      <c r="F393" s="7" t="s">
        <v>4384</v>
      </c>
      <c r="G393" s="7" t="s">
        <v>4367</v>
      </c>
      <c r="H393" s="5" t="s">
        <v>209</v>
      </c>
      <c r="I393" s="6" t="s">
        <v>210</v>
      </c>
      <c r="J393" s="7" t="s">
        <v>11</v>
      </c>
      <c r="K393" s="36">
        <v>1.63</v>
      </c>
      <c r="L393" s="37">
        <v>558</v>
      </c>
    </row>
    <row r="394" spans="1:12" ht="19.95" customHeight="1" x14ac:dyDescent="0.3">
      <c r="A394" s="2" t="s">
        <v>4385</v>
      </c>
      <c r="B394" s="3" t="s">
        <v>4386</v>
      </c>
      <c r="C394" s="2" t="s">
        <v>4609</v>
      </c>
      <c r="D394" s="3" t="s">
        <v>4612</v>
      </c>
      <c r="E394" s="2" t="s">
        <v>4613</v>
      </c>
      <c r="F394" s="3" t="s">
        <v>4384</v>
      </c>
      <c r="G394" s="3" t="s">
        <v>4367</v>
      </c>
      <c r="H394" s="1" t="s">
        <v>197</v>
      </c>
      <c r="I394" s="2" t="s">
        <v>198</v>
      </c>
      <c r="J394" s="3" t="s">
        <v>11</v>
      </c>
      <c r="K394" s="38">
        <v>0.7</v>
      </c>
      <c r="L394" s="39">
        <v>617</v>
      </c>
    </row>
    <row r="395" spans="1:12" ht="19.95" customHeight="1" x14ac:dyDescent="0.3">
      <c r="A395" s="6" t="s">
        <v>4385</v>
      </c>
      <c r="B395" s="7" t="s">
        <v>4386</v>
      </c>
      <c r="C395" s="6" t="s">
        <v>4609</v>
      </c>
      <c r="D395" s="7" t="s">
        <v>4612</v>
      </c>
      <c r="E395" s="6" t="s">
        <v>4613</v>
      </c>
      <c r="F395" s="7" t="s">
        <v>4384</v>
      </c>
      <c r="G395" s="7" t="s">
        <v>4369</v>
      </c>
      <c r="H395" s="5" t="s">
        <v>12</v>
      </c>
      <c r="I395" s="6" t="s">
        <v>4388</v>
      </c>
      <c r="J395" s="7" t="s">
        <v>11</v>
      </c>
      <c r="K395" s="36">
        <v>7.0000000000000007E-2</v>
      </c>
      <c r="L395" s="37">
        <v>800</v>
      </c>
    </row>
    <row r="396" spans="1:12" ht="19.95" customHeight="1" x14ac:dyDescent="0.3">
      <c r="A396" s="2" t="s">
        <v>4385</v>
      </c>
      <c r="B396" s="3" t="s">
        <v>4386</v>
      </c>
      <c r="C396" s="2" t="s">
        <v>4609</v>
      </c>
      <c r="D396" s="3" t="s">
        <v>4612</v>
      </c>
      <c r="E396" s="2" t="s">
        <v>4613</v>
      </c>
      <c r="F396" s="3" t="s">
        <v>4384</v>
      </c>
      <c r="G396" s="3" t="s">
        <v>4369</v>
      </c>
      <c r="H396" s="1" t="s">
        <v>33</v>
      </c>
      <c r="I396" s="2" t="s">
        <v>4387</v>
      </c>
      <c r="J396" s="3" t="s">
        <v>11</v>
      </c>
      <c r="K396" s="38">
        <v>7.0000000000000007E-2</v>
      </c>
      <c r="L396" s="39">
        <v>370</v>
      </c>
    </row>
    <row r="397" spans="1:12" ht="19.95" customHeight="1" x14ac:dyDescent="0.3">
      <c r="A397" s="6" t="s">
        <v>4385</v>
      </c>
      <c r="B397" s="7" t="s">
        <v>4386</v>
      </c>
      <c r="C397" s="6" t="s">
        <v>4609</v>
      </c>
      <c r="D397" s="7" t="s">
        <v>4614</v>
      </c>
      <c r="E397" s="6" t="s">
        <v>4615</v>
      </c>
      <c r="F397" s="7" t="s">
        <v>4384</v>
      </c>
      <c r="G397" s="7" t="s">
        <v>4367</v>
      </c>
      <c r="H397" s="5" t="s">
        <v>255</v>
      </c>
      <c r="I397" s="6" t="s">
        <v>256</v>
      </c>
      <c r="J397" s="7" t="s">
        <v>11</v>
      </c>
      <c r="K397" s="36">
        <v>0.1</v>
      </c>
      <c r="L397" s="37">
        <v>709</v>
      </c>
    </row>
    <row r="398" spans="1:12" ht="19.95" customHeight="1" x14ac:dyDescent="0.3">
      <c r="A398" s="2" t="s">
        <v>4385</v>
      </c>
      <c r="B398" s="3" t="s">
        <v>4386</v>
      </c>
      <c r="C398" s="2" t="s">
        <v>4609</v>
      </c>
      <c r="D398" s="3" t="s">
        <v>4614</v>
      </c>
      <c r="E398" s="2" t="s">
        <v>4615</v>
      </c>
      <c r="F398" s="3" t="s">
        <v>4384</v>
      </c>
      <c r="G398" s="3" t="s">
        <v>4367</v>
      </c>
      <c r="H398" s="1" t="s">
        <v>209</v>
      </c>
      <c r="I398" s="2" t="s">
        <v>210</v>
      </c>
      <c r="J398" s="3" t="s">
        <v>11</v>
      </c>
      <c r="K398" s="38">
        <v>1.63</v>
      </c>
      <c r="L398" s="39">
        <v>558</v>
      </c>
    </row>
    <row r="399" spans="1:12" ht="19.95" customHeight="1" x14ac:dyDescent="0.3">
      <c r="A399" s="6" t="s">
        <v>4385</v>
      </c>
      <c r="B399" s="7" t="s">
        <v>4386</v>
      </c>
      <c r="C399" s="6" t="s">
        <v>4609</v>
      </c>
      <c r="D399" s="7" t="s">
        <v>4614</v>
      </c>
      <c r="E399" s="6" t="s">
        <v>4615</v>
      </c>
      <c r="F399" s="7" t="s">
        <v>4384</v>
      </c>
      <c r="G399" s="7" t="s">
        <v>4367</v>
      </c>
      <c r="H399" s="5" t="s">
        <v>197</v>
      </c>
      <c r="I399" s="6" t="s">
        <v>198</v>
      </c>
      <c r="J399" s="7" t="s">
        <v>11</v>
      </c>
      <c r="K399" s="36">
        <v>0.7</v>
      </c>
      <c r="L399" s="37">
        <v>617</v>
      </c>
    </row>
    <row r="400" spans="1:12" ht="19.95" customHeight="1" x14ac:dyDescent="0.3">
      <c r="A400" s="2" t="s">
        <v>4385</v>
      </c>
      <c r="B400" s="3" t="s">
        <v>4386</v>
      </c>
      <c r="C400" s="2" t="s">
        <v>4609</v>
      </c>
      <c r="D400" s="3" t="s">
        <v>4614</v>
      </c>
      <c r="E400" s="2" t="s">
        <v>4615</v>
      </c>
      <c r="F400" s="3" t="s">
        <v>4384</v>
      </c>
      <c r="G400" s="3" t="s">
        <v>4369</v>
      </c>
      <c r="H400" s="1" t="s">
        <v>12</v>
      </c>
      <c r="I400" s="2" t="s">
        <v>4388</v>
      </c>
      <c r="J400" s="3" t="s">
        <v>11</v>
      </c>
      <c r="K400" s="38">
        <v>7.0000000000000007E-2</v>
      </c>
      <c r="L400" s="39">
        <v>800</v>
      </c>
    </row>
    <row r="401" spans="1:12" ht="19.95" customHeight="1" x14ac:dyDescent="0.3">
      <c r="A401" s="6" t="s">
        <v>4385</v>
      </c>
      <c r="B401" s="7" t="s">
        <v>4386</v>
      </c>
      <c r="C401" s="6" t="s">
        <v>4609</v>
      </c>
      <c r="D401" s="7" t="s">
        <v>4614</v>
      </c>
      <c r="E401" s="6" t="s">
        <v>4615</v>
      </c>
      <c r="F401" s="7" t="s">
        <v>4384</v>
      </c>
      <c r="G401" s="7" t="s">
        <v>4369</v>
      </c>
      <c r="H401" s="5" t="s">
        <v>33</v>
      </c>
      <c r="I401" s="6" t="s">
        <v>4387</v>
      </c>
      <c r="J401" s="7" t="s">
        <v>11</v>
      </c>
      <c r="K401" s="36">
        <v>7.0000000000000007E-2</v>
      </c>
      <c r="L401" s="37">
        <v>370</v>
      </c>
    </row>
    <row r="402" spans="1:12" ht="19.95" customHeight="1" x14ac:dyDescent="0.3">
      <c r="A402" s="2" t="s">
        <v>4385</v>
      </c>
      <c r="B402" s="3" t="s">
        <v>4386</v>
      </c>
      <c r="C402" s="2" t="s">
        <v>4609</v>
      </c>
      <c r="D402" s="3" t="s">
        <v>4616</v>
      </c>
      <c r="E402" s="2" t="s">
        <v>4617</v>
      </c>
      <c r="F402" s="3" t="s">
        <v>4384</v>
      </c>
      <c r="G402" s="3" t="s">
        <v>4367</v>
      </c>
      <c r="H402" s="1" t="s">
        <v>255</v>
      </c>
      <c r="I402" s="2" t="s">
        <v>256</v>
      </c>
      <c r="J402" s="3" t="s">
        <v>11</v>
      </c>
      <c r="K402" s="38">
        <v>0.1</v>
      </c>
      <c r="L402" s="39">
        <v>709</v>
      </c>
    </row>
    <row r="403" spans="1:12" ht="19.95" customHeight="1" x14ac:dyDescent="0.3">
      <c r="A403" s="6" t="s">
        <v>4385</v>
      </c>
      <c r="B403" s="7" t="s">
        <v>4386</v>
      </c>
      <c r="C403" s="6" t="s">
        <v>4609</v>
      </c>
      <c r="D403" s="7" t="s">
        <v>4616</v>
      </c>
      <c r="E403" s="6" t="s">
        <v>4617</v>
      </c>
      <c r="F403" s="7" t="s">
        <v>4384</v>
      </c>
      <c r="G403" s="7" t="s">
        <v>4367</v>
      </c>
      <c r="H403" s="5" t="s">
        <v>209</v>
      </c>
      <c r="I403" s="6" t="s">
        <v>210</v>
      </c>
      <c r="J403" s="7" t="s">
        <v>11</v>
      </c>
      <c r="K403" s="36">
        <v>1.63</v>
      </c>
      <c r="L403" s="37">
        <v>558</v>
      </c>
    </row>
    <row r="404" spans="1:12" ht="19.95" customHeight="1" x14ac:dyDescent="0.3">
      <c r="A404" s="2" t="s">
        <v>4385</v>
      </c>
      <c r="B404" s="3" t="s">
        <v>4386</v>
      </c>
      <c r="C404" s="2" t="s">
        <v>4609</v>
      </c>
      <c r="D404" s="3" t="s">
        <v>4616</v>
      </c>
      <c r="E404" s="2" t="s">
        <v>4617</v>
      </c>
      <c r="F404" s="3" t="s">
        <v>4384</v>
      </c>
      <c r="G404" s="3" t="s">
        <v>4367</v>
      </c>
      <c r="H404" s="1" t="s">
        <v>197</v>
      </c>
      <c r="I404" s="2" t="s">
        <v>198</v>
      </c>
      <c r="J404" s="3" t="s">
        <v>11</v>
      </c>
      <c r="K404" s="38">
        <v>0.7</v>
      </c>
      <c r="L404" s="39">
        <v>617</v>
      </c>
    </row>
    <row r="405" spans="1:12" ht="19.95" customHeight="1" x14ac:dyDescent="0.3">
      <c r="A405" s="6" t="s">
        <v>4385</v>
      </c>
      <c r="B405" s="7" t="s">
        <v>4386</v>
      </c>
      <c r="C405" s="6" t="s">
        <v>4609</v>
      </c>
      <c r="D405" s="7" t="s">
        <v>4616</v>
      </c>
      <c r="E405" s="6" t="s">
        <v>4617</v>
      </c>
      <c r="F405" s="7" t="s">
        <v>4384</v>
      </c>
      <c r="G405" s="7" t="s">
        <v>4369</v>
      </c>
      <c r="H405" s="5" t="s">
        <v>12</v>
      </c>
      <c r="I405" s="6" t="s">
        <v>4388</v>
      </c>
      <c r="J405" s="7" t="s">
        <v>11</v>
      </c>
      <c r="K405" s="36">
        <v>7.0000000000000007E-2</v>
      </c>
      <c r="L405" s="37">
        <v>800</v>
      </c>
    </row>
    <row r="406" spans="1:12" ht="19.95" customHeight="1" x14ac:dyDescent="0.3">
      <c r="A406" s="2" t="s">
        <v>4385</v>
      </c>
      <c r="B406" s="3" t="s">
        <v>4386</v>
      </c>
      <c r="C406" s="2" t="s">
        <v>4609</v>
      </c>
      <c r="D406" s="3" t="s">
        <v>4616</v>
      </c>
      <c r="E406" s="2" t="s">
        <v>4617</v>
      </c>
      <c r="F406" s="3" t="s">
        <v>4384</v>
      </c>
      <c r="G406" s="3" t="s">
        <v>4369</v>
      </c>
      <c r="H406" s="1" t="s">
        <v>33</v>
      </c>
      <c r="I406" s="2" t="s">
        <v>4387</v>
      </c>
      <c r="J406" s="3" t="s">
        <v>11</v>
      </c>
      <c r="K406" s="38">
        <v>7.0000000000000007E-2</v>
      </c>
      <c r="L406" s="39">
        <v>370</v>
      </c>
    </row>
    <row r="407" spans="1:12" ht="19.95" customHeight="1" x14ac:dyDescent="0.3">
      <c r="A407" s="6" t="s">
        <v>4385</v>
      </c>
      <c r="B407" s="7" t="s">
        <v>4386</v>
      </c>
      <c r="C407" s="6" t="s">
        <v>4609</v>
      </c>
      <c r="D407" s="7" t="s">
        <v>4618</v>
      </c>
      <c r="E407" s="6" t="s">
        <v>4619</v>
      </c>
      <c r="F407" s="7" t="s">
        <v>4384</v>
      </c>
      <c r="G407" s="7" t="s">
        <v>4367</v>
      </c>
      <c r="H407" s="5" t="s">
        <v>255</v>
      </c>
      <c r="I407" s="6" t="s">
        <v>256</v>
      </c>
      <c r="J407" s="7" t="s">
        <v>11</v>
      </c>
      <c r="K407" s="36">
        <v>0.1</v>
      </c>
      <c r="L407" s="37">
        <v>709</v>
      </c>
    </row>
    <row r="408" spans="1:12" ht="19.95" customHeight="1" x14ac:dyDescent="0.3">
      <c r="A408" s="2" t="s">
        <v>4385</v>
      </c>
      <c r="B408" s="3" t="s">
        <v>4386</v>
      </c>
      <c r="C408" s="2" t="s">
        <v>4609</v>
      </c>
      <c r="D408" s="3" t="s">
        <v>4618</v>
      </c>
      <c r="E408" s="2" t="s">
        <v>4619</v>
      </c>
      <c r="F408" s="3" t="s">
        <v>4384</v>
      </c>
      <c r="G408" s="3" t="s">
        <v>4367</v>
      </c>
      <c r="H408" s="1" t="s">
        <v>209</v>
      </c>
      <c r="I408" s="2" t="s">
        <v>210</v>
      </c>
      <c r="J408" s="3" t="s">
        <v>11</v>
      </c>
      <c r="K408" s="38">
        <v>1.63</v>
      </c>
      <c r="L408" s="39">
        <v>558</v>
      </c>
    </row>
    <row r="409" spans="1:12" ht="19.95" customHeight="1" x14ac:dyDescent="0.3">
      <c r="A409" s="6" t="s">
        <v>4385</v>
      </c>
      <c r="B409" s="7" t="s">
        <v>4386</v>
      </c>
      <c r="C409" s="6" t="s">
        <v>4609</v>
      </c>
      <c r="D409" s="7" t="s">
        <v>4618</v>
      </c>
      <c r="E409" s="6" t="s">
        <v>4619</v>
      </c>
      <c r="F409" s="7" t="s">
        <v>4384</v>
      </c>
      <c r="G409" s="7" t="s">
        <v>4367</v>
      </c>
      <c r="H409" s="5" t="s">
        <v>197</v>
      </c>
      <c r="I409" s="6" t="s">
        <v>198</v>
      </c>
      <c r="J409" s="7" t="s">
        <v>11</v>
      </c>
      <c r="K409" s="36">
        <v>0.7</v>
      </c>
      <c r="L409" s="37">
        <v>617</v>
      </c>
    </row>
    <row r="410" spans="1:12" ht="19.95" customHeight="1" x14ac:dyDescent="0.3">
      <c r="A410" s="2" t="s">
        <v>4385</v>
      </c>
      <c r="B410" s="3" t="s">
        <v>4386</v>
      </c>
      <c r="C410" s="2" t="s">
        <v>4609</v>
      </c>
      <c r="D410" s="3" t="s">
        <v>4618</v>
      </c>
      <c r="E410" s="2" t="s">
        <v>4619</v>
      </c>
      <c r="F410" s="3" t="s">
        <v>4384</v>
      </c>
      <c r="G410" s="3" t="s">
        <v>4369</v>
      </c>
      <c r="H410" s="1" t="s">
        <v>12</v>
      </c>
      <c r="I410" s="2" t="s">
        <v>4388</v>
      </c>
      <c r="J410" s="3" t="s">
        <v>11</v>
      </c>
      <c r="K410" s="38">
        <v>7.0000000000000007E-2</v>
      </c>
      <c r="L410" s="39">
        <v>800</v>
      </c>
    </row>
    <row r="411" spans="1:12" ht="19.95" customHeight="1" x14ac:dyDescent="0.3">
      <c r="A411" s="6" t="s">
        <v>4385</v>
      </c>
      <c r="B411" s="7" t="s">
        <v>4386</v>
      </c>
      <c r="C411" s="6" t="s">
        <v>4609</v>
      </c>
      <c r="D411" s="7" t="s">
        <v>4618</v>
      </c>
      <c r="E411" s="6" t="s">
        <v>4619</v>
      </c>
      <c r="F411" s="7" t="s">
        <v>4384</v>
      </c>
      <c r="G411" s="7" t="s">
        <v>4369</v>
      </c>
      <c r="H411" s="5" t="s">
        <v>33</v>
      </c>
      <c r="I411" s="6" t="s">
        <v>4387</v>
      </c>
      <c r="J411" s="7" t="s">
        <v>11</v>
      </c>
      <c r="K411" s="36">
        <v>7.0000000000000007E-2</v>
      </c>
      <c r="L411" s="37">
        <v>370</v>
      </c>
    </row>
    <row r="412" spans="1:12" ht="19.95" customHeight="1" x14ac:dyDescent="0.3">
      <c r="A412" s="2" t="s">
        <v>4385</v>
      </c>
      <c r="B412" s="3" t="s">
        <v>4386</v>
      </c>
      <c r="C412" s="2" t="s">
        <v>4609</v>
      </c>
      <c r="D412" s="3" t="s">
        <v>4620</v>
      </c>
      <c r="E412" s="2" t="s">
        <v>4621</v>
      </c>
      <c r="F412" s="3" t="s">
        <v>4384</v>
      </c>
      <c r="G412" s="3" t="s">
        <v>4367</v>
      </c>
      <c r="H412" s="1" t="s">
        <v>255</v>
      </c>
      <c r="I412" s="2" t="s">
        <v>256</v>
      </c>
      <c r="J412" s="3" t="s">
        <v>11</v>
      </c>
      <c r="K412" s="38">
        <v>0.1</v>
      </c>
      <c r="L412" s="39">
        <v>709</v>
      </c>
    </row>
    <row r="413" spans="1:12" ht="19.95" customHeight="1" x14ac:dyDescent="0.3">
      <c r="A413" s="6" t="s">
        <v>4385</v>
      </c>
      <c r="B413" s="7" t="s">
        <v>4386</v>
      </c>
      <c r="C413" s="6" t="s">
        <v>4609</v>
      </c>
      <c r="D413" s="7" t="s">
        <v>4620</v>
      </c>
      <c r="E413" s="6" t="s">
        <v>4621</v>
      </c>
      <c r="F413" s="7" t="s">
        <v>4384</v>
      </c>
      <c r="G413" s="7" t="s">
        <v>4367</v>
      </c>
      <c r="H413" s="5" t="s">
        <v>209</v>
      </c>
      <c r="I413" s="6" t="s">
        <v>210</v>
      </c>
      <c r="J413" s="7" t="s">
        <v>11</v>
      </c>
      <c r="K413" s="36">
        <v>1.63</v>
      </c>
      <c r="L413" s="37">
        <v>558</v>
      </c>
    </row>
    <row r="414" spans="1:12" ht="19.95" customHeight="1" x14ac:dyDescent="0.3">
      <c r="A414" s="2" t="s">
        <v>4385</v>
      </c>
      <c r="B414" s="3" t="s">
        <v>4386</v>
      </c>
      <c r="C414" s="2" t="s">
        <v>4609</v>
      </c>
      <c r="D414" s="3" t="s">
        <v>4620</v>
      </c>
      <c r="E414" s="2" t="s">
        <v>4621</v>
      </c>
      <c r="F414" s="3" t="s">
        <v>4384</v>
      </c>
      <c r="G414" s="3" t="s">
        <v>4367</v>
      </c>
      <c r="H414" s="1" t="s">
        <v>197</v>
      </c>
      <c r="I414" s="2" t="s">
        <v>198</v>
      </c>
      <c r="J414" s="3" t="s">
        <v>11</v>
      </c>
      <c r="K414" s="38">
        <v>0.7</v>
      </c>
      <c r="L414" s="39">
        <v>617</v>
      </c>
    </row>
    <row r="415" spans="1:12" ht="19.95" customHeight="1" x14ac:dyDescent="0.3">
      <c r="A415" s="6" t="s">
        <v>4385</v>
      </c>
      <c r="B415" s="7" t="s">
        <v>4386</v>
      </c>
      <c r="C415" s="6" t="s">
        <v>4609</v>
      </c>
      <c r="D415" s="7" t="s">
        <v>4620</v>
      </c>
      <c r="E415" s="6" t="s">
        <v>4621</v>
      </c>
      <c r="F415" s="7" t="s">
        <v>4384</v>
      </c>
      <c r="G415" s="7" t="s">
        <v>4369</v>
      </c>
      <c r="H415" s="5" t="s">
        <v>12</v>
      </c>
      <c r="I415" s="6" t="s">
        <v>4388</v>
      </c>
      <c r="J415" s="7" t="s">
        <v>11</v>
      </c>
      <c r="K415" s="36">
        <v>7.0000000000000007E-2</v>
      </c>
      <c r="L415" s="37">
        <v>800</v>
      </c>
    </row>
    <row r="416" spans="1:12" ht="19.95" customHeight="1" x14ac:dyDescent="0.3">
      <c r="A416" s="2" t="s">
        <v>4385</v>
      </c>
      <c r="B416" s="3" t="s">
        <v>4386</v>
      </c>
      <c r="C416" s="2" t="s">
        <v>4609</v>
      </c>
      <c r="D416" s="3" t="s">
        <v>4620</v>
      </c>
      <c r="E416" s="2" t="s">
        <v>4621</v>
      </c>
      <c r="F416" s="3" t="s">
        <v>4384</v>
      </c>
      <c r="G416" s="3" t="s">
        <v>4369</v>
      </c>
      <c r="H416" s="1" t="s">
        <v>33</v>
      </c>
      <c r="I416" s="2" t="s">
        <v>4387</v>
      </c>
      <c r="J416" s="3" t="s">
        <v>11</v>
      </c>
      <c r="K416" s="38">
        <v>7.0000000000000007E-2</v>
      </c>
      <c r="L416" s="39">
        <v>370</v>
      </c>
    </row>
    <row r="417" spans="1:12" ht="19.95" customHeight="1" x14ac:dyDescent="0.3">
      <c r="A417" s="6" t="s">
        <v>4385</v>
      </c>
      <c r="B417" s="7" t="s">
        <v>4386</v>
      </c>
      <c r="C417" s="6" t="s">
        <v>4609</v>
      </c>
      <c r="D417" s="7" t="s">
        <v>4620</v>
      </c>
      <c r="E417" s="6" t="s">
        <v>4622</v>
      </c>
      <c r="F417" s="7" t="s">
        <v>4368</v>
      </c>
      <c r="G417" s="7" t="s">
        <v>4367</v>
      </c>
      <c r="H417" s="5" t="s">
        <v>211</v>
      </c>
      <c r="I417" s="6" t="s">
        <v>212</v>
      </c>
      <c r="J417" s="7" t="s">
        <v>11</v>
      </c>
      <c r="K417" s="36">
        <v>0.51</v>
      </c>
      <c r="L417" s="37">
        <v>558</v>
      </c>
    </row>
    <row r="418" spans="1:12" ht="19.95" customHeight="1" x14ac:dyDescent="0.3">
      <c r="A418" s="2" t="s">
        <v>4385</v>
      </c>
      <c r="B418" s="3" t="s">
        <v>4386</v>
      </c>
      <c r="C418" s="2" t="s">
        <v>4609</v>
      </c>
      <c r="D418" s="3" t="s">
        <v>4623</v>
      </c>
      <c r="E418" s="2" t="s">
        <v>4624</v>
      </c>
      <c r="F418" s="3" t="s">
        <v>4384</v>
      </c>
      <c r="G418" s="3" t="s">
        <v>4367</v>
      </c>
      <c r="H418" s="1" t="s">
        <v>255</v>
      </c>
      <c r="I418" s="2" t="s">
        <v>256</v>
      </c>
      <c r="J418" s="3" t="s">
        <v>11</v>
      </c>
      <c r="K418" s="38">
        <v>0.1</v>
      </c>
      <c r="L418" s="39">
        <v>709</v>
      </c>
    </row>
    <row r="419" spans="1:12" ht="19.95" customHeight="1" x14ac:dyDescent="0.3">
      <c r="A419" s="6" t="s">
        <v>4385</v>
      </c>
      <c r="B419" s="7" t="s">
        <v>4386</v>
      </c>
      <c r="C419" s="6" t="s">
        <v>4609</v>
      </c>
      <c r="D419" s="7" t="s">
        <v>4623</v>
      </c>
      <c r="E419" s="6" t="s">
        <v>4624</v>
      </c>
      <c r="F419" s="7" t="s">
        <v>4384</v>
      </c>
      <c r="G419" s="7" t="s">
        <v>4367</v>
      </c>
      <c r="H419" s="5" t="s">
        <v>209</v>
      </c>
      <c r="I419" s="6" t="s">
        <v>210</v>
      </c>
      <c r="J419" s="7" t="s">
        <v>11</v>
      </c>
      <c r="K419" s="36">
        <v>1.63</v>
      </c>
      <c r="L419" s="37">
        <v>558</v>
      </c>
    </row>
    <row r="420" spans="1:12" ht="19.95" customHeight="1" x14ac:dyDescent="0.3">
      <c r="A420" s="2" t="s">
        <v>4385</v>
      </c>
      <c r="B420" s="3" t="s">
        <v>4386</v>
      </c>
      <c r="C420" s="2" t="s">
        <v>4609</v>
      </c>
      <c r="D420" s="3" t="s">
        <v>4623</v>
      </c>
      <c r="E420" s="2" t="s">
        <v>4624</v>
      </c>
      <c r="F420" s="3" t="s">
        <v>4384</v>
      </c>
      <c r="G420" s="3" t="s">
        <v>4367</v>
      </c>
      <c r="H420" s="1" t="s">
        <v>197</v>
      </c>
      <c r="I420" s="2" t="s">
        <v>198</v>
      </c>
      <c r="J420" s="3" t="s">
        <v>11</v>
      </c>
      <c r="K420" s="38">
        <v>0.7</v>
      </c>
      <c r="L420" s="39">
        <v>617</v>
      </c>
    </row>
    <row r="421" spans="1:12" ht="19.95" customHeight="1" x14ac:dyDescent="0.3">
      <c r="A421" s="6" t="s">
        <v>4385</v>
      </c>
      <c r="B421" s="7" t="s">
        <v>4386</v>
      </c>
      <c r="C421" s="6" t="s">
        <v>4609</v>
      </c>
      <c r="D421" s="7" t="s">
        <v>4623</v>
      </c>
      <c r="E421" s="6" t="s">
        <v>4624</v>
      </c>
      <c r="F421" s="7" t="s">
        <v>4384</v>
      </c>
      <c r="G421" s="7" t="s">
        <v>4369</v>
      </c>
      <c r="H421" s="5" t="s">
        <v>12</v>
      </c>
      <c r="I421" s="6" t="s">
        <v>4388</v>
      </c>
      <c r="J421" s="7" t="s">
        <v>11</v>
      </c>
      <c r="K421" s="36">
        <v>7.0000000000000007E-2</v>
      </c>
      <c r="L421" s="37">
        <v>800</v>
      </c>
    </row>
    <row r="422" spans="1:12" ht="19.95" customHeight="1" x14ac:dyDescent="0.3">
      <c r="A422" s="2" t="s">
        <v>4385</v>
      </c>
      <c r="B422" s="3" t="s">
        <v>4386</v>
      </c>
      <c r="C422" s="2" t="s">
        <v>4609</v>
      </c>
      <c r="D422" s="3" t="s">
        <v>4623</v>
      </c>
      <c r="E422" s="2" t="s">
        <v>4624</v>
      </c>
      <c r="F422" s="3" t="s">
        <v>4384</v>
      </c>
      <c r="G422" s="3" t="s">
        <v>4369</v>
      </c>
      <c r="H422" s="1" t="s">
        <v>33</v>
      </c>
      <c r="I422" s="2" t="s">
        <v>4387</v>
      </c>
      <c r="J422" s="3" t="s">
        <v>11</v>
      </c>
      <c r="K422" s="38">
        <v>7.0000000000000007E-2</v>
      </c>
      <c r="L422" s="39">
        <v>370</v>
      </c>
    </row>
    <row r="423" spans="1:12" ht="19.95" customHeight="1" x14ac:dyDescent="0.3">
      <c r="A423" s="6" t="s">
        <v>4385</v>
      </c>
      <c r="B423" s="7" t="s">
        <v>4386</v>
      </c>
      <c r="C423" s="6" t="s">
        <v>4609</v>
      </c>
      <c r="D423" s="7" t="s">
        <v>4623</v>
      </c>
      <c r="E423" s="6" t="s">
        <v>4625</v>
      </c>
      <c r="F423" s="7" t="s">
        <v>4368</v>
      </c>
      <c r="G423" s="7" t="s">
        <v>4367</v>
      </c>
      <c r="H423" s="5" t="s">
        <v>221</v>
      </c>
      <c r="I423" s="6" t="s">
        <v>222</v>
      </c>
      <c r="J423" s="7" t="s">
        <v>11</v>
      </c>
      <c r="K423" s="36">
        <v>0.4</v>
      </c>
      <c r="L423" s="37">
        <v>738</v>
      </c>
    </row>
    <row r="424" spans="1:12" ht="19.95" customHeight="1" x14ac:dyDescent="0.3">
      <c r="A424" s="2" t="s">
        <v>4385</v>
      </c>
      <c r="B424" s="3" t="s">
        <v>4386</v>
      </c>
      <c r="C424" s="2" t="s">
        <v>4609</v>
      </c>
      <c r="D424" s="3" t="s">
        <v>4623</v>
      </c>
      <c r="E424" s="2" t="s">
        <v>4625</v>
      </c>
      <c r="F424" s="3" t="s">
        <v>4368</v>
      </c>
      <c r="G424" s="3" t="s">
        <v>4367</v>
      </c>
      <c r="H424" s="1" t="s">
        <v>223</v>
      </c>
      <c r="I424" s="2" t="s">
        <v>224</v>
      </c>
      <c r="J424" s="3" t="s">
        <v>11</v>
      </c>
      <c r="K424" s="38">
        <v>0.4</v>
      </c>
      <c r="L424" s="39">
        <v>679</v>
      </c>
    </row>
    <row r="425" spans="1:12" ht="19.95" customHeight="1" x14ac:dyDescent="0.3">
      <c r="A425" s="6" t="s">
        <v>4385</v>
      </c>
      <c r="B425" s="7" t="s">
        <v>4386</v>
      </c>
      <c r="C425" s="6" t="s">
        <v>4609</v>
      </c>
      <c r="D425" s="7" t="s">
        <v>4623</v>
      </c>
      <c r="E425" s="6" t="s">
        <v>4625</v>
      </c>
      <c r="F425" s="7" t="s">
        <v>4368</v>
      </c>
      <c r="G425" s="7" t="s">
        <v>4367</v>
      </c>
      <c r="H425" s="5" t="s">
        <v>221</v>
      </c>
      <c r="I425" s="6" t="s">
        <v>222</v>
      </c>
      <c r="J425" s="7" t="s">
        <v>11</v>
      </c>
      <c r="K425" s="36">
        <v>0.4</v>
      </c>
      <c r="L425" s="37">
        <v>738</v>
      </c>
    </row>
    <row r="426" spans="1:12" ht="19.95" customHeight="1" x14ac:dyDescent="0.3">
      <c r="A426" s="2" t="s">
        <v>4385</v>
      </c>
      <c r="B426" s="3" t="s">
        <v>4386</v>
      </c>
      <c r="C426" s="2" t="s">
        <v>4609</v>
      </c>
      <c r="D426" s="3" t="s">
        <v>4623</v>
      </c>
      <c r="E426" s="2" t="s">
        <v>4625</v>
      </c>
      <c r="F426" s="3" t="s">
        <v>4368</v>
      </c>
      <c r="G426" s="3" t="s">
        <v>4367</v>
      </c>
      <c r="H426" s="1" t="s">
        <v>223</v>
      </c>
      <c r="I426" s="2" t="s">
        <v>224</v>
      </c>
      <c r="J426" s="3" t="s">
        <v>11</v>
      </c>
      <c r="K426" s="38">
        <v>0.4</v>
      </c>
      <c r="L426" s="39">
        <v>679</v>
      </c>
    </row>
    <row r="427" spans="1:12" ht="19.95" customHeight="1" x14ac:dyDescent="0.3">
      <c r="A427" s="6" t="s">
        <v>4385</v>
      </c>
      <c r="B427" s="7" t="s">
        <v>4386</v>
      </c>
      <c r="C427" s="6" t="s">
        <v>4609</v>
      </c>
      <c r="D427" s="7" t="s">
        <v>4626</v>
      </c>
      <c r="E427" s="6" t="s">
        <v>4627</v>
      </c>
      <c r="F427" s="7" t="s">
        <v>4384</v>
      </c>
      <c r="G427" s="7" t="s">
        <v>4367</v>
      </c>
      <c r="H427" s="5" t="s">
        <v>255</v>
      </c>
      <c r="I427" s="6" t="s">
        <v>256</v>
      </c>
      <c r="J427" s="7" t="s">
        <v>11</v>
      </c>
      <c r="K427" s="36">
        <v>0.1</v>
      </c>
      <c r="L427" s="37">
        <v>709</v>
      </c>
    </row>
    <row r="428" spans="1:12" ht="19.95" customHeight="1" x14ac:dyDescent="0.3">
      <c r="A428" s="2" t="s">
        <v>4385</v>
      </c>
      <c r="B428" s="3" t="s">
        <v>4386</v>
      </c>
      <c r="C428" s="2" t="s">
        <v>4609</v>
      </c>
      <c r="D428" s="3" t="s">
        <v>4626</v>
      </c>
      <c r="E428" s="2" t="s">
        <v>4627</v>
      </c>
      <c r="F428" s="3" t="s">
        <v>4384</v>
      </c>
      <c r="G428" s="3" t="s">
        <v>4367</v>
      </c>
      <c r="H428" s="1" t="s">
        <v>209</v>
      </c>
      <c r="I428" s="2" t="s">
        <v>210</v>
      </c>
      <c r="J428" s="3" t="s">
        <v>11</v>
      </c>
      <c r="K428" s="38">
        <v>1.63</v>
      </c>
      <c r="L428" s="39">
        <v>558</v>
      </c>
    </row>
    <row r="429" spans="1:12" ht="19.95" customHeight="1" x14ac:dyDescent="0.3">
      <c r="A429" s="6" t="s">
        <v>4385</v>
      </c>
      <c r="B429" s="7" t="s">
        <v>4386</v>
      </c>
      <c r="C429" s="6" t="s">
        <v>4609</v>
      </c>
      <c r="D429" s="7" t="s">
        <v>4626</v>
      </c>
      <c r="E429" s="6" t="s">
        <v>4627</v>
      </c>
      <c r="F429" s="7" t="s">
        <v>4384</v>
      </c>
      <c r="G429" s="7" t="s">
        <v>4367</v>
      </c>
      <c r="H429" s="5" t="s">
        <v>197</v>
      </c>
      <c r="I429" s="6" t="s">
        <v>198</v>
      </c>
      <c r="J429" s="7" t="s">
        <v>11</v>
      </c>
      <c r="K429" s="36">
        <v>0.7</v>
      </c>
      <c r="L429" s="37">
        <v>617</v>
      </c>
    </row>
    <row r="430" spans="1:12" ht="19.95" customHeight="1" x14ac:dyDescent="0.3">
      <c r="A430" s="2" t="s">
        <v>4385</v>
      </c>
      <c r="B430" s="3" t="s">
        <v>4386</v>
      </c>
      <c r="C430" s="2" t="s">
        <v>4609</v>
      </c>
      <c r="D430" s="3" t="s">
        <v>4626</v>
      </c>
      <c r="E430" s="2" t="s">
        <v>4627</v>
      </c>
      <c r="F430" s="3" t="s">
        <v>4384</v>
      </c>
      <c r="G430" s="3" t="s">
        <v>4369</v>
      </c>
      <c r="H430" s="1" t="s">
        <v>12</v>
      </c>
      <c r="I430" s="2" t="s">
        <v>4388</v>
      </c>
      <c r="J430" s="3" t="s">
        <v>11</v>
      </c>
      <c r="K430" s="38">
        <v>7.0000000000000007E-2</v>
      </c>
      <c r="L430" s="39">
        <v>800</v>
      </c>
    </row>
    <row r="431" spans="1:12" ht="19.95" customHeight="1" x14ac:dyDescent="0.3">
      <c r="A431" s="6" t="s">
        <v>4385</v>
      </c>
      <c r="B431" s="7" t="s">
        <v>4386</v>
      </c>
      <c r="C431" s="6" t="s">
        <v>4609</v>
      </c>
      <c r="D431" s="7" t="s">
        <v>4626</v>
      </c>
      <c r="E431" s="6" t="s">
        <v>4627</v>
      </c>
      <c r="F431" s="7" t="s">
        <v>4384</v>
      </c>
      <c r="G431" s="7" t="s">
        <v>4369</v>
      </c>
      <c r="H431" s="5" t="s">
        <v>33</v>
      </c>
      <c r="I431" s="6" t="s">
        <v>4387</v>
      </c>
      <c r="J431" s="7" t="s">
        <v>11</v>
      </c>
      <c r="K431" s="36">
        <v>7.0000000000000007E-2</v>
      </c>
      <c r="L431" s="37">
        <v>370</v>
      </c>
    </row>
    <row r="432" spans="1:12" ht="19.95" customHeight="1" x14ac:dyDescent="0.3">
      <c r="A432" s="2" t="s">
        <v>4385</v>
      </c>
      <c r="B432" s="3" t="s">
        <v>4386</v>
      </c>
      <c r="C432" s="2" t="s">
        <v>4609</v>
      </c>
      <c r="D432" s="3" t="s">
        <v>4628</v>
      </c>
      <c r="E432" s="2" t="s">
        <v>4629</v>
      </c>
      <c r="F432" s="3" t="s">
        <v>4384</v>
      </c>
      <c r="G432" s="3" t="s">
        <v>4367</v>
      </c>
      <c r="H432" s="1" t="s">
        <v>255</v>
      </c>
      <c r="I432" s="2" t="s">
        <v>256</v>
      </c>
      <c r="J432" s="3" t="s">
        <v>11</v>
      </c>
      <c r="K432" s="38">
        <v>0.1</v>
      </c>
      <c r="L432" s="39">
        <v>709</v>
      </c>
    </row>
    <row r="433" spans="1:12" ht="19.95" customHeight="1" x14ac:dyDescent="0.3">
      <c r="A433" s="6" t="s">
        <v>4385</v>
      </c>
      <c r="B433" s="7" t="s">
        <v>4386</v>
      </c>
      <c r="C433" s="6" t="s">
        <v>4609</v>
      </c>
      <c r="D433" s="7" t="s">
        <v>4628</v>
      </c>
      <c r="E433" s="6" t="s">
        <v>4629</v>
      </c>
      <c r="F433" s="7" t="s">
        <v>4384</v>
      </c>
      <c r="G433" s="7" t="s">
        <v>4367</v>
      </c>
      <c r="H433" s="5" t="s">
        <v>209</v>
      </c>
      <c r="I433" s="6" t="s">
        <v>210</v>
      </c>
      <c r="J433" s="7" t="s">
        <v>11</v>
      </c>
      <c r="K433" s="36">
        <v>1.63</v>
      </c>
      <c r="L433" s="37">
        <v>558</v>
      </c>
    </row>
    <row r="434" spans="1:12" ht="19.95" customHeight="1" x14ac:dyDescent="0.3">
      <c r="A434" s="2" t="s">
        <v>4385</v>
      </c>
      <c r="B434" s="3" t="s">
        <v>4386</v>
      </c>
      <c r="C434" s="2" t="s">
        <v>4609</v>
      </c>
      <c r="D434" s="3" t="s">
        <v>4628</v>
      </c>
      <c r="E434" s="2" t="s">
        <v>4629</v>
      </c>
      <c r="F434" s="3" t="s">
        <v>4384</v>
      </c>
      <c r="G434" s="3" t="s">
        <v>4367</v>
      </c>
      <c r="H434" s="1" t="s">
        <v>197</v>
      </c>
      <c r="I434" s="2" t="s">
        <v>198</v>
      </c>
      <c r="J434" s="3" t="s">
        <v>11</v>
      </c>
      <c r="K434" s="38">
        <v>0.7</v>
      </c>
      <c r="L434" s="39">
        <v>617</v>
      </c>
    </row>
    <row r="435" spans="1:12" ht="19.95" customHeight="1" x14ac:dyDescent="0.3">
      <c r="A435" s="6" t="s">
        <v>4385</v>
      </c>
      <c r="B435" s="7" t="s">
        <v>4386</v>
      </c>
      <c r="C435" s="6" t="s">
        <v>4609</v>
      </c>
      <c r="D435" s="7" t="s">
        <v>4628</v>
      </c>
      <c r="E435" s="6" t="s">
        <v>4629</v>
      </c>
      <c r="F435" s="7" t="s">
        <v>4384</v>
      </c>
      <c r="G435" s="7" t="s">
        <v>4369</v>
      </c>
      <c r="H435" s="5" t="s">
        <v>12</v>
      </c>
      <c r="I435" s="6" t="s">
        <v>4388</v>
      </c>
      <c r="J435" s="7" t="s">
        <v>11</v>
      </c>
      <c r="K435" s="36">
        <v>7.0000000000000007E-2</v>
      </c>
      <c r="L435" s="37">
        <v>800</v>
      </c>
    </row>
    <row r="436" spans="1:12" ht="19.95" customHeight="1" x14ac:dyDescent="0.3">
      <c r="A436" s="2" t="s">
        <v>4385</v>
      </c>
      <c r="B436" s="3" t="s">
        <v>4386</v>
      </c>
      <c r="C436" s="2" t="s">
        <v>4609</v>
      </c>
      <c r="D436" s="3" t="s">
        <v>4628</v>
      </c>
      <c r="E436" s="2" t="s">
        <v>4629</v>
      </c>
      <c r="F436" s="3" t="s">
        <v>4384</v>
      </c>
      <c r="G436" s="3" t="s">
        <v>4369</v>
      </c>
      <c r="H436" s="1" t="s">
        <v>33</v>
      </c>
      <c r="I436" s="2" t="s">
        <v>4387</v>
      </c>
      <c r="J436" s="3" t="s">
        <v>11</v>
      </c>
      <c r="K436" s="38">
        <v>7.0000000000000007E-2</v>
      </c>
      <c r="L436" s="39">
        <v>370</v>
      </c>
    </row>
    <row r="437" spans="1:12" ht="19.95" customHeight="1" x14ac:dyDescent="0.3">
      <c r="A437" s="6" t="s">
        <v>4385</v>
      </c>
      <c r="B437" s="7" t="s">
        <v>4386</v>
      </c>
      <c r="C437" s="6" t="s">
        <v>4609</v>
      </c>
      <c r="D437" s="7" t="s">
        <v>4630</v>
      </c>
      <c r="E437" s="6" t="s">
        <v>4631</v>
      </c>
      <c r="F437" s="7" t="s">
        <v>4384</v>
      </c>
      <c r="G437" s="7" t="s">
        <v>4367</v>
      </c>
      <c r="H437" s="5" t="s">
        <v>255</v>
      </c>
      <c r="I437" s="6" t="s">
        <v>256</v>
      </c>
      <c r="J437" s="7" t="s">
        <v>11</v>
      </c>
      <c r="K437" s="36">
        <v>0.1</v>
      </c>
      <c r="L437" s="37">
        <v>709</v>
      </c>
    </row>
    <row r="438" spans="1:12" ht="19.95" customHeight="1" x14ac:dyDescent="0.3">
      <c r="A438" s="2" t="s">
        <v>4385</v>
      </c>
      <c r="B438" s="3" t="s">
        <v>4386</v>
      </c>
      <c r="C438" s="2" t="s">
        <v>4609</v>
      </c>
      <c r="D438" s="3" t="s">
        <v>4630</v>
      </c>
      <c r="E438" s="2" t="s">
        <v>4631</v>
      </c>
      <c r="F438" s="3" t="s">
        <v>4384</v>
      </c>
      <c r="G438" s="3" t="s">
        <v>4367</v>
      </c>
      <c r="H438" s="1" t="s">
        <v>209</v>
      </c>
      <c r="I438" s="2" t="s">
        <v>210</v>
      </c>
      <c r="J438" s="3" t="s">
        <v>11</v>
      </c>
      <c r="K438" s="38">
        <v>1.63</v>
      </c>
      <c r="L438" s="39">
        <v>558</v>
      </c>
    </row>
    <row r="439" spans="1:12" ht="19.95" customHeight="1" x14ac:dyDescent="0.3">
      <c r="A439" s="6" t="s">
        <v>4385</v>
      </c>
      <c r="B439" s="7" t="s">
        <v>4386</v>
      </c>
      <c r="C439" s="6" t="s">
        <v>4609</v>
      </c>
      <c r="D439" s="7" t="s">
        <v>4630</v>
      </c>
      <c r="E439" s="6" t="s">
        <v>4631</v>
      </c>
      <c r="F439" s="7" t="s">
        <v>4384</v>
      </c>
      <c r="G439" s="7" t="s">
        <v>4367</v>
      </c>
      <c r="H439" s="5" t="s">
        <v>197</v>
      </c>
      <c r="I439" s="6" t="s">
        <v>198</v>
      </c>
      <c r="J439" s="7" t="s">
        <v>11</v>
      </c>
      <c r="K439" s="36">
        <v>0.7</v>
      </c>
      <c r="L439" s="37">
        <v>617</v>
      </c>
    </row>
    <row r="440" spans="1:12" ht="19.95" customHeight="1" x14ac:dyDescent="0.3">
      <c r="A440" s="2" t="s">
        <v>4385</v>
      </c>
      <c r="B440" s="3" t="s">
        <v>4386</v>
      </c>
      <c r="C440" s="2" t="s">
        <v>4609</v>
      </c>
      <c r="D440" s="3" t="s">
        <v>4630</v>
      </c>
      <c r="E440" s="2" t="s">
        <v>4631</v>
      </c>
      <c r="F440" s="3" t="s">
        <v>4384</v>
      </c>
      <c r="G440" s="3" t="s">
        <v>4369</v>
      </c>
      <c r="H440" s="1" t="s">
        <v>12</v>
      </c>
      <c r="I440" s="2" t="s">
        <v>4388</v>
      </c>
      <c r="J440" s="3" t="s">
        <v>11</v>
      </c>
      <c r="K440" s="38">
        <v>7.0000000000000007E-2</v>
      </c>
      <c r="L440" s="39">
        <v>800</v>
      </c>
    </row>
    <row r="441" spans="1:12" ht="19.95" customHeight="1" x14ac:dyDescent="0.3">
      <c r="A441" s="6" t="s">
        <v>4385</v>
      </c>
      <c r="B441" s="7" t="s">
        <v>4386</v>
      </c>
      <c r="C441" s="6" t="s">
        <v>4609</v>
      </c>
      <c r="D441" s="7" t="s">
        <v>4630</v>
      </c>
      <c r="E441" s="6" t="s">
        <v>4631</v>
      </c>
      <c r="F441" s="7" t="s">
        <v>4384</v>
      </c>
      <c r="G441" s="7" t="s">
        <v>4369</v>
      </c>
      <c r="H441" s="5" t="s">
        <v>33</v>
      </c>
      <c r="I441" s="6" t="s">
        <v>4387</v>
      </c>
      <c r="J441" s="7" t="s">
        <v>11</v>
      </c>
      <c r="K441" s="36">
        <v>7.0000000000000007E-2</v>
      </c>
      <c r="L441" s="37">
        <v>370</v>
      </c>
    </row>
    <row r="442" spans="1:12" ht="19.95" customHeight="1" x14ac:dyDescent="0.3">
      <c r="A442" s="2" t="s">
        <v>4385</v>
      </c>
      <c r="B442" s="3" t="s">
        <v>4386</v>
      </c>
      <c r="C442" s="2" t="s">
        <v>4609</v>
      </c>
      <c r="D442" s="3" t="s">
        <v>4632</v>
      </c>
      <c r="E442" s="2" t="s">
        <v>4633</v>
      </c>
      <c r="F442" s="3" t="s">
        <v>4384</v>
      </c>
      <c r="G442" s="3" t="s">
        <v>4367</v>
      </c>
      <c r="H442" s="1" t="s">
        <v>255</v>
      </c>
      <c r="I442" s="2" t="s">
        <v>256</v>
      </c>
      <c r="J442" s="3" t="s">
        <v>11</v>
      </c>
      <c r="K442" s="38">
        <v>0.1</v>
      </c>
      <c r="L442" s="39">
        <v>709</v>
      </c>
    </row>
    <row r="443" spans="1:12" ht="19.95" customHeight="1" x14ac:dyDescent="0.3">
      <c r="A443" s="6" t="s">
        <v>4385</v>
      </c>
      <c r="B443" s="7" t="s">
        <v>4386</v>
      </c>
      <c r="C443" s="6" t="s">
        <v>4609</v>
      </c>
      <c r="D443" s="7" t="s">
        <v>4632</v>
      </c>
      <c r="E443" s="6" t="s">
        <v>4633</v>
      </c>
      <c r="F443" s="7" t="s">
        <v>4384</v>
      </c>
      <c r="G443" s="7" t="s">
        <v>4367</v>
      </c>
      <c r="H443" s="5" t="s">
        <v>209</v>
      </c>
      <c r="I443" s="6" t="s">
        <v>210</v>
      </c>
      <c r="J443" s="7" t="s">
        <v>11</v>
      </c>
      <c r="K443" s="36">
        <v>1.63</v>
      </c>
      <c r="L443" s="37">
        <v>558</v>
      </c>
    </row>
    <row r="444" spans="1:12" ht="19.95" customHeight="1" x14ac:dyDescent="0.3">
      <c r="A444" s="2" t="s">
        <v>4385</v>
      </c>
      <c r="B444" s="3" t="s">
        <v>4386</v>
      </c>
      <c r="C444" s="2" t="s">
        <v>4609</v>
      </c>
      <c r="D444" s="3" t="s">
        <v>4632</v>
      </c>
      <c r="E444" s="2" t="s">
        <v>4633</v>
      </c>
      <c r="F444" s="3" t="s">
        <v>4384</v>
      </c>
      <c r="G444" s="3" t="s">
        <v>4367</v>
      </c>
      <c r="H444" s="1" t="s">
        <v>197</v>
      </c>
      <c r="I444" s="2" t="s">
        <v>198</v>
      </c>
      <c r="J444" s="3" t="s">
        <v>11</v>
      </c>
      <c r="K444" s="38">
        <v>0.7</v>
      </c>
      <c r="L444" s="39">
        <v>617</v>
      </c>
    </row>
    <row r="445" spans="1:12" ht="19.95" customHeight="1" x14ac:dyDescent="0.3">
      <c r="A445" s="6" t="s">
        <v>4385</v>
      </c>
      <c r="B445" s="7" t="s">
        <v>4386</v>
      </c>
      <c r="C445" s="6" t="s">
        <v>4609</v>
      </c>
      <c r="D445" s="7" t="s">
        <v>4632</v>
      </c>
      <c r="E445" s="6" t="s">
        <v>4633</v>
      </c>
      <c r="F445" s="7" t="s">
        <v>4384</v>
      </c>
      <c r="G445" s="7" t="s">
        <v>4369</v>
      </c>
      <c r="H445" s="5" t="s">
        <v>12</v>
      </c>
      <c r="I445" s="6" t="s">
        <v>4388</v>
      </c>
      <c r="J445" s="7" t="s">
        <v>11</v>
      </c>
      <c r="K445" s="36">
        <v>7.0000000000000007E-2</v>
      </c>
      <c r="L445" s="37">
        <v>800</v>
      </c>
    </row>
    <row r="446" spans="1:12" ht="19.95" customHeight="1" x14ac:dyDescent="0.3">
      <c r="A446" s="2" t="s">
        <v>4385</v>
      </c>
      <c r="B446" s="3" t="s">
        <v>4386</v>
      </c>
      <c r="C446" s="2" t="s">
        <v>4609</v>
      </c>
      <c r="D446" s="3" t="s">
        <v>4632</v>
      </c>
      <c r="E446" s="2" t="s">
        <v>4633</v>
      </c>
      <c r="F446" s="3" t="s">
        <v>4384</v>
      </c>
      <c r="G446" s="3" t="s">
        <v>4369</v>
      </c>
      <c r="H446" s="1" t="s">
        <v>33</v>
      </c>
      <c r="I446" s="2" t="s">
        <v>4387</v>
      </c>
      <c r="J446" s="3" t="s">
        <v>11</v>
      </c>
      <c r="K446" s="38">
        <v>7.0000000000000007E-2</v>
      </c>
      <c r="L446" s="39">
        <v>370</v>
      </c>
    </row>
    <row r="447" spans="1:12" ht="19.95" customHeight="1" x14ac:dyDescent="0.3">
      <c r="A447" s="6" t="s">
        <v>4385</v>
      </c>
      <c r="B447" s="7" t="s">
        <v>4386</v>
      </c>
      <c r="C447" s="6" t="s">
        <v>4609</v>
      </c>
      <c r="D447" s="7" t="s">
        <v>4634</v>
      </c>
      <c r="E447" s="6" t="s">
        <v>4635</v>
      </c>
      <c r="F447" s="7" t="s">
        <v>4636</v>
      </c>
      <c r="G447" s="7" t="s">
        <v>4367</v>
      </c>
      <c r="H447" s="5" t="s">
        <v>209</v>
      </c>
      <c r="I447" s="6" t="s">
        <v>210</v>
      </c>
      <c r="J447" s="7" t="s">
        <v>11</v>
      </c>
      <c r="K447" s="36">
        <v>0.12</v>
      </c>
      <c r="L447" s="37">
        <v>558</v>
      </c>
    </row>
    <row r="448" spans="1:12" ht="19.95" customHeight="1" x14ac:dyDescent="0.3">
      <c r="A448" s="2" t="s">
        <v>4385</v>
      </c>
      <c r="B448" s="3" t="s">
        <v>4386</v>
      </c>
      <c r="C448" s="2" t="s">
        <v>4609</v>
      </c>
      <c r="D448" s="3" t="s">
        <v>4634</v>
      </c>
      <c r="E448" s="2" t="s">
        <v>4635</v>
      </c>
      <c r="F448" s="3" t="s">
        <v>4636</v>
      </c>
      <c r="G448" s="3" t="s">
        <v>4367</v>
      </c>
      <c r="H448" s="1" t="s">
        <v>211</v>
      </c>
      <c r="I448" s="2" t="s">
        <v>212</v>
      </c>
      <c r="J448" s="3" t="s">
        <v>11</v>
      </c>
      <c r="K448" s="38">
        <v>7.0000000000000007E-2</v>
      </c>
      <c r="L448" s="39">
        <v>558</v>
      </c>
    </row>
    <row r="449" spans="1:12" ht="19.95" customHeight="1" x14ac:dyDescent="0.3">
      <c r="A449" s="6" t="s">
        <v>4385</v>
      </c>
      <c r="B449" s="7" t="s">
        <v>4386</v>
      </c>
      <c r="C449" s="6" t="s">
        <v>4609</v>
      </c>
      <c r="D449" s="7" t="s">
        <v>4637</v>
      </c>
      <c r="E449" s="6" t="s">
        <v>4638</v>
      </c>
      <c r="F449" s="7" t="s">
        <v>4368</v>
      </c>
      <c r="G449" s="7" t="s">
        <v>4367</v>
      </c>
      <c r="H449" s="5" t="s">
        <v>211</v>
      </c>
      <c r="I449" s="6" t="s">
        <v>212</v>
      </c>
      <c r="J449" s="7" t="s">
        <v>11</v>
      </c>
      <c r="K449" s="36">
        <v>1.5</v>
      </c>
      <c r="L449" s="37">
        <v>558</v>
      </c>
    </row>
    <row r="450" spans="1:12" ht="19.95" customHeight="1" x14ac:dyDescent="0.3">
      <c r="A450" s="2" t="s">
        <v>4385</v>
      </c>
      <c r="B450" s="3" t="s">
        <v>4386</v>
      </c>
      <c r="C450" s="2" t="s">
        <v>4609</v>
      </c>
      <c r="D450" s="3" t="s">
        <v>4639</v>
      </c>
      <c r="E450" s="2" t="s">
        <v>4640</v>
      </c>
      <c r="F450" s="3" t="s">
        <v>4395</v>
      </c>
      <c r="G450" s="3" t="s">
        <v>4369</v>
      </c>
      <c r="H450" s="1" t="s">
        <v>31</v>
      </c>
      <c r="I450" s="2" t="s">
        <v>4394</v>
      </c>
      <c r="J450" s="3" t="s">
        <v>11</v>
      </c>
      <c r="K450" s="38">
        <v>0.375</v>
      </c>
      <c r="L450" s="39">
        <v>700</v>
      </c>
    </row>
    <row r="451" spans="1:12" ht="19.95" customHeight="1" x14ac:dyDescent="0.3">
      <c r="A451" s="6" t="s">
        <v>4385</v>
      </c>
      <c r="B451" s="7" t="s">
        <v>4386</v>
      </c>
      <c r="C451" s="6" t="s">
        <v>4609</v>
      </c>
      <c r="D451" s="7" t="s">
        <v>4639</v>
      </c>
      <c r="E451" s="6" t="s">
        <v>4640</v>
      </c>
      <c r="F451" s="7" t="s">
        <v>4395</v>
      </c>
      <c r="G451" s="7" t="s">
        <v>4367</v>
      </c>
      <c r="H451" s="5" t="s">
        <v>209</v>
      </c>
      <c r="I451" s="6" t="s">
        <v>210</v>
      </c>
      <c r="J451" s="7" t="s">
        <v>11</v>
      </c>
      <c r="K451" s="36">
        <v>4</v>
      </c>
      <c r="L451" s="37">
        <v>558</v>
      </c>
    </row>
    <row r="452" spans="1:12" ht="19.95" customHeight="1" x14ac:dyDescent="0.3">
      <c r="A452" s="2" t="s">
        <v>4385</v>
      </c>
      <c r="B452" s="3" t="s">
        <v>4386</v>
      </c>
      <c r="C452" s="2" t="s">
        <v>4609</v>
      </c>
      <c r="D452" s="3" t="s">
        <v>4641</v>
      </c>
      <c r="E452" s="2" t="s">
        <v>4642</v>
      </c>
      <c r="F452" s="3" t="s">
        <v>4384</v>
      </c>
      <c r="G452" s="3" t="s">
        <v>4367</v>
      </c>
      <c r="H452" s="1" t="s">
        <v>221</v>
      </c>
      <c r="I452" s="2" t="s">
        <v>222</v>
      </c>
      <c r="J452" s="3" t="s">
        <v>11</v>
      </c>
      <c r="K452" s="38">
        <v>0.02</v>
      </c>
      <c r="L452" s="39">
        <v>738</v>
      </c>
    </row>
    <row r="453" spans="1:12" ht="19.95" customHeight="1" x14ac:dyDescent="0.3">
      <c r="A453" s="6" t="s">
        <v>4385</v>
      </c>
      <c r="B453" s="7" t="s">
        <v>4386</v>
      </c>
      <c r="C453" s="6" t="s">
        <v>4609</v>
      </c>
      <c r="D453" s="7" t="s">
        <v>4641</v>
      </c>
      <c r="E453" s="6" t="s">
        <v>4642</v>
      </c>
      <c r="F453" s="7" t="s">
        <v>4384</v>
      </c>
      <c r="G453" s="7" t="s">
        <v>4367</v>
      </c>
      <c r="H453" s="5" t="s">
        <v>223</v>
      </c>
      <c r="I453" s="6" t="s">
        <v>224</v>
      </c>
      <c r="J453" s="7" t="s">
        <v>11</v>
      </c>
      <c r="K453" s="36">
        <v>0.02</v>
      </c>
      <c r="L453" s="37">
        <v>679</v>
      </c>
    </row>
    <row r="454" spans="1:12" ht="19.95" customHeight="1" x14ac:dyDescent="0.3">
      <c r="A454" s="2" t="s">
        <v>4385</v>
      </c>
      <c r="B454" s="3" t="s">
        <v>4386</v>
      </c>
      <c r="C454" s="2" t="s">
        <v>4609</v>
      </c>
      <c r="D454" s="3" t="s">
        <v>4641</v>
      </c>
      <c r="E454" s="2" t="s">
        <v>4642</v>
      </c>
      <c r="F454" s="3" t="s">
        <v>4384</v>
      </c>
      <c r="G454" s="3" t="s">
        <v>4367</v>
      </c>
      <c r="H454" s="1" t="s">
        <v>209</v>
      </c>
      <c r="I454" s="2" t="s">
        <v>210</v>
      </c>
      <c r="J454" s="3" t="s">
        <v>11</v>
      </c>
      <c r="K454" s="38">
        <v>0.25</v>
      </c>
      <c r="L454" s="39">
        <v>558</v>
      </c>
    </row>
    <row r="455" spans="1:12" ht="19.95" customHeight="1" x14ac:dyDescent="0.3">
      <c r="A455" s="6" t="s">
        <v>4385</v>
      </c>
      <c r="B455" s="7" t="s">
        <v>4386</v>
      </c>
      <c r="C455" s="6" t="s">
        <v>4609</v>
      </c>
      <c r="D455" s="7" t="s">
        <v>4641</v>
      </c>
      <c r="E455" s="6" t="s">
        <v>4642</v>
      </c>
      <c r="F455" s="7" t="s">
        <v>4384</v>
      </c>
      <c r="G455" s="7" t="s">
        <v>4367</v>
      </c>
      <c r="H455" s="5" t="s">
        <v>211</v>
      </c>
      <c r="I455" s="6" t="s">
        <v>212</v>
      </c>
      <c r="J455" s="7" t="s">
        <v>11</v>
      </c>
      <c r="K455" s="36">
        <v>0.15</v>
      </c>
      <c r="L455" s="37">
        <v>558</v>
      </c>
    </row>
    <row r="456" spans="1:12" ht="19.95" customHeight="1" x14ac:dyDescent="0.3">
      <c r="A456" s="2" t="s">
        <v>4385</v>
      </c>
      <c r="B456" s="3" t="s">
        <v>4386</v>
      </c>
      <c r="C456" s="2" t="s">
        <v>4609</v>
      </c>
      <c r="D456" s="3" t="s">
        <v>4643</v>
      </c>
      <c r="E456" s="2" t="s">
        <v>4644</v>
      </c>
      <c r="F456" s="3" t="s">
        <v>4368</v>
      </c>
      <c r="G456" s="3" t="s">
        <v>4367</v>
      </c>
      <c r="H456" s="1" t="s">
        <v>209</v>
      </c>
      <c r="I456" s="2" t="s">
        <v>210</v>
      </c>
      <c r="J456" s="3" t="s">
        <v>11</v>
      </c>
      <c r="K456" s="38">
        <v>0.16</v>
      </c>
      <c r="L456" s="39">
        <v>558</v>
      </c>
    </row>
    <row r="457" spans="1:12" ht="19.95" customHeight="1" x14ac:dyDescent="0.3">
      <c r="A457" s="6" t="s">
        <v>4385</v>
      </c>
      <c r="B457" s="7" t="s">
        <v>4386</v>
      </c>
      <c r="C457" s="6" t="s">
        <v>4609</v>
      </c>
      <c r="D457" s="7" t="s">
        <v>4643</v>
      </c>
      <c r="E457" s="6" t="s">
        <v>4644</v>
      </c>
      <c r="F457" s="7" t="s">
        <v>4368</v>
      </c>
      <c r="G457" s="7" t="s">
        <v>4367</v>
      </c>
      <c r="H457" s="5" t="s">
        <v>211</v>
      </c>
      <c r="I457" s="6" t="s">
        <v>212</v>
      </c>
      <c r="J457" s="7" t="s">
        <v>11</v>
      </c>
      <c r="K457" s="36">
        <v>0.11</v>
      </c>
      <c r="L457" s="37">
        <v>558</v>
      </c>
    </row>
    <row r="458" spans="1:12" ht="19.95" customHeight="1" x14ac:dyDescent="0.3">
      <c r="A458" s="2" t="s">
        <v>4385</v>
      </c>
      <c r="B458" s="3" t="s">
        <v>4386</v>
      </c>
      <c r="C458" s="2" t="s">
        <v>4609</v>
      </c>
      <c r="D458" s="3" t="s">
        <v>4643</v>
      </c>
      <c r="E458" s="2" t="s">
        <v>4644</v>
      </c>
      <c r="F458" s="3" t="s">
        <v>4368</v>
      </c>
      <c r="G458" s="3" t="s">
        <v>4367</v>
      </c>
      <c r="H458" s="1" t="s">
        <v>209</v>
      </c>
      <c r="I458" s="2" t="s">
        <v>210</v>
      </c>
      <c r="J458" s="3" t="s">
        <v>11</v>
      </c>
      <c r="K458" s="38">
        <v>1</v>
      </c>
      <c r="L458" s="39">
        <v>558</v>
      </c>
    </row>
    <row r="459" spans="1:12" ht="19.95" customHeight="1" x14ac:dyDescent="0.3">
      <c r="A459" s="6" t="s">
        <v>4385</v>
      </c>
      <c r="B459" s="7" t="s">
        <v>4386</v>
      </c>
      <c r="C459" s="6" t="s">
        <v>4609</v>
      </c>
      <c r="D459" s="7" t="s">
        <v>4643</v>
      </c>
      <c r="E459" s="6" t="s">
        <v>4644</v>
      </c>
      <c r="F459" s="7" t="s">
        <v>4368</v>
      </c>
      <c r="G459" s="7" t="s">
        <v>4367</v>
      </c>
      <c r="H459" s="5" t="s">
        <v>221</v>
      </c>
      <c r="I459" s="6" t="s">
        <v>222</v>
      </c>
      <c r="J459" s="7" t="s">
        <v>11</v>
      </c>
      <c r="K459" s="36">
        <v>0.05</v>
      </c>
      <c r="L459" s="37">
        <v>738</v>
      </c>
    </row>
    <row r="460" spans="1:12" ht="19.95" customHeight="1" x14ac:dyDescent="0.3">
      <c r="A460" s="2" t="s">
        <v>4385</v>
      </c>
      <c r="B460" s="3" t="s">
        <v>4386</v>
      </c>
      <c r="C460" s="2" t="s">
        <v>4609</v>
      </c>
      <c r="D460" s="3" t="s">
        <v>4643</v>
      </c>
      <c r="E460" s="2" t="s">
        <v>4644</v>
      </c>
      <c r="F460" s="3" t="s">
        <v>4368</v>
      </c>
      <c r="G460" s="3" t="s">
        <v>4367</v>
      </c>
      <c r="H460" s="1" t="s">
        <v>197</v>
      </c>
      <c r="I460" s="2" t="s">
        <v>198</v>
      </c>
      <c r="J460" s="3" t="s">
        <v>11</v>
      </c>
      <c r="K460" s="38">
        <v>0.33</v>
      </c>
      <c r="L460" s="39">
        <v>617</v>
      </c>
    </row>
    <row r="461" spans="1:12" ht="19.95" customHeight="1" x14ac:dyDescent="0.3">
      <c r="A461" s="6" t="s">
        <v>4385</v>
      </c>
      <c r="B461" s="7" t="s">
        <v>4386</v>
      </c>
      <c r="C461" s="6" t="s">
        <v>4609</v>
      </c>
      <c r="D461" s="7" t="s">
        <v>4643</v>
      </c>
      <c r="E461" s="6" t="s">
        <v>4644</v>
      </c>
      <c r="F461" s="7" t="s">
        <v>4368</v>
      </c>
      <c r="G461" s="7" t="s">
        <v>4367</v>
      </c>
      <c r="H461" s="5" t="s">
        <v>255</v>
      </c>
      <c r="I461" s="6" t="s">
        <v>256</v>
      </c>
      <c r="J461" s="7" t="s">
        <v>11</v>
      </c>
      <c r="K461" s="36">
        <v>0.27</v>
      </c>
      <c r="L461" s="37">
        <v>709</v>
      </c>
    </row>
    <row r="462" spans="1:12" ht="19.95" customHeight="1" x14ac:dyDescent="0.3">
      <c r="A462" s="2" t="s">
        <v>4385</v>
      </c>
      <c r="B462" s="3" t="s">
        <v>4386</v>
      </c>
      <c r="C462" s="2" t="s">
        <v>4609</v>
      </c>
      <c r="D462" s="3" t="s">
        <v>4643</v>
      </c>
      <c r="E462" s="2" t="s">
        <v>4644</v>
      </c>
      <c r="F462" s="3" t="s">
        <v>4368</v>
      </c>
      <c r="G462" s="3" t="s">
        <v>4367</v>
      </c>
      <c r="H462" s="1" t="s">
        <v>209</v>
      </c>
      <c r="I462" s="2" t="s">
        <v>210</v>
      </c>
      <c r="J462" s="3" t="s">
        <v>11</v>
      </c>
      <c r="K462" s="38">
        <v>1.08</v>
      </c>
      <c r="L462" s="39">
        <v>558</v>
      </c>
    </row>
    <row r="463" spans="1:12" ht="19.95" customHeight="1" x14ac:dyDescent="0.3">
      <c r="A463" s="6" t="s">
        <v>4385</v>
      </c>
      <c r="B463" s="7" t="s">
        <v>4386</v>
      </c>
      <c r="C463" s="6" t="s">
        <v>4609</v>
      </c>
      <c r="D463" s="7" t="s">
        <v>4643</v>
      </c>
      <c r="E463" s="6" t="s">
        <v>4644</v>
      </c>
      <c r="F463" s="7" t="s">
        <v>4368</v>
      </c>
      <c r="G463" s="7" t="s">
        <v>4367</v>
      </c>
      <c r="H463" s="5" t="s">
        <v>211</v>
      </c>
      <c r="I463" s="6" t="s">
        <v>212</v>
      </c>
      <c r="J463" s="7" t="s">
        <v>11</v>
      </c>
      <c r="K463" s="36">
        <v>1.08</v>
      </c>
      <c r="L463" s="37">
        <v>558</v>
      </c>
    </row>
    <row r="464" spans="1:12" ht="19.95" customHeight="1" x14ac:dyDescent="0.3">
      <c r="A464" s="2" t="s">
        <v>4385</v>
      </c>
      <c r="B464" s="3" t="s">
        <v>4386</v>
      </c>
      <c r="C464" s="2" t="s">
        <v>4609</v>
      </c>
      <c r="D464" s="3" t="s">
        <v>4645</v>
      </c>
      <c r="E464" s="2" t="s">
        <v>4646</v>
      </c>
      <c r="F464" s="3" t="s">
        <v>4390</v>
      </c>
      <c r="G464" s="3" t="s">
        <v>4369</v>
      </c>
      <c r="H464" s="1" t="s">
        <v>16</v>
      </c>
      <c r="I464" s="2" t="s">
        <v>4389</v>
      </c>
      <c r="J464" s="3" t="s">
        <v>18</v>
      </c>
      <c r="K464" s="38">
        <v>1</v>
      </c>
      <c r="L464" s="39">
        <v>350</v>
      </c>
    </row>
    <row r="465" spans="1:12" ht="19.95" customHeight="1" x14ac:dyDescent="0.3">
      <c r="A465" s="6" t="s">
        <v>4385</v>
      </c>
      <c r="B465" s="7" t="s">
        <v>4386</v>
      </c>
      <c r="C465" s="6" t="s">
        <v>4609</v>
      </c>
      <c r="D465" s="7" t="s">
        <v>4645</v>
      </c>
      <c r="E465" s="6" t="s">
        <v>4646</v>
      </c>
      <c r="F465" s="7" t="s">
        <v>4390</v>
      </c>
      <c r="G465" s="7" t="s">
        <v>4369</v>
      </c>
      <c r="H465" s="5" t="s">
        <v>67</v>
      </c>
      <c r="I465" s="6" t="s">
        <v>4391</v>
      </c>
      <c r="J465" s="7" t="s">
        <v>4392</v>
      </c>
      <c r="K465" s="36">
        <v>10</v>
      </c>
      <c r="L465" s="37">
        <v>30</v>
      </c>
    </row>
    <row r="466" spans="1:12" ht="19.95" customHeight="1" x14ac:dyDescent="0.3">
      <c r="A466" s="2" t="s">
        <v>4385</v>
      </c>
      <c r="B466" s="3" t="s">
        <v>4386</v>
      </c>
      <c r="C466" s="2" t="s">
        <v>4609</v>
      </c>
      <c r="D466" s="3" t="s">
        <v>4645</v>
      </c>
      <c r="E466" s="2" t="s">
        <v>4646</v>
      </c>
      <c r="F466" s="3" t="s">
        <v>4390</v>
      </c>
      <c r="G466" s="3" t="s">
        <v>4369</v>
      </c>
      <c r="H466" s="1" t="s">
        <v>27</v>
      </c>
      <c r="I466" s="2" t="s">
        <v>4393</v>
      </c>
      <c r="J466" s="3" t="s">
        <v>18</v>
      </c>
      <c r="K466" s="38">
        <v>1</v>
      </c>
      <c r="L466" s="39">
        <v>210</v>
      </c>
    </row>
    <row r="467" spans="1:12" ht="19.95" customHeight="1" x14ac:dyDescent="0.3">
      <c r="A467" s="6" t="s">
        <v>4385</v>
      </c>
      <c r="B467" s="7" t="s">
        <v>4386</v>
      </c>
      <c r="C467" s="6" t="s">
        <v>4609</v>
      </c>
      <c r="D467" s="7" t="s">
        <v>4645</v>
      </c>
      <c r="E467" s="6" t="s">
        <v>4646</v>
      </c>
      <c r="F467" s="7" t="s">
        <v>4390</v>
      </c>
      <c r="G467" s="7" t="s">
        <v>4367</v>
      </c>
      <c r="H467" s="5" t="s">
        <v>255</v>
      </c>
      <c r="I467" s="6" t="s">
        <v>256</v>
      </c>
      <c r="J467" s="7" t="s">
        <v>11</v>
      </c>
      <c r="K467" s="36">
        <v>0.17</v>
      </c>
      <c r="L467" s="37">
        <v>709</v>
      </c>
    </row>
    <row r="468" spans="1:12" ht="19.95" customHeight="1" x14ac:dyDescent="0.3">
      <c r="A468" s="2" t="s">
        <v>4385</v>
      </c>
      <c r="B468" s="3" t="s">
        <v>4386</v>
      </c>
      <c r="C468" s="2" t="s">
        <v>4609</v>
      </c>
      <c r="D468" s="3" t="s">
        <v>4645</v>
      </c>
      <c r="E468" s="2" t="s">
        <v>4646</v>
      </c>
      <c r="F468" s="3" t="s">
        <v>4390</v>
      </c>
      <c r="G468" s="3" t="s">
        <v>4367</v>
      </c>
      <c r="H468" s="1" t="s">
        <v>209</v>
      </c>
      <c r="I468" s="2" t="s">
        <v>210</v>
      </c>
      <c r="J468" s="3" t="s">
        <v>11</v>
      </c>
      <c r="K468" s="38">
        <v>2</v>
      </c>
      <c r="L468" s="39">
        <v>558</v>
      </c>
    </row>
    <row r="469" spans="1:12" ht="19.95" customHeight="1" x14ac:dyDescent="0.3">
      <c r="A469" s="6" t="s">
        <v>4385</v>
      </c>
      <c r="B469" s="7" t="s">
        <v>4386</v>
      </c>
      <c r="C469" s="6" t="s">
        <v>4609</v>
      </c>
      <c r="D469" s="7" t="s">
        <v>4645</v>
      </c>
      <c r="E469" s="6" t="s">
        <v>4646</v>
      </c>
      <c r="F469" s="7" t="s">
        <v>4390</v>
      </c>
      <c r="G469" s="7" t="s">
        <v>4367</v>
      </c>
      <c r="H469" s="5" t="s">
        <v>197</v>
      </c>
      <c r="I469" s="6" t="s">
        <v>198</v>
      </c>
      <c r="J469" s="7" t="s">
        <v>11</v>
      </c>
      <c r="K469" s="36">
        <v>0.9</v>
      </c>
      <c r="L469" s="37">
        <v>617</v>
      </c>
    </row>
    <row r="470" spans="1:12" ht="19.95" customHeight="1" x14ac:dyDescent="0.3">
      <c r="A470" s="2" t="s">
        <v>4385</v>
      </c>
      <c r="B470" s="3" t="s">
        <v>4386</v>
      </c>
      <c r="C470" s="2" t="s">
        <v>4609</v>
      </c>
      <c r="D470" s="3" t="s">
        <v>4645</v>
      </c>
      <c r="E470" s="2" t="s">
        <v>4646</v>
      </c>
      <c r="F470" s="3" t="s">
        <v>4390</v>
      </c>
      <c r="G470" s="3" t="s">
        <v>4369</v>
      </c>
      <c r="H470" s="1" t="s">
        <v>33</v>
      </c>
      <c r="I470" s="2" t="s">
        <v>4387</v>
      </c>
      <c r="J470" s="3" t="s">
        <v>11</v>
      </c>
      <c r="K470" s="38">
        <v>7.0000000000000007E-2</v>
      </c>
      <c r="L470" s="39">
        <v>370</v>
      </c>
    </row>
    <row r="471" spans="1:12" ht="19.95" customHeight="1" x14ac:dyDescent="0.3">
      <c r="A471" s="6" t="s">
        <v>4385</v>
      </c>
      <c r="B471" s="7" t="s">
        <v>4386</v>
      </c>
      <c r="C471" s="6" t="s">
        <v>4609</v>
      </c>
      <c r="D471" s="7" t="s">
        <v>4645</v>
      </c>
      <c r="E471" s="6" t="s">
        <v>4646</v>
      </c>
      <c r="F471" s="7" t="s">
        <v>4390</v>
      </c>
      <c r="G471" s="7" t="s">
        <v>4369</v>
      </c>
      <c r="H471" s="5" t="s">
        <v>16</v>
      </c>
      <c r="I471" s="6" t="s">
        <v>4389</v>
      </c>
      <c r="J471" s="7" t="s">
        <v>18</v>
      </c>
      <c r="K471" s="36">
        <v>1</v>
      </c>
      <c r="L471" s="37">
        <v>350</v>
      </c>
    </row>
    <row r="472" spans="1:12" ht="19.95" customHeight="1" x14ac:dyDescent="0.3">
      <c r="A472" s="2" t="s">
        <v>4385</v>
      </c>
      <c r="B472" s="3" t="s">
        <v>4386</v>
      </c>
      <c r="C472" s="2" t="s">
        <v>4609</v>
      </c>
      <c r="D472" s="3" t="s">
        <v>4645</v>
      </c>
      <c r="E472" s="2" t="s">
        <v>4646</v>
      </c>
      <c r="F472" s="3" t="s">
        <v>4390</v>
      </c>
      <c r="G472" s="3" t="s">
        <v>4369</v>
      </c>
      <c r="H472" s="1" t="s">
        <v>67</v>
      </c>
      <c r="I472" s="2" t="s">
        <v>4391</v>
      </c>
      <c r="J472" s="3" t="s">
        <v>4392</v>
      </c>
      <c r="K472" s="38">
        <v>10</v>
      </c>
      <c r="L472" s="39">
        <v>30</v>
      </c>
    </row>
    <row r="473" spans="1:12" ht="19.95" customHeight="1" x14ac:dyDescent="0.3">
      <c r="A473" s="6" t="s">
        <v>4385</v>
      </c>
      <c r="B473" s="7" t="s">
        <v>4386</v>
      </c>
      <c r="C473" s="6" t="s">
        <v>4609</v>
      </c>
      <c r="D473" s="7" t="s">
        <v>4645</v>
      </c>
      <c r="E473" s="6" t="s">
        <v>4646</v>
      </c>
      <c r="F473" s="7" t="s">
        <v>4390</v>
      </c>
      <c r="G473" s="7" t="s">
        <v>4369</v>
      </c>
      <c r="H473" s="5" t="s">
        <v>27</v>
      </c>
      <c r="I473" s="6" t="s">
        <v>4393</v>
      </c>
      <c r="J473" s="7" t="s">
        <v>18</v>
      </c>
      <c r="K473" s="36">
        <v>1</v>
      </c>
      <c r="L473" s="37">
        <v>210</v>
      </c>
    </row>
    <row r="474" spans="1:12" ht="19.95" customHeight="1" x14ac:dyDescent="0.3">
      <c r="A474" s="2" t="s">
        <v>4385</v>
      </c>
      <c r="B474" s="3" t="s">
        <v>4386</v>
      </c>
      <c r="C474" s="2" t="s">
        <v>4609</v>
      </c>
      <c r="D474" s="3" t="s">
        <v>4645</v>
      </c>
      <c r="E474" s="2" t="s">
        <v>4646</v>
      </c>
      <c r="F474" s="3" t="s">
        <v>4390</v>
      </c>
      <c r="G474" s="3" t="s">
        <v>4367</v>
      </c>
      <c r="H474" s="1" t="s">
        <v>255</v>
      </c>
      <c r="I474" s="2" t="s">
        <v>256</v>
      </c>
      <c r="J474" s="3" t="s">
        <v>11</v>
      </c>
      <c r="K474" s="38">
        <v>0.17</v>
      </c>
      <c r="L474" s="39">
        <v>709</v>
      </c>
    </row>
    <row r="475" spans="1:12" ht="19.95" customHeight="1" x14ac:dyDescent="0.3">
      <c r="A475" s="6" t="s">
        <v>4385</v>
      </c>
      <c r="B475" s="7" t="s">
        <v>4386</v>
      </c>
      <c r="C475" s="6" t="s">
        <v>4609</v>
      </c>
      <c r="D475" s="7" t="s">
        <v>4645</v>
      </c>
      <c r="E475" s="6" t="s">
        <v>4646</v>
      </c>
      <c r="F475" s="7" t="s">
        <v>4390</v>
      </c>
      <c r="G475" s="7" t="s">
        <v>4367</v>
      </c>
      <c r="H475" s="5" t="s">
        <v>209</v>
      </c>
      <c r="I475" s="6" t="s">
        <v>210</v>
      </c>
      <c r="J475" s="7" t="s">
        <v>11</v>
      </c>
      <c r="K475" s="36">
        <v>2</v>
      </c>
      <c r="L475" s="37">
        <v>558</v>
      </c>
    </row>
    <row r="476" spans="1:12" ht="19.95" customHeight="1" x14ac:dyDescent="0.3">
      <c r="A476" s="2" t="s">
        <v>4385</v>
      </c>
      <c r="B476" s="3" t="s">
        <v>4386</v>
      </c>
      <c r="C476" s="2" t="s">
        <v>4609</v>
      </c>
      <c r="D476" s="3" t="s">
        <v>4645</v>
      </c>
      <c r="E476" s="2" t="s">
        <v>4646</v>
      </c>
      <c r="F476" s="3" t="s">
        <v>4390</v>
      </c>
      <c r="G476" s="3" t="s">
        <v>4367</v>
      </c>
      <c r="H476" s="1" t="s">
        <v>197</v>
      </c>
      <c r="I476" s="2" t="s">
        <v>198</v>
      </c>
      <c r="J476" s="3" t="s">
        <v>11</v>
      </c>
      <c r="K476" s="38">
        <v>0.9</v>
      </c>
      <c r="L476" s="39">
        <v>617</v>
      </c>
    </row>
    <row r="477" spans="1:12" ht="19.95" customHeight="1" x14ac:dyDescent="0.3">
      <c r="A477" s="6" t="s">
        <v>4385</v>
      </c>
      <c r="B477" s="7" t="s">
        <v>4386</v>
      </c>
      <c r="C477" s="6" t="s">
        <v>4609</v>
      </c>
      <c r="D477" s="7" t="s">
        <v>4645</v>
      </c>
      <c r="E477" s="6" t="s">
        <v>4646</v>
      </c>
      <c r="F477" s="7" t="s">
        <v>4390</v>
      </c>
      <c r="G477" s="7" t="s">
        <v>4369</v>
      </c>
      <c r="H477" s="5" t="s">
        <v>33</v>
      </c>
      <c r="I477" s="6" t="s">
        <v>4387</v>
      </c>
      <c r="J477" s="7" t="s">
        <v>11</v>
      </c>
      <c r="K477" s="36">
        <v>7.0000000000000007E-2</v>
      </c>
      <c r="L477" s="37">
        <v>370</v>
      </c>
    </row>
    <row r="478" spans="1:12" ht="19.95" customHeight="1" x14ac:dyDescent="0.3">
      <c r="A478" s="2" t="s">
        <v>4385</v>
      </c>
      <c r="B478" s="3" t="s">
        <v>4386</v>
      </c>
      <c r="C478" s="2" t="s">
        <v>4609</v>
      </c>
      <c r="D478" s="3" t="s">
        <v>4647</v>
      </c>
      <c r="E478" s="2" t="s">
        <v>4648</v>
      </c>
      <c r="F478" s="3" t="s">
        <v>4390</v>
      </c>
      <c r="G478" s="3" t="s">
        <v>4369</v>
      </c>
      <c r="H478" s="1" t="s">
        <v>16</v>
      </c>
      <c r="I478" s="2" t="s">
        <v>17</v>
      </c>
      <c r="J478" s="3" t="s">
        <v>18</v>
      </c>
      <c r="K478" s="38">
        <v>1</v>
      </c>
      <c r="L478" s="39">
        <v>350</v>
      </c>
    </row>
    <row r="479" spans="1:12" ht="19.95" customHeight="1" x14ac:dyDescent="0.3">
      <c r="A479" s="6" t="s">
        <v>4385</v>
      </c>
      <c r="B479" s="7" t="s">
        <v>4386</v>
      </c>
      <c r="C479" s="6" t="s">
        <v>4609</v>
      </c>
      <c r="D479" s="7" t="s">
        <v>4647</v>
      </c>
      <c r="E479" s="6" t="s">
        <v>4648</v>
      </c>
      <c r="F479" s="7" t="s">
        <v>4390</v>
      </c>
      <c r="G479" s="7" t="s">
        <v>4369</v>
      </c>
      <c r="H479" s="5" t="s">
        <v>67</v>
      </c>
      <c r="I479" s="6" t="s">
        <v>4391</v>
      </c>
      <c r="J479" s="7" t="s">
        <v>4392</v>
      </c>
      <c r="K479" s="36">
        <v>10</v>
      </c>
      <c r="L479" s="37">
        <v>30</v>
      </c>
    </row>
    <row r="480" spans="1:12" ht="19.95" customHeight="1" x14ac:dyDescent="0.3">
      <c r="A480" s="2" t="s">
        <v>4385</v>
      </c>
      <c r="B480" s="3" t="s">
        <v>4386</v>
      </c>
      <c r="C480" s="2" t="s">
        <v>4609</v>
      </c>
      <c r="D480" s="3" t="s">
        <v>4647</v>
      </c>
      <c r="E480" s="2" t="s">
        <v>4648</v>
      </c>
      <c r="F480" s="3" t="s">
        <v>4390</v>
      </c>
      <c r="G480" s="3" t="s">
        <v>4367</v>
      </c>
      <c r="H480" s="1" t="s">
        <v>255</v>
      </c>
      <c r="I480" s="2" t="s">
        <v>256</v>
      </c>
      <c r="J480" s="3" t="s">
        <v>11</v>
      </c>
      <c r="K480" s="38">
        <v>0.17</v>
      </c>
      <c r="L480" s="39">
        <v>709</v>
      </c>
    </row>
    <row r="481" spans="1:12" ht="19.95" customHeight="1" x14ac:dyDescent="0.3">
      <c r="A481" s="6" t="s">
        <v>4385</v>
      </c>
      <c r="B481" s="7" t="s">
        <v>4386</v>
      </c>
      <c r="C481" s="6" t="s">
        <v>4609</v>
      </c>
      <c r="D481" s="7" t="s">
        <v>4647</v>
      </c>
      <c r="E481" s="6" t="s">
        <v>4648</v>
      </c>
      <c r="F481" s="7" t="s">
        <v>4390</v>
      </c>
      <c r="G481" s="7" t="s">
        <v>4367</v>
      </c>
      <c r="H481" s="5" t="s">
        <v>209</v>
      </c>
      <c r="I481" s="6" t="s">
        <v>210</v>
      </c>
      <c r="J481" s="7" t="s">
        <v>11</v>
      </c>
      <c r="K481" s="36">
        <v>2</v>
      </c>
      <c r="L481" s="37">
        <v>558</v>
      </c>
    </row>
    <row r="482" spans="1:12" ht="19.95" customHeight="1" x14ac:dyDescent="0.3">
      <c r="A482" s="2" t="s">
        <v>4385</v>
      </c>
      <c r="B482" s="3" t="s">
        <v>4386</v>
      </c>
      <c r="C482" s="2" t="s">
        <v>4609</v>
      </c>
      <c r="D482" s="3" t="s">
        <v>4647</v>
      </c>
      <c r="E482" s="2" t="s">
        <v>4648</v>
      </c>
      <c r="F482" s="3" t="s">
        <v>4390</v>
      </c>
      <c r="G482" s="3" t="s">
        <v>4367</v>
      </c>
      <c r="H482" s="1" t="s">
        <v>197</v>
      </c>
      <c r="I482" s="2" t="s">
        <v>198</v>
      </c>
      <c r="J482" s="3" t="s">
        <v>11</v>
      </c>
      <c r="K482" s="38">
        <v>0.9</v>
      </c>
      <c r="L482" s="39">
        <v>617</v>
      </c>
    </row>
    <row r="483" spans="1:12" ht="19.95" customHeight="1" x14ac:dyDescent="0.3">
      <c r="A483" s="6" t="s">
        <v>4385</v>
      </c>
      <c r="B483" s="7" t="s">
        <v>4386</v>
      </c>
      <c r="C483" s="6" t="s">
        <v>4609</v>
      </c>
      <c r="D483" s="7" t="s">
        <v>4647</v>
      </c>
      <c r="E483" s="6" t="s">
        <v>4648</v>
      </c>
      <c r="F483" s="7" t="s">
        <v>4390</v>
      </c>
      <c r="G483" s="7" t="s">
        <v>4369</v>
      </c>
      <c r="H483" s="5" t="s">
        <v>33</v>
      </c>
      <c r="I483" s="6" t="s">
        <v>4387</v>
      </c>
      <c r="J483" s="7" t="s">
        <v>11</v>
      </c>
      <c r="K483" s="36">
        <v>7.0000000000000007E-2</v>
      </c>
      <c r="L483" s="37">
        <v>370</v>
      </c>
    </row>
    <row r="484" spans="1:12" ht="19.95" customHeight="1" x14ac:dyDescent="0.3">
      <c r="A484" s="2" t="s">
        <v>4385</v>
      </c>
      <c r="B484" s="3" t="s">
        <v>4386</v>
      </c>
      <c r="C484" s="2" t="s">
        <v>4609</v>
      </c>
      <c r="D484" s="3" t="s">
        <v>4647</v>
      </c>
      <c r="E484" s="2" t="s">
        <v>4648</v>
      </c>
      <c r="F484" s="3" t="s">
        <v>4390</v>
      </c>
      <c r="G484" s="3" t="s">
        <v>4367</v>
      </c>
      <c r="H484" s="1" t="s">
        <v>211</v>
      </c>
      <c r="I484" s="2" t="s">
        <v>212</v>
      </c>
      <c r="J484" s="3" t="s">
        <v>11</v>
      </c>
      <c r="K484" s="38">
        <v>1.88</v>
      </c>
      <c r="L484" s="39">
        <v>558</v>
      </c>
    </row>
    <row r="485" spans="1:12" ht="19.95" customHeight="1" x14ac:dyDescent="0.3">
      <c r="A485" s="6" t="s">
        <v>4385</v>
      </c>
      <c r="B485" s="7" t="s">
        <v>4386</v>
      </c>
      <c r="C485" s="6" t="s">
        <v>4609</v>
      </c>
      <c r="D485" s="7" t="s">
        <v>4647</v>
      </c>
      <c r="E485" s="6" t="s">
        <v>4648</v>
      </c>
      <c r="F485" s="7" t="s">
        <v>4390</v>
      </c>
      <c r="G485" s="7" t="s">
        <v>4369</v>
      </c>
      <c r="H485" s="5" t="s">
        <v>16</v>
      </c>
      <c r="I485" s="6" t="s">
        <v>4389</v>
      </c>
      <c r="J485" s="7" t="s">
        <v>18</v>
      </c>
      <c r="K485" s="36">
        <v>1</v>
      </c>
      <c r="L485" s="37">
        <v>350</v>
      </c>
    </row>
    <row r="486" spans="1:12" ht="19.95" customHeight="1" x14ac:dyDescent="0.3">
      <c r="A486" s="2" t="s">
        <v>4385</v>
      </c>
      <c r="B486" s="3" t="s">
        <v>4386</v>
      </c>
      <c r="C486" s="2" t="s">
        <v>4609</v>
      </c>
      <c r="D486" s="3" t="s">
        <v>4647</v>
      </c>
      <c r="E486" s="2" t="s">
        <v>4648</v>
      </c>
      <c r="F486" s="3" t="s">
        <v>4390</v>
      </c>
      <c r="G486" s="3" t="s">
        <v>4369</v>
      </c>
      <c r="H486" s="1" t="s">
        <v>67</v>
      </c>
      <c r="I486" s="2" t="s">
        <v>4391</v>
      </c>
      <c r="J486" s="3" t="s">
        <v>4392</v>
      </c>
      <c r="K486" s="38">
        <v>10</v>
      </c>
      <c r="L486" s="39">
        <v>30</v>
      </c>
    </row>
    <row r="487" spans="1:12" ht="19.95" customHeight="1" x14ac:dyDescent="0.3">
      <c r="A487" s="6" t="s">
        <v>4385</v>
      </c>
      <c r="B487" s="7" t="s">
        <v>4386</v>
      </c>
      <c r="C487" s="6" t="s">
        <v>4609</v>
      </c>
      <c r="D487" s="7" t="s">
        <v>4647</v>
      </c>
      <c r="E487" s="6" t="s">
        <v>4648</v>
      </c>
      <c r="F487" s="7" t="s">
        <v>4390</v>
      </c>
      <c r="G487" s="7" t="s">
        <v>4367</v>
      </c>
      <c r="H487" s="5" t="s">
        <v>255</v>
      </c>
      <c r="I487" s="6" t="s">
        <v>256</v>
      </c>
      <c r="J487" s="7" t="s">
        <v>11</v>
      </c>
      <c r="K487" s="36">
        <v>0.17</v>
      </c>
      <c r="L487" s="37">
        <v>709</v>
      </c>
    </row>
    <row r="488" spans="1:12" ht="19.95" customHeight="1" x14ac:dyDescent="0.3">
      <c r="A488" s="2" t="s">
        <v>4385</v>
      </c>
      <c r="B488" s="3" t="s">
        <v>4386</v>
      </c>
      <c r="C488" s="2" t="s">
        <v>4609</v>
      </c>
      <c r="D488" s="3" t="s">
        <v>4647</v>
      </c>
      <c r="E488" s="2" t="s">
        <v>4648</v>
      </c>
      <c r="F488" s="3" t="s">
        <v>4390</v>
      </c>
      <c r="G488" s="3" t="s">
        <v>4367</v>
      </c>
      <c r="H488" s="1" t="s">
        <v>209</v>
      </c>
      <c r="I488" s="2" t="s">
        <v>210</v>
      </c>
      <c r="J488" s="3" t="s">
        <v>11</v>
      </c>
      <c r="K488" s="38">
        <v>2</v>
      </c>
      <c r="L488" s="39">
        <v>558</v>
      </c>
    </row>
    <row r="489" spans="1:12" ht="19.95" customHeight="1" x14ac:dyDescent="0.3">
      <c r="A489" s="6" t="s">
        <v>4385</v>
      </c>
      <c r="B489" s="7" t="s">
        <v>4386</v>
      </c>
      <c r="C489" s="6" t="s">
        <v>4609</v>
      </c>
      <c r="D489" s="7" t="s">
        <v>4647</v>
      </c>
      <c r="E489" s="6" t="s">
        <v>4648</v>
      </c>
      <c r="F489" s="7" t="s">
        <v>4390</v>
      </c>
      <c r="G489" s="7" t="s">
        <v>4367</v>
      </c>
      <c r="H489" s="5" t="s">
        <v>197</v>
      </c>
      <c r="I489" s="6" t="s">
        <v>198</v>
      </c>
      <c r="J489" s="7" t="s">
        <v>11</v>
      </c>
      <c r="K489" s="36">
        <v>0.9</v>
      </c>
      <c r="L489" s="37">
        <v>617</v>
      </c>
    </row>
    <row r="490" spans="1:12" ht="19.95" customHeight="1" x14ac:dyDescent="0.3">
      <c r="A490" s="2" t="s">
        <v>4385</v>
      </c>
      <c r="B490" s="3" t="s">
        <v>4386</v>
      </c>
      <c r="C490" s="2" t="s">
        <v>4609</v>
      </c>
      <c r="D490" s="3" t="s">
        <v>4647</v>
      </c>
      <c r="E490" s="2" t="s">
        <v>4648</v>
      </c>
      <c r="F490" s="3" t="s">
        <v>4390</v>
      </c>
      <c r="G490" s="3" t="s">
        <v>4369</v>
      </c>
      <c r="H490" s="1" t="s">
        <v>33</v>
      </c>
      <c r="I490" s="2" t="s">
        <v>4387</v>
      </c>
      <c r="J490" s="3" t="s">
        <v>11</v>
      </c>
      <c r="K490" s="38">
        <v>7.0000000000000007E-2</v>
      </c>
      <c r="L490" s="39">
        <v>370</v>
      </c>
    </row>
    <row r="491" spans="1:12" ht="19.95" customHeight="1" x14ac:dyDescent="0.3">
      <c r="A491" s="6" t="s">
        <v>4385</v>
      </c>
      <c r="B491" s="7" t="s">
        <v>4386</v>
      </c>
      <c r="C491" s="6" t="s">
        <v>4609</v>
      </c>
      <c r="D491" s="7" t="s">
        <v>4647</v>
      </c>
      <c r="E491" s="6" t="s">
        <v>4648</v>
      </c>
      <c r="F491" s="7" t="s">
        <v>4390</v>
      </c>
      <c r="G491" s="7" t="s">
        <v>4367</v>
      </c>
      <c r="H491" s="5" t="s">
        <v>211</v>
      </c>
      <c r="I491" s="6" t="s">
        <v>212</v>
      </c>
      <c r="J491" s="7" t="s">
        <v>11</v>
      </c>
      <c r="K491" s="36">
        <v>1.88</v>
      </c>
      <c r="L491" s="37">
        <v>558</v>
      </c>
    </row>
    <row r="492" spans="1:12" ht="19.95" customHeight="1" x14ac:dyDescent="0.3">
      <c r="A492" s="2" t="s">
        <v>4385</v>
      </c>
      <c r="B492" s="3" t="s">
        <v>4386</v>
      </c>
      <c r="C492" s="2" t="s">
        <v>4609</v>
      </c>
      <c r="D492" s="3" t="s">
        <v>4649</v>
      </c>
      <c r="E492" s="2" t="s">
        <v>4650</v>
      </c>
      <c r="F492" s="3" t="s">
        <v>4384</v>
      </c>
      <c r="G492" s="3" t="s">
        <v>4367</v>
      </c>
      <c r="H492" s="1" t="s">
        <v>209</v>
      </c>
      <c r="I492" s="2" t="s">
        <v>210</v>
      </c>
      <c r="J492" s="3" t="s">
        <v>11</v>
      </c>
      <c r="K492" s="38">
        <v>0.9</v>
      </c>
      <c r="L492" s="39">
        <v>558</v>
      </c>
    </row>
    <row r="493" spans="1:12" ht="19.95" customHeight="1" x14ac:dyDescent="0.3">
      <c r="A493" s="6" t="s">
        <v>4385</v>
      </c>
      <c r="B493" s="7" t="s">
        <v>4386</v>
      </c>
      <c r="C493" s="6" t="s">
        <v>4609</v>
      </c>
      <c r="D493" s="7" t="s">
        <v>4649</v>
      </c>
      <c r="E493" s="6" t="s">
        <v>4650</v>
      </c>
      <c r="F493" s="7" t="s">
        <v>4384</v>
      </c>
      <c r="G493" s="7" t="s">
        <v>4367</v>
      </c>
      <c r="H493" s="5" t="s">
        <v>211</v>
      </c>
      <c r="I493" s="6" t="s">
        <v>212</v>
      </c>
      <c r="J493" s="7" t="s">
        <v>11</v>
      </c>
      <c r="K493" s="36">
        <v>0.78</v>
      </c>
      <c r="L493" s="37">
        <v>558</v>
      </c>
    </row>
    <row r="494" spans="1:12" ht="19.95" customHeight="1" x14ac:dyDescent="0.3">
      <c r="A494" s="2" t="s">
        <v>4385</v>
      </c>
      <c r="B494" s="3" t="s">
        <v>4386</v>
      </c>
      <c r="C494" s="2" t="s">
        <v>4609</v>
      </c>
      <c r="D494" s="3" t="s">
        <v>4649</v>
      </c>
      <c r="E494" s="2" t="s">
        <v>4650</v>
      </c>
      <c r="F494" s="3" t="s">
        <v>4384</v>
      </c>
      <c r="G494" s="3" t="s">
        <v>4367</v>
      </c>
      <c r="H494" s="1" t="s">
        <v>197</v>
      </c>
      <c r="I494" s="2" t="s">
        <v>198</v>
      </c>
      <c r="J494" s="3" t="s">
        <v>11</v>
      </c>
      <c r="K494" s="38">
        <v>0.7</v>
      </c>
      <c r="L494" s="39">
        <v>617</v>
      </c>
    </row>
    <row r="495" spans="1:12" ht="19.95" customHeight="1" x14ac:dyDescent="0.3">
      <c r="A495" s="6" t="s">
        <v>4385</v>
      </c>
      <c r="B495" s="7" t="s">
        <v>4386</v>
      </c>
      <c r="C495" s="6" t="s">
        <v>4609</v>
      </c>
      <c r="D495" s="7" t="s">
        <v>4649</v>
      </c>
      <c r="E495" s="6" t="s">
        <v>4650</v>
      </c>
      <c r="F495" s="7" t="s">
        <v>4384</v>
      </c>
      <c r="G495" s="7" t="s">
        <v>4367</v>
      </c>
      <c r="H495" s="5" t="s">
        <v>221</v>
      </c>
      <c r="I495" s="6" t="s">
        <v>222</v>
      </c>
      <c r="J495" s="7" t="s">
        <v>11</v>
      </c>
      <c r="K495" s="36">
        <v>0.06</v>
      </c>
      <c r="L495" s="37">
        <v>738</v>
      </c>
    </row>
    <row r="496" spans="1:12" ht="19.95" customHeight="1" x14ac:dyDescent="0.3">
      <c r="A496" s="2" t="s">
        <v>4385</v>
      </c>
      <c r="B496" s="3" t="s">
        <v>4386</v>
      </c>
      <c r="C496" s="2" t="s">
        <v>4609</v>
      </c>
      <c r="D496" s="3" t="s">
        <v>4649</v>
      </c>
      <c r="E496" s="2" t="s">
        <v>4650</v>
      </c>
      <c r="F496" s="3" t="s">
        <v>4384</v>
      </c>
      <c r="G496" s="3" t="s">
        <v>4367</v>
      </c>
      <c r="H496" s="1" t="s">
        <v>223</v>
      </c>
      <c r="I496" s="2" t="s">
        <v>224</v>
      </c>
      <c r="J496" s="3" t="s">
        <v>11</v>
      </c>
      <c r="K496" s="38">
        <v>0.06</v>
      </c>
      <c r="L496" s="39">
        <v>679</v>
      </c>
    </row>
    <row r="497" spans="1:12" ht="19.95" customHeight="1" x14ac:dyDescent="0.3">
      <c r="A497" s="6" t="s">
        <v>4385</v>
      </c>
      <c r="B497" s="7" t="s">
        <v>4386</v>
      </c>
      <c r="C497" s="6" t="s">
        <v>4609</v>
      </c>
      <c r="D497" s="7" t="s">
        <v>4649</v>
      </c>
      <c r="E497" s="6" t="s">
        <v>4650</v>
      </c>
      <c r="F497" s="7" t="s">
        <v>4384</v>
      </c>
      <c r="G497" s="7" t="s">
        <v>4369</v>
      </c>
      <c r="H497" s="5" t="s">
        <v>12</v>
      </c>
      <c r="I497" s="6" t="s">
        <v>4388</v>
      </c>
      <c r="J497" s="7" t="s">
        <v>11</v>
      </c>
      <c r="K497" s="36">
        <v>7.0000000000000007E-2</v>
      </c>
      <c r="L497" s="37">
        <v>800</v>
      </c>
    </row>
    <row r="498" spans="1:12" ht="19.95" customHeight="1" x14ac:dyDescent="0.3">
      <c r="A498" s="2" t="s">
        <v>4385</v>
      </c>
      <c r="B498" s="3" t="s">
        <v>4386</v>
      </c>
      <c r="C498" s="2" t="s">
        <v>4609</v>
      </c>
      <c r="D498" s="3" t="s">
        <v>4649</v>
      </c>
      <c r="E498" s="2" t="s">
        <v>4650</v>
      </c>
      <c r="F498" s="3" t="s">
        <v>4384</v>
      </c>
      <c r="G498" s="3" t="s">
        <v>4369</v>
      </c>
      <c r="H498" s="1" t="s">
        <v>33</v>
      </c>
      <c r="I498" s="2" t="s">
        <v>4387</v>
      </c>
      <c r="J498" s="3" t="s">
        <v>11</v>
      </c>
      <c r="K498" s="38">
        <v>7.0000000000000007E-2</v>
      </c>
      <c r="L498" s="39">
        <v>370</v>
      </c>
    </row>
    <row r="499" spans="1:12" ht="19.95" customHeight="1" x14ac:dyDescent="0.3">
      <c r="A499" s="6" t="s">
        <v>4385</v>
      </c>
      <c r="B499" s="7" t="s">
        <v>4386</v>
      </c>
      <c r="C499" s="6" t="s">
        <v>4609</v>
      </c>
      <c r="D499" s="7" t="s">
        <v>4649</v>
      </c>
      <c r="E499" s="6" t="s">
        <v>4650</v>
      </c>
      <c r="F499" s="7" t="s">
        <v>4384</v>
      </c>
      <c r="G499" s="7" t="s">
        <v>4367</v>
      </c>
      <c r="H499" s="5" t="s">
        <v>211</v>
      </c>
      <c r="I499" s="6" t="s">
        <v>212</v>
      </c>
      <c r="J499" s="7" t="s">
        <v>11</v>
      </c>
      <c r="K499" s="36">
        <v>1.88</v>
      </c>
      <c r="L499" s="37">
        <v>558</v>
      </c>
    </row>
    <row r="500" spans="1:12" ht="19.95" customHeight="1" x14ac:dyDescent="0.3">
      <c r="A500" s="2" t="s">
        <v>4385</v>
      </c>
      <c r="B500" s="3" t="s">
        <v>4386</v>
      </c>
      <c r="C500" s="2" t="s">
        <v>4609</v>
      </c>
      <c r="D500" s="3" t="s">
        <v>4651</v>
      </c>
      <c r="E500" s="2" t="s">
        <v>4652</v>
      </c>
      <c r="F500" s="3" t="s">
        <v>4384</v>
      </c>
      <c r="G500" s="3" t="s">
        <v>4367</v>
      </c>
      <c r="H500" s="1" t="s">
        <v>209</v>
      </c>
      <c r="I500" s="2" t="s">
        <v>210</v>
      </c>
      <c r="J500" s="3" t="s">
        <v>11</v>
      </c>
      <c r="K500" s="38">
        <v>0.9</v>
      </c>
      <c r="L500" s="39">
        <v>558</v>
      </c>
    </row>
    <row r="501" spans="1:12" ht="19.95" customHeight="1" x14ac:dyDescent="0.3">
      <c r="A501" s="6" t="s">
        <v>4385</v>
      </c>
      <c r="B501" s="7" t="s">
        <v>4386</v>
      </c>
      <c r="C501" s="6" t="s">
        <v>4609</v>
      </c>
      <c r="D501" s="7" t="s">
        <v>4651</v>
      </c>
      <c r="E501" s="6" t="s">
        <v>4652</v>
      </c>
      <c r="F501" s="7" t="s">
        <v>4384</v>
      </c>
      <c r="G501" s="7" t="s">
        <v>4367</v>
      </c>
      <c r="H501" s="5" t="s">
        <v>211</v>
      </c>
      <c r="I501" s="6" t="s">
        <v>212</v>
      </c>
      <c r="J501" s="7" t="s">
        <v>11</v>
      </c>
      <c r="K501" s="36">
        <v>0.78</v>
      </c>
      <c r="L501" s="37">
        <v>558</v>
      </c>
    </row>
    <row r="502" spans="1:12" ht="19.95" customHeight="1" x14ac:dyDescent="0.3">
      <c r="A502" s="2" t="s">
        <v>4385</v>
      </c>
      <c r="B502" s="3" t="s">
        <v>4386</v>
      </c>
      <c r="C502" s="2" t="s">
        <v>4609</v>
      </c>
      <c r="D502" s="3" t="s">
        <v>4651</v>
      </c>
      <c r="E502" s="2" t="s">
        <v>4652</v>
      </c>
      <c r="F502" s="3" t="s">
        <v>4384</v>
      </c>
      <c r="G502" s="3" t="s">
        <v>4367</v>
      </c>
      <c r="H502" s="1" t="s">
        <v>197</v>
      </c>
      <c r="I502" s="2" t="s">
        <v>198</v>
      </c>
      <c r="J502" s="3" t="s">
        <v>11</v>
      </c>
      <c r="K502" s="38">
        <v>0.7</v>
      </c>
      <c r="L502" s="39">
        <v>617</v>
      </c>
    </row>
    <row r="503" spans="1:12" ht="19.95" customHeight="1" x14ac:dyDescent="0.3">
      <c r="A503" s="6" t="s">
        <v>4385</v>
      </c>
      <c r="B503" s="7" t="s">
        <v>4386</v>
      </c>
      <c r="C503" s="6" t="s">
        <v>4609</v>
      </c>
      <c r="D503" s="7" t="s">
        <v>4651</v>
      </c>
      <c r="E503" s="6" t="s">
        <v>4652</v>
      </c>
      <c r="F503" s="7" t="s">
        <v>4384</v>
      </c>
      <c r="G503" s="7" t="s">
        <v>4367</v>
      </c>
      <c r="H503" s="5" t="s">
        <v>221</v>
      </c>
      <c r="I503" s="6" t="s">
        <v>222</v>
      </c>
      <c r="J503" s="7" t="s">
        <v>11</v>
      </c>
      <c r="K503" s="36">
        <v>0.06</v>
      </c>
      <c r="L503" s="37">
        <v>738</v>
      </c>
    </row>
    <row r="504" spans="1:12" ht="19.95" customHeight="1" x14ac:dyDescent="0.3">
      <c r="A504" s="2" t="s">
        <v>4385</v>
      </c>
      <c r="B504" s="3" t="s">
        <v>4386</v>
      </c>
      <c r="C504" s="2" t="s">
        <v>4609</v>
      </c>
      <c r="D504" s="3" t="s">
        <v>4651</v>
      </c>
      <c r="E504" s="2" t="s">
        <v>4652</v>
      </c>
      <c r="F504" s="3" t="s">
        <v>4384</v>
      </c>
      <c r="G504" s="3" t="s">
        <v>4367</v>
      </c>
      <c r="H504" s="1" t="s">
        <v>223</v>
      </c>
      <c r="I504" s="2" t="s">
        <v>224</v>
      </c>
      <c r="J504" s="3" t="s">
        <v>11</v>
      </c>
      <c r="K504" s="38">
        <v>0.06</v>
      </c>
      <c r="L504" s="39">
        <v>679</v>
      </c>
    </row>
    <row r="505" spans="1:12" ht="19.95" customHeight="1" x14ac:dyDescent="0.3">
      <c r="A505" s="6" t="s">
        <v>4385</v>
      </c>
      <c r="B505" s="7" t="s">
        <v>4386</v>
      </c>
      <c r="C505" s="6" t="s">
        <v>4609</v>
      </c>
      <c r="D505" s="7" t="s">
        <v>4651</v>
      </c>
      <c r="E505" s="6" t="s">
        <v>4652</v>
      </c>
      <c r="F505" s="7" t="s">
        <v>4384</v>
      </c>
      <c r="G505" s="7" t="s">
        <v>4369</v>
      </c>
      <c r="H505" s="5" t="s">
        <v>12</v>
      </c>
      <c r="I505" s="6" t="s">
        <v>4388</v>
      </c>
      <c r="J505" s="7" t="s">
        <v>11</v>
      </c>
      <c r="K505" s="36">
        <v>7.0000000000000007E-2</v>
      </c>
      <c r="L505" s="37">
        <v>800</v>
      </c>
    </row>
    <row r="506" spans="1:12" ht="19.95" customHeight="1" x14ac:dyDescent="0.3">
      <c r="A506" s="2" t="s">
        <v>4385</v>
      </c>
      <c r="B506" s="3" t="s">
        <v>4386</v>
      </c>
      <c r="C506" s="2" t="s">
        <v>4609</v>
      </c>
      <c r="D506" s="3" t="s">
        <v>4651</v>
      </c>
      <c r="E506" s="2" t="s">
        <v>4652</v>
      </c>
      <c r="F506" s="3" t="s">
        <v>4384</v>
      </c>
      <c r="G506" s="3" t="s">
        <v>4369</v>
      </c>
      <c r="H506" s="1" t="s">
        <v>33</v>
      </c>
      <c r="I506" s="2" t="s">
        <v>4387</v>
      </c>
      <c r="J506" s="3" t="s">
        <v>11</v>
      </c>
      <c r="K506" s="38">
        <v>7.0000000000000007E-2</v>
      </c>
      <c r="L506" s="39">
        <v>370</v>
      </c>
    </row>
    <row r="507" spans="1:12" ht="19.95" customHeight="1" x14ac:dyDescent="0.3">
      <c r="A507" s="6" t="s">
        <v>4385</v>
      </c>
      <c r="B507" s="7" t="s">
        <v>4386</v>
      </c>
      <c r="C507" s="6" t="s">
        <v>4609</v>
      </c>
      <c r="D507" s="7" t="s">
        <v>4651</v>
      </c>
      <c r="E507" s="6" t="s">
        <v>4652</v>
      </c>
      <c r="F507" s="7" t="s">
        <v>4384</v>
      </c>
      <c r="G507" s="7" t="s">
        <v>4367</v>
      </c>
      <c r="H507" s="5" t="s">
        <v>211</v>
      </c>
      <c r="I507" s="6" t="s">
        <v>212</v>
      </c>
      <c r="J507" s="7" t="s">
        <v>11</v>
      </c>
      <c r="K507" s="36">
        <v>1.88</v>
      </c>
      <c r="L507" s="37">
        <v>558</v>
      </c>
    </row>
    <row r="508" spans="1:12" ht="19.95" customHeight="1" x14ac:dyDescent="0.3">
      <c r="A508" s="2" t="s">
        <v>4385</v>
      </c>
      <c r="B508" s="3" t="s">
        <v>4386</v>
      </c>
      <c r="C508" s="2" t="s">
        <v>4609</v>
      </c>
      <c r="D508" s="3" t="s">
        <v>4653</v>
      </c>
      <c r="E508" s="2" t="s">
        <v>4654</v>
      </c>
      <c r="F508" s="3" t="s">
        <v>4384</v>
      </c>
      <c r="G508" s="3" t="s">
        <v>4367</v>
      </c>
      <c r="H508" s="1" t="s">
        <v>209</v>
      </c>
      <c r="I508" s="2" t="s">
        <v>210</v>
      </c>
      <c r="J508" s="3" t="s">
        <v>11</v>
      </c>
      <c r="K508" s="38">
        <v>0.9</v>
      </c>
      <c r="L508" s="39">
        <v>558</v>
      </c>
    </row>
    <row r="509" spans="1:12" ht="19.95" customHeight="1" x14ac:dyDescent="0.3">
      <c r="A509" s="6" t="s">
        <v>4385</v>
      </c>
      <c r="B509" s="7" t="s">
        <v>4386</v>
      </c>
      <c r="C509" s="6" t="s">
        <v>4609</v>
      </c>
      <c r="D509" s="7" t="s">
        <v>4653</v>
      </c>
      <c r="E509" s="6" t="s">
        <v>4654</v>
      </c>
      <c r="F509" s="7" t="s">
        <v>4384</v>
      </c>
      <c r="G509" s="7" t="s">
        <v>4367</v>
      </c>
      <c r="H509" s="5" t="s">
        <v>211</v>
      </c>
      <c r="I509" s="6" t="s">
        <v>212</v>
      </c>
      <c r="J509" s="7" t="s">
        <v>11</v>
      </c>
      <c r="K509" s="36">
        <v>0.78</v>
      </c>
      <c r="L509" s="37">
        <v>558</v>
      </c>
    </row>
    <row r="510" spans="1:12" ht="19.95" customHeight="1" x14ac:dyDescent="0.3">
      <c r="A510" s="2" t="s">
        <v>4385</v>
      </c>
      <c r="B510" s="3" t="s">
        <v>4386</v>
      </c>
      <c r="C510" s="2" t="s">
        <v>4609</v>
      </c>
      <c r="D510" s="3" t="s">
        <v>4653</v>
      </c>
      <c r="E510" s="2" t="s">
        <v>4654</v>
      </c>
      <c r="F510" s="3" t="s">
        <v>4384</v>
      </c>
      <c r="G510" s="3" t="s">
        <v>4367</v>
      </c>
      <c r="H510" s="1" t="s">
        <v>197</v>
      </c>
      <c r="I510" s="2" t="s">
        <v>198</v>
      </c>
      <c r="J510" s="3" t="s">
        <v>11</v>
      </c>
      <c r="K510" s="38">
        <v>0.7</v>
      </c>
      <c r="L510" s="39">
        <v>617</v>
      </c>
    </row>
    <row r="511" spans="1:12" ht="19.95" customHeight="1" x14ac:dyDescent="0.3">
      <c r="A511" s="6" t="s">
        <v>4385</v>
      </c>
      <c r="B511" s="7" t="s">
        <v>4386</v>
      </c>
      <c r="C511" s="6" t="s">
        <v>4609</v>
      </c>
      <c r="D511" s="7" t="s">
        <v>4653</v>
      </c>
      <c r="E511" s="6" t="s">
        <v>4654</v>
      </c>
      <c r="F511" s="7" t="s">
        <v>4384</v>
      </c>
      <c r="G511" s="7" t="s">
        <v>4367</v>
      </c>
      <c r="H511" s="5" t="s">
        <v>221</v>
      </c>
      <c r="I511" s="6" t="s">
        <v>222</v>
      </c>
      <c r="J511" s="7" t="s">
        <v>11</v>
      </c>
      <c r="K511" s="36">
        <v>0.06</v>
      </c>
      <c r="L511" s="37">
        <v>738</v>
      </c>
    </row>
    <row r="512" spans="1:12" ht="19.95" customHeight="1" x14ac:dyDescent="0.3">
      <c r="A512" s="2" t="s">
        <v>4385</v>
      </c>
      <c r="B512" s="3" t="s">
        <v>4386</v>
      </c>
      <c r="C512" s="2" t="s">
        <v>4609</v>
      </c>
      <c r="D512" s="3" t="s">
        <v>4653</v>
      </c>
      <c r="E512" s="2" t="s">
        <v>4654</v>
      </c>
      <c r="F512" s="3" t="s">
        <v>4384</v>
      </c>
      <c r="G512" s="3" t="s">
        <v>4367</v>
      </c>
      <c r="H512" s="1" t="s">
        <v>223</v>
      </c>
      <c r="I512" s="2" t="s">
        <v>224</v>
      </c>
      <c r="J512" s="3" t="s">
        <v>11</v>
      </c>
      <c r="K512" s="38">
        <v>0.06</v>
      </c>
      <c r="L512" s="39">
        <v>679</v>
      </c>
    </row>
    <row r="513" spans="1:12" ht="19.95" customHeight="1" x14ac:dyDescent="0.3">
      <c r="A513" s="6" t="s">
        <v>4385</v>
      </c>
      <c r="B513" s="7" t="s">
        <v>4386</v>
      </c>
      <c r="C513" s="6" t="s">
        <v>4609</v>
      </c>
      <c r="D513" s="7" t="s">
        <v>4653</v>
      </c>
      <c r="E513" s="6" t="s">
        <v>4654</v>
      </c>
      <c r="F513" s="7" t="s">
        <v>4384</v>
      </c>
      <c r="G513" s="7" t="s">
        <v>4369</v>
      </c>
      <c r="H513" s="5" t="s">
        <v>12</v>
      </c>
      <c r="I513" s="6" t="s">
        <v>4388</v>
      </c>
      <c r="J513" s="7" t="s">
        <v>11</v>
      </c>
      <c r="K513" s="36">
        <v>7.0000000000000007E-2</v>
      </c>
      <c r="L513" s="37">
        <v>800</v>
      </c>
    </row>
    <row r="514" spans="1:12" ht="19.95" customHeight="1" x14ac:dyDescent="0.3">
      <c r="A514" s="2" t="s">
        <v>4385</v>
      </c>
      <c r="B514" s="3" t="s">
        <v>4386</v>
      </c>
      <c r="C514" s="2" t="s">
        <v>4609</v>
      </c>
      <c r="D514" s="3" t="s">
        <v>4653</v>
      </c>
      <c r="E514" s="2" t="s">
        <v>4654</v>
      </c>
      <c r="F514" s="3" t="s">
        <v>4384</v>
      </c>
      <c r="G514" s="3" t="s">
        <v>4369</v>
      </c>
      <c r="H514" s="1" t="s">
        <v>33</v>
      </c>
      <c r="I514" s="2" t="s">
        <v>4387</v>
      </c>
      <c r="J514" s="3" t="s">
        <v>11</v>
      </c>
      <c r="K514" s="38">
        <v>7.0000000000000007E-2</v>
      </c>
      <c r="L514" s="39">
        <v>370</v>
      </c>
    </row>
    <row r="515" spans="1:12" ht="19.95" customHeight="1" x14ac:dyDescent="0.3">
      <c r="A515" s="6" t="s">
        <v>4385</v>
      </c>
      <c r="B515" s="7" t="s">
        <v>4386</v>
      </c>
      <c r="C515" s="6" t="s">
        <v>4609</v>
      </c>
      <c r="D515" s="7" t="s">
        <v>4653</v>
      </c>
      <c r="E515" s="6" t="s">
        <v>4654</v>
      </c>
      <c r="F515" s="7" t="s">
        <v>4384</v>
      </c>
      <c r="G515" s="7" t="s">
        <v>4367</v>
      </c>
      <c r="H515" s="5" t="s">
        <v>211</v>
      </c>
      <c r="I515" s="6" t="s">
        <v>212</v>
      </c>
      <c r="J515" s="7" t="s">
        <v>11</v>
      </c>
      <c r="K515" s="36">
        <v>1.88</v>
      </c>
      <c r="L515" s="37">
        <v>558</v>
      </c>
    </row>
    <row r="516" spans="1:12" ht="19.95" customHeight="1" x14ac:dyDescent="0.3">
      <c r="A516" s="2" t="s">
        <v>4385</v>
      </c>
      <c r="B516" s="3" t="s">
        <v>4386</v>
      </c>
      <c r="C516" s="2" t="s">
        <v>4609</v>
      </c>
      <c r="D516" s="3" t="s">
        <v>4655</v>
      </c>
      <c r="E516" s="2" t="s">
        <v>4656</v>
      </c>
      <c r="F516" s="3" t="s">
        <v>4384</v>
      </c>
      <c r="G516" s="3" t="s">
        <v>4367</v>
      </c>
      <c r="H516" s="1" t="s">
        <v>209</v>
      </c>
      <c r="I516" s="2" t="s">
        <v>210</v>
      </c>
      <c r="J516" s="3" t="s">
        <v>11</v>
      </c>
      <c r="K516" s="38">
        <v>0.9</v>
      </c>
      <c r="L516" s="39">
        <v>558</v>
      </c>
    </row>
    <row r="517" spans="1:12" ht="19.95" customHeight="1" x14ac:dyDescent="0.3">
      <c r="A517" s="6" t="s">
        <v>4385</v>
      </c>
      <c r="B517" s="7" t="s">
        <v>4386</v>
      </c>
      <c r="C517" s="6" t="s">
        <v>4609</v>
      </c>
      <c r="D517" s="7" t="s">
        <v>4655</v>
      </c>
      <c r="E517" s="6" t="s">
        <v>4656</v>
      </c>
      <c r="F517" s="7" t="s">
        <v>4384</v>
      </c>
      <c r="G517" s="7" t="s">
        <v>4367</v>
      </c>
      <c r="H517" s="5" t="s">
        <v>211</v>
      </c>
      <c r="I517" s="6" t="s">
        <v>212</v>
      </c>
      <c r="J517" s="7" t="s">
        <v>11</v>
      </c>
      <c r="K517" s="36">
        <v>0.78</v>
      </c>
      <c r="L517" s="37">
        <v>558</v>
      </c>
    </row>
    <row r="518" spans="1:12" ht="19.95" customHeight="1" x14ac:dyDescent="0.3">
      <c r="A518" s="2" t="s">
        <v>4385</v>
      </c>
      <c r="B518" s="3" t="s">
        <v>4386</v>
      </c>
      <c r="C518" s="2" t="s">
        <v>4609</v>
      </c>
      <c r="D518" s="3" t="s">
        <v>4655</v>
      </c>
      <c r="E518" s="2" t="s">
        <v>4656</v>
      </c>
      <c r="F518" s="3" t="s">
        <v>4384</v>
      </c>
      <c r="G518" s="3" t="s">
        <v>4367</v>
      </c>
      <c r="H518" s="1" t="s">
        <v>197</v>
      </c>
      <c r="I518" s="2" t="s">
        <v>198</v>
      </c>
      <c r="J518" s="3" t="s">
        <v>11</v>
      </c>
      <c r="K518" s="38">
        <v>0.7</v>
      </c>
      <c r="L518" s="39">
        <v>617</v>
      </c>
    </row>
    <row r="519" spans="1:12" ht="19.95" customHeight="1" x14ac:dyDescent="0.3">
      <c r="A519" s="6" t="s">
        <v>4385</v>
      </c>
      <c r="B519" s="7" t="s">
        <v>4386</v>
      </c>
      <c r="C519" s="6" t="s">
        <v>4609</v>
      </c>
      <c r="D519" s="7" t="s">
        <v>4655</v>
      </c>
      <c r="E519" s="6" t="s">
        <v>4656</v>
      </c>
      <c r="F519" s="7" t="s">
        <v>4384</v>
      </c>
      <c r="G519" s="7" t="s">
        <v>4367</v>
      </c>
      <c r="H519" s="5" t="s">
        <v>221</v>
      </c>
      <c r="I519" s="6" t="s">
        <v>222</v>
      </c>
      <c r="J519" s="7" t="s">
        <v>11</v>
      </c>
      <c r="K519" s="36">
        <v>0.1</v>
      </c>
      <c r="L519" s="37">
        <v>738</v>
      </c>
    </row>
    <row r="520" spans="1:12" ht="19.95" customHeight="1" x14ac:dyDescent="0.3">
      <c r="A520" s="2" t="s">
        <v>4385</v>
      </c>
      <c r="B520" s="3" t="s">
        <v>4386</v>
      </c>
      <c r="C520" s="2" t="s">
        <v>4609</v>
      </c>
      <c r="D520" s="3" t="s">
        <v>4655</v>
      </c>
      <c r="E520" s="2" t="s">
        <v>4656</v>
      </c>
      <c r="F520" s="3" t="s">
        <v>4384</v>
      </c>
      <c r="G520" s="3" t="s">
        <v>4369</v>
      </c>
      <c r="H520" s="1" t="s">
        <v>12</v>
      </c>
      <c r="I520" s="2" t="s">
        <v>4388</v>
      </c>
      <c r="J520" s="3" t="s">
        <v>11</v>
      </c>
      <c r="K520" s="38">
        <v>7.0000000000000007E-2</v>
      </c>
      <c r="L520" s="39">
        <v>800</v>
      </c>
    </row>
    <row r="521" spans="1:12" ht="19.95" customHeight="1" x14ac:dyDescent="0.3">
      <c r="A521" s="6" t="s">
        <v>4385</v>
      </c>
      <c r="B521" s="7" t="s">
        <v>4386</v>
      </c>
      <c r="C521" s="6" t="s">
        <v>4609</v>
      </c>
      <c r="D521" s="7" t="s">
        <v>4655</v>
      </c>
      <c r="E521" s="6" t="s">
        <v>4656</v>
      </c>
      <c r="F521" s="7" t="s">
        <v>4384</v>
      </c>
      <c r="G521" s="7" t="s">
        <v>4369</v>
      </c>
      <c r="H521" s="5" t="s">
        <v>33</v>
      </c>
      <c r="I521" s="6" t="s">
        <v>4387</v>
      </c>
      <c r="J521" s="7" t="s">
        <v>11</v>
      </c>
      <c r="K521" s="36">
        <v>7.0000000000000007E-2</v>
      </c>
      <c r="L521" s="37">
        <v>370</v>
      </c>
    </row>
    <row r="522" spans="1:12" ht="19.95" customHeight="1" x14ac:dyDescent="0.3">
      <c r="A522" s="2" t="s">
        <v>4385</v>
      </c>
      <c r="B522" s="3" t="s">
        <v>4386</v>
      </c>
      <c r="C522" s="2" t="s">
        <v>4609</v>
      </c>
      <c r="D522" s="3" t="s">
        <v>4655</v>
      </c>
      <c r="E522" s="2" t="s">
        <v>4656</v>
      </c>
      <c r="F522" s="3" t="s">
        <v>4384</v>
      </c>
      <c r="G522" s="3" t="s">
        <v>4367</v>
      </c>
      <c r="H522" s="1" t="s">
        <v>211</v>
      </c>
      <c r="I522" s="2" t="s">
        <v>212</v>
      </c>
      <c r="J522" s="3" t="s">
        <v>11</v>
      </c>
      <c r="K522" s="38">
        <v>1.88</v>
      </c>
      <c r="L522" s="39">
        <v>558</v>
      </c>
    </row>
    <row r="523" spans="1:12" ht="19.95" customHeight="1" x14ac:dyDescent="0.3">
      <c r="A523" s="6" t="s">
        <v>4385</v>
      </c>
      <c r="B523" s="7" t="s">
        <v>4386</v>
      </c>
      <c r="C523" s="6" t="s">
        <v>4609</v>
      </c>
      <c r="D523" s="7" t="s">
        <v>4657</v>
      </c>
      <c r="E523" s="6" t="s">
        <v>4658</v>
      </c>
      <c r="F523" s="7" t="s">
        <v>4390</v>
      </c>
      <c r="G523" s="7" t="s">
        <v>4369</v>
      </c>
      <c r="H523" s="5" t="s">
        <v>16</v>
      </c>
      <c r="I523" s="6" t="s">
        <v>4389</v>
      </c>
      <c r="J523" s="7" t="s">
        <v>18</v>
      </c>
      <c r="K523" s="36">
        <v>1</v>
      </c>
      <c r="L523" s="37">
        <v>350</v>
      </c>
    </row>
    <row r="524" spans="1:12" ht="19.95" customHeight="1" x14ac:dyDescent="0.3">
      <c r="A524" s="2" t="s">
        <v>4385</v>
      </c>
      <c r="B524" s="3" t="s">
        <v>4386</v>
      </c>
      <c r="C524" s="2" t="s">
        <v>4609</v>
      </c>
      <c r="D524" s="3" t="s">
        <v>4657</v>
      </c>
      <c r="E524" s="2" t="s">
        <v>4658</v>
      </c>
      <c r="F524" s="3" t="s">
        <v>4390</v>
      </c>
      <c r="G524" s="3" t="s">
        <v>4369</v>
      </c>
      <c r="H524" s="1" t="s">
        <v>67</v>
      </c>
      <c r="I524" s="2" t="s">
        <v>4391</v>
      </c>
      <c r="J524" s="3" t="s">
        <v>4392</v>
      </c>
      <c r="K524" s="38">
        <v>10</v>
      </c>
      <c r="L524" s="39">
        <v>30</v>
      </c>
    </row>
    <row r="525" spans="1:12" ht="19.95" customHeight="1" x14ac:dyDescent="0.3">
      <c r="A525" s="6" t="s">
        <v>4385</v>
      </c>
      <c r="B525" s="7" t="s">
        <v>4386</v>
      </c>
      <c r="C525" s="6" t="s">
        <v>4609</v>
      </c>
      <c r="D525" s="7" t="s">
        <v>4657</v>
      </c>
      <c r="E525" s="6" t="s">
        <v>4658</v>
      </c>
      <c r="F525" s="7" t="s">
        <v>4390</v>
      </c>
      <c r="G525" s="7" t="s">
        <v>4369</v>
      </c>
      <c r="H525" s="5" t="s">
        <v>27</v>
      </c>
      <c r="I525" s="6" t="s">
        <v>4393</v>
      </c>
      <c r="J525" s="7" t="s">
        <v>18</v>
      </c>
      <c r="K525" s="36">
        <v>1</v>
      </c>
      <c r="L525" s="37">
        <v>210</v>
      </c>
    </row>
    <row r="526" spans="1:12" ht="19.95" customHeight="1" x14ac:dyDescent="0.3">
      <c r="A526" s="2" t="s">
        <v>4385</v>
      </c>
      <c r="B526" s="3" t="s">
        <v>4386</v>
      </c>
      <c r="C526" s="2" t="s">
        <v>4609</v>
      </c>
      <c r="D526" s="3" t="s">
        <v>4657</v>
      </c>
      <c r="E526" s="2" t="s">
        <v>4658</v>
      </c>
      <c r="F526" s="3" t="s">
        <v>4390</v>
      </c>
      <c r="G526" s="3" t="s">
        <v>4367</v>
      </c>
      <c r="H526" s="1" t="s">
        <v>255</v>
      </c>
      <c r="I526" s="2" t="s">
        <v>256</v>
      </c>
      <c r="J526" s="3" t="s">
        <v>11</v>
      </c>
      <c r="K526" s="38">
        <v>0.17</v>
      </c>
      <c r="L526" s="39">
        <v>709</v>
      </c>
    </row>
    <row r="527" spans="1:12" ht="19.95" customHeight="1" x14ac:dyDescent="0.3">
      <c r="A527" s="6" t="s">
        <v>4385</v>
      </c>
      <c r="B527" s="7" t="s">
        <v>4386</v>
      </c>
      <c r="C527" s="6" t="s">
        <v>4609</v>
      </c>
      <c r="D527" s="7" t="s">
        <v>4657</v>
      </c>
      <c r="E527" s="6" t="s">
        <v>4658</v>
      </c>
      <c r="F527" s="7" t="s">
        <v>4390</v>
      </c>
      <c r="G527" s="7" t="s">
        <v>4367</v>
      </c>
      <c r="H527" s="5" t="s">
        <v>209</v>
      </c>
      <c r="I527" s="6" t="s">
        <v>210</v>
      </c>
      <c r="J527" s="7" t="s">
        <v>11</v>
      </c>
      <c r="K527" s="36">
        <v>2</v>
      </c>
      <c r="L527" s="37">
        <v>558</v>
      </c>
    </row>
    <row r="528" spans="1:12" ht="19.95" customHeight="1" x14ac:dyDescent="0.3">
      <c r="A528" s="2" t="s">
        <v>4385</v>
      </c>
      <c r="B528" s="3" t="s">
        <v>4386</v>
      </c>
      <c r="C528" s="2" t="s">
        <v>4609</v>
      </c>
      <c r="D528" s="3" t="s">
        <v>4657</v>
      </c>
      <c r="E528" s="2" t="s">
        <v>4658</v>
      </c>
      <c r="F528" s="3" t="s">
        <v>4390</v>
      </c>
      <c r="G528" s="3" t="s">
        <v>4367</v>
      </c>
      <c r="H528" s="1" t="s">
        <v>197</v>
      </c>
      <c r="I528" s="2" t="s">
        <v>198</v>
      </c>
      <c r="J528" s="3" t="s">
        <v>11</v>
      </c>
      <c r="K528" s="38">
        <v>0.9</v>
      </c>
      <c r="L528" s="39">
        <v>617</v>
      </c>
    </row>
    <row r="529" spans="1:12" ht="19.95" customHeight="1" x14ac:dyDescent="0.3">
      <c r="A529" s="6" t="s">
        <v>4385</v>
      </c>
      <c r="B529" s="7" t="s">
        <v>4386</v>
      </c>
      <c r="C529" s="6" t="s">
        <v>4609</v>
      </c>
      <c r="D529" s="7" t="s">
        <v>4657</v>
      </c>
      <c r="E529" s="6" t="s">
        <v>4658</v>
      </c>
      <c r="F529" s="7" t="s">
        <v>4390</v>
      </c>
      <c r="G529" s="7" t="s">
        <v>4369</v>
      </c>
      <c r="H529" s="5" t="s">
        <v>33</v>
      </c>
      <c r="I529" s="6" t="s">
        <v>4387</v>
      </c>
      <c r="J529" s="7" t="s">
        <v>11</v>
      </c>
      <c r="K529" s="36">
        <v>7.0000000000000007E-2</v>
      </c>
      <c r="L529" s="37">
        <v>370</v>
      </c>
    </row>
    <row r="530" spans="1:12" ht="19.95" customHeight="1" x14ac:dyDescent="0.3">
      <c r="A530" s="2" t="s">
        <v>4385</v>
      </c>
      <c r="B530" s="3" t="s">
        <v>4386</v>
      </c>
      <c r="C530" s="2" t="s">
        <v>4609</v>
      </c>
      <c r="D530" s="3" t="s">
        <v>4657</v>
      </c>
      <c r="E530" s="2" t="s">
        <v>4658</v>
      </c>
      <c r="F530" s="3" t="s">
        <v>4390</v>
      </c>
      <c r="G530" s="3" t="s">
        <v>4369</v>
      </c>
      <c r="H530" s="1" t="s">
        <v>16</v>
      </c>
      <c r="I530" s="2" t="s">
        <v>4389</v>
      </c>
      <c r="J530" s="3" t="s">
        <v>18</v>
      </c>
      <c r="K530" s="38">
        <v>1</v>
      </c>
      <c r="L530" s="39">
        <v>350</v>
      </c>
    </row>
    <row r="531" spans="1:12" ht="19.95" customHeight="1" x14ac:dyDescent="0.3">
      <c r="A531" s="6" t="s">
        <v>4385</v>
      </c>
      <c r="B531" s="7" t="s">
        <v>4386</v>
      </c>
      <c r="C531" s="6" t="s">
        <v>4609</v>
      </c>
      <c r="D531" s="7" t="s">
        <v>4657</v>
      </c>
      <c r="E531" s="6" t="s">
        <v>4658</v>
      </c>
      <c r="F531" s="7" t="s">
        <v>4390</v>
      </c>
      <c r="G531" s="7" t="s">
        <v>4369</v>
      </c>
      <c r="H531" s="5" t="s">
        <v>67</v>
      </c>
      <c r="I531" s="6" t="s">
        <v>4391</v>
      </c>
      <c r="J531" s="7" t="s">
        <v>4392</v>
      </c>
      <c r="K531" s="36">
        <v>10</v>
      </c>
      <c r="L531" s="37">
        <v>30</v>
      </c>
    </row>
    <row r="532" spans="1:12" ht="19.95" customHeight="1" x14ac:dyDescent="0.3">
      <c r="A532" s="2" t="s">
        <v>4385</v>
      </c>
      <c r="B532" s="3" t="s">
        <v>4386</v>
      </c>
      <c r="C532" s="2" t="s">
        <v>4609</v>
      </c>
      <c r="D532" s="3" t="s">
        <v>4657</v>
      </c>
      <c r="E532" s="2" t="s">
        <v>4658</v>
      </c>
      <c r="F532" s="3" t="s">
        <v>4390</v>
      </c>
      <c r="G532" s="3" t="s">
        <v>4369</v>
      </c>
      <c r="H532" s="1" t="s">
        <v>27</v>
      </c>
      <c r="I532" s="2" t="s">
        <v>4393</v>
      </c>
      <c r="J532" s="3" t="s">
        <v>18</v>
      </c>
      <c r="K532" s="38">
        <v>1</v>
      </c>
      <c r="L532" s="39">
        <v>210</v>
      </c>
    </row>
    <row r="533" spans="1:12" ht="19.95" customHeight="1" x14ac:dyDescent="0.3">
      <c r="A533" s="6" t="s">
        <v>4385</v>
      </c>
      <c r="B533" s="7" t="s">
        <v>4386</v>
      </c>
      <c r="C533" s="6" t="s">
        <v>4609</v>
      </c>
      <c r="D533" s="7" t="s">
        <v>4657</v>
      </c>
      <c r="E533" s="6" t="s">
        <v>4658</v>
      </c>
      <c r="F533" s="7" t="s">
        <v>4390</v>
      </c>
      <c r="G533" s="7" t="s">
        <v>4367</v>
      </c>
      <c r="H533" s="5" t="s">
        <v>255</v>
      </c>
      <c r="I533" s="6" t="s">
        <v>256</v>
      </c>
      <c r="J533" s="7" t="s">
        <v>11</v>
      </c>
      <c r="K533" s="36">
        <v>0.17</v>
      </c>
      <c r="L533" s="37">
        <v>709</v>
      </c>
    </row>
    <row r="534" spans="1:12" ht="19.95" customHeight="1" x14ac:dyDescent="0.3">
      <c r="A534" s="2" t="s">
        <v>4385</v>
      </c>
      <c r="B534" s="3" t="s">
        <v>4386</v>
      </c>
      <c r="C534" s="2" t="s">
        <v>4609</v>
      </c>
      <c r="D534" s="3" t="s">
        <v>4657</v>
      </c>
      <c r="E534" s="2" t="s">
        <v>4658</v>
      </c>
      <c r="F534" s="3" t="s">
        <v>4390</v>
      </c>
      <c r="G534" s="3" t="s">
        <v>4367</v>
      </c>
      <c r="H534" s="1" t="s">
        <v>209</v>
      </c>
      <c r="I534" s="2" t="s">
        <v>210</v>
      </c>
      <c r="J534" s="3" t="s">
        <v>11</v>
      </c>
      <c r="K534" s="38">
        <v>2</v>
      </c>
      <c r="L534" s="39">
        <v>558</v>
      </c>
    </row>
    <row r="535" spans="1:12" ht="19.95" customHeight="1" x14ac:dyDescent="0.3">
      <c r="A535" s="6" t="s">
        <v>4385</v>
      </c>
      <c r="B535" s="7" t="s">
        <v>4386</v>
      </c>
      <c r="C535" s="6" t="s">
        <v>4609</v>
      </c>
      <c r="D535" s="7" t="s">
        <v>4657</v>
      </c>
      <c r="E535" s="6" t="s">
        <v>4658</v>
      </c>
      <c r="F535" s="7" t="s">
        <v>4390</v>
      </c>
      <c r="G535" s="7" t="s">
        <v>4367</v>
      </c>
      <c r="H535" s="5" t="s">
        <v>197</v>
      </c>
      <c r="I535" s="6" t="s">
        <v>198</v>
      </c>
      <c r="J535" s="7" t="s">
        <v>11</v>
      </c>
      <c r="K535" s="36">
        <v>0.9</v>
      </c>
      <c r="L535" s="37">
        <v>617</v>
      </c>
    </row>
    <row r="536" spans="1:12" ht="19.95" customHeight="1" x14ac:dyDescent="0.3">
      <c r="A536" s="2" t="s">
        <v>4385</v>
      </c>
      <c r="B536" s="3" t="s">
        <v>4386</v>
      </c>
      <c r="C536" s="2" t="s">
        <v>4609</v>
      </c>
      <c r="D536" s="3" t="s">
        <v>4657</v>
      </c>
      <c r="E536" s="2" t="s">
        <v>4658</v>
      </c>
      <c r="F536" s="3" t="s">
        <v>4390</v>
      </c>
      <c r="G536" s="3" t="s">
        <v>4369</v>
      </c>
      <c r="H536" s="1" t="s">
        <v>33</v>
      </c>
      <c r="I536" s="2" t="s">
        <v>4387</v>
      </c>
      <c r="J536" s="3" t="s">
        <v>11</v>
      </c>
      <c r="K536" s="38">
        <v>7.0000000000000007E-2</v>
      </c>
      <c r="L536" s="39">
        <v>370</v>
      </c>
    </row>
    <row r="537" spans="1:12" ht="19.95" customHeight="1" x14ac:dyDescent="0.3">
      <c r="A537" s="6" t="s">
        <v>4385</v>
      </c>
      <c r="B537" s="7" t="s">
        <v>4386</v>
      </c>
      <c r="C537" s="6" t="s">
        <v>4609</v>
      </c>
      <c r="D537" s="7" t="s">
        <v>4659</v>
      </c>
      <c r="E537" s="6" t="s">
        <v>4660</v>
      </c>
      <c r="F537" s="7" t="s">
        <v>4390</v>
      </c>
      <c r="G537" s="7" t="s">
        <v>4369</v>
      </c>
      <c r="H537" s="5" t="s">
        <v>16</v>
      </c>
      <c r="I537" s="6" t="s">
        <v>4389</v>
      </c>
      <c r="J537" s="7" t="s">
        <v>18</v>
      </c>
      <c r="K537" s="36">
        <v>1</v>
      </c>
      <c r="L537" s="37">
        <v>350</v>
      </c>
    </row>
    <row r="538" spans="1:12" ht="19.95" customHeight="1" x14ac:dyDescent="0.3">
      <c r="A538" s="2" t="s">
        <v>4385</v>
      </c>
      <c r="B538" s="3" t="s">
        <v>4386</v>
      </c>
      <c r="C538" s="2" t="s">
        <v>4609</v>
      </c>
      <c r="D538" s="3" t="s">
        <v>4659</v>
      </c>
      <c r="E538" s="2" t="s">
        <v>4660</v>
      </c>
      <c r="F538" s="3" t="s">
        <v>4390</v>
      </c>
      <c r="G538" s="3" t="s">
        <v>4369</v>
      </c>
      <c r="H538" s="1" t="s">
        <v>67</v>
      </c>
      <c r="I538" s="2" t="s">
        <v>4391</v>
      </c>
      <c r="J538" s="3" t="s">
        <v>4392</v>
      </c>
      <c r="K538" s="38">
        <v>10</v>
      </c>
      <c r="L538" s="39">
        <v>30</v>
      </c>
    </row>
    <row r="539" spans="1:12" ht="19.95" customHeight="1" x14ac:dyDescent="0.3">
      <c r="A539" s="6" t="s">
        <v>4385</v>
      </c>
      <c r="B539" s="7" t="s">
        <v>4386</v>
      </c>
      <c r="C539" s="6" t="s">
        <v>4609</v>
      </c>
      <c r="D539" s="7" t="s">
        <v>4659</v>
      </c>
      <c r="E539" s="6" t="s">
        <v>4660</v>
      </c>
      <c r="F539" s="7" t="s">
        <v>4390</v>
      </c>
      <c r="G539" s="7" t="s">
        <v>4367</v>
      </c>
      <c r="H539" s="5" t="s">
        <v>255</v>
      </c>
      <c r="I539" s="6" t="s">
        <v>256</v>
      </c>
      <c r="J539" s="7" t="s">
        <v>11</v>
      </c>
      <c r="K539" s="36">
        <v>0.17</v>
      </c>
      <c r="L539" s="37">
        <v>709</v>
      </c>
    </row>
    <row r="540" spans="1:12" ht="19.95" customHeight="1" x14ac:dyDescent="0.3">
      <c r="A540" s="2" t="s">
        <v>4385</v>
      </c>
      <c r="B540" s="3" t="s">
        <v>4386</v>
      </c>
      <c r="C540" s="2" t="s">
        <v>4609</v>
      </c>
      <c r="D540" s="3" t="s">
        <v>4659</v>
      </c>
      <c r="E540" s="2" t="s">
        <v>4660</v>
      </c>
      <c r="F540" s="3" t="s">
        <v>4390</v>
      </c>
      <c r="G540" s="3" t="s">
        <v>4367</v>
      </c>
      <c r="H540" s="1" t="s">
        <v>209</v>
      </c>
      <c r="I540" s="2" t="s">
        <v>210</v>
      </c>
      <c r="J540" s="3" t="s">
        <v>11</v>
      </c>
      <c r="K540" s="38">
        <v>2</v>
      </c>
      <c r="L540" s="39">
        <v>558</v>
      </c>
    </row>
    <row r="541" spans="1:12" ht="19.95" customHeight="1" x14ac:dyDescent="0.3">
      <c r="A541" s="6" t="s">
        <v>4385</v>
      </c>
      <c r="B541" s="7" t="s">
        <v>4386</v>
      </c>
      <c r="C541" s="6" t="s">
        <v>4609</v>
      </c>
      <c r="D541" s="7" t="s">
        <v>4659</v>
      </c>
      <c r="E541" s="6" t="s">
        <v>4660</v>
      </c>
      <c r="F541" s="7" t="s">
        <v>4390</v>
      </c>
      <c r="G541" s="7" t="s">
        <v>4367</v>
      </c>
      <c r="H541" s="5" t="s">
        <v>197</v>
      </c>
      <c r="I541" s="6" t="s">
        <v>198</v>
      </c>
      <c r="J541" s="7" t="s">
        <v>11</v>
      </c>
      <c r="K541" s="36">
        <v>0.9</v>
      </c>
      <c r="L541" s="37">
        <v>617</v>
      </c>
    </row>
    <row r="542" spans="1:12" ht="19.95" customHeight="1" x14ac:dyDescent="0.3">
      <c r="A542" s="2" t="s">
        <v>4385</v>
      </c>
      <c r="B542" s="3" t="s">
        <v>4386</v>
      </c>
      <c r="C542" s="2" t="s">
        <v>4609</v>
      </c>
      <c r="D542" s="3" t="s">
        <v>4659</v>
      </c>
      <c r="E542" s="2" t="s">
        <v>4660</v>
      </c>
      <c r="F542" s="3" t="s">
        <v>4390</v>
      </c>
      <c r="G542" s="3" t="s">
        <v>4369</v>
      </c>
      <c r="H542" s="1" t="s">
        <v>33</v>
      </c>
      <c r="I542" s="2" t="s">
        <v>4387</v>
      </c>
      <c r="J542" s="3" t="s">
        <v>11</v>
      </c>
      <c r="K542" s="38">
        <v>7.0000000000000007E-2</v>
      </c>
      <c r="L542" s="39">
        <v>370</v>
      </c>
    </row>
    <row r="543" spans="1:12" ht="19.95" customHeight="1" x14ac:dyDescent="0.3">
      <c r="A543" s="6" t="s">
        <v>4385</v>
      </c>
      <c r="B543" s="7" t="s">
        <v>4386</v>
      </c>
      <c r="C543" s="6" t="s">
        <v>4609</v>
      </c>
      <c r="D543" s="7" t="s">
        <v>4659</v>
      </c>
      <c r="E543" s="6" t="s">
        <v>4660</v>
      </c>
      <c r="F543" s="7" t="s">
        <v>4390</v>
      </c>
      <c r="G543" s="7" t="s">
        <v>4367</v>
      </c>
      <c r="H543" s="5" t="s">
        <v>211</v>
      </c>
      <c r="I543" s="6" t="s">
        <v>212</v>
      </c>
      <c r="J543" s="7" t="s">
        <v>11</v>
      </c>
      <c r="K543" s="36">
        <v>1.88</v>
      </c>
      <c r="L543" s="37">
        <v>558</v>
      </c>
    </row>
    <row r="544" spans="1:12" ht="19.95" customHeight="1" x14ac:dyDescent="0.3">
      <c r="A544" s="2" t="s">
        <v>4385</v>
      </c>
      <c r="B544" s="3" t="s">
        <v>4386</v>
      </c>
      <c r="C544" s="2" t="s">
        <v>4609</v>
      </c>
      <c r="D544" s="3" t="s">
        <v>4659</v>
      </c>
      <c r="E544" s="2" t="s">
        <v>4660</v>
      </c>
      <c r="F544" s="3" t="s">
        <v>4390</v>
      </c>
      <c r="G544" s="3" t="s">
        <v>4369</v>
      </c>
      <c r="H544" s="1" t="s">
        <v>16</v>
      </c>
      <c r="I544" s="2" t="s">
        <v>4389</v>
      </c>
      <c r="J544" s="3" t="s">
        <v>18</v>
      </c>
      <c r="K544" s="38">
        <v>1</v>
      </c>
      <c r="L544" s="39">
        <v>350</v>
      </c>
    </row>
    <row r="545" spans="1:12" ht="19.95" customHeight="1" x14ac:dyDescent="0.3">
      <c r="A545" s="6" t="s">
        <v>4385</v>
      </c>
      <c r="B545" s="7" t="s">
        <v>4386</v>
      </c>
      <c r="C545" s="6" t="s">
        <v>4609</v>
      </c>
      <c r="D545" s="7" t="s">
        <v>4659</v>
      </c>
      <c r="E545" s="6" t="s">
        <v>4660</v>
      </c>
      <c r="F545" s="7" t="s">
        <v>4390</v>
      </c>
      <c r="G545" s="7" t="s">
        <v>4369</v>
      </c>
      <c r="H545" s="5" t="s">
        <v>67</v>
      </c>
      <c r="I545" s="6" t="s">
        <v>4391</v>
      </c>
      <c r="J545" s="7" t="s">
        <v>4392</v>
      </c>
      <c r="K545" s="36">
        <v>10</v>
      </c>
      <c r="L545" s="37">
        <v>30</v>
      </c>
    </row>
    <row r="546" spans="1:12" ht="19.95" customHeight="1" x14ac:dyDescent="0.3">
      <c r="A546" s="2" t="s">
        <v>4385</v>
      </c>
      <c r="B546" s="3" t="s">
        <v>4386</v>
      </c>
      <c r="C546" s="2" t="s">
        <v>4609</v>
      </c>
      <c r="D546" s="3" t="s">
        <v>4659</v>
      </c>
      <c r="E546" s="2" t="s">
        <v>4660</v>
      </c>
      <c r="F546" s="3" t="s">
        <v>4390</v>
      </c>
      <c r="G546" s="3" t="s">
        <v>4367</v>
      </c>
      <c r="H546" s="1" t="s">
        <v>255</v>
      </c>
      <c r="I546" s="2" t="s">
        <v>256</v>
      </c>
      <c r="J546" s="3" t="s">
        <v>11</v>
      </c>
      <c r="K546" s="38">
        <v>0.17</v>
      </c>
      <c r="L546" s="39">
        <v>709</v>
      </c>
    </row>
    <row r="547" spans="1:12" ht="19.95" customHeight="1" x14ac:dyDescent="0.3">
      <c r="A547" s="6" t="s">
        <v>4385</v>
      </c>
      <c r="B547" s="7" t="s">
        <v>4386</v>
      </c>
      <c r="C547" s="6" t="s">
        <v>4609</v>
      </c>
      <c r="D547" s="7" t="s">
        <v>4659</v>
      </c>
      <c r="E547" s="6" t="s">
        <v>4660</v>
      </c>
      <c r="F547" s="7" t="s">
        <v>4390</v>
      </c>
      <c r="G547" s="7" t="s">
        <v>4367</v>
      </c>
      <c r="H547" s="5" t="s">
        <v>209</v>
      </c>
      <c r="I547" s="6" t="s">
        <v>210</v>
      </c>
      <c r="J547" s="7" t="s">
        <v>11</v>
      </c>
      <c r="K547" s="36">
        <v>2</v>
      </c>
      <c r="L547" s="37">
        <v>558</v>
      </c>
    </row>
    <row r="548" spans="1:12" ht="19.95" customHeight="1" x14ac:dyDescent="0.3">
      <c r="A548" s="2" t="s">
        <v>4385</v>
      </c>
      <c r="B548" s="3" t="s">
        <v>4386</v>
      </c>
      <c r="C548" s="2" t="s">
        <v>4609</v>
      </c>
      <c r="D548" s="3" t="s">
        <v>4659</v>
      </c>
      <c r="E548" s="2" t="s">
        <v>4660</v>
      </c>
      <c r="F548" s="3" t="s">
        <v>4390</v>
      </c>
      <c r="G548" s="3" t="s">
        <v>4367</v>
      </c>
      <c r="H548" s="1" t="s">
        <v>197</v>
      </c>
      <c r="I548" s="2" t="s">
        <v>198</v>
      </c>
      <c r="J548" s="3" t="s">
        <v>11</v>
      </c>
      <c r="K548" s="38">
        <v>0.9</v>
      </c>
      <c r="L548" s="39">
        <v>617</v>
      </c>
    </row>
    <row r="549" spans="1:12" ht="19.95" customHeight="1" x14ac:dyDescent="0.3">
      <c r="A549" s="6" t="s">
        <v>4385</v>
      </c>
      <c r="B549" s="7" t="s">
        <v>4386</v>
      </c>
      <c r="C549" s="6" t="s">
        <v>4609</v>
      </c>
      <c r="D549" s="7" t="s">
        <v>4659</v>
      </c>
      <c r="E549" s="6" t="s">
        <v>4660</v>
      </c>
      <c r="F549" s="7" t="s">
        <v>4390</v>
      </c>
      <c r="G549" s="7" t="s">
        <v>4369</v>
      </c>
      <c r="H549" s="5" t="s">
        <v>33</v>
      </c>
      <c r="I549" s="6" t="s">
        <v>4387</v>
      </c>
      <c r="J549" s="7" t="s">
        <v>11</v>
      </c>
      <c r="K549" s="36">
        <v>7.0000000000000007E-2</v>
      </c>
      <c r="L549" s="37">
        <v>370</v>
      </c>
    </row>
    <row r="550" spans="1:12" ht="19.95" customHeight="1" x14ac:dyDescent="0.3">
      <c r="A550" s="2" t="s">
        <v>4385</v>
      </c>
      <c r="B550" s="3" t="s">
        <v>4386</v>
      </c>
      <c r="C550" s="2" t="s">
        <v>4609</v>
      </c>
      <c r="D550" s="3" t="s">
        <v>4659</v>
      </c>
      <c r="E550" s="2" t="s">
        <v>4660</v>
      </c>
      <c r="F550" s="3" t="s">
        <v>4390</v>
      </c>
      <c r="G550" s="3" t="s">
        <v>4367</v>
      </c>
      <c r="H550" s="1" t="s">
        <v>211</v>
      </c>
      <c r="I550" s="2" t="s">
        <v>212</v>
      </c>
      <c r="J550" s="3" t="s">
        <v>11</v>
      </c>
      <c r="K550" s="38">
        <v>1.88</v>
      </c>
      <c r="L550" s="39">
        <v>558</v>
      </c>
    </row>
    <row r="551" spans="1:12" ht="19.95" customHeight="1" x14ac:dyDescent="0.3">
      <c r="A551" s="6" t="s">
        <v>4385</v>
      </c>
      <c r="B551" s="7" t="s">
        <v>4386</v>
      </c>
      <c r="C551" s="6" t="s">
        <v>4609</v>
      </c>
      <c r="D551" s="7" t="s">
        <v>4661</v>
      </c>
      <c r="E551" s="6" t="s">
        <v>4662</v>
      </c>
      <c r="F551" s="7" t="s">
        <v>4663</v>
      </c>
      <c r="G551" s="7" t="s">
        <v>4367</v>
      </c>
      <c r="H551" s="5" t="s">
        <v>213</v>
      </c>
      <c r="I551" s="6" t="s">
        <v>214</v>
      </c>
      <c r="J551" s="7" t="s">
        <v>11</v>
      </c>
      <c r="K551" s="36">
        <v>0.75</v>
      </c>
      <c r="L551" s="37">
        <v>738</v>
      </c>
    </row>
    <row r="552" spans="1:12" ht="19.95" customHeight="1" x14ac:dyDescent="0.3">
      <c r="A552" s="2" t="s">
        <v>4385</v>
      </c>
      <c r="B552" s="3" t="s">
        <v>4386</v>
      </c>
      <c r="C552" s="2" t="s">
        <v>4609</v>
      </c>
      <c r="D552" s="3" t="s">
        <v>4661</v>
      </c>
      <c r="E552" s="2" t="s">
        <v>4662</v>
      </c>
      <c r="F552" s="3" t="s">
        <v>4663</v>
      </c>
      <c r="G552" s="3" t="s">
        <v>4367</v>
      </c>
      <c r="H552" s="1" t="s">
        <v>209</v>
      </c>
      <c r="I552" s="2" t="s">
        <v>210</v>
      </c>
      <c r="J552" s="3" t="s">
        <v>11</v>
      </c>
      <c r="K552" s="38">
        <v>1.5</v>
      </c>
      <c r="L552" s="39">
        <v>558</v>
      </c>
    </row>
    <row r="553" spans="1:12" ht="19.95" customHeight="1" x14ac:dyDescent="0.3">
      <c r="A553" s="6" t="s">
        <v>4385</v>
      </c>
      <c r="B553" s="7" t="s">
        <v>4386</v>
      </c>
      <c r="C553" s="6" t="s">
        <v>4609</v>
      </c>
      <c r="D553" s="7" t="s">
        <v>4664</v>
      </c>
      <c r="E553" s="6" t="s">
        <v>4665</v>
      </c>
      <c r="F553" s="7" t="s">
        <v>4368</v>
      </c>
      <c r="G553" s="7" t="s">
        <v>4367</v>
      </c>
      <c r="H553" s="5" t="s">
        <v>213</v>
      </c>
      <c r="I553" s="6" t="s">
        <v>214</v>
      </c>
      <c r="J553" s="7" t="s">
        <v>11</v>
      </c>
      <c r="K553" s="36">
        <v>3.5</v>
      </c>
      <c r="L553" s="37">
        <v>738</v>
      </c>
    </row>
    <row r="554" spans="1:12" ht="19.95" customHeight="1" x14ac:dyDescent="0.3">
      <c r="A554" s="2" t="s">
        <v>4385</v>
      </c>
      <c r="B554" s="3" t="s">
        <v>4386</v>
      </c>
      <c r="C554" s="2" t="s">
        <v>4609</v>
      </c>
      <c r="D554" s="3" t="s">
        <v>4664</v>
      </c>
      <c r="E554" s="2" t="s">
        <v>4665</v>
      </c>
      <c r="F554" s="3" t="s">
        <v>4368</v>
      </c>
      <c r="G554" s="3" t="s">
        <v>4367</v>
      </c>
      <c r="H554" s="1" t="s">
        <v>209</v>
      </c>
      <c r="I554" s="2" t="s">
        <v>210</v>
      </c>
      <c r="J554" s="3" t="s">
        <v>11</v>
      </c>
      <c r="K554" s="38">
        <v>6</v>
      </c>
      <c r="L554" s="39">
        <v>558</v>
      </c>
    </row>
    <row r="555" spans="1:12" ht="19.95" customHeight="1" x14ac:dyDescent="0.3">
      <c r="A555" s="6" t="s">
        <v>4385</v>
      </c>
      <c r="B555" s="7" t="s">
        <v>4386</v>
      </c>
      <c r="C555" s="6" t="s">
        <v>4609</v>
      </c>
      <c r="D555" s="7" t="s">
        <v>4666</v>
      </c>
      <c r="E555" s="6" t="s">
        <v>4667</v>
      </c>
      <c r="F555" s="7" t="s">
        <v>4368</v>
      </c>
      <c r="G555" s="7" t="s">
        <v>4367</v>
      </c>
      <c r="H555" s="5" t="s">
        <v>213</v>
      </c>
      <c r="I555" s="6" t="s">
        <v>214</v>
      </c>
      <c r="J555" s="7" t="s">
        <v>11</v>
      </c>
      <c r="K555" s="36">
        <v>1</v>
      </c>
      <c r="L555" s="37">
        <v>738</v>
      </c>
    </row>
    <row r="556" spans="1:12" ht="19.95" customHeight="1" x14ac:dyDescent="0.3">
      <c r="A556" s="2" t="s">
        <v>4385</v>
      </c>
      <c r="B556" s="3" t="s">
        <v>4386</v>
      </c>
      <c r="C556" s="2" t="s">
        <v>4609</v>
      </c>
      <c r="D556" s="3" t="s">
        <v>4666</v>
      </c>
      <c r="E556" s="2" t="s">
        <v>4667</v>
      </c>
      <c r="F556" s="3" t="s">
        <v>4368</v>
      </c>
      <c r="G556" s="3" t="s">
        <v>4367</v>
      </c>
      <c r="H556" s="1" t="s">
        <v>209</v>
      </c>
      <c r="I556" s="2" t="s">
        <v>210</v>
      </c>
      <c r="J556" s="3" t="s">
        <v>11</v>
      </c>
      <c r="K556" s="38">
        <v>2</v>
      </c>
      <c r="L556" s="39">
        <v>558</v>
      </c>
    </row>
    <row r="557" spans="1:12" ht="19.95" customHeight="1" x14ac:dyDescent="0.3">
      <c r="A557" s="6" t="s">
        <v>4396</v>
      </c>
      <c r="B557" s="7" t="s">
        <v>4386</v>
      </c>
      <c r="C557" s="6" t="s">
        <v>4668</v>
      </c>
      <c r="D557" s="7" t="s">
        <v>4669</v>
      </c>
      <c r="E557" s="6" t="s">
        <v>4670</v>
      </c>
      <c r="F557" s="7" t="s">
        <v>4368</v>
      </c>
      <c r="G557" s="7" t="s">
        <v>4367</v>
      </c>
      <c r="H557" s="5" t="s">
        <v>213</v>
      </c>
      <c r="I557" s="6" t="s">
        <v>214</v>
      </c>
      <c r="J557" s="7" t="s">
        <v>11</v>
      </c>
      <c r="K557" s="36">
        <v>3</v>
      </c>
      <c r="L557" s="37">
        <v>738</v>
      </c>
    </row>
    <row r="558" spans="1:12" ht="19.95" customHeight="1" x14ac:dyDescent="0.3">
      <c r="A558" s="2" t="s">
        <v>4396</v>
      </c>
      <c r="B558" s="3" t="s">
        <v>4386</v>
      </c>
      <c r="C558" s="2" t="s">
        <v>4668</v>
      </c>
      <c r="D558" s="3" t="s">
        <v>4669</v>
      </c>
      <c r="E558" s="2" t="s">
        <v>4670</v>
      </c>
      <c r="F558" s="3" t="s">
        <v>4368</v>
      </c>
      <c r="G558" s="3" t="s">
        <v>4367</v>
      </c>
      <c r="H558" s="1" t="s">
        <v>209</v>
      </c>
      <c r="I558" s="2" t="s">
        <v>210</v>
      </c>
      <c r="J558" s="3" t="s">
        <v>11</v>
      </c>
      <c r="K558" s="38">
        <v>6</v>
      </c>
      <c r="L558" s="39">
        <v>558</v>
      </c>
    </row>
    <row r="559" spans="1:12" ht="19.95" customHeight="1" x14ac:dyDescent="0.3">
      <c r="A559" s="6" t="s">
        <v>4396</v>
      </c>
      <c r="B559" s="7" t="s">
        <v>4386</v>
      </c>
      <c r="C559" s="6" t="s">
        <v>4668</v>
      </c>
      <c r="D559" s="7" t="s">
        <v>4669</v>
      </c>
      <c r="E559" s="6" t="s">
        <v>4670</v>
      </c>
      <c r="F559" s="7" t="s">
        <v>4368</v>
      </c>
      <c r="G559" s="7" t="s">
        <v>4367</v>
      </c>
      <c r="H559" s="5" t="s">
        <v>213</v>
      </c>
      <c r="I559" s="6" t="s">
        <v>214</v>
      </c>
      <c r="J559" s="7" t="s">
        <v>11</v>
      </c>
      <c r="K559" s="36">
        <v>3</v>
      </c>
      <c r="L559" s="37">
        <v>738</v>
      </c>
    </row>
    <row r="560" spans="1:12" ht="19.95" customHeight="1" x14ac:dyDescent="0.3">
      <c r="A560" s="2" t="s">
        <v>4396</v>
      </c>
      <c r="B560" s="3" t="s">
        <v>4386</v>
      </c>
      <c r="C560" s="2" t="s">
        <v>4668</v>
      </c>
      <c r="D560" s="3" t="s">
        <v>4669</v>
      </c>
      <c r="E560" s="2" t="s">
        <v>4670</v>
      </c>
      <c r="F560" s="3" t="s">
        <v>4368</v>
      </c>
      <c r="G560" s="3" t="s">
        <v>4367</v>
      </c>
      <c r="H560" s="1" t="s">
        <v>209</v>
      </c>
      <c r="I560" s="2" t="s">
        <v>210</v>
      </c>
      <c r="J560" s="3" t="s">
        <v>11</v>
      </c>
      <c r="K560" s="38">
        <v>6</v>
      </c>
      <c r="L560" s="39">
        <v>558</v>
      </c>
    </row>
    <row r="561" spans="1:12" ht="19.95" customHeight="1" x14ac:dyDescent="0.3">
      <c r="A561" s="6" t="s">
        <v>4396</v>
      </c>
      <c r="B561" s="7" t="s">
        <v>4386</v>
      </c>
      <c r="C561" s="6" t="s">
        <v>4668</v>
      </c>
      <c r="D561" s="7" t="s">
        <v>4669</v>
      </c>
      <c r="E561" s="6" t="s">
        <v>4670</v>
      </c>
      <c r="F561" s="7" t="s">
        <v>4368</v>
      </c>
      <c r="G561" s="7" t="s">
        <v>4367</v>
      </c>
      <c r="H561" s="5" t="s">
        <v>213</v>
      </c>
      <c r="I561" s="6" t="s">
        <v>214</v>
      </c>
      <c r="J561" s="7" t="s">
        <v>11</v>
      </c>
      <c r="K561" s="36">
        <v>1.25</v>
      </c>
      <c r="L561" s="37">
        <v>738</v>
      </c>
    </row>
    <row r="562" spans="1:12" ht="19.95" customHeight="1" x14ac:dyDescent="0.3">
      <c r="A562" s="2" t="s">
        <v>4396</v>
      </c>
      <c r="B562" s="3" t="s">
        <v>4386</v>
      </c>
      <c r="C562" s="2" t="s">
        <v>4668</v>
      </c>
      <c r="D562" s="3" t="s">
        <v>4669</v>
      </c>
      <c r="E562" s="2" t="s">
        <v>4670</v>
      </c>
      <c r="F562" s="3" t="s">
        <v>4368</v>
      </c>
      <c r="G562" s="3" t="s">
        <v>4367</v>
      </c>
      <c r="H562" s="1" t="s">
        <v>209</v>
      </c>
      <c r="I562" s="2" t="s">
        <v>210</v>
      </c>
      <c r="J562" s="3" t="s">
        <v>11</v>
      </c>
      <c r="K562" s="38">
        <v>2.5</v>
      </c>
      <c r="L562" s="39">
        <v>558</v>
      </c>
    </row>
    <row r="563" spans="1:12" ht="19.95" customHeight="1" x14ac:dyDescent="0.3">
      <c r="A563" s="6" t="s">
        <v>4396</v>
      </c>
      <c r="B563" s="7" t="s">
        <v>4386</v>
      </c>
      <c r="C563" s="6" t="s">
        <v>4668</v>
      </c>
      <c r="D563" s="7" t="s">
        <v>4669</v>
      </c>
      <c r="E563" s="6" t="s">
        <v>4671</v>
      </c>
      <c r="F563" s="7" t="s">
        <v>4368</v>
      </c>
      <c r="G563" s="7" t="s">
        <v>4367</v>
      </c>
      <c r="H563" s="5" t="s">
        <v>205</v>
      </c>
      <c r="I563" s="6" t="s">
        <v>206</v>
      </c>
      <c r="J563" s="7" t="s">
        <v>11</v>
      </c>
      <c r="K563" s="36">
        <v>0.125</v>
      </c>
      <c r="L563" s="37">
        <v>679</v>
      </c>
    </row>
    <row r="564" spans="1:12" ht="19.95" customHeight="1" x14ac:dyDescent="0.3">
      <c r="A564" s="2" t="s">
        <v>4396</v>
      </c>
      <c r="B564" s="3" t="s">
        <v>4386</v>
      </c>
      <c r="C564" s="2" t="s">
        <v>4668</v>
      </c>
      <c r="D564" s="3" t="s">
        <v>4669</v>
      </c>
      <c r="E564" s="2" t="s">
        <v>4671</v>
      </c>
      <c r="F564" s="3" t="s">
        <v>4368</v>
      </c>
      <c r="G564" s="3" t="s">
        <v>4367</v>
      </c>
      <c r="H564" s="1" t="s">
        <v>209</v>
      </c>
      <c r="I564" s="2" t="s">
        <v>210</v>
      </c>
      <c r="J564" s="3" t="s">
        <v>11</v>
      </c>
      <c r="K564" s="38">
        <v>0.125</v>
      </c>
      <c r="L564" s="39">
        <v>558</v>
      </c>
    </row>
    <row r="565" spans="1:12" ht="19.95" customHeight="1" x14ac:dyDescent="0.3">
      <c r="A565" s="6" t="s">
        <v>4396</v>
      </c>
      <c r="B565" s="7" t="s">
        <v>4386</v>
      </c>
      <c r="C565" s="6" t="s">
        <v>4668</v>
      </c>
      <c r="D565" s="7" t="s">
        <v>4669</v>
      </c>
      <c r="E565" s="6" t="s">
        <v>4671</v>
      </c>
      <c r="F565" s="7" t="s">
        <v>4368</v>
      </c>
      <c r="G565" s="7" t="s">
        <v>4367</v>
      </c>
      <c r="H565" s="5" t="s">
        <v>213</v>
      </c>
      <c r="I565" s="6" t="s">
        <v>214</v>
      </c>
      <c r="J565" s="7" t="s">
        <v>11</v>
      </c>
      <c r="K565" s="36">
        <v>3</v>
      </c>
      <c r="L565" s="37">
        <v>738</v>
      </c>
    </row>
    <row r="566" spans="1:12" ht="19.95" customHeight="1" x14ac:dyDescent="0.3">
      <c r="A566" s="2" t="s">
        <v>4396</v>
      </c>
      <c r="B566" s="3" t="s">
        <v>4386</v>
      </c>
      <c r="C566" s="2" t="s">
        <v>4668</v>
      </c>
      <c r="D566" s="3" t="s">
        <v>4669</v>
      </c>
      <c r="E566" s="2" t="s">
        <v>4671</v>
      </c>
      <c r="F566" s="3" t="s">
        <v>4368</v>
      </c>
      <c r="G566" s="3" t="s">
        <v>4367</v>
      </c>
      <c r="H566" s="1" t="s">
        <v>209</v>
      </c>
      <c r="I566" s="2" t="s">
        <v>210</v>
      </c>
      <c r="J566" s="3" t="s">
        <v>11</v>
      </c>
      <c r="K566" s="38">
        <v>6</v>
      </c>
      <c r="L566" s="39">
        <v>558</v>
      </c>
    </row>
    <row r="567" spans="1:12" ht="19.95" customHeight="1" x14ac:dyDescent="0.3">
      <c r="A567" s="6" t="s">
        <v>4396</v>
      </c>
      <c r="B567" s="7" t="s">
        <v>4386</v>
      </c>
      <c r="C567" s="6" t="s">
        <v>4668</v>
      </c>
      <c r="D567" s="7" t="s">
        <v>4669</v>
      </c>
      <c r="E567" s="6" t="s">
        <v>4671</v>
      </c>
      <c r="F567" s="7" t="s">
        <v>4368</v>
      </c>
      <c r="G567" s="7" t="s">
        <v>4367</v>
      </c>
      <c r="H567" s="5" t="s">
        <v>205</v>
      </c>
      <c r="I567" s="6" t="s">
        <v>206</v>
      </c>
      <c r="J567" s="7" t="s">
        <v>11</v>
      </c>
      <c r="K567" s="36">
        <v>0.125</v>
      </c>
      <c r="L567" s="37">
        <v>679</v>
      </c>
    </row>
    <row r="568" spans="1:12" ht="19.95" customHeight="1" x14ac:dyDescent="0.3">
      <c r="A568" s="2" t="s">
        <v>4396</v>
      </c>
      <c r="B568" s="3" t="s">
        <v>4386</v>
      </c>
      <c r="C568" s="2" t="s">
        <v>4668</v>
      </c>
      <c r="D568" s="3" t="s">
        <v>4669</v>
      </c>
      <c r="E568" s="2" t="s">
        <v>4671</v>
      </c>
      <c r="F568" s="3" t="s">
        <v>4368</v>
      </c>
      <c r="G568" s="3" t="s">
        <v>4367</v>
      </c>
      <c r="H568" s="1" t="s">
        <v>209</v>
      </c>
      <c r="I568" s="2" t="s">
        <v>210</v>
      </c>
      <c r="J568" s="3" t="s">
        <v>11</v>
      </c>
      <c r="K568" s="38">
        <v>0.125</v>
      </c>
      <c r="L568" s="39">
        <v>558</v>
      </c>
    </row>
    <row r="569" spans="1:12" ht="19.95" customHeight="1" x14ac:dyDescent="0.3">
      <c r="A569" s="6" t="s">
        <v>4396</v>
      </c>
      <c r="B569" s="7" t="s">
        <v>4386</v>
      </c>
      <c r="C569" s="6" t="s">
        <v>4668</v>
      </c>
      <c r="D569" s="7" t="s">
        <v>4669</v>
      </c>
      <c r="E569" s="6" t="s">
        <v>4671</v>
      </c>
      <c r="F569" s="7" t="s">
        <v>4368</v>
      </c>
      <c r="G569" s="7" t="s">
        <v>4367</v>
      </c>
      <c r="H569" s="5" t="s">
        <v>213</v>
      </c>
      <c r="I569" s="6" t="s">
        <v>214</v>
      </c>
      <c r="J569" s="7" t="s">
        <v>11</v>
      </c>
      <c r="K569" s="36">
        <v>1.25</v>
      </c>
      <c r="L569" s="37">
        <v>738</v>
      </c>
    </row>
    <row r="570" spans="1:12" ht="19.95" customHeight="1" x14ac:dyDescent="0.3">
      <c r="A570" s="2" t="s">
        <v>4396</v>
      </c>
      <c r="B570" s="3" t="s">
        <v>4386</v>
      </c>
      <c r="C570" s="2" t="s">
        <v>4668</v>
      </c>
      <c r="D570" s="3" t="s">
        <v>4669</v>
      </c>
      <c r="E570" s="2" t="s">
        <v>4671</v>
      </c>
      <c r="F570" s="3" t="s">
        <v>4368</v>
      </c>
      <c r="G570" s="3" t="s">
        <v>4367</v>
      </c>
      <c r="H570" s="1" t="s">
        <v>209</v>
      </c>
      <c r="I570" s="2" t="s">
        <v>210</v>
      </c>
      <c r="J570" s="3" t="s">
        <v>11</v>
      </c>
      <c r="K570" s="38">
        <v>2.5</v>
      </c>
      <c r="L570" s="39">
        <v>558</v>
      </c>
    </row>
    <row r="571" spans="1:12" ht="19.95" customHeight="1" x14ac:dyDescent="0.3">
      <c r="A571" s="6" t="s">
        <v>4396</v>
      </c>
      <c r="B571" s="7" t="s">
        <v>4386</v>
      </c>
      <c r="C571" s="6" t="s">
        <v>4668</v>
      </c>
      <c r="D571" s="7" t="s">
        <v>4672</v>
      </c>
      <c r="E571" s="6" t="s">
        <v>4673</v>
      </c>
      <c r="F571" s="7" t="s">
        <v>4368</v>
      </c>
      <c r="G571" s="7" t="s">
        <v>4367</v>
      </c>
      <c r="H571" s="5" t="s">
        <v>227</v>
      </c>
      <c r="I571" s="6" t="s">
        <v>228</v>
      </c>
      <c r="J571" s="7" t="s">
        <v>11</v>
      </c>
      <c r="K571" s="36">
        <v>1</v>
      </c>
      <c r="L571" s="37">
        <v>738</v>
      </c>
    </row>
    <row r="572" spans="1:12" ht="19.95" customHeight="1" x14ac:dyDescent="0.3">
      <c r="A572" s="2" t="s">
        <v>4396</v>
      </c>
      <c r="B572" s="3" t="s">
        <v>4386</v>
      </c>
      <c r="C572" s="2" t="s">
        <v>4668</v>
      </c>
      <c r="D572" s="3" t="s">
        <v>4672</v>
      </c>
      <c r="E572" s="2" t="s">
        <v>4673</v>
      </c>
      <c r="F572" s="3" t="s">
        <v>4368</v>
      </c>
      <c r="G572" s="3" t="s">
        <v>4367</v>
      </c>
      <c r="H572" s="1" t="s">
        <v>209</v>
      </c>
      <c r="I572" s="2" t="s">
        <v>210</v>
      </c>
      <c r="J572" s="3" t="s">
        <v>11</v>
      </c>
      <c r="K572" s="38">
        <v>6</v>
      </c>
      <c r="L572" s="39">
        <v>558</v>
      </c>
    </row>
    <row r="573" spans="1:12" ht="19.95" customHeight="1" x14ac:dyDescent="0.3">
      <c r="A573" s="6" t="s">
        <v>4396</v>
      </c>
      <c r="B573" s="7" t="s">
        <v>4386</v>
      </c>
      <c r="C573" s="6" t="s">
        <v>4668</v>
      </c>
      <c r="D573" s="7" t="s">
        <v>4674</v>
      </c>
      <c r="E573" s="6" t="s">
        <v>4675</v>
      </c>
      <c r="F573" s="7" t="s">
        <v>4368</v>
      </c>
      <c r="G573" s="7" t="s">
        <v>4369</v>
      </c>
      <c r="H573" s="5" t="s">
        <v>61</v>
      </c>
      <c r="I573" s="6" t="s">
        <v>62</v>
      </c>
      <c r="J573" s="7" t="s">
        <v>11</v>
      </c>
      <c r="K573" s="36">
        <v>2</v>
      </c>
      <c r="L573" s="37">
        <v>3500</v>
      </c>
    </row>
    <row r="574" spans="1:12" ht="19.95" customHeight="1" x14ac:dyDescent="0.3">
      <c r="A574" s="2" t="s">
        <v>4396</v>
      </c>
      <c r="B574" s="3" t="s">
        <v>4386</v>
      </c>
      <c r="C574" s="2" t="s">
        <v>4668</v>
      </c>
      <c r="D574" s="3" t="s">
        <v>4595</v>
      </c>
      <c r="E574" s="2" t="s">
        <v>4676</v>
      </c>
      <c r="F574" s="3" t="s">
        <v>4368</v>
      </c>
      <c r="G574" s="3" t="s">
        <v>4367</v>
      </c>
      <c r="H574" s="1" t="s">
        <v>255</v>
      </c>
      <c r="I574" s="2" t="s">
        <v>256</v>
      </c>
      <c r="J574" s="3" t="s">
        <v>11</v>
      </c>
      <c r="K574" s="38">
        <v>0.51</v>
      </c>
      <c r="L574" s="39">
        <v>709</v>
      </c>
    </row>
    <row r="575" spans="1:12" ht="19.95" customHeight="1" x14ac:dyDescent="0.3">
      <c r="A575" s="6" t="s">
        <v>4396</v>
      </c>
      <c r="B575" s="7" t="s">
        <v>4386</v>
      </c>
      <c r="C575" s="6" t="s">
        <v>4668</v>
      </c>
      <c r="D575" s="7" t="s">
        <v>4595</v>
      </c>
      <c r="E575" s="6" t="s">
        <v>4676</v>
      </c>
      <c r="F575" s="7" t="s">
        <v>4368</v>
      </c>
      <c r="G575" s="7" t="s">
        <v>4367</v>
      </c>
      <c r="H575" s="5" t="s">
        <v>211</v>
      </c>
      <c r="I575" s="6" t="s">
        <v>212</v>
      </c>
      <c r="J575" s="7" t="s">
        <v>11</v>
      </c>
      <c r="K575" s="36">
        <v>0.75</v>
      </c>
      <c r="L575" s="37">
        <v>558</v>
      </c>
    </row>
    <row r="576" spans="1:12" ht="19.95" customHeight="1" x14ac:dyDescent="0.3">
      <c r="A576" s="2" t="s">
        <v>4396</v>
      </c>
      <c r="B576" s="3" t="s">
        <v>4386</v>
      </c>
      <c r="C576" s="2" t="s">
        <v>4668</v>
      </c>
      <c r="D576" s="3" t="s">
        <v>4595</v>
      </c>
      <c r="E576" s="2" t="s">
        <v>4676</v>
      </c>
      <c r="F576" s="3" t="s">
        <v>4368</v>
      </c>
      <c r="G576" s="3" t="s">
        <v>4367</v>
      </c>
      <c r="H576" s="1" t="s">
        <v>197</v>
      </c>
      <c r="I576" s="2" t="s">
        <v>198</v>
      </c>
      <c r="J576" s="3" t="s">
        <v>11</v>
      </c>
      <c r="K576" s="38">
        <v>0.92</v>
      </c>
      <c r="L576" s="39">
        <v>617</v>
      </c>
    </row>
    <row r="577" spans="1:12" ht="19.95" customHeight="1" x14ac:dyDescent="0.3">
      <c r="A577" s="6" t="s">
        <v>4396</v>
      </c>
      <c r="B577" s="7" t="s">
        <v>4386</v>
      </c>
      <c r="C577" s="6" t="s">
        <v>4668</v>
      </c>
      <c r="D577" s="7" t="s">
        <v>4603</v>
      </c>
      <c r="E577" s="6" t="s">
        <v>4677</v>
      </c>
      <c r="F577" s="7" t="s">
        <v>4368</v>
      </c>
      <c r="G577" s="7" t="s">
        <v>4367</v>
      </c>
      <c r="H577" s="5" t="s">
        <v>221</v>
      </c>
      <c r="I577" s="6" t="s">
        <v>222</v>
      </c>
      <c r="J577" s="7" t="s">
        <v>11</v>
      </c>
      <c r="K577" s="36">
        <v>0.2</v>
      </c>
      <c r="L577" s="37">
        <v>738</v>
      </c>
    </row>
    <row r="578" spans="1:12" ht="19.95" customHeight="1" x14ac:dyDescent="0.3">
      <c r="A578" s="2" t="s">
        <v>4396</v>
      </c>
      <c r="B578" s="3" t="s">
        <v>4386</v>
      </c>
      <c r="C578" s="2" t="s">
        <v>4668</v>
      </c>
      <c r="D578" s="3" t="s">
        <v>4603</v>
      </c>
      <c r="E578" s="2" t="s">
        <v>4677</v>
      </c>
      <c r="F578" s="3" t="s">
        <v>4368</v>
      </c>
      <c r="G578" s="3" t="s">
        <v>4367</v>
      </c>
      <c r="H578" s="1" t="s">
        <v>223</v>
      </c>
      <c r="I578" s="2" t="s">
        <v>224</v>
      </c>
      <c r="J578" s="3" t="s">
        <v>11</v>
      </c>
      <c r="K578" s="38">
        <v>0.2</v>
      </c>
      <c r="L578" s="39">
        <v>679</v>
      </c>
    </row>
    <row r="579" spans="1:12" ht="19.95" customHeight="1" x14ac:dyDescent="0.3">
      <c r="A579" s="6" t="s">
        <v>4396</v>
      </c>
      <c r="B579" s="7" t="s">
        <v>4386</v>
      </c>
      <c r="C579" s="6" t="s">
        <v>4668</v>
      </c>
      <c r="D579" s="7" t="s">
        <v>4603</v>
      </c>
      <c r="E579" s="6" t="s">
        <v>4677</v>
      </c>
      <c r="F579" s="7" t="s">
        <v>4368</v>
      </c>
      <c r="G579" s="7" t="s">
        <v>4367</v>
      </c>
      <c r="H579" s="5" t="s">
        <v>209</v>
      </c>
      <c r="I579" s="6" t="s">
        <v>210</v>
      </c>
      <c r="J579" s="7" t="s">
        <v>11</v>
      </c>
      <c r="K579" s="36">
        <v>0.25</v>
      </c>
      <c r="L579" s="37">
        <v>558</v>
      </c>
    </row>
    <row r="580" spans="1:12" ht="19.95" customHeight="1" x14ac:dyDescent="0.3">
      <c r="A580" s="2" t="s">
        <v>4396</v>
      </c>
      <c r="B580" s="3" t="s">
        <v>4386</v>
      </c>
      <c r="C580" s="2" t="s">
        <v>4668</v>
      </c>
      <c r="D580" s="3" t="s">
        <v>4620</v>
      </c>
      <c r="E580" s="2" t="s">
        <v>4678</v>
      </c>
      <c r="F580" s="3" t="s">
        <v>4368</v>
      </c>
      <c r="G580" s="3" t="s">
        <v>4367</v>
      </c>
      <c r="H580" s="1" t="s">
        <v>211</v>
      </c>
      <c r="I580" s="2" t="s">
        <v>212</v>
      </c>
      <c r="J580" s="3" t="s">
        <v>11</v>
      </c>
      <c r="K580" s="38">
        <v>0.08</v>
      </c>
      <c r="L580" s="39">
        <v>558</v>
      </c>
    </row>
    <row r="581" spans="1:12" ht="19.95" customHeight="1" x14ac:dyDescent="0.3">
      <c r="A581" s="6" t="s">
        <v>4396</v>
      </c>
      <c r="B581" s="7" t="s">
        <v>4386</v>
      </c>
      <c r="C581" s="6" t="s">
        <v>4668</v>
      </c>
      <c r="D581" s="7" t="s">
        <v>4620</v>
      </c>
      <c r="E581" s="6" t="s">
        <v>4678</v>
      </c>
      <c r="F581" s="7" t="s">
        <v>4368</v>
      </c>
      <c r="G581" s="7" t="s">
        <v>4367</v>
      </c>
      <c r="H581" s="5" t="s">
        <v>211</v>
      </c>
      <c r="I581" s="6" t="s">
        <v>212</v>
      </c>
      <c r="J581" s="7" t="s">
        <v>11</v>
      </c>
      <c r="K581" s="36">
        <v>3.4000000000000002E-2</v>
      </c>
      <c r="L581" s="37">
        <v>558</v>
      </c>
    </row>
    <row r="582" spans="1:12" ht="19.95" customHeight="1" x14ac:dyDescent="0.3">
      <c r="A582" s="2" t="s">
        <v>4396</v>
      </c>
      <c r="B582" s="3" t="s">
        <v>4386</v>
      </c>
      <c r="C582" s="2" t="s">
        <v>4668</v>
      </c>
      <c r="D582" s="3" t="s">
        <v>4620</v>
      </c>
      <c r="E582" s="2" t="s">
        <v>4678</v>
      </c>
      <c r="F582" s="3" t="s">
        <v>4368</v>
      </c>
      <c r="G582" s="3" t="s">
        <v>4367</v>
      </c>
      <c r="H582" s="1" t="s">
        <v>211</v>
      </c>
      <c r="I582" s="2" t="s">
        <v>212</v>
      </c>
      <c r="J582" s="3" t="s">
        <v>11</v>
      </c>
      <c r="K582" s="38">
        <v>1.1100000000000001</v>
      </c>
      <c r="L582" s="39">
        <v>558</v>
      </c>
    </row>
    <row r="583" spans="1:12" ht="19.95" customHeight="1" x14ac:dyDescent="0.3">
      <c r="A583" s="6" t="s">
        <v>4396</v>
      </c>
      <c r="B583" s="7" t="s">
        <v>4386</v>
      </c>
      <c r="C583" s="6" t="s">
        <v>4668</v>
      </c>
      <c r="D583" s="7" t="s">
        <v>4620</v>
      </c>
      <c r="E583" s="6" t="s">
        <v>4678</v>
      </c>
      <c r="F583" s="7" t="s">
        <v>4368</v>
      </c>
      <c r="G583" s="7" t="s">
        <v>4367</v>
      </c>
      <c r="H583" s="5" t="s">
        <v>209</v>
      </c>
      <c r="I583" s="6" t="s">
        <v>210</v>
      </c>
      <c r="J583" s="7" t="s">
        <v>11</v>
      </c>
      <c r="K583" s="36">
        <v>9.9000000000000005E-2</v>
      </c>
      <c r="L583" s="37">
        <v>558</v>
      </c>
    </row>
    <row r="584" spans="1:12" ht="19.95" customHeight="1" x14ac:dyDescent="0.3">
      <c r="A584" s="2" t="s">
        <v>4396</v>
      </c>
      <c r="B584" s="3" t="s">
        <v>4386</v>
      </c>
      <c r="C584" s="2" t="s">
        <v>4668</v>
      </c>
      <c r="D584" s="3" t="s">
        <v>4620</v>
      </c>
      <c r="E584" s="2" t="s">
        <v>4678</v>
      </c>
      <c r="F584" s="3" t="s">
        <v>4368</v>
      </c>
      <c r="G584" s="3" t="s">
        <v>4367</v>
      </c>
      <c r="H584" s="1" t="s">
        <v>197</v>
      </c>
      <c r="I584" s="2" t="s">
        <v>198</v>
      </c>
      <c r="J584" s="3" t="s">
        <v>11</v>
      </c>
      <c r="K584" s="38">
        <v>0.19800000000000001</v>
      </c>
      <c r="L584" s="39">
        <v>617</v>
      </c>
    </row>
    <row r="585" spans="1:12" ht="19.95" customHeight="1" x14ac:dyDescent="0.3">
      <c r="A585" s="6" t="s">
        <v>4396</v>
      </c>
      <c r="B585" s="7" t="s">
        <v>4386</v>
      </c>
      <c r="C585" s="6" t="s">
        <v>4668</v>
      </c>
      <c r="D585" s="7" t="s">
        <v>4620</v>
      </c>
      <c r="E585" s="6" t="s">
        <v>4678</v>
      </c>
      <c r="F585" s="7" t="s">
        <v>4368</v>
      </c>
      <c r="G585" s="7" t="s">
        <v>4367</v>
      </c>
      <c r="H585" s="5" t="s">
        <v>221</v>
      </c>
      <c r="I585" s="6" t="s">
        <v>222</v>
      </c>
      <c r="J585" s="7" t="s">
        <v>11</v>
      </c>
      <c r="K585" s="36">
        <v>3.9600000000000003E-2</v>
      </c>
      <c r="L585" s="37">
        <v>738</v>
      </c>
    </row>
    <row r="586" spans="1:12" ht="19.95" customHeight="1" x14ac:dyDescent="0.3">
      <c r="A586" s="2" t="s">
        <v>4396</v>
      </c>
      <c r="B586" s="3" t="s">
        <v>4386</v>
      </c>
      <c r="C586" s="2" t="s">
        <v>4668</v>
      </c>
      <c r="D586" s="3" t="s">
        <v>4620</v>
      </c>
      <c r="E586" s="2" t="s">
        <v>4678</v>
      </c>
      <c r="F586" s="3" t="s">
        <v>4368</v>
      </c>
      <c r="G586" s="3" t="s">
        <v>4367</v>
      </c>
      <c r="H586" s="1" t="s">
        <v>223</v>
      </c>
      <c r="I586" s="2" t="s">
        <v>224</v>
      </c>
      <c r="J586" s="3" t="s">
        <v>11</v>
      </c>
      <c r="K586" s="38">
        <v>3.9600000000000003E-2</v>
      </c>
      <c r="L586" s="39">
        <v>679</v>
      </c>
    </row>
    <row r="587" spans="1:12" ht="19.95" customHeight="1" x14ac:dyDescent="0.3">
      <c r="A587" s="6" t="s">
        <v>4396</v>
      </c>
      <c r="B587" s="7" t="s">
        <v>4386</v>
      </c>
      <c r="C587" s="6" t="s">
        <v>4668</v>
      </c>
      <c r="D587" s="7" t="s">
        <v>4620</v>
      </c>
      <c r="E587" s="6" t="s">
        <v>4678</v>
      </c>
      <c r="F587" s="7" t="s">
        <v>4368</v>
      </c>
      <c r="G587" s="7" t="s">
        <v>4367</v>
      </c>
      <c r="H587" s="5" t="s">
        <v>231</v>
      </c>
      <c r="I587" s="6" t="s">
        <v>232</v>
      </c>
      <c r="J587" s="7" t="s">
        <v>11</v>
      </c>
      <c r="K587" s="36">
        <v>3.9600000000000003E-2</v>
      </c>
      <c r="L587" s="37">
        <v>617</v>
      </c>
    </row>
    <row r="588" spans="1:12" ht="19.95" customHeight="1" x14ac:dyDescent="0.3">
      <c r="A588" s="2" t="s">
        <v>4396</v>
      </c>
      <c r="B588" s="3" t="s">
        <v>4386</v>
      </c>
      <c r="C588" s="2" t="s">
        <v>4668</v>
      </c>
      <c r="D588" s="3" t="s">
        <v>4620</v>
      </c>
      <c r="E588" s="2" t="s">
        <v>4678</v>
      </c>
      <c r="F588" s="3" t="s">
        <v>4368</v>
      </c>
      <c r="G588" s="3" t="s">
        <v>4367</v>
      </c>
      <c r="H588" s="1" t="s">
        <v>209</v>
      </c>
      <c r="I588" s="2" t="s">
        <v>210</v>
      </c>
      <c r="J588" s="3" t="s">
        <v>11</v>
      </c>
      <c r="K588" s="38">
        <v>4.2000000000000003E-2</v>
      </c>
      <c r="L588" s="39">
        <v>558</v>
      </c>
    </row>
    <row r="589" spans="1:12" ht="19.95" customHeight="1" x14ac:dyDescent="0.3">
      <c r="A589" s="6" t="s">
        <v>4396</v>
      </c>
      <c r="B589" s="7" t="s">
        <v>4386</v>
      </c>
      <c r="C589" s="6" t="s">
        <v>4668</v>
      </c>
      <c r="D589" s="7" t="s">
        <v>4620</v>
      </c>
      <c r="E589" s="6" t="s">
        <v>4678</v>
      </c>
      <c r="F589" s="7" t="s">
        <v>4368</v>
      </c>
      <c r="G589" s="7" t="s">
        <v>4367</v>
      </c>
      <c r="H589" s="5" t="s">
        <v>197</v>
      </c>
      <c r="I589" s="6" t="s">
        <v>198</v>
      </c>
      <c r="J589" s="7" t="s">
        <v>11</v>
      </c>
      <c r="K589" s="36">
        <v>8.5000000000000006E-2</v>
      </c>
      <c r="L589" s="37">
        <v>617</v>
      </c>
    </row>
    <row r="590" spans="1:12" ht="19.95" customHeight="1" x14ac:dyDescent="0.3">
      <c r="A590" s="2" t="s">
        <v>4396</v>
      </c>
      <c r="B590" s="3" t="s">
        <v>4386</v>
      </c>
      <c r="C590" s="2" t="s">
        <v>4668</v>
      </c>
      <c r="D590" s="3" t="s">
        <v>4620</v>
      </c>
      <c r="E590" s="2" t="s">
        <v>4678</v>
      </c>
      <c r="F590" s="3" t="s">
        <v>4368</v>
      </c>
      <c r="G590" s="3" t="s">
        <v>4367</v>
      </c>
      <c r="H590" s="1" t="s">
        <v>221</v>
      </c>
      <c r="I590" s="2" t="s">
        <v>222</v>
      </c>
      <c r="J590" s="3" t="s">
        <v>11</v>
      </c>
      <c r="K590" s="38">
        <v>1.7000000000000001E-2</v>
      </c>
      <c r="L590" s="39">
        <v>738</v>
      </c>
    </row>
    <row r="591" spans="1:12" ht="19.95" customHeight="1" x14ac:dyDescent="0.3">
      <c r="A591" s="6" t="s">
        <v>4396</v>
      </c>
      <c r="B591" s="7" t="s">
        <v>4386</v>
      </c>
      <c r="C591" s="6" t="s">
        <v>4668</v>
      </c>
      <c r="D591" s="7" t="s">
        <v>4620</v>
      </c>
      <c r="E591" s="6" t="s">
        <v>4678</v>
      </c>
      <c r="F591" s="7" t="s">
        <v>4368</v>
      </c>
      <c r="G591" s="7" t="s">
        <v>4367</v>
      </c>
      <c r="H591" s="5" t="s">
        <v>223</v>
      </c>
      <c r="I591" s="6" t="s">
        <v>224</v>
      </c>
      <c r="J591" s="7" t="s">
        <v>11</v>
      </c>
      <c r="K591" s="36">
        <v>1.7000000000000001E-2</v>
      </c>
      <c r="L591" s="37">
        <v>679</v>
      </c>
    </row>
    <row r="592" spans="1:12" ht="19.95" customHeight="1" x14ac:dyDescent="0.3">
      <c r="A592" s="2" t="s">
        <v>4396</v>
      </c>
      <c r="B592" s="3" t="s">
        <v>4386</v>
      </c>
      <c r="C592" s="2" t="s">
        <v>4668</v>
      </c>
      <c r="D592" s="3" t="s">
        <v>4620</v>
      </c>
      <c r="E592" s="2" t="s">
        <v>4678</v>
      </c>
      <c r="F592" s="3" t="s">
        <v>4368</v>
      </c>
      <c r="G592" s="3" t="s">
        <v>4367</v>
      </c>
      <c r="H592" s="1" t="s">
        <v>231</v>
      </c>
      <c r="I592" s="2" t="s">
        <v>232</v>
      </c>
      <c r="J592" s="3" t="s">
        <v>11</v>
      </c>
      <c r="K592" s="38">
        <v>1.7000000000000001E-2</v>
      </c>
      <c r="L592" s="39">
        <v>617</v>
      </c>
    </row>
    <row r="593" spans="1:12" ht="19.95" customHeight="1" x14ac:dyDescent="0.3">
      <c r="A593" s="6" t="s">
        <v>4396</v>
      </c>
      <c r="B593" s="7" t="s">
        <v>4386</v>
      </c>
      <c r="C593" s="6" t="s">
        <v>4668</v>
      </c>
      <c r="D593" s="7" t="s">
        <v>4620</v>
      </c>
      <c r="E593" s="6" t="s">
        <v>4678</v>
      </c>
      <c r="F593" s="7" t="s">
        <v>4368</v>
      </c>
      <c r="G593" s="7" t="s">
        <v>4367</v>
      </c>
      <c r="H593" s="5" t="s">
        <v>209</v>
      </c>
      <c r="I593" s="6" t="s">
        <v>210</v>
      </c>
      <c r="J593" s="7" t="s">
        <v>11</v>
      </c>
      <c r="K593" s="36">
        <v>1.2250000000000001</v>
      </c>
      <c r="L593" s="37">
        <v>558</v>
      </c>
    </row>
    <row r="594" spans="1:12" ht="19.95" customHeight="1" x14ac:dyDescent="0.3">
      <c r="A594" s="2" t="s">
        <v>4396</v>
      </c>
      <c r="B594" s="3" t="s">
        <v>4386</v>
      </c>
      <c r="C594" s="2" t="s">
        <v>4668</v>
      </c>
      <c r="D594" s="3" t="s">
        <v>4620</v>
      </c>
      <c r="E594" s="2" t="s">
        <v>4678</v>
      </c>
      <c r="F594" s="3" t="s">
        <v>4368</v>
      </c>
      <c r="G594" s="3" t="s">
        <v>4367</v>
      </c>
      <c r="H594" s="1" t="s">
        <v>197</v>
      </c>
      <c r="I594" s="2" t="s">
        <v>198</v>
      </c>
      <c r="J594" s="3" t="s">
        <v>11</v>
      </c>
      <c r="K594" s="38">
        <v>2.4500000000000002</v>
      </c>
      <c r="L594" s="39">
        <v>617</v>
      </c>
    </row>
    <row r="595" spans="1:12" ht="19.95" customHeight="1" x14ac:dyDescent="0.3">
      <c r="A595" s="6" t="s">
        <v>4396</v>
      </c>
      <c r="B595" s="7" t="s">
        <v>4386</v>
      </c>
      <c r="C595" s="6" t="s">
        <v>4668</v>
      </c>
      <c r="D595" s="7" t="s">
        <v>4620</v>
      </c>
      <c r="E595" s="6" t="s">
        <v>4678</v>
      </c>
      <c r="F595" s="7" t="s">
        <v>4368</v>
      </c>
      <c r="G595" s="7" t="s">
        <v>4367</v>
      </c>
      <c r="H595" s="5" t="s">
        <v>221</v>
      </c>
      <c r="I595" s="6" t="s">
        <v>222</v>
      </c>
      <c r="J595" s="7" t="s">
        <v>11</v>
      </c>
      <c r="K595" s="36">
        <v>0.49</v>
      </c>
      <c r="L595" s="37">
        <v>738</v>
      </c>
    </row>
    <row r="596" spans="1:12" ht="19.95" customHeight="1" x14ac:dyDescent="0.3">
      <c r="A596" s="2" t="s">
        <v>4396</v>
      </c>
      <c r="B596" s="3" t="s">
        <v>4386</v>
      </c>
      <c r="C596" s="2" t="s">
        <v>4668</v>
      </c>
      <c r="D596" s="3" t="s">
        <v>4620</v>
      </c>
      <c r="E596" s="2" t="s">
        <v>4678</v>
      </c>
      <c r="F596" s="3" t="s">
        <v>4368</v>
      </c>
      <c r="G596" s="3" t="s">
        <v>4367</v>
      </c>
      <c r="H596" s="1" t="s">
        <v>223</v>
      </c>
      <c r="I596" s="2" t="s">
        <v>224</v>
      </c>
      <c r="J596" s="3" t="s">
        <v>11</v>
      </c>
      <c r="K596" s="38">
        <v>0.49</v>
      </c>
      <c r="L596" s="39">
        <v>679</v>
      </c>
    </row>
    <row r="597" spans="1:12" ht="19.95" customHeight="1" x14ac:dyDescent="0.3">
      <c r="A597" s="6" t="s">
        <v>4396</v>
      </c>
      <c r="B597" s="7" t="s">
        <v>4386</v>
      </c>
      <c r="C597" s="6" t="s">
        <v>4668</v>
      </c>
      <c r="D597" s="7" t="s">
        <v>4620</v>
      </c>
      <c r="E597" s="6" t="s">
        <v>4678</v>
      </c>
      <c r="F597" s="7" t="s">
        <v>4368</v>
      </c>
      <c r="G597" s="7" t="s">
        <v>4367</v>
      </c>
      <c r="H597" s="5" t="s">
        <v>231</v>
      </c>
      <c r="I597" s="6" t="s">
        <v>232</v>
      </c>
      <c r="J597" s="7" t="s">
        <v>11</v>
      </c>
      <c r="K597" s="36">
        <v>0.49</v>
      </c>
      <c r="L597" s="37">
        <v>617</v>
      </c>
    </row>
    <row r="598" spans="1:12" ht="19.95" customHeight="1" x14ac:dyDescent="0.3">
      <c r="A598" s="2" t="s">
        <v>4396</v>
      </c>
      <c r="B598" s="3" t="s">
        <v>4386</v>
      </c>
      <c r="C598" s="2" t="s">
        <v>4668</v>
      </c>
      <c r="D598" s="3" t="s">
        <v>4661</v>
      </c>
      <c r="E598" s="2" t="s">
        <v>4679</v>
      </c>
      <c r="F598" s="3" t="s">
        <v>4368</v>
      </c>
      <c r="G598" s="3" t="s">
        <v>4367</v>
      </c>
      <c r="H598" s="1" t="s">
        <v>209</v>
      </c>
      <c r="I598" s="2" t="s">
        <v>210</v>
      </c>
      <c r="J598" s="3" t="s">
        <v>11</v>
      </c>
      <c r="K598" s="38">
        <v>5.0000000000000001E-3</v>
      </c>
      <c r="L598" s="39">
        <v>558</v>
      </c>
    </row>
    <row r="599" spans="1:12" ht="19.95" customHeight="1" x14ac:dyDescent="0.3">
      <c r="A599" s="6" t="s">
        <v>4396</v>
      </c>
      <c r="B599" s="7" t="s">
        <v>4386</v>
      </c>
      <c r="C599" s="6" t="s">
        <v>4668</v>
      </c>
      <c r="D599" s="7" t="s">
        <v>4661</v>
      </c>
      <c r="E599" s="6" t="s">
        <v>4679</v>
      </c>
      <c r="F599" s="7" t="s">
        <v>4368</v>
      </c>
      <c r="G599" s="7" t="s">
        <v>4367</v>
      </c>
      <c r="H599" s="5" t="s">
        <v>197</v>
      </c>
      <c r="I599" s="6" t="s">
        <v>198</v>
      </c>
      <c r="J599" s="7" t="s">
        <v>11</v>
      </c>
      <c r="K599" s="36">
        <v>0.01</v>
      </c>
      <c r="L599" s="37">
        <v>617</v>
      </c>
    </row>
    <row r="600" spans="1:12" ht="19.95" customHeight="1" x14ac:dyDescent="0.3">
      <c r="A600" s="2" t="s">
        <v>4396</v>
      </c>
      <c r="B600" s="3" t="s">
        <v>4386</v>
      </c>
      <c r="C600" s="2" t="s">
        <v>4668</v>
      </c>
      <c r="D600" s="3" t="s">
        <v>4661</v>
      </c>
      <c r="E600" s="2" t="s">
        <v>4679</v>
      </c>
      <c r="F600" s="3" t="s">
        <v>4368</v>
      </c>
      <c r="G600" s="3" t="s">
        <v>4367</v>
      </c>
      <c r="H600" s="1" t="s">
        <v>221</v>
      </c>
      <c r="I600" s="2" t="s">
        <v>222</v>
      </c>
      <c r="J600" s="3" t="s">
        <v>11</v>
      </c>
      <c r="K600" s="38">
        <v>2E-3</v>
      </c>
      <c r="L600" s="39">
        <v>738</v>
      </c>
    </row>
    <row r="601" spans="1:12" ht="19.95" customHeight="1" x14ac:dyDescent="0.3">
      <c r="A601" s="6" t="s">
        <v>4396</v>
      </c>
      <c r="B601" s="7" t="s">
        <v>4386</v>
      </c>
      <c r="C601" s="6" t="s">
        <v>4668</v>
      </c>
      <c r="D601" s="7" t="s">
        <v>4661</v>
      </c>
      <c r="E601" s="6" t="s">
        <v>4679</v>
      </c>
      <c r="F601" s="7" t="s">
        <v>4368</v>
      </c>
      <c r="G601" s="7" t="s">
        <v>4367</v>
      </c>
      <c r="H601" s="5" t="s">
        <v>223</v>
      </c>
      <c r="I601" s="6" t="s">
        <v>224</v>
      </c>
      <c r="J601" s="7" t="s">
        <v>11</v>
      </c>
      <c r="K601" s="36">
        <v>2E-3</v>
      </c>
      <c r="L601" s="37">
        <v>679</v>
      </c>
    </row>
    <row r="602" spans="1:12" ht="19.95" customHeight="1" x14ac:dyDescent="0.3">
      <c r="A602" s="2" t="s">
        <v>4396</v>
      </c>
      <c r="B602" s="3" t="s">
        <v>4386</v>
      </c>
      <c r="C602" s="2" t="s">
        <v>4668</v>
      </c>
      <c r="D602" s="3" t="s">
        <v>4661</v>
      </c>
      <c r="E602" s="2" t="s">
        <v>4679</v>
      </c>
      <c r="F602" s="3" t="s">
        <v>4368</v>
      </c>
      <c r="G602" s="3" t="s">
        <v>4367</v>
      </c>
      <c r="H602" s="1" t="s">
        <v>231</v>
      </c>
      <c r="I602" s="2" t="s">
        <v>232</v>
      </c>
      <c r="J602" s="3" t="s">
        <v>11</v>
      </c>
      <c r="K602" s="38">
        <v>2E-3</v>
      </c>
      <c r="L602" s="39">
        <v>617</v>
      </c>
    </row>
    <row r="603" spans="1:12" ht="19.95" customHeight="1" x14ac:dyDescent="0.3">
      <c r="A603" s="6" t="s">
        <v>4396</v>
      </c>
      <c r="B603" s="7" t="s">
        <v>4386</v>
      </c>
      <c r="C603" s="6" t="s">
        <v>4668</v>
      </c>
      <c r="D603" s="7" t="s">
        <v>4661</v>
      </c>
      <c r="E603" s="6" t="s">
        <v>4680</v>
      </c>
      <c r="F603" s="7" t="s">
        <v>4368</v>
      </c>
      <c r="G603" s="7" t="s">
        <v>4367</v>
      </c>
      <c r="H603" s="5" t="s">
        <v>221</v>
      </c>
      <c r="I603" s="6" t="s">
        <v>222</v>
      </c>
      <c r="J603" s="7" t="s">
        <v>11</v>
      </c>
      <c r="K603" s="36">
        <v>1.7399999999999999E-2</v>
      </c>
      <c r="L603" s="37">
        <v>738</v>
      </c>
    </row>
    <row r="604" spans="1:12" ht="19.95" customHeight="1" x14ac:dyDescent="0.3">
      <c r="A604" s="2" t="s">
        <v>4396</v>
      </c>
      <c r="B604" s="3" t="s">
        <v>4386</v>
      </c>
      <c r="C604" s="2" t="s">
        <v>4668</v>
      </c>
      <c r="D604" s="3" t="s">
        <v>4661</v>
      </c>
      <c r="E604" s="2" t="s">
        <v>4680</v>
      </c>
      <c r="F604" s="3" t="s">
        <v>4368</v>
      </c>
      <c r="G604" s="3" t="s">
        <v>4367</v>
      </c>
      <c r="H604" s="1" t="s">
        <v>223</v>
      </c>
      <c r="I604" s="2" t="s">
        <v>224</v>
      </c>
      <c r="J604" s="3" t="s">
        <v>11</v>
      </c>
      <c r="K604" s="38">
        <v>1.7399999999999999E-2</v>
      </c>
      <c r="L604" s="39">
        <v>679</v>
      </c>
    </row>
    <row r="605" spans="1:12" ht="19.95" customHeight="1" x14ac:dyDescent="0.3">
      <c r="A605" s="6" t="s">
        <v>4396</v>
      </c>
      <c r="B605" s="7" t="s">
        <v>4386</v>
      </c>
      <c r="C605" s="6" t="s">
        <v>4668</v>
      </c>
      <c r="D605" s="7" t="s">
        <v>4661</v>
      </c>
      <c r="E605" s="6" t="s">
        <v>4680</v>
      </c>
      <c r="F605" s="7" t="s">
        <v>4368</v>
      </c>
      <c r="G605" s="7" t="s">
        <v>4367</v>
      </c>
      <c r="H605" s="5" t="s">
        <v>211</v>
      </c>
      <c r="I605" s="6" t="s">
        <v>212</v>
      </c>
      <c r="J605" s="7" t="s">
        <v>11</v>
      </c>
      <c r="K605" s="36">
        <v>4.4999999999999998E-2</v>
      </c>
      <c r="L605" s="37">
        <v>558</v>
      </c>
    </row>
    <row r="606" spans="1:12" ht="19.95" customHeight="1" x14ac:dyDescent="0.3">
      <c r="A606" s="2" t="s">
        <v>4396</v>
      </c>
      <c r="B606" s="3" t="s">
        <v>4386</v>
      </c>
      <c r="C606" s="2" t="s">
        <v>4668</v>
      </c>
      <c r="D606" s="3" t="s">
        <v>4661</v>
      </c>
      <c r="E606" s="2" t="s">
        <v>4680</v>
      </c>
      <c r="F606" s="3" t="s">
        <v>4368</v>
      </c>
      <c r="G606" s="3" t="s">
        <v>4367</v>
      </c>
      <c r="H606" s="1" t="s">
        <v>197</v>
      </c>
      <c r="I606" s="2" t="s">
        <v>198</v>
      </c>
      <c r="J606" s="3" t="s">
        <v>11</v>
      </c>
      <c r="K606" s="38">
        <v>1.8E-3</v>
      </c>
      <c r="L606" s="39">
        <v>617</v>
      </c>
    </row>
    <row r="607" spans="1:12" ht="19.95" customHeight="1" x14ac:dyDescent="0.3">
      <c r="A607" s="6" t="s">
        <v>4396</v>
      </c>
      <c r="B607" s="7" t="s">
        <v>4386</v>
      </c>
      <c r="C607" s="6" t="s">
        <v>4668</v>
      </c>
      <c r="D607" s="7" t="s">
        <v>4661</v>
      </c>
      <c r="E607" s="6" t="s">
        <v>4680</v>
      </c>
      <c r="F607" s="7" t="s">
        <v>4368</v>
      </c>
      <c r="G607" s="7" t="s">
        <v>4367</v>
      </c>
      <c r="H607" s="5" t="s">
        <v>209</v>
      </c>
      <c r="I607" s="6" t="s">
        <v>210</v>
      </c>
      <c r="J607" s="7" t="s">
        <v>11</v>
      </c>
      <c r="K607" s="36">
        <v>3.0000000000000001E-3</v>
      </c>
      <c r="L607" s="37">
        <v>558</v>
      </c>
    </row>
    <row r="608" spans="1:12" ht="19.95" customHeight="1" x14ac:dyDescent="0.3">
      <c r="A608" s="2" t="s">
        <v>4396</v>
      </c>
      <c r="B608" s="3" t="s">
        <v>4386</v>
      </c>
      <c r="C608" s="2" t="s">
        <v>4668</v>
      </c>
      <c r="D608" s="3" t="s">
        <v>4661</v>
      </c>
      <c r="E608" s="2" t="s">
        <v>4680</v>
      </c>
      <c r="F608" s="3" t="s">
        <v>4368</v>
      </c>
      <c r="G608" s="3" t="s">
        <v>4367</v>
      </c>
      <c r="H608" s="1" t="s">
        <v>197</v>
      </c>
      <c r="I608" s="2" t="s">
        <v>198</v>
      </c>
      <c r="J608" s="3" t="s">
        <v>11</v>
      </c>
      <c r="K608" s="38">
        <v>6.0000000000000001E-3</v>
      </c>
      <c r="L608" s="39">
        <v>617</v>
      </c>
    </row>
    <row r="609" spans="1:12" ht="19.95" customHeight="1" x14ac:dyDescent="0.3">
      <c r="A609" s="6" t="s">
        <v>4396</v>
      </c>
      <c r="B609" s="7" t="s">
        <v>4386</v>
      </c>
      <c r="C609" s="6" t="s">
        <v>4668</v>
      </c>
      <c r="D609" s="7" t="s">
        <v>4661</v>
      </c>
      <c r="E609" s="6" t="s">
        <v>4680</v>
      </c>
      <c r="F609" s="7" t="s">
        <v>4368</v>
      </c>
      <c r="G609" s="7" t="s">
        <v>4367</v>
      </c>
      <c r="H609" s="5" t="s">
        <v>221</v>
      </c>
      <c r="I609" s="6" t="s">
        <v>222</v>
      </c>
      <c r="J609" s="7" t="s">
        <v>11</v>
      </c>
      <c r="K609" s="36">
        <v>1.1999999999999999E-3</v>
      </c>
      <c r="L609" s="37">
        <v>738</v>
      </c>
    </row>
    <row r="610" spans="1:12" ht="19.95" customHeight="1" x14ac:dyDescent="0.3">
      <c r="A610" s="2" t="s">
        <v>4396</v>
      </c>
      <c r="B610" s="3" t="s">
        <v>4386</v>
      </c>
      <c r="C610" s="2" t="s">
        <v>4668</v>
      </c>
      <c r="D610" s="3" t="s">
        <v>4661</v>
      </c>
      <c r="E610" s="2" t="s">
        <v>4680</v>
      </c>
      <c r="F610" s="3" t="s">
        <v>4368</v>
      </c>
      <c r="G610" s="3" t="s">
        <v>4367</v>
      </c>
      <c r="H610" s="1" t="s">
        <v>223</v>
      </c>
      <c r="I610" s="2" t="s">
        <v>224</v>
      </c>
      <c r="J610" s="3" t="s">
        <v>11</v>
      </c>
      <c r="K610" s="38">
        <v>1.1999999999999999E-3</v>
      </c>
      <c r="L610" s="39">
        <v>679</v>
      </c>
    </row>
    <row r="611" spans="1:12" ht="19.95" customHeight="1" x14ac:dyDescent="0.3">
      <c r="A611" s="6" t="s">
        <v>4396</v>
      </c>
      <c r="B611" s="7" t="s">
        <v>4386</v>
      </c>
      <c r="C611" s="6" t="s">
        <v>4668</v>
      </c>
      <c r="D611" s="7" t="s">
        <v>4661</v>
      </c>
      <c r="E611" s="6" t="s">
        <v>4680</v>
      </c>
      <c r="F611" s="7" t="s">
        <v>4368</v>
      </c>
      <c r="G611" s="7" t="s">
        <v>4367</v>
      </c>
      <c r="H611" s="5" t="s">
        <v>231</v>
      </c>
      <c r="I611" s="6" t="s">
        <v>232</v>
      </c>
      <c r="J611" s="7" t="s">
        <v>11</v>
      </c>
      <c r="K611" s="36">
        <v>1.1999999999999999E-3</v>
      </c>
      <c r="L611" s="37">
        <v>617</v>
      </c>
    </row>
    <row r="612" spans="1:12" ht="19.95" customHeight="1" x14ac:dyDescent="0.3">
      <c r="A612" s="2" t="s">
        <v>4396</v>
      </c>
      <c r="B612" s="3" t="s">
        <v>4386</v>
      </c>
      <c r="C612" s="2" t="s">
        <v>4668</v>
      </c>
      <c r="D612" s="3" t="s">
        <v>4661</v>
      </c>
      <c r="E612" s="2" t="s">
        <v>4681</v>
      </c>
      <c r="F612" s="3" t="s">
        <v>4368</v>
      </c>
      <c r="G612" s="3" t="s">
        <v>4367</v>
      </c>
      <c r="H612" s="1" t="s">
        <v>211</v>
      </c>
      <c r="I612" s="2" t="s">
        <v>212</v>
      </c>
      <c r="J612" s="3" t="s">
        <v>11</v>
      </c>
      <c r="K612" s="38">
        <v>1.7999999999999999E-2</v>
      </c>
      <c r="L612" s="39">
        <v>558</v>
      </c>
    </row>
    <row r="613" spans="1:12" ht="19.95" customHeight="1" x14ac:dyDescent="0.3">
      <c r="A613" s="6" t="s">
        <v>4396</v>
      </c>
      <c r="B613" s="7" t="s">
        <v>4386</v>
      </c>
      <c r="C613" s="6" t="s">
        <v>4668</v>
      </c>
      <c r="D613" s="7" t="s">
        <v>4661</v>
      </c>
      <c r="E613" s="6" t="s">
        <v>4681</v>
      </c>
      <c r="F613" s="7" t="s">
        <v>4368</v>
      </c>
      <c r="G613" s="7" t="s">
        <v>4367</v>
      </c>
      <c r="H613" s="5" t="s">
        <v>209</v>
      </c>
      <c r="I613" s="6" t="s">
        <v>210</v>
      </c>
      <c r="J613" s="7" t="s">
        <v>11</v>
      </c>
      <c r="K613" s="36">
        <v>1.6E-2</v>
      </c>
      <c r="L613" s="37">
        <v>558</v>
      </c>
    </row>
    <row r="614" spans="1:12" ht="19.95" customHeight="1" x14ac:dyDescent="0.3">
      <c r="A614" s="2" t="s">
        <v>4396</v>
      </c>
      <c r="B614" s="3" t="s">
        <v>4386</v>
      </c>
      <c r="C614" s="2" t="s">
        <v>4668</v>
      </c>
      <c r="D614" s="3" t="s">
        <v>4661</v>
      </c>
      <c r="E614" s="2" t="s">
        <v>4681</v>
      </c>
      <c r="F614" s="3" t="s">
        <v>4368</v>
      </c>
      <c r="G614" s="3" t="s">
        <v>4367</v>
      </c>
      <c r="H614" s="1" t="s">
        <v>197</v>
      </c>
      <c r="I614" s="2" t="s">
        <v>198</v>
      </c>
      <c r="J614" s="3" t="s">
        <v>11</v>
      </c>
      <c r="K614" s="38">
        <v>3.2000000000000002E-3</v>
      </c>
      <c r="L614" s="39">
        <v>617</v>
      </c>
    </row>
    <row r="615" spans="1:12" ht="19.95" customHeight="1" x14ac:dyDescent="0.3">
      <c r="A615" s="6" t="s">
        <v>4396</v>
      </c>
      <c r="B615" s="7" t="s">
        <v>4386</v>
      </c>
      <c r="C615" s="6" t="s">
        <v>4668</v>
      </c>
      <c r="D615" s="7" t="s">
        <v>4661</v>
      </c>
      <c r="E615" s="6" t="s">
        <v>4681</v>
      </c>
      <c r="F615" s="7" t="s">
        <v>4368</v>
      </c>
      <c r="G615" s="7" t="s">
        <v>4367</v>
      </c>
      <c r="H615" s="5" t="s">
        <v>221</v>
      </c>
      <c r="I615" s="6" t="s">
        <v>222</v>
      </c>
      <c r="J615" s="7" t="s">
        <v>11</v>
      </c>
      <c r="K615" s="36">
        <v>5.9999999999999995E-4</v>
      </c>
      <c r="L615" s="37">
        <v>738</v>
      </c>
    </row>
    <row r="616" spans="1:12" ht="19.95" customHeight="1" x14ac:dyDescent="0.3">
      <c r="A616" s="2" t="s">
        <v>4396</v>
      </c>
      <c r="B616" s="3" t="s">
        <v>4386</v>
      </c>
      <c r="C616" s="2" t="s">
        <v>4668</v>
      </c>
      <c r="D616" s="3" t="s">
        <v>4661</v>
      </c>
      <c r="E616" s="2" t="s">
        <v>4681</v>
      </c>
      <c r="F616" s="3" t="s">
        <v>4368</v>
      </c>
      <c r="G616" s="3" t="s">
        <v>4367</v>
      </c>
      <c r="H616" s="1" t="s">
        <v>223</v>
      </c>
      <c r="I616" s="2" t="s">
        <v>224</v>
      </c>
      <c r="J616" s="3" t="s">
        <v>11</v>
      </c>
      <c r="K616" s="38">
        <v>5.9999999999999995E-4</v>
      </c>
      <c r="L616" s="39">
        <v>679</v>
      </c>
    </row>
    <row r="617" spans="1:12" ht="19.95" customHeight="1" x14ac:dyDescent="0.3">
      <c r="A617" s="6" t="s">
        <v>4396</v>
      </c>
      <c r="B617" s="7" t="s">
        <v>4386</v>
      </c>
      <c r="C617" s="6" t="s">
        <v>4668</v>
      </c>
      <c r="D617" s="7" t="s">
        <v>4661</v>
      </c>
      <c r="E617" s="6" t="s">
        <v>4681</v>
      </c>
      <c r="F617" s="7" t="s">
        <v>4368</v>
      </c>
      <c r="G617" s="7" t="s">
        <v>4367</v>
      </c>
      <c r="H617" s="5" t="s">
        <v>231</v>
      </c>
      <c r="I617" s="6" t="s">
        <v>232</v>
      </c>
      <c r="J617" s="7" t="s">
        <v>11</v>
      </c>
      <c r="K617" s="36">
        <v>5.9999999999999995E-4</v>
      </c>
      <c r="L617" s="37">
        <v>617</v>
      </c>
    </row>
    <row r="618" spans="1:12" ht="19.95" customHeight="1" x14ac:dyDescent="0.3">
      <c r="A618" s="2" t="s">
        <v>4396</v>
      </c>
      <c r="B618" s="3" t="s">
        <v>4386</v>
      </c>
      <c r="C618" s="2" t="s">
        <v>4668</v>
      </c>
      <c r="D618" s="3" t="s">
        <v>4661</v>
      </c>
      <c r="E618" s="2" t="s">
        <v>4679</v>
      </c>
      <c r="F618" s="3" t="s">
        <v>4368</v>
      </c>
      <c r="G618" s="3" t="s">
        <v>4367</v>
      </c>
      <c r="H618" s="1" t="s">
        <v>211</v>
      </c>
      <c r="I618" s="2" t="s">
        <v>212</v>
      </c>
      <c r="J618" s="3" t="s">
        <v>11</v>
      </c>
      <c r="K618" s="38">
        <v>0.75</v>
      </c>
      <c r="L618" s="39">
        <v>558</v>
      </c>
    </row>
    <row r="619" spans="1:12" ht="19.95" customHeight="1" x14ac:dyDescent="0.3">
      <c r="A619" s="6" t="s">
        <v>4396</v>
      </c>
      <c r="B619" s="7" t="s">
        <v>4386</v>
      </c>
      <c r="C619" s="6" t="s">
        <v>4668</v>
      </c>
      <c r="D619" s="7" t="s">
        <v>4661</v>
      </c>
      <c r="E619" s="6" t="s">
        <v>4679</v>
      </c>
      <c r="F619" s="7" t="s">
        <v>4368</v>
      </c>
      <c r="G619" s="7" t="s">
        <v>4367</v>
      </c>
      <c r="H619" s="5" t="s">
        <v>209</v>
      </c>
      <c r="I619" s="6" t="s">
        <v>210</v>
      </c>
      <c r="J619" s="7" t="s">
        <v>11</v>
      </c>
      <c r="K619" s="36">
        <v>6.6000000000000003E-2</v>
      </c>
      <c r="L619" s="37">
        <v>558</v>
      </c>
    </row>
    <row r="620" spans="1:12" ht="19.95" customHeight="1" x14ac:dyDescent="0.3">
      <c r="A620" s="2" t="s">
        <v>4396</v>
      </c>
      <c r="B620" s="3" t="s">
        <v>4386</v>
      </c>
      <c r="C620" s="2" t="s">
        <v>4668</v>
      </c>
      <c r="D620" s="3" t="s">
        <v>4661</v>
      </c>
      <c r="E620" s="2" t="s">
        <v>4679</v>
      </c>
      <c r="F620" s="3" t="s">
        <v>4368</v>
      </c>
      <c r="G620" s="3" t="s">
        <v>4367</v>
      </c>
      <c r="H620" s="1" t="s">
        <v>197</v>
      </c>
      <c r="I620" s="2" t="s">
        <v>198</v>
      </c>
      <c r="J620" s="3" t="s">
        <v>11</v>
      </c>
      <c r="K620" s="38">
        <v>0.13200000000000001</v>
      </c>
      <c r="L620" s="39">
        <v>617</v>
      </c>
    </row>
    <row r="621" spans="1:12" ht="19.95" customHeight="1" x14ac:dyDescent="0.3">
      <c r="A621" s="6" t="s">
        <v>4396</v>
      </c>
      <c r="B621" s="7" t="s">
        <v>4386</v>
      </c>
      <c r="C621" s="6" t="s">
        <v>4668</v>
      </c>
      <c r="D621" s="7" t="s">
        <v>4661</v>
      </c>
      <c r="E621" s="6" t="s">
        <v>4679</v>
      </c>
      <c r="F621" s="7" t="s">
        <v>4368</v>
      </c>
      <c r="G621" s="7" t="s">
        <v>4367</v>
      </c>
      <c r="H621" s="5" t="s">
        <v>221</v>
      </c>
      <c r="I621" s="6" t="s">
        <v>222</v>
      </c>
      <c r="J621" s="7" t="s">
        <v>11</v>
      </c>
      <c r="K621" s="36">
        <v>2.64E-2</v>
      </c>
      <c r="L621" s="37">
        <v>738</v>
      </c>
    </row>
    <row r="622" spans="1:12" ht="19.95" customHeight="1" x14ac:dyDescent="0.3">
      <c r="A622" s="2" t="s">
        <v>4396</v>
      </c>
      <c r="B622" s="3" t="s">
        <v>4386</v>
      </c>
      <c r="C622" s="2" t="s">
        <v>4668</v>
      </c>
      <c r="D622" s="3" t="s">
        <v>4661</v>
      </c>
      <c r="E622" s="2" t="s">
        <v>4679</v>
      </c>
      <c r="F622" s="3" t="s">
        <v>4368</v>
      </c>
      <c r="G622" s="3" t="s">
        <v>4367</v>
      </c>
      <c r="H622" s="1" t="s">
        <v>223</v>
      </c>
      <c r="I622" s="2" t="s">
        <v>224</v>
      </c>
      <c r="J622" s="3" t="s">
        <v>11</v>
      </c>
      <c r="K622" s="38">
        <v>2.64E-2</v>
      </c>
      <c r="L622" s="39">
        <v>679</v>
      </c>
    </row>
    <row r="623" spans="1:12" ht="19.95" customHeight="1" x14ac:dyDescent="0.3">
      <c r="A623" s="6" t="s">
        <v>4396</v>
      </c>
      <c r="B623" s="7" t="s">
        <v>4386</v>
      </c>
      <c r="C623" s="6" t="s">
        <v>4668</v>
      </c>
      <c r="D623" s="7" t="s">
        <v>4661</v>
      </c>
      <c r="E623" s="6" t="s">
        <v>4679</v>
      </c>
      <c r="F623" s="7" t="s">
        <v>4368</v>
      </c>
      <c r="G623" s="7" t="s">
        <v>4367</v>
      </c>
      <c r="H623" s="5" t="s">
        <v>231</v>
      </c>
      <c r="I623" s="6" t="s">
        <v>232</v>
      </c>
      <c r="J623" s="7" t="s">
        <v>11</v>
      </c>
      <c r="K623" s="36">
        <v>2.64E-2</v>
      </c>
      <c r="L623" s="37">
        <v>617</v>
      </c>
    </row>
    <row r="624" spans="1:12" ht="19.95" customHeight="1" x14ac:dyDescent="0.3">
      <c r="A624" s="2" t="s">
        <v>4396</v>
      </c>
      <c r="B624" s="3" t="s">
        <v>4386</v>
      </c>
      <c r="C624" s="2" t="s">
        <v>4668</v>
      </c>
      <c r="D624" s="3" t="s">
        <v>4682</v>
      </c>
      <c r="E624" s="2" t="s">
        <v>4683</v>
      </c>
      <c r="F624" s="3" t="s">
        <v>4368</v>
      </c>
      <c r="G624" s="3" t="s">
        <v>4367</v>
      </c>
      <c r="H624" s="1" t="s">
        <v>209</v>
      </c>
      <c r="I624" s="2" t="s">
        <v>210</v>
      </c>
      <c r="J624" s="3" t="s">
        <v>11</v>
      </c>
      <c r="K624" s="38">
        <v>0.1</v>
      </c>
      <c r="L624" s="39">
        <v>558</v>
      </c>
    </row>
    <row r="625" spans="1:12" ht="19.95" customHeight="1" x14ac:dyDescent="0.3">
      <c r="A625" s="6" t="s">
        <v>4396</v>
      </c>
      <c r="B625" s="7" t="s">
        <v>4386</v>
      </c>
      <c r="C625" s="6" t="s">
        <v>4668</v>
      </c>
      <c r="D625" s="7" t="s">
        <v>4682</v>
      </c>
      <c r="E625" s="6" t="s">
        <v>4683</v>
      </c>
      <c r="F625" s="7" t="s">
        <v>4368</v>
      </c>
      <c r="G625" s="7" t="s">
        <v>4367</v>
      </c>
      <c r="H625" s="5" t="s">
        <v>197</v>
      </c>
      <c r="I625" s="6" t="s">
        <v>198</v>
      </c>
      <c r="J625" s="7" t="s">
        <v>11</v>
      </c>
      <c r="K625" s="36">
        <v>0.2</v>
      </c>
      <c r="L625" s="37">
        <v>617</v>
      </c>
    </row>
    <row r="626" spans="1:12" ht="19.95" customHeight="1" x14ac:dyDescent="0.3">
      <c r="A626" s="2" t="s">
        <v>4396</v>
      </c>
      <c r="B626" s="3" t="s">
        <v>4386</v>
      </c>
      <c r="C626" s="2" t="s">
        <v>4668</v>
      </c>
      <c r="D626" s="3" t="s">
        <v>4682</v>
      </c>
      <c r="E626" s="2" t="s">
        <v>4683</v>
      </c>
      <c r="F626" s="3" t="s">
        <v>4368</v>
      </c>
      <c r="G626" s="3" t="s">
        <v>4367</v>
      </c>
      <c r="H626" s="1" t="s">
        <v>221</v>
      </c>
      <c r="I626" s="2" t="s">
        <v>222</v>
      </c>
      <c r="J626" s="3" t="s">
        <v>11</v>
      </c>
      <c r="K626" s="38">
        <v>0.04</v>
      </c>
      <c r="L626" s="39">
        <v>738</v>
      </c>
    </row>
    <row r="627" spans="1:12" ht="19.95" customHeight="1" x14ac:dyDescent="0.3">
      <c r="A627" s="6" t="s">
        <v>4396</v>
      </c>
      <c r="B627" s="7" t="s">
        <v>4386</v>
      </c>
      <c r="C627" s="6" t="s">
        <v>4668</v>
      </c>
      <c r="D627" s="7" t="s">
        <v>4682</v>
      </c>
      <c r="E627" s="6" t="s">
        <v>4683</v>
      </c>
      <c r="F627" s="7" t="s">
        <v>4368</v>
      </c>
      <c r="G627" s="7" t="s">
        <v>4367</v>
      </c>
      <c r="H627" s="5" t="s">
        <v>223</v>
      </c>
      <c r="I627" s="6" t="s">
        <v>224</v>
      </c>
      <c r="J627" s="7" t="s">
        <v>11</v>
      </c>
      <c r="K627" s="36">
        <v>0.04</v>
      </c>
      <c r="L627" s="37">
        <v>679</v>
      </c>
    </row>
    <row r="628" spans="1:12" ht="19.95" customHeight="1" x14ac:dyDescent="0.3">
      <c r="A628" s="2" t="s">
        <v>4396</v>
      </c>
      <c r="B628" s="3" t="s">
        <v>4386</v>
      </c>
      <c r="C628" s="2" t="s">
        <v>4668</v>
      </c>
      <c r="D628" s="3" t="s">
        <v>4682</v>
      </c>
      <c r="E628" s="2" t="s">
        <v>4683</v>
      </c>
      <c r="F628" s="3" t="s">
        <v>4368</v>
      </c>
      <c r="G628" s="3" t="s">
        <v>4367</v>
      </c>
      <c r="H628" s="1" t="s">
        <v>231</v>
      </c>
      <c r="I628" s="2" t="s">
        <v>232</v>
      </c>
      <c r="J628" s="3" t="s">
        <v>11</v>
      </c>
      <c r="K628" s="38">
        <v>0.04</v>
      </c>
      <c r="L628" s="39">
        <v>617</v>
      </c>
    </row>
    <row r="629" spans="1:12" ht="19.95" customHeight="1" x14ac:dyDescent="0.3">
      <c r="A629" s="6" t="s">
        <v>4396</v>
      </c>
      <c r="B629" s="7" t="s">
        <v>4386</v>
      </c>
      <c r="C629" s="6" t="s">
        <v>4668</v>
      </c>
      <c r="D629" s="7" t="s">
        <v>4682</v>
      </c>
      <c r="E629" s="6" t="s">
        <v>4683</v>
      </c>
      <c r="F629" s="7" t="s">
        <v>4368</v>
      </c>
      <c r="G629" s="7" t="s">
        <v>4367</v>
      </c>
      <c r="H629" s="5" t="s">
        <v>211</v>
      </c>
      <c r="I629" s="6" t="s">
        <v>212</v>
      </c>
      <c r="J629" s="7" t="s">
        <v>11</v>
      </c>
      <c r="K629" s="36">
        <v>1.88</v>
      </c>
      <c r="L629" s="37">
        <v>558</v>
      </c>
    </row>
    <row r="630" spans="1:12" ht="19.95" customHeight="1" x14ac:dyDescent="0.3">
      <c r="A630" s="2" t="s">
        <v>4396</v>
      </c>
      <c r="B630" s="3" t="s">
        <v>4386</v>
      </c>
      <c r="C630" s="2" t="s">
        <v>4668</v>
      </c>
      <c r="D630" s="3" t="s">
        <v>4684</v>
      </c>
      <c r="E630" s="2" t="s">
        <v>4685</v>
      </c>
      <c r="F630" s="3" t="s">
        <v>4368</v>
      </c>
      <c r="G630" s="3" t="s">
        <v>4367</v>
      </c>
      <c r="H630" s="1" t="s">
        <v>209</v>
      </c>
      <c r="I630" s="2" t="s">
        <v>210</v>
      </c>
      <c r="J630" s="3" t="s">
        <v>11</v>
      </c>
      <c r="K630" s="38">
        <v>0.1</v>
      </c>
      <c r="L630" s="39">
        <v>558</v>
      </c>
    </row>
    <row r="631" spans="1:12" ht="19.95" customHeight="1" x14ac:dyDescent="0.3">
      <c r="A631" s="6" t="s">
        <v>4396</v>
      </c>
      <c r="B631" s="7" t="s">
        <v>4386</v>
      </c>
      <c r="C631" s="6" t="s">
        <v>4668</v>
      </c>
      <c r="D631" s="7" t="s">
        <v>4684</v>
      </c>
      <c r="E631" s="6" t="s">
        <v>4685</v>
      </c>
      <c r="F631" s="7" t="s">
        <v>4368</v>
      </c>
      <c r="G631" s="7" t="s">
        <v>4367</v>
      </c>
      <c r="H631" s="5" t="s">
        <v>197</v>
      </c>
      <c r="I631" s="6" t="s">
        <v>198</v>
      </c>
      <c r="J631" s="7" t="s">
        <v>11</v>
      </c>
      <c r="K631" s="36">
        <v>0.2</v>
      </c>
      <c r="L631" s="37">
        <v>617</v>
      </c>
    </row>
    <row r="632" spans="1:12" ht="19.95" customHeight="1" x14ac:dyDescent="0.3">
      <c r="A632" s="2" t="s">
        <v>4396</v>
      </c>
      <c r="B632" s="3" t="s">
        <v>4386</v>
      </c>
      <c r="C632" s="2" t="s">
        <v>4668</v>
      </c>
      <c r="D632" s="3" t="s">
        <v>4684</v>
      </c>
      <c r="E632" s="2" t="s">
        <v>4685</v>
      </c>
      <c r="F632" s="3" t="s">
        <v>4368</v>
      </c>
      <c r="G632" s="3" t="s">
        <v>4367</v>
      </c>
      <c r="H632" s="1" t="s">
        <v>221</v>
      </c>
      <c r="I632" s="2" t="s">
        <v>222</v>
      </c>
      <c r="J632" s="3" t="s">
        <v>11</v>
      </c>
      <c r="K632" s="38">
        <v>0.04</v>
      </c>
      <c r="L632" s="39">
        <v>738</v>
      </c>
    </row>
    <row r="633" spans="1:12" ht="19.95" customHeight="1" x14ac:dyDescent="0.3">
      <c r="A633" s="6" t="s">
        <v>4396</v>
      </c>
      <c r="B633" s="7" t="s">
        <v>4386</v>
      </c>
      <c r="C633" s="6" t="s">
        <v>4668</v>
      </c>
      <c r="D633" s="7" t="s">
        <v>4684</v>
      </c>
      <c r="E633" s="6" t="s">
        <v>4685</v>
      </c>
      <c r="F633" s="7" t="s">
        <v>4368</v>
      </c>
      <c r="G633" s="7" t="s">
        <v>4367</v>
      </c>
      <c r="H633" s="5" t="s">
        <v>223</v>
      </c>
      <c r="I633" s="6" t="s">
        <v>224</v>
      </c>
      <c r="J633" s="7" t="s">
        <v>11</v>
      </c>
      <c r="K633" s="36">
        <v>0.04</v>
      </c>
      <c r="L633" s="37">
        <v>679</v>
      </c>
    </row>
    <row r="634" spans="1:12" ht="19.95" customHeight="1" x14ac:dyDescent="0.3">
      <c r="A634" s="2" t="s">
        <v>4396</v>
      </c>
      <c r="B634" s="3" t="s">
        <v>4386</v>
      </c>
      <c r="C634" s="2" t="s">
        <v>4668</v>
      </c>
      <c r="D634" s="3" t="s">
        <v>4684</v>
      </c>
      <c r="E634" s="2" t="s">
        <v>4685</v>
      </c>
      <c r="F634" s="3" t="s">
        <v>4368</v>
      </c>
      <c r="G634" s="3" t="s">
        <v>4367</v>
      </c>
      <c r="H634" s="1" t="s">
        <v>231</v>
      </c>
      <c r="I634" s="2" t="s">
        <v>232</v>
      </c>
      <c r="J634" s="3" t="s">
        <v>11</v>
      </c>
      <c r="K634" s="38">
        <v>0.04</v>
      </c>
      <c r="L634" s="39">
        <v>617</v>
      </c>
    </row>
    <row r="635" spans="1:12" ht="19.95" customHeight="1" x14ac:dyDescent="0.3">
      <c r="A635" s="6" t="s">
        <v>4396</v>
      </c>
      <c r="B635" s="7" t="s">
        <v>4386</v>
      </c>
      <c r="C635" s="6" t="s">
        <v>4668</v>
      </c>
      <c r="D635" s="7" t="s">
        <v>4686</v>
      </c>
      <c r="E635" s="6" t="s">
        <v>4687</v>
      </c>
      <c r="F635" s="7" t="s">
        <v>4384</v>
      </c>
      <c r="G635" s="7" t="s">
        <v>4367</v>
      </c>
      <c r="H635" s="5" t="s">
        <v>255</v>
      </c>
      <c r="I635" s="6" t="s">
        <v>256</v>
      </c>
      <c r="J635" s="7" t="s">
        <v>11</v>
      </c>
      <c r="K635" s="36">
        <v>0.17</v>
      </c>
      <c r="L635" s="37">
        <v>709</v>
      </c>
    </row>
    <row r="636" spans="1:12" ht="19.95" customHeight="1" x14ac:dyDescent="0.3">
      <c r="A636" s="2" t="s">
        <v>4396</v>
      </c>
      <c r="B636" s="3" t="s">
        <v>4386</v>
      </c>
      <c r="C636" s="2" t="s">
        <v>4668</v>
      </c>
      <c r="D636" s="3" t="s">
        <v>4686</v>
      </c>
      <c r="E636" s="2" t="s">
        <v>4687</v>
      </c>
      <c r="F636" s="3" t="s">
        <v>4384</v>
      </c>
      <c r="G636" s="3" t="s">
        <v>4367</v>
      </c>
      <c r="H636" s="1" t="s">
        <v>209</v>
      </c>
      <c r="I636" s="2" t="s">
        <v>210</v>
      </c>
      <c r="J636" s="3" t="s">
        <v>11</v>
      </c>
      <c r="K636" s="38">
        <v>2</v>
      </c>
      <c r="L636" s="39">
        <v>558</v>
      </c>
    </row>
    <row r="637" spans="1:12" ht="19.95" customHeight="1" x14ac:dyDescent="0.3">
      <c r="A637" s="6" t="s">
        <v>4396</v>
      </c>
      <c r="B637" s="7" t="s">
        <v>4386</v>
      </c>
      <c r="C637" s="6" t="s">
        <v>4668</v>
      </c>
      <c r="D637" s="7" t="s">
        <v>4686</v>
      </c>
      <c r="E637" s="6" t="s">
        <v>4687</v>
      </c>
      <c r="F637" s="7" t="s">
        <v>4384</v>
      </c>
      <c r="G637" s="7" t="s">
        <v>4367</v>
      </c>
      <c r="H637" s="5" t="s">
        <v>197</v>
      </c>
      <c r="I637" s="6" t="s">
        <v>198</v>
      </c>
      <c r="J637" s="7" t="s">
        <v>11</v>
      </c>
      <c r="K637" s="36">
        <v>0.9</v>
      </c>
      <c r="L637" s="37">
        <v>617</v>
      </c>
    </row>
    <row r="638" spans="1:12" ht="19.95" customHeight="1" x14ac:dyDescent="0.3">
      <c r="A638" s="2" t="s">
        <v>4396</v>
      </c>
      <c r="B638" s="3" t="s">
        <v>4386</v>
      </c>
      <c r="C638" s="2" t="s">
        <v>4668</v>
      </c>
      <c r="D638" s="3" t="s">
        <v>4686</v>
      </c>
      <c r="E638" s="2" t="s">
        <v>4687</v>
      </c>
      <c r="F638" s="3" t="s">
        <v>4384</v>
      </c>
      <c r="G638" s="3" t="s">
        <v>4369</v>
      </c>
      <c r="H638" s="1" t="s">
        <v>12</v>
      </c>
      <c r="I638" s="2" t="s">
        <v>4388</v>
      </c>
      <c r="J638" s="3" t="s">
        <v>11</v>
      </c>
      <c r="K638" s="38">
        <v>7.0000000000000007E-2</v>
      </c>
      <c r="L638" s="39">
        <v>800</v>
      </c>
    </row>
    <row r="639" spans="1:12" ht="19.95" customHeight="1" x14ac:dyDescent="0.3">
      <c r="A639" s="6" t="s">
        <v>4396</v>
      </c>
      <c r="B639" s="7" t="s">
        <v>4386</v>
      </c>
      <c r="C639" s="6" t="s">
        <v>4668</v>
      </c>
      <c r="D639" s="7" t="s">
        <v>4686</v>
      </c>
      <c r="E639" s="6" t="s">
        <v>4687</v>
      </c>
      <c r="F639" s="7" t="s">
        <v>4384</v>
      </c>
      <c r="G639" s="7" t="s">
        <v>4369</v>
      </c>
      <c r="H639" s="5" t="s">
        <v>33</v>
      </c>
      <c r="I639" s="6" t="s">
        <v>4387</v>
      </c>
      <c r="J639" s="7" t="s">
        <v>11</v>
      </c>
      <c r="K639" s="36">
        <v>7.0000000000000007E-2</v>
      </c>
      <c r="L639" s="37">
        <v>370</v>
      </c>
    </row>
    <row r="640" spans="1:12" ht="19.95" customHeight="1" x14ac:dyDescent="0.3">
      <c r="A640" s="2" t="s">
        <v>4396</v>
      </c>
      <c r="B640" s="3" t="s">
        <v>4386</v>
      </c>
      <c r="C640" s="2" t="s">
        <v>4668</v>
      </c>
      <c r="D640" s="3" t="s">
        <v>4688</v>
      </c>
      <c r="E640" s="2" t="s">
        <v>4689</v>
      </c>
      <c r="F640" s="3" t="s">
        <v>4384</v>
      </c>
      <c r="G640" s="3" t="s">
        <v>4367</v>
      </c>
      <c r="H640" s="1" t="s">
        <v>255</v>
      </c>
      <c r="I640" s="2" t="s">
        <v>256</v>
      </c>
      <c r="J640" s="3" t="s">
        <v>11</v>
      </c>
      <c r="K640" s="38">
        <v>0.17</v>
      </c>
      <c r="L640" s="39">
        <v>709</v>
      </c>
    </row>
    <row r="641" spans="1:12" ht="19.95" customHeight="1" x14ac:dyDescent="0.3">
      <c r="A641" s="6" t="s">
        <v>4396</v>
      </c>
      <c r="B641" s="7" t="s">
        <v>4386</v>
      </c>
      <c r="C641" s="6" t="s">
        <v>4668</v>
      </c>
      <c r="D641" s="7" t="s">
        <v>4688</v>
      </c>
      <c r="E641" s="6" t="s">
        <v>4689</v>
      </c>
      <c r="F641" s="7" t="s">
        <v>4384</v>
      </c>
      <c r="G641" s="7" t="s">
        <v>4367</v>
      </c>
      <c r="H641" s="5" t="s">
        <v>209</v>
      </c>
      <c r="I641" s="6" t="s">
        <v>210</v>
      </c>
      <c r="J641" s="7" t="s">
        <v>11</v>
      </c>
      <c r="K641" s="36">
        <v>2</v>
      </c>
      <c r="L641" s="37">
        <v>558</v>
      </c>
    </row>
    <row r="642" spans="1:12" ht="19.95" customHeight="1" x14ac:dyDescent="0.3">
      <c r="A642" s="2" t="s">
        <v>4396</v>
      </c>
      <c r="B642" s="3" t="s">
        <v>4386</v>
      </c>
      <c r="C642" s="2" t="s">
        <v>4668</v>
      </c>
      <c r="D642" s="3" t="s">
        <v>4688</v>
      </c>
      <c r="E642" s="2" t="s">
        <v>4689</v>
      </c>
      <c r="F642" s="3" t="s">
        <v>4384</v>
      </c>
      <c r="G642" s="3" t="s">
        <v>4367</v>
      </c>
      <c r="H642" s="1" t="s">
        <v>197</v>
      </c>
      <c r="I642" s="2" t="s">
        <v>198</v>
      </c>
      <c r="J642" s="3" t="s">
        <v>11</v>
      </c>
      <c r="K642" s="38">
        <v>0.9</v>
      </c>
      <c r="L642" s="39">
        <v>617</v>
      </c>
    </row>
    <row r="643" spans="1:12" ht="19.95" customHeight="1" x14ac:dyDescent="0.3">
      <c r="A643" s="6" t="s">
        <v>4396</v>
      </c>
      <c r="B643" s="7" t="s">
        <v>4386</v>
      </c>
      <c r="C643" s="6" t="s">
        <v>4668</v>
      </c>
      <c r="D643" s="7" t="s">
        <v>4688</v>
      </c>
      <c r="E643" s="6" t="s">
        <v>4689</v>
      </c>
      <c r="F643" s="7" t="s">
        <v>4384</v>
      </c>
      <c r="G643" s="7" t="s">
        <v>4369</v>
      </c>
      <c r="H643" s="5" t="s">
        <v>12</v>
      </c>
      <c r="I643" s="6" t="s">
        <v>4388</v>
      </c>
      <c r="J643" s="7" t="s">
        <v>11</v>
      </c>
      <c r="K643" s="36">
        <v>7.0000000000000007E-2</v>
      </c>
      <c r="L643" s="37">
        <v>800</v>
      </c>
    </row>
    <row r="644" spans="1:12" ht="19.95" customHeight="1" x14ac:dyDescent="0.3">
      <c r="A644" s="2" t="s">
        <v>4396</v>
      </c>
      <c r="B644" s="3" t="s">
        <v>4386</v>
      </c>
      <c r="C644" s="2" t="s">
        <v>4668</v>
      </c>
      <c r="D644" s="3" t="s">
        <v>4688</v>
      </c>
      <c r="E644" s="2" t="s">
        <v>4689</v>
      </c>
      <c r="F644" s="3" t="s">
        <v>4384</v>
      </c>
      <c r="G644" s="3" t="s">
        <v>4369</v>
      </c>
      <c r="H644" s="1" t="s">
        <v>33</v>
      </c>
      <c r="I644" s="2" t="s">
        <v>4387</v>
      </c>
      <c r="J644" s="3" t="s">
        <v>11</v>
      </c>
      <c r="K644" s="38">
        <v>7.0000000000000007E-2</v>
      </c>
      <c r="L644" s="39">
        <v>370</v>
      </c>
    </row>
    <row r="645" spans="1:12" ht="19.95" customHeight="1" x14ac:dyDescent="0.3">
      <c r="A645" s="6" t="s">
        <v>4396</v>
      </c>
      <c r="B645" s="7" t="s">
        <v>4386</v>
      </c>
      <c r="C645" s="6" t="s">
        <v>4668</v>
      </c>
      <c r="D645" s="7" t="s">
        <v>4690</v>
      </c>
      <c r="E645" s="6" t="s">
        <v>4691</v>
      </c>
      <c r="F645" s="7" t="s">
        <v>4692</v>
      </c>
      <c r="G645" s="7" t="s">
        <v>4367</v>
      </c>
      <c r="H645" s="5" t="s">
        <v>213</v>
      </c>
      <c r="I645" s="6" t="s">
        <v>214</v>
      </c>
      <c r="J645" s="7" t="s">
        <v>11</v>
      </c>
      <c r="K645" s="36">
        <v>3</v>
      </c>
      <c r="L645" s="37">
        <v>738</v>
      </c>
    </row>
    <row r="646" spans="1:12" ht="19.95" customHeight="1" x14ac:dyDescent="0.3">
      <c r="A646" s="2" t="s">
        <v>4396</v>
      </c>
      <c r="B646" s="3" t="s">
        <v>4386</v>
      </c>
      <c r="C646" s="2" t="s">
        <v>4668</v>
      </c>
      <c r="D646" s="3" t="s">
        <v>4690</v>
      </c>
      <c r="E646" s="2" t="s">
        <v>4691</v>
      </c>
      <c r="F646" s="3" t="s">
        <v>4692</v>
      </c>
      <c r="G646" s="3" t="s">
        <v>4367</v>
      </c>
      <c r="H646" s="1" t="s">
        <v>209</v>
      </c>
      <c r="I646" s="2" t="s">
        <v>210</v>
      </c>
      <c r="J646" s="3" t="s">
        <v>11</v>
      </c>
      <c r="K646" s="38">
        <v>6</v>
      </c>
      <c r="L646" s="39">
        <v>558</v>
      </c>
    </row>
    <row r="647" spans="1:12" ht="19.95" customHeight="1" x14ac:dyDescent="0.3">
      <c r="A647" s="6" t="s">
        <v>4396</v>
      </c>
      <c r="B647" s="7" t="s">
        <v>4386</v>
      </c>
      <c r="C647" s="6" t="s">
        <v>4668</v>
      </c>
      <c r="D647" s="7" t="s">
        <v>4693</v>
      </c>
      <c r="E647" s="6" t="s">
        <v>4694</v>
      </c>
      <c r="F647" s="7" t="s">
        <v>4695</v>
      </c>
      <c r="G647" s="7" t="s">
        <v>4367</v>
      </c>
      <c r="H647" s="5" t="s">
        <v>221</v>
      </c>
      <c r="I647" s="6" t="s">
        <v>222</v>
      </c>
      <c r="J647" s="7" t="s">
        <v>11</v>
      </c>
      <c r="K647" s="36">
        <v>0.3</v>
      </c>
      <c r="L647" s="37">
        <v>738</v>
      </c>
    </row>
    <row r="648" spans="1:12" ht="19.95" customHeight="1" x14ac:dyDescent="0.3">
      <c r="A648" s="2" t="s">
        <v>4396</v>
      </c>
      <c r="B648" s="3" t="s">
        <v>4386</v>
      </c>
      <c r="C648" s="2" t="s">
        <v>4668</v>
      </c>
      <c r="D648" s="3" t="s">
        <v>4693</v>
      </c>
      <c r="E648" s="2" t="s">
        <v>4694</v>
      </c>
      <c r="F648" s="3" t="s">
        <v>4695</v>
      </c>
      <c r="G648" s="3" t="s">
        <v>4367</v>
      </c>
      <c r="H648" s="1" t="s">
        <v>223</v>
      </c>
      <c r="I648" s="2" t="s">
        <v>224</v>
      </c>
      <c r="J648" s="3" t="s">
        <v>11</v>
      </c>
      <c r="K648" s="38">
        <v>0.3</v>
      </c>
      <c r="L648" s="39">
        <v>679</v>
      </c>
    </row>
    <row r="649" spans="1:12" ht="19.95" customHeight="1" x14ac:dyDescent="0.3">
      <c r="A649" s="6" t="s">
        <v>4396</v>
      </c>
      <c r="B649" s="7" t="s">
        <v>4386</v>
      </c>
      <c r="C649" s="6" t="s">
        <v>4668</v>
      </c>
      <c r="D649" s="7" t="s">
        <v>4693</v>
      </c>
      <c r="E649" s="6" t="s">
        <v>4694</v>
      </c>
      <c r="F649" s="7" t="s">
        <v>4695</v>
      </c>
      <c r="G649" s="7" t="s">
        <v>4367</v>
      </c>
      <c r="H649" s="5" t="s">
        <v>209</v>
      </c>
      <c r="I649" s="6" t="s">
        <v>210</v>
      </c>
      <c r="J649" s="7" t="s">
        <v>11</v>
      </c>
      <c r="K649" s="36">
        <v>1.08</v>
      </c>
      <c r="L649" s="37">
        <v>558</v>
      </c>
    </row>
    <row r="650" spans="1:12" ht="19.95" customHeight="1" x14ac:dyDescent="0.3">
      <c r="A650" s="2" t="s">
        <v>4396</v>
      </c>
      <c r="B650" s="3" t="s">
        <v>4386</v>
      </c>
      <c r="C650" s="2" t="s">
        <v>4668</v>
      </c>
      <c r="D650" s="3" t="s">
        <v>4696</v>
      </c>
      <c r="E650" s="2" t="s">
        <v>4697</v>
      </c>
      <c r="F650" s="3" t="s">
        <v>4390</v>
      </c>
      <c r="G650" s="3" t="s">
        <v>4367</v>
      </c>
      <c r="H650" s="1" t="s">
        <v>221</v>
      </c>
      <c r="I650" s="2" t="s">
        <v>222</v>
      </c>
      <c r="J650" s="3" t="s">
        <v>11</v>
      </c>
      <c r="K650" s="38">
        <v>0.12</v>
      </c>
      <c r="L650" s="39">
        <v>738</v>
      </c>
    </row>
    <row r="651" spans="1:12" ht="19.95" customHeight="1" x14ac:dyDescent="0.3">
      <c r="A651" s="6" t="s">
        <v>4396</v>
      </c>
      <c r="B651" s="7" t="s">
        <v>4386</v>
      </c>
      <c r="C651" s="6" t="s">
        <v>4668</v>
      </c>
      <c r="D651" s="7" t="s">
        <v>4696</v>
      </c>
      <c r="E651" s="6" t="s">
        <v>4697</v>
      </c>
      <c r="F651" s="7" t="s">
        <v>4390</v>
      </c>
      <c r="G651" s="7" t="s">
        <v>4367</v>
      </c>
      <c r="H651" s="5" t="s">
        <v>223</v>
      </c>
      <c r="I651" s="6" t="s">
        <v>224</v>
      </c>
      <c r="J651" s="7" t="s">
        <v>11</v>
      </c>
      <c r="K651" s="36">
        <v>0.12</v>
      </c>
      <c r="L651" s="37">
        <v>679</v>
      </c>
    </row>
    <row r="652" spans="1:12" ht="19.95" customHeight="1" x14ac:dyDescent="0.3">
      <c r="A652" s="2" t="s">
        <v>4396</v>
      </c>
      <c r="B652" s="3" t="s">
        <v>4386</v>
      </c>
      <c r="C652" s="2" t="s">
        <v>4668</v>
      </c>
      <c r="D652" s="3" t="s">
        <v>4696</v>
      </c>
      <c r="E652" s="2" t="s">
        <v>4697</v>
      </c>
      <c r="F652" s="3" t="s">
        <v>4390</v>
      </c>
      <c r="G652" s="3" t="s">
        <v>4367</v>
      </c>
      <c r="H652" s="1" t="s">
        <v>209</v>
      </c>
      <c r="I652" s="2" t="s">
        <v>210</v>
      </c>
      <c r="J652" s="3" t="s">
        <v>11</v>
      </c>
      <c r="K652" s="38">
        <v>0.5</v>
      </c>
      <c r="L652" s="39">
        <v>558</v>
      </c>
    </row>
    <row r="653" spans="1:12" ht="19.95" customHeight="1" x14ac:dyDescent="0.3">
      <c r="A653" s="6" t="s">
        <v>4396</v>
      </c>
      <c r="B653" s="7" t="s">
        <v>4386</v>
      </c>
      <c r="C653" s="6" t="s">
        <v>4668</v>
      </c>
      <c r="D653" s="7" t="s">
        <v>4698</v>
      </c>
      <c r="E653" s="6" t="s">
        <v>4699</v>
      </c>
      <c r="F653" s="7" t="s">
        <v>4700</v>
      </c>
      <c r="G653" s="7" t="s">
        <v>4367</v>
      </c>
      <c r="H653" s="5" t="s">
        <v>221</v>
      </c>
      <c r="I653" s="6" t="s">
        <v>222</v>
      </c>
      <c r="J653" s="7" t="s">
        <v>11</v>
      </c>
      <c r="K653" s="36">
        <v>0.06</v>
      </c>
      <c r="L653" s="37">
        <v>738</v>
      </c>
    </row>
    <row r="654" spans="1:12" ht="19.95" customHeight="1" x14ac:dyDescent="0.3">
      <c r="A654" s="2" t="s">
        <v>4396</v>
      </c>
      <c r="B654" s="3" t="s">
        <v>4386</v>
      </c>
      <c r="C654" s="2" t="s">
        <v>4668</v>
      </c>
      <c r="D654" s="3" t="s">
        <v>4698</v>
      </c>
      <c r="E654" s="2" t="s">
        <v>4699</v>
      </c>
      <c r="F654" s="3" t="s">
        <v>4700</v>
      </c>
      <c r="G654" s="3" t="s">
        <v>4367</v>
      </c>
      <c r="H654" s="1" t="s">
        <v>223</v>
      </c>
      <c r="I654" s="2" t="s">
        <v>224</v>
      </c>
      <c r="J654" s="3" t="s">
        <v>11</v>
      </c>
      <c r="K654" s="38">
        <v>0.06</v>
      </c>
      <c r="L654" s="39">
        <v>679</v>
      </c>
    </row>
    <row r="655" spans="1:12" ht="19.95" customHeight="1" x14ac:dyDescent="0.3">
      <c r="A655" s="6" t="s">
        <v>4396</v>
      </c>
      <c r="B655" s="7" t="s">
        <v>4386</v>
      </c>
      <c r="C655" s="6" t="s">
        <v>4668</v>
      </c>
      <c r="D655" s="7" t="s">
        <v>4698</v>
      </c>
      <c r="E655" s="6" t="s">
        <v>4699</v>
      </c>
      <c r="F655" s="7" t="s">
        <v>4700</v>
      </c>
      <c r="G655" s="7" t="s">
        <v>4367</v>
      </c>
      <c r="H655" s="5" t="s">
        <v>209</v>
      </c>
      <c r="I655" s="6" t="s">
        <v>210</v>
      </c>
      <c r="J655" s="7" t="s">
        <v>11</v>
      </c>
      <c r="K655" s="36">
        <v>0.25</v>
      </c>
      <c r="L655" s="37">
        <v>558</v>
      </c>
    </row>
    <row r="656" spans="1:12" ht="19.95" customHeight="1" x14ac:dyDescent="0.3">
      <c r="A656" s="2" t="s">
        <v>4396</v>
      </c>
      <c r="B656" s="3" t="s">
        <v>4386</v>
      </c>
      <c r="C656" s="2" t="s">
        <v>4668</v>
      </c>
      <c r="D656" s="3" t="s">
        <v>4701</v>
      </c>
      <c r="E656" s="2" t="s">
        <v>4702</v>
      </c>
      <c r="F656" s="3" t="s">
        <v>4435</v>
      </c>
      <c r="G656" s="3" t="s">
        <v>4367</v>
      </c>
      <c r="H656" s="1" t="s">
        <v>209</v>
      </c>
      <c r="I656" s="2" t="s">
        <v>210</v>
      </c>
      <c r="J656" s="3" t="s">
        <v>11</v>
      </c>
      <c r="K656" s="38">
        <v>11.29</v>
      </c>
      <c r="L656" s="39">
        <v>558</v>
      </c>
    </row>
    <row r="657" spans="1:12" ht="19.95" customHeight="1" x14ac:dyDescent="0.3">
      <c r="A657" s="6" t="s">
        <v>4396</v>
      </c>
      <c r="B657" s="7" t="s">
        <v>4386</v>
      </c>
      <c r="C657" s="6" t="s">
        <v>4668</v>
      </c>
      <c r="D657" s="7" t="s">
        <v>4701</v>
      </c>
      <c r="E657" s="6" t="s">
        <v>4702</v>
      </c>
      <c r="F657" s="7" t="s">
        <v>4435</v>
      </c>
      <c r="G657" s="7" t="s">
        <v>4367</v>
      </c>
      <c r="H657" s="5" t="s">
        <v>211</v>
      </c>
      <c r="I657" s="6" t="s">
        <v>212</v>
      </c>
      <c r="J657" s="7" t="s">
        <v>11</v>
      </c>
      <c r="K657" s="36">
        <v>7.53</v>
      </c>
      <c r="L657" s="37">
        <v>558</v>
      </c>
    </row>
    <row r="658" spans="1:12" ht="19.95" customHeight="1" x14ac:dyDescent="0.3">
      <c r="A658" s="2" t="s">
        <v>4396</v>
      </c>
      <c r="B658" s="3" t="s">
        <v>4386</v>
      </c>
      <c r="C658" s="2" t="s">
        <v>4668</v>
      </c>
      <c r="D658" s="3" t="s">
        <v>4701</v>
      </c>
      <c r="E658" s="2" t="s">
        <v>4702</v>
      </c>
      <c r="F658" s="3" t="s">
        <v>4435</v>
      </c>
      <c r="G658" s="3" t="s">
        <v>4367</v>
      </c>
      <c r="H658" s="1" t="s">
        <v>197</v>
      </c>
      <c r="I658" s="2" t="s">
        <v>198</v>
      </c>
      <c r="J658" s="3" t="s">
        <v>11</v>
      </c>
      <c r="K658" s="38">
        <v>8.26</v>
      </c>
      <c r="L658" s="39">
        <v>617</v>
      </c>
    </row>
    <row r="659" spans="1:12" ht="19.95" customHeight="1" x14ac:dyDescent="0.3">
      <c r="A659" s="6" t="s">
        <v>4396</v>
      </c>
      <c r="B659" s="7" t="s">
        <v>4386</v>
      </c>
      <c r="C659" s="6" t="s">
        <v>4668</v>
      </c>
      <c r="D659" s="7" t="s">
        <v>4701</v>
      </c>
      <c r="E659" s="6" t="s">
        <v>4702</v>
      </c>
      <c r="F659" s="7" t="s">
        <v>4435</v>
      </c>
      <c r="G659" s="7" t="s">
        <v>4367</v>
      </c>
      <c r="H659" s="5" t="s">
        <v>221</v>
      </c>
      <c r="I659" s="6" t="s">
        <v>222</v>
      </c>
      <c r="J659" s="7" t="s">
        <v>11</v>
      </c>
      <c r="K659" s="36">
        <v>0.92</v>
      </c>
      <c r="L659" s="37">
        <v>738</v>
      </c>
    </row>
    <row r="660" spans="1:12" ht="19.95" customHeight="1" x14ac:dyDescent="0.3">
      <c r="A660" s="2" t="s">
        <v>4396</v>
      </c>
      <c r="B660" s="3" t="s">
        <v>4386</v>
      </c>
      <c r="C660" s="2" t="s">
        <v>4668</v>
      </c>
      <c r="D660" s="3" t="s">
        <v>4701</v>
      </c>
      <c r="E660" s="2" t="s">
        <v>4702</v>
      </c>
      <c r="F660" s="3" t="s">
        <v>4435</v>
      </c>
      <c r="G660" s="3" t="s">
        <v>4367</v>
      </c>
      <c r="H660" s="1" t="s">
        <v>223</v>
      </c>
      <c r="I660" s="2" t="s">
        <v>224</v>
      </c>
      <c r="J660" s="3" t="s">
        <v>11</v>
      </c>
      <c r="K660" s="38">
        <v>0.92</v>
      </c>
      <c r="L660" s="39">
        <v>679</v>
      </c>
    </row>
    <row r="661" spans="1:12" ht="19.95" customHeight="1" x14ac:dyDescent="0.3">
      <c r="A661" s="6" t="s">
        <v>4396</v>
      </c>
      <c r="B661" s="7" t="s">
        <v>4386</v>
      </c>
      <c r="C661" s="6" t="s">
        <v>4668</v>
      </c>
      <c r="D661" s="7" t="s">
        <v>4701</v>
      </c>
      <c r="E661" s="6" t="s">
        <v>4702</v>
      </c>
      <c r="F661" s="7" t="s">
        <v>4435</v>
      </c>
      <c r="G661" s="7" t="s">
        <v>4369</v>
      </c>
      <c r="H661" s="5" t="s">
        <v>12</v>
      </c>
      <c r="I661" s="6" t="s">
        <v>4388</v>
      </c>
      <c r="J661" s="7" t="s">
        <v>11</v>
      </c>
      <c r="K661" s="36">
        <v>0.64</v>
      </c>
      <c r="L661" s="37">
        <v>800</v>
      </c>
    </row>
    <row r="662" spans="1:12" ht="19.95" customHeight="1" x14ac:dyDescent="0.3">
      <c r="A662" s="2" t="s">
        <v>4396</v>
      </c>
      <c r="B662" s="3" t="s">
        <v>4386</v>
      </c>
      <c r="C662" s="2" t="s">
        <v>4668</v>
      </c>
      <c r="D662" s="3" t="s">
        <v>4701</v>
      </c>
      <c r="E662" s="2" t="s">
        <v>4702</v>
      </c>
      <c r="F662" s="3" t="s">
        <v>4435</v>
      </c>
      <c r="G662" s="3" t="s">
        <v>4369</v>
      </c>
      <c r="H662" s="1" t="s">
        <v>33</v>
      </c>
      <c r="I662" s="2" t="s">
        <v>4387</v>
      </c>
      <c r="J662" s="3" t="s">
        <v>11</v>
      </c>
      <c r="K662" s="38">
        <v>0.64</v>
      </c>
      <c r="L662" s="39">
        <v>370</v>
      </c>
    </row>
    <row r="663" spans="1:12" ht="19.95" customHeight="1" x14ac:dyDescent="0.3">
      <c r="A663" s="6" t="s">
        <v>4396</v>
      </c>
      <c r="B663" s="7" t="s">
        <v>4386</v>
      </c>
      <c r="C663" s="6" t="s">
        <v>4668</v>
      </c>
      <c r="D663" s="7" t="s">
        <v>4701</v>
      </c>
      <c r="E663" s="6" t="s">
        <v>4702</v>
      </c>
      <c r="F663" s="7" t="s">
        <v>4435</v>
      </c>
      <c r="G663" s="7" t="s">
        <v>4367</v>
      </c>
      <c r="H663" s="5" t="s">
        <v>211</v>
      </c>
      <c r="I663" s="6" t="s">
        <v>212</v>
      </c>
      <c r="J663" s="7" t="s">
        <v>11</v>
      </c>
      <c r="K663" s="36">
        <v>17.21</v>
      </c>
      <c r="L663" s="37">
        <v>558</v>
      </c>
    </row>
    <row r="664" spans="1:12" ht="19.95" customHeight="1" x14ac:dyDescent="0.3">
      <c r="A664" s="2" t="s">
        <v>4396</v>
      </c>
      <c r="B664" s="3" t="s">
        <v>4386</v>
      </c>
      <c r="C664" s="2" t="s">
        <v>4668</v>
      </c>
      <c r="D664" s="3" t="s">
        <v>4701</v>
      </c>
      <c r="E664" s="2" t="s">
        <v>4703</v>
      </c>
      <c r="F664" s="3" t="s">
        <v>4368</v>
      </c>
      <c r="G664" s="3" t="s">
        <v>4367</v>
      </c>
      <c r="H664" s="1" t="s">
        <v>211</v>
      </c>
      <c r="I664" s="2" t="s">
        <v>212</v>
      </c>
      <c r="J664" s="3" t="s">
        <v>11</v>
      </c>
      <c r="K664" s="38">
        <v>0.26</v>
      </c>
      <c r="L664" s="39">
        <v>558</v>
      </c>
    </row>
    <row r="665" spans="1:12" ht="19.95" customHeight="1" x14ac:dyDescent="0.3">
      <c r="A665" s="6" t="s">
        <v>4396</v>
      </c>
      <c r="B665" s="7" t="s">
        <v>4386</v>
      </c>
      <c r="C665" s="6" t="s">
        <v>4668</v>
      </c>
      <c r="D665" s="7" t="s">
        <v>4704</v>
      </c>
      <c r="E665" s="6" t="s">
        <v>4705</v>
      </c>
      <c r="F665" s="7" t="s">
        <v>4368</v>
      </c>
      <c r="G665" s="7" t="s">
        <v>4367</v>
      </c>
      <c r="H665" s="5" t="s">
        <v>199</v>
      </c>
      <c r="I665" s="6" t="s">
        <v>200</v>
      </c>
      <c r="J665" s="7" t="s">
        <v>11</v>
      </c>
      <c r="K665" s="36">
        <v>0.25</v>
      </c>
      <c r="L665" s="37">
        <v>738</v>
      </c>
    </row>
    <row r="666" spans="1:12" ht="19.95" customHeight="1" x14ac:dyDescent="0.3">
      <c r="A666" s="2" t="s">
        <v>4396</v>
      </c>
      <c r="B666" s="3" t="s">
        <v>4386</v>
      </c>
      <c r="C666" s="2" t="s">
        <v>4668</v>
      </c>
      <c r="D666" s="3" t="s">
        <v>4704</v>
      </c>
      <c r="E666" s="2" t="s">
        <v>4705</v>
      </c>
      <c r="F666" s="3" t="s">
        <v>4368</v>
      </c>
      <c r="G666" s="3" t="s">
        <v>4367</v>
      </c>
      <c r="H666" s="1" t="s">
        <v>209</v>
      </c>
      <c r="I666" s="2" t="s">
        <v>210</v>
      </c>
      <c r="J666" s="3" t="s">
        <v>11</v>
      </c>
      <c r="K666" s="38">
        <v>0.25</v>
      </c>
      <c r="L666" s="39">
        <v>558</v>
      </c>
    </row>
    <row r="667" spans="1:12" ht="19.95" customHeight="1" x14ac:dyDescent="0.3">
      <c r="A667" s="6" t="s">
        <v>4396</v>
      </c>
      <c r="B667" s="7" t="s">
        <v>4386</v>
      </c>
      <c r="C667" s="6" t="s">
        <v>4668</v>
      </c>
      <c r="D667" s="7" t="s">
        <v>4706</v>
      </c>
      <c r="E667" s="6" t="s">
        <v>4707</v>
      </c>
      <c r="F667" s="7" t="s">
        <v>4397</v>
      </c>
      <c r="G667" s="7" t="s">
        <v>4367</v>
      </c>
      <c r="H667" s="5" t="s">
        <v>199</v>
      </c>
      <c r="I667" s="6" t="s">
        <v>200</v>
      </c>
      <c r="J667" s="7" t="s">
        <v>11</v>
      </c>
      <c r="K667" s="36">
        <v>1</v>
      </c>
      <c r="L667" s="37">
        <v>738</v>
      </c>
    </row>
    <row r="668" spans="1:12" ht="19.95" customHeight="1" x14ac:dyDescent="0.3">
      <c r="A668" s="2" t="s">
        <v>4396</v>
      </c>
      <c r="B668" s="3" t="s">
        <v>4386</v>
      </c>
      <c r="C668" s="2" t="s">
        <v>4668</v>
      </c>
      <c r="D668" s="3" t="s">
        <v>4706</v>
      </c>
      <c r="E668" s="2" t="s">
        <v>4707</v>
      </c>
      <c r="F668" s="3" t="s">
        <v>4397</v>
      </c>
      <c r="G668" s="3" t="s">
        <v>4367</v>
      </c>
      <c r="H668" s="1" t="s">
        <v>209</v>
      </c>
      <c r="I668" s="2" t="s">
        <v>210</v>
      </c>
      <c r="J668" s="3" t="s">
        <v>11</v>
      </c>
      <c r="K668" s="38">
        <v>1</v>
      </c>
      <c r="L668" s="39">
        <v>558</v>
      </c>
    </row>
    <row r="669" spans="1:12" ht="19.95" customHeight="1" x14ac:dyDescent="0.3">
      <c r="A669" s="6" t="s">
        <v>4396</v>
      </c>
      <c r="B669" s="7" t="s">
        <v>4386</v>
      </c>
      <c r="C669" s="6" t="s">
        <v>4668</v>
      </c>
      <c r="D669" s="7" t="s">
        <v>4708</v>
      </c>
      <c r="E669" s="6" t="s">
        <v>4709</v>
      </c>
      <c r="F669" s="7" t="s">
        <v>4397</v>
      </c>
      <c r="G669" s="7" t="s">
        <v>4367</v>
      </c>
      <c r="H669" s="5" t="s">
        <v>199</v>
      </c>
      <c r="I669" s="6" t="s">
        <v>200</v>
      </c>
      <c r="J669" s="7" t="s">
        <v>11</v>
      </c>
      <c r="K669" s="36">
        <v>1</v>
      </c>
      <c r="L669" s="37">
        <v>738</v>
      </c>
    </row>
    <row r="670" spans="1:12" ht="19.95" customHeight="1" x14ac:dyDescent="0.3">
      <c r="A670" s="2" t="s">
        <v>4396</v>
      </c>
      <c r="B670" s="3" t="s">
        <v>4386</v>
      </c>
      <c r="C670" s="2" t="s">
        <v>4668</v>
      </c>
      <c r="D670" s="3" t="s">
        <v>4708</v>
      </c>
      <c r="E670" s="2" t="s">
        <v>4709</v>
      </c>
      <c r="F670" s="3" t="s">
        <v>4397</v>
      </c>
      <c r="G670" s="3" t="s">
        <v>4367</v>
      </c>
      <c r="H670" s="1" t="s">
        <v>209</v>
      </c>
      <c r="I670" s="2" t="s">
        <v>210</v>
      </c>
      <c r="J670" s="3" t="s">
        <v>11</v>
      </c>
      <c r="K670" s="38">
        <v>1</v>
      </c>
      <c r="L670" s="39">
        <v>558</v>
      </c>
    </row>
    <row r="671" spans="1:12" ht="19.95" customHeight="1" x14ac:dyDescent="0.3">
      <c r="A671" s="6" t="s">
        <v>4396</v>
      </c>
      <c r="B671" s="7" t="s">
        <v>4386</v>
      </c>
      <c r="C671" s="6" t="s">
        <v>4668</v>
      </c>
      <c r="D671" s="7" t="s">
        <v>4710</v>
      </c>
      <c r="E671" s="6" t="s">
        <v>4711</v>
      </c>
      <c r="F671" s="7" t="s">
        <v>4397</v>
      </c>
      <c r="G671" s="7" t="s">
        <v>4367</v>
      </c>
      <c r="H671" s="5" t="s">
        <v>199</v>
      </c>
      <c r="I671" s="6" t="s">
        <v>200</v>
      </c>
      <c r="J671" s="7" t="s">
        <v>11</v>
      </c>
      <c r="K671" s="36">
        <v>1</v>
      </c>
      <c r="L671" s="37">
        <v>738</v>
      </c>
    </row>
    <row r="672" spans="1:12" ht="19.95" customHeight="1" x14ac:dyDescent="0.3">
      <c r="A672" s="2" t="s">
        <v>4396</v>
      </c>
      <c r="B672" s="3" t="s">
        <v>4386</v>
      </c>
      <c r="C672" s="2" t="s">
        <v>4668</v>
      </c>
      <c r="D672" s="3" t="s">
        <v>4710</v>
      </c>
      <c r="E672" s="2" t="s">
        <v>4711</v>
      </c>
      <c r="F672" s="3" t="s">
        <v>4397</v>
      </c>
      <c r="G672" s="3" t="s">
        <v>4367</v>
      </c>
      <c r="H672" s="1" t="s">
        <v>209</v>
      </c>
      <c r="I672" s="2" t="s">
        <v>210</v>
      </c>
      <c r="J672" s="3" t="s">
        <v>11</v>
      </c>
      <c r="K672" s="38">
        <v>1</v>
      </c>
      <c r="L672" s="39">
        <v>558</v>
      </c>
    </row>
    <row r="673" spans="1:12" ht="19.95" customHeight="1" x14ac:dyDescent="0.3">
      <c r="A673" s="6" t="s">
        <v>4396</v>
      </c>
      <c r="B673" s="7" t="s">
        <v>4386</v>
      </c>
      <c r="C673" s="6" t="s">
        <v>4668</v>
      </c>
      <c r="D673" s="7" t="s">
        <v>4712</v>
      </c>
      <c r="E673" s="6" t="s">
        <v>4713</v>
      </c>
      <c r="F673" s="7" t="s">
        <v>4397</v>
      </c>
      <c r="G673" s="7" t="s">
        <v>4367</v>
      </c>
      <c r="H673" s="5" t="s">
        <v>199</v>
      </c>
      <c r="I673" s="6" t="s">
        <v>200</v>
      </c>
      <c r="J673" s="7" t="s">
        <v>11</v>
      </c>
      <c r="K673" s="36">
        <v>1</v>
      </c>
      <c r="L673" s="37">
        <v>738</v>
      </c>
    </row>
    <row r="674" spans="1:12" ht="19.95" customHeight="1" x14ac:dyDescent="0.3">
      <c r="A674" s="2" t="s">
        <v>4396</v>
      </c>
      <c r="B674" s="3" t="s">
        <v>4386</v>
      </c>
      <c r="C674" s="2" t="s">
        <v>4668</v>
      </c>
      <c r="D674" s="3" t="s">
        <v>4712</v>
      </c>
      <c r="E674" s="2" t="s">
        <v>4713</v>
      </c>
      <c r="F674" s="3" t="s">
        <v>4397</v>
      </c>
      <c r="G674" s="3" t="s">
        <v>4367</v>
      </c>
      <c r="H674" s="1" t="s">
        <v>209</v>
      </c>
      <c r="I674" s="2" t="s">
        <v>210</v>
      </c>
      <c r="J674" s="3" t="s">
        <v>11</v>
      </c>
      <c r="K674" s="38">
        <v>1</v>
      </c>
      <c r="L674" s="39">
        <v>558</v>
      </c>
    </row>
    <row r="675" spans="1:12" ht="19.95" customHeight="1" x14ac:dyDescent="0.3">
      <c r="A675" s="6" t="s">
        <v>4396</v>
      </c>
      <c r="B675" s="7" t="s">
        <v>4386</v>
      </c>
      <c r="C675" s="6" t="s">
        <v>4668</v>
      </c>
      <c r="D675" s="7" t="s">
        <v>4714</v>
      </c>
      <c r="E675" s="6" t="s">
        <v>4715</v>
      </c>
      <c r="F675" s="7" t="s">
        <v>4397</v>
      </c>
      <c r="G675" s="7" t="s">
        <v>4367</v>
      </c>
      <c r="H675" s="5" t="s">
        <v>201</v>
      </c>
      <c r="I675" s="6" t="s">
        <v>202</v>
      </c>
      <c r="J675" s="7" t="s">
        <v>11</v>
      </c>
      <c r="K675" s="36">
        <v>0.2</v>
      </c>
      <c r="L675" s="37">
        <v>679</v>
      </c>
    </row>
    <row r="676" spans="1:12" ht="19.95" customHeight="1" x14ac:dyDescent="0.3">
      <c r="A676" s="2" t="s">
        <v>4396</v>
      </c>
      <c r="B676" s="3" t="s">
        <v>4386</v>
      </c>
      <c r="C676" s="2" t="s">
        <v>4668</v>
      </c>
      <c r="D676" s="3" t="s">
        <v>4714</v>
      </c>
      <c r="E676" s="2" t="s">
        <v>4715</v>
      </c>
      <c r="F676" s="3" t="s">
        <v>4397</v>
      </c>
      <c r="G676" s="3" t="s">
        <v>4367</v>
      </c>
      <c r="H676" s="1" t="s">
        <v>209</v>
      </c>
      <c r="I676" s="2" t="s">
        <v>210</v>
      </c>
      <c r="J676" s="3" t="s">
        <v>11</v>
      </c>
      <c r="K676" s="38">
        <v>1.5</v>
      </c>
      <c r="L676" s="39">
        <v>558</v>
      </c>
    </row>
    <row r="677" spans="1:12" ht="19.95" customHeight="1" x14ac:dyDescent="0.3">
      <c r="A677" s="6" t="s">
        <v>4396</v>
      </c>
      <c r="B677" s="7" t="s">
        <v>4386</v>
      </c>
      <c r="C677" s="6" t="s">
        <v>4668</v>
      </c>
      <c r="D677" s="7" t="s">
        <v>4716</v>
      </c>
      <c r="E677" s="6" t="s">
        <v>4717</v>
      </c>
      <c r="F677" s="7" t="s">
        <v>4397</v>
      </c>
      <c r="G677" s="7" t="s">
        <v>4367</v>
      </c>
      <c r="H677" s="5" t="s">
        <v>199</v>
      </c>
      <c r="I677" s="6" t="s">
        <v>200</v>
      </c>
      <c r="J677" s="7" t="s">
        <v>11</v>
      </c>
      <c r="K677" s="36">
        <v>1</v>
      </c>
      <c r="L677" s="37">
        <v>738</v>
      </c>
    </row>
    <row r="678" spans="1:12" ht="19.95" customHeight="1" x14ac:dyDescent="0.3">
      <c r="A678" s="2" t="s">
        <v>4396</v>
      </c>
      <c r="B678" s="3" t="s">
        <v>4386</v>
      </c>
      <c r="C678" s="2" t="s">
        <v>4668</v>
      </c>
      <c r="D678" s="3" t="s">
        <v>4716</v>
      </c>
      <c r="E678" s="2" t="s">
        <v>4717</v>
      </c>
      <c r="F678" s="3" t="s">
        <v>4397</v>
      </c>
      <c r="G678" s="3" t="s">
        <v>4367</v>
      </c>
      <c r="H678" s="1" t="s">
        <v>209</v>
      </c>
      <c r="I678" s="2" t="s">
        <v>210</v>
      </c>
      <c r="J678" s="3" t="s">
        <v>11</v>
      </c>
      <c r="K678" s="38">
        <v>1</v>
      </c>
      <c r="L678" s="39">
        <v>558</v>
      </c>
    </row>
    <row r="679" spans="1:12" ht="19.95" customHeight="1" x14ac:dyDescent="0.3">
      <c r="A679" s="6" t="s">
        <v>4396</v>
      </c>
      <c r="B679" s="7" t="s">
        <v>4386</v>
      </c>
      <c r="C679" s="6" t="s">
        <v>4668</v>
      </c>
      <c r="D679" s="7" t="s">
        <v>4716</v>
      </c>
      <c r="E679" s="6" t="s">
        <v>4717</v>
      </c>
      <c r="F679" s="7" t="s">
        <v>4397</v>
      </c>
      <c r="G679" s="7" t="s">
        <v>4367</v>
      </c>
      <c r="H679" s="5" t="s">
        <v>199</v>
      </c>
      <c r="I679" s="6" t="s">
        <v>200</v>
      </c>
      <c r="J679" s="7" t="s">
        <v>11</v>
      </c>
      <c r="K679" s="36">
        <v>1</v>
      </c>
      <c r="L679" s="37">
        <v>738</v>
      </c>
    </row>
    <row r="680" spans="1:12" ht="19.95" customHeight="1" x14ac:dyDescent="0.3">
      <c r="A680" s="2" t="s">
        <v>4396</v>
      </c>
      <c r="B680" s="3" t="s">
        <v>4386</v>
      </c>
      <c r="C680" s="2" t="s">
        <v>4668</v>
      </c>
      <c r="D680" s="3" t="s">
        <v>4716</v>
      </c>
      <c r="E680" s="2" t="s">
        <v>4717</v>
      </c>
      <c r="F680" s="3" t="s">
        <v>4397</v>
      </c>
      <c r="G680" s="3" t="s">
        <v>4367</v>
      </c>
      <c r="H680" s="1" t="s">
        <v>209</v>
      </c>
      <c r="I680" s="2" t="s">
        <v>210</v>
      </c>
      <c r="J680" s="3" t="s">
        <v>11</v>
      </c>
      <c r="K680" s="38">
        <v>1</v>
      </c>
      <c r="L680" s="39">
        <v>558</v>
      </c>
    </row>
    <row r="681" spans="1:12" ht="19.95" customHeight="1" x14ac:dyDescent="0.3">
      <c r="A681" s="6" t="s">
        <v>4396</v>
      </c>
      <c r="B681" s="7" t="s">
        <v>4386</v>
      </c>
      <c r="C681" s="6" t="s">
        <v>4668</v>
      </c>
      <c r="D681" s="7" t="s">
        <v>4716</v>
      </c>
      <c r="E681" s="6" t="s">
        <v>4717</v>
      </c>
      <c r="F681" s="7" t="s">
        <v>4397</v>
      </c>
      <c r="G681" s="7" t="s">
        <v>4367</v>
      </c>
      <c r="H681" s="5" t="s">
        <v>199</v>
      </c>
      <c r="I681" s="6" t="s">
        <v>200</v>
      </c>
      <c r="J681" s="7" t="s">
        <v>11</v>
      </c>
      <c r="K681" s="36">
        <v>1</v>
      </c>
      <c r="L681" s="37">
        <v>738</v>
      </c>
    </row>
    <row r="682" spans="1:12" ht="19.95" customHeight="1" x14ac:dyDescent="0.3">
      <c r="A682" s="2" t="s">
        <v>4396</v>
      </c>
      <c r="B682" s="3" t="s">
        <v>4386</v>
      </c>
      <c r="C682" s="2" t="s">
        <v>4668</v>
      </c>
      <c r="D682" s="3" t="s">
        <v>4716</v>
      </c>
      <c r="E682" s="2" t="s">
        <v>4717</v>
      </c>
      <c r="F682" s="3" t="s">
        <v>4397</v>
      </c>
      <c r="G682" s="3" t="s">
        <v>4367</v>
      </c>
      <c r="H682" s="1" t="s">
        <v>209</v>
      </c>
      <c r="I682" s="2" t="s">
        <v>210</v>
      </c>
      <c r="J682" s="3" t="s">
        <v>11</v>
      </c>
      <c r="K682" s="38">
        <v>1</v>
      </c>
      <c r="L682" s="39">
        <v>558</v>
      </c>
    </row>
    <row r="683" spans="1:12" ht="19.95" customHeight="1" x14ac:dyDescent="0.3">
      <c r="A683" s="6" t="s">
        <v>4396</v>
      </c>
      <c r="B683" s="7" t="s">
        <v>4386</v>
      </c>
      <c r="C683" s="6" t="s">
        <v>4668</v>
      </c>
      <c r="D683" s="7" t="s">
        <v>4716</v>
      </c>
      <c r="E683" s="6" t="s">
        <v>4717</v>
      </c>
      <c r="F683" s="7" t="s">
        <v>4397</v>
      </c>
      <c r="G683" s="7" t="s">
        <v>4367</v>
      </c>
      <c r="H683" s="5" t="s">
        <v>199</v>
      </c>
      <c r="I683" s="6" t="s">
        <v>200</v>
      </c>
      <c r="J683" s="7" t="s">
        <v>11</v>
      </c>
      <c r="K683" s="36">
        <v>1</v>
      </c>
      <c r="L683" s="37">
        <v>738</v>
      </c>
    </row>
    <row r="684" spans="1:12" ht="19.95" customHeight="1" x14ac:dyDescent="0.3">
      <c r="A684" s="2" t="s">
        <v>4396</v>
      </c>
      <c r="B684" s="3" t="s">
        <v>4386</v>
      </c>
      <c r="C684" s="2" t="s">
        <v>4668</v>
      </c>
      <c r="D684" s="3" t="s">
        <v>4716</v>
      </c>
      <c r="E684" s="2" t="s">
        <v>4717</v>
      </c>
      <c r="F684" s="3" t="s">
        <v>4397</v>
      </c>
      <c r="G684" s="3" t="s">
        <v>4367</v>
      </c>
      <c r="H684" s="1" t="s">
        <v>209</v>
      </c>
      <c r="I684" s="2" t="s">
        <v>210</v>
      </c>
      <c r="J684" s="3" t="s">
        <v>11</v>
      </c>
      <c r="K684" s="38">
        <v>1</v>
      </c>
      <c r="L684" s="39">
        <v>558</v>
      </c>
    </row>
    <row r="685" spans="1:12" ht="19.95" customHeight="1" x14ac:dyDescent="0.3">
      <c r="A685" s="6" t="s">
        <v>4396</v>
      </c>
      <c r="B685" s="7" t="s">
        <v>4386</v>
      </c>
      <c r="C685" s="6" t="s">
        <v>4668</v>
      </c>
      <c r="D685" s="7" t="s">
        <v>4716</v>
      </c>
      <c r="E685" s="6" t="s">
        <v>4717</v>
      </c>
      <c r="F685" s="7" t="s">
        <v>4397</v>
      </c>
      <c r="G685" s="7" t="s">
        <v>4367</v>
      </c>
      <c r="H685" s="5" t="s">
        <v>199</v>
      </c>
      <c r="I685" s="6" t="s">
        <v>200</v>
      </c>
      <c r="J685" s="7" t="s">
        <v>11</v>
      </c>
      <c r="K685" s="36">
        <v>1</v>
      </c>
      <c r="L685" s="37">
        <v>738</v>
      </c>
    </row>
    <row r="686" spans="1:12" ht="19.95" customHeight="1" x14ac:dyDescent="0.3">
      <c r="A686" s="2" t="s">
        <v>4396</v>
      </c>
      <c r="B686" s="3" t="s">
        <v>4386</v>
      </c>
      <c r="C686" s="2" t="s">
        <v>4668</v>
      </c>
      <c r="D686" s="3" t="s">
        <v>4716</v>
      </c>
      <c r="E686" s="2" t="s">
        <v>4717</v>
      </c>
      <c r="F686" s="3" t="s">
        <v>4397</v>
      </c>
      <c r="G686" s="3" t="s">
        <v>4367</v>
      </c>
      <c r="H686" s="1" t="s">
        <v>209</v>
      </c>
      <c r="I686" s="2" t="s">
        <v>210</v>
      </c>
      <c r="J686" s="3" t="s">
        <v>11</v>
      </c>
      <c r="K686" s="38">
        <v>1</v>
      </c>
      <c r="L686" s="39">
        <v>558</v>
      </c>
    </row>
    <row r="687" spans="1:12" ht="19.95" customHeight="1" x14ac:dyDescent="0.3">
      <c r="A687" s="6" t="s">
        <v>4396</v>
      </c>
      <c r="B687" s="7" t="s">
        <v>4386</v>
      </c>
      <c r="C687" s="6" t="s">
        <v>4668</v>
      </c>
      <c r="D687" s="7" t="s">
        <v>4716</v>
      </c>
      <c r="E687" s="6" t="s">
        <v>4717</v>
      </c>
      <c r="F687" s="7" t="s">
        <v>4397</v>
      </c>
      <c r="G687" s="7" t="s">
        <v>4367</v>
      </c>
      <c r="H687" s="5" t="s">
        <v>201</v>
      </c>
      <c r="I687" s="6" t="s">
        <v>202</v>
      </c>
      <c r="J687" s="7" t="s">
        <v>11</v>
      </c>
      <c r="K687" s="36">
        <v>0.2</v>
      </c>
      <c r="L687" s="37">
        <v>679</v>
      </c>
    </row>
    <row r="688" spans="1:12" ht="19.95" customHeight="1" x14ac:dyDescent="0.3">
      <c r="A688" s="2" t="s">
        <v>4396</v>
      </c>
      <c r="B688" s="3" t="s">
        <v>4386</v>
      </c>
      <c r="C688" s="2" t="s">
        <v>4668</v>
      </c>
      <c r="D688" s="3" t="s">
        <v>4716</v>
      </c>
      <c r="E688" s="2" t="s">
        <v>4717</v>
      </c>
      <c r="F688" s="3" t="s">
        <v>4397</v>
      </c>
      <c r="G688" s="3" t="s">
        <v>4367</v>
      </c>
      <c r="H688" s="1" t="s">
        <v>209</v>
      </c>
      <c r="I688" s="2" t="s">
        <v>210</v>
      </c>
      <c r="J688" s="3" t="s">
        <v>11</v>
      </c>
      <c r="K688" s="38">
        <v>1.5</v>
      </c>
      <c r="L688" s="39">
        <v>558</v>
      </c>
    </row>
    <row r="689" spans="1:12" ht="19.95" customHeight="1" x14ac:dyDescent="0.3">
      <c r="A689" s="6" t="s">
        <v>4396</v>
      </c>
      <c r="B689" s="7" t="s">
        <v>4386</v>
      </c>
      <c r="C689" s="6" t="s">
        <v>4668</v>
      </c>
      <c r="D689" s="7" t="s">
        <v>4716</v>
      </c>
      <c r="E689" s="6" t="s">
        <v>4717</v>
      </c>
      <c r="F689" s="7" t="s">
        <v>4397</v>
      </c>
      <c r="G689" s="7" t="s">
        <v>4367</v>
      </c>
      <c r="H689" s="5" t="s">
        <v>199</v>
      </c>
      <c r="I689" s="6" t="s">
        <v>200</v>
      </c>
      <c r="J689" s="7" t="s">
        <v>11</v>
      </c>
      <c r="K689" s="36">
        <v>1</v>
      </c>
      <c r="L689" s="37">
        <v>738</v>
      </c>
    </row>
    <row r="690" spans="1:12" ht="19.95" customHeight="1" x14ac:dyDescent="0.3">
      <c r="A690" s="2" t="s">
        <v>4396</v>
      </c>
      <c r="B690" s="3" t="s">
        <v>4386</v>
      </c>
      <c r="C690" s="2" t="s">
        <v>4668</v>
      </c>
      <c r="D690" s="3" t="s">
        <v>4716</v>
      </c>
      <c r="E690" s="2" t="s">
        <v>4717</v>
      </c>
      <c r="F690" s="3" t="s">
        <v>4397</v>
      </c>
      <c r="G690" s="3" t="s">
        <v>4367</v>
      </c>
      <c r="H690" s="1" t="s">
        <v>209</v>
      </c>
      <c r="I690" s="2" t="s">
        <v>210</v>
      </c>
      <c r="J690" s="3" t="s">
        <v>11</v>
      </c>
      <c r="K690" s="38">
        <v>1</v>
      </c>
      <c r="L690" s="39">
        <v>558</v>
      </c>
    </row>
    <row r="691" spans="1:12" ht="19.95" customHeight="1" x14ac:dyDescent="0.3">
      <c r="A691" s="6" t="s">
        <v>4396</v>
      </c>
      <c r="B691" s="7" t="s">
        <v>4386</v>
      </c>
      <c r="C691" s="6" t="s">
        <v>4668</v>
      </c>
      <c r="D691" s="7" t="s">
        <v>4716</v>
      </c>
      <c r="E691" s="6" t="s">
        <v>4717</v>
      </c>
      <c r="F691" s="7" t="s">
        <v>4397</v>
      </c>
      <c r="G691" s="7" t="s">
        <v>4367</v>
      </c>
      <c r="H691" s="5" t="s">
        <v>199</v>
      </c>
      <c r="I691" s="6" t="s">
        <v>200</v>
      </c>
      <c r="J691" s="7" t="s">
        <v>11</v>
      </c>
      <c r="K691" s="36">
        <v>0.6</v>
      </c>
      <c r="L691" s="37">
        <v>738</v>
      </c>
    </row>
    <row r="692" spans="1:12" ht="19.95" customHeight="1" x14ac:dyDescent="0.3">
      <c r="A692" s="2" t="s">
        <v>4396</v>
      </c>
      <c r="B692" s="3" t="s">
        <v>4386</v>
      </c>
      <c r="C692" s="2" t="s">
        <v>4668</v>
      </c>
      <c r="D692" s="3" t="s">
        <v>4716</v>
      </c>
      <c r="E692" s="2" t="s">
        <v>4717</v>
      </c>
      <c r="F692" s="3" t="s">
        <v>4397</v>
      </c>
      <c r="G692" s="3" t="s">
        <v>4367</v>
      </c>
      <c r="H692" s="1" t="s">
        <v>209</v>
      </c>
      <c r="I692" s="2" t="s">
        <v>210</v>
      </c>
      <c r="J692" s="3" t="s">
        <v>11</v>
      </c>
      <c r="K692" s="38">
        <v>0.6</v>
      </c>
      <c r="L692" s="39">
        <v>558</v>
      </c>
    </row>
    <row r="693" spans="1:12" ht="19.95" customHeight="1" x14ac:dyDescent="0.3">
      <c r="A693" s="6" t="s">
        <v>4396</v>
      </c>
      <c r="B693" s="7" t="s">
        <v>4386</v>
      </c>
      <c r="C693" s="6" t="s">
        <v>4668</v>
      </c>
      <c r="D693" s="7" t="s">
        <v>4716</v>
      </c>
      <c r="E693" s="6" t="s">
        <v>4717</v>
      </c>
      <c r="F693" s="7" t="s">
        <v>4397</v>
      </c>
      <c r="G693" s="7" t="s">
        <v>4367</v>
      </c>
      <c r="H693" s="5" t="s">
        <v>199</v>
      </c>
      <c r="I693" s="6" t="s">
        <v>200</v>
      </c>
      <c r="J693" s="7" t="s">
        <v>11</v>
      </c>
      <c r="K693" s="36">
        <v>0.6</v>
      </c>
      <c r="L693" s="37">
        <v>738</v>
      </c>
    </row>
    <row r="694" spans="1:12" ht="19.95" customHeight="1" x14ac:dyDescent="0.3">
      <c r="A694" s="2" t="s">
        <v>4396</v>
      </c>
      <c r="B694" s="3" t="s">
        <v>4386</v>
      </c>
      <c r="C694" s="2" t="s">
        <v>4668</v>
      </c>
      <c r="D694" s="3" t="s">
        <v>4716</v>
      </c>
      <c r="E694" s="2" t="s">
        <v>4717</v>
      </c>
      <c r="F694" s="3" t="s">
        <v>4397</v>
      </c>
      <c r="G694" s="3" t="s">
        <v>4367</v>
      </c>
      <c r="H694" s="1" t="s">
        <v>209</v>
      </c>
      <c r="I694" s="2" t="s">
        <v>210</v>
      </c>
      <c r="J694" s="3" t="s">
        <v>11</v>
      </c>
      <c r="K694" s="38">
        <v>0.6</v>
      </c>
      <c r="L694" s="39">
        <v>558</v>
      </c>
    </row>
    <row r="695" spans="1:12" ht="19.95" customHeight="1" x14ac:dyDescent="0.3">
      <c r="A695" s="6" t="s">
        <v>4396</v>
      </c>
      <c r="B695" s="7" t="s">
        <v>4386</v>
      </c>
      <c r="C695" s="6" t="s">
        <v>4668</v>
      </c>
      <c r="D695" s="7" t="s">
        <v>4718</v>
      </c>
      <c r="E695" s="6" t="s">
        <v>4719</v>
      </c>
      <c r="F695" s="7" t="s">
        <v>4344</v>
      </c>
      <c r="G695" s="7" t="s">
        <v>4367</v>
      </c>
      <c r="H695" s="5" t="s">
        <v>201</v>
      </c>
      <c r="I695" s="6" t="s">
        <v>202</v>
      </c>
      <c r="J695" s="7" t="s">
        <v>11</v>
      </c>
      <c r="K695" s="36">
        <v>0.25</v>
      </c>
      <c r="L695" s="37">
        <v>679</v>
      </c>
    </row>
    <row r="696" spans="1:12" ht="19.95" customHeight="1" x14ac:dyDescent="0.3">
      <c r="A696" s="2" t="s">
        <v>4396</v>
      </c>
      <c r="B696" s="3" t="s">
        <v>4386</v>
      </c>
      <c r="C696" s="2" t="s">
        <v>4668</v>
      </c>
      <c r="D696" s="3" t="s">
        <v>4720</v>
      </c>
      <c r="E696" s="2" t="s">
        <v>4721</v>
      </c>
      <c r="F696" s="3" t="s">
        <v>4722</v>
      </c>
      <c r="G696" s="3" t="s">
        <v>4367</v>
      </c>
      <c r="H696" s="1" t="s">
        <v>221</v>
      </c>
      <c r="I696" s="2" t="s">
        <v>222</v>
      </c>
      <c r="J696" s="3" t="s">
        <v>11</v>
      </c>
      <c r="K696" s="38">
        <v>2.52</v>
      </c>
      <c r="L696" s="39">
        <v>738</v>
      </c>
    </row>
    <row r="697" spans="1:12" ht="19.95" customHeight="1" x14ac:dyDescent="0.3">
      <c r="A697" s="6" t="s">
        <v>4396</v>
      </c>
      <c r="B697" s="7" t="s">
        <v>4386</v>
      </c>
      <c r="C697" s="6" t="s">
        <v>4668</v>
      </c>
      <c r="D697" s="7" t="s">
        <v>4720</v>
      </c>
      <c r="E697" s="6" t="s">
        <v>4721</v>
      </c>
      <c r="F697" s="7" t="s">
        <v>4722</v>
      </c>
      <c r="G697" s="7" t="s">
        <v>4367</v>
      </c>
      <c r="H697" s="5" t="s">
        <v>223</v>
      </c>
      <c r="I697" s="6" t="s">
        <v>224</v>
      </c>
      <c r="J697" s="7" t="s">
        <v>11</v>
      </c>
      <c r="K697" s="36">
        <v>2.52</v>
      </c>
      <c r="L697" s="37">
        <v>679</v>
      </c>
    </row>
    <row r="698" spans="1:12" ht="19.95" customHeight="1" x14ac:dyDescent="0.3">
      <c r="A698" s="2" t="s">
        <v>4396</v>
      </c>
      <c r="B698" s="3" t="s">
        <v>4386</v>
      </c>
      <c r="C698" s="2" t="s">
        <v>4668</v>
      </c>
      <c r="D698" s="3" t="s">
        <v>4720</v>
      </c>
      <c r="E698" s="2" t="s">
        <v>4721</v>
      </c>
      <c r="F698" s="3" t="s">
        <v>4722</v>
      </c>
      <c r="G698" s="3" t="s">
        <v>4367</v>
      </c>
      <c r="H698" s="1" t="s">
        <v>209</v>
      </c>
      <c r="I698" s="2" t="s">
        <v>210</v>
      </c>
      <c r="J698" s="3" t="s">
        <v>11</v>
      </c>
      <c r="K698" s="38">
        <v>8.06</v>
      </c>
      <c r="L698" s="39">
        <v>558</v>
      </c>
    </row>
    <row r="699" spans="1:12" ht="19.95" customHeight="1" x14ac:dyDescent="0.3">
      <c r="A699" s="6" t="s">
        <v>4396</v>
      </c>
      <c r="B699" s="7" t="s">
        <v>4386</v>
      </c>
      <c r="C699" s="6" t="s">
        <v>4668</v>
      </c>
      <c r="D699" s="7" t="s">
        <v>4723</v>
      </c>
      <c r="E699" s="6" t="s">
        <v>4724</v>
      </c>
      <c r="F699" s="7" t="s">
        <v>4725</v>
      </c>
      <c r="G699" s="7" t="s">
        <v>4367</v>
      </c>
      <c r="H699" s="5" t="s">
        <v>221</v>
      </c>
      <c r="I699" s="6" t="s">
        <v>222</v>
      </c>
      <c r="J699" s="7" t="s">
        <v>11</v>
      </c>
      <c r="K699" s="36">
        <v>2.52</v>
      </c>
      <c r="L699" s="37">
        <v>738</v>
      </c>
    </row>
    <row r="700" spans="1:12" ht="19.95" customHeight="1" x14ac:dyDescent="0.3">
      <c r="A700" s="2" t="s">
        <v>4396</v>
      </c>
      <c r="B700" s="3" t="s">
        <v>4386</v>
      </c>
      <c r="C700" s="2" t="s">
        <v>4668</v>
      </c>
      <c r="D700" s="3" t="s">
        <v>4723</v>
      </c>
      <c r="E700" s="2" t="s">
        <v>4724</v>
      </c>
      <c r="F700" s="3" t="s">
        <v>4725</v>
      </c>
      <c r="G700" s="3" t="s">
        <v>4367</v>
      </c>
      <c r="H700" s="1" t="s">
        <v>223</v>
      </c>
      <c r="I700" s="2" t="s">
        <v>224</v>
      </c>
      <c r="J700" s="3" t="s">
        <v>11</v>
      </c>
      <c r="K700" s="38">
        <v>2.52</v>
      </c>
      <c r="L700" s="39">
        <v>679</v>
      </c>
    </row>
    <row r="701" spans="1:12" ht="19.95" customHeight="1" x14ac:dyDescent="0.3">
      <c r="A701" s="6" t="s">
        <v>4396</v>
      </c>
      <c r="B701" s="7" t="s">
        <v>4386</v>
      </c>
      <c r="C701" s="6" t="s">
        <v>4668</v>
      </c>
      <c r="D701" s="7" t="s">
        <v>4723</v>
      </c>
      <c r="E701" s="6" t="s">
        <v>4724</v>
      </c>
      <c r="F701" s="7" t="s">
        <v>4725</v>
      </c>
      <c r="G701" s="7" t="s">
        <v>4367</v>
      </c>
      <c r="H701" s="5" t="s">
        <v>209</v>
      </c>
      <c r="I701" s="6" t="s">
        <v>210</v>
      </c>
      <c r="J701" s="7" t="s">
        <v>11</v>
      </c>
      <c r="K701" s="36">
        <v>8.06</v>
      </c>
      <c r="L701" s="37">
        <v>558</v>
      </c>
    </row>
    <row r="702" spans="1:12" ht="19.95" customHeight="1" x14ac:dyDescent="0.3">
      <c r="A702" s="2" t="s">
        <v>4396</v>
      </c>
      <c r="B702" s="3" t="s">
        <v>4386</v>
      </c>
      <c r="C702" s="2" t="s">
        <v>4668</v>
      </c>
      <c r="D702" s="3" t="s">
        <v>4726</v>
      </c>
      <c r="E702" s="2" t="s">
        <v>4727</v>
      </c>
      <c r="F702" s="3" t="s">
        <v>4728</v>
      </c>
      <c r="G702" s="3" t="s">
        <v>4367</v>
      </c>
      <c r="H702" s="1" t="s">
        <v>221</v>
      </c>
      <c r="I702" s="2" t="s">
        <v>222</v>
      </c>
      <c r="J702" s="3" t="s">
        <v>11</v>
      </c>
      <c r="K702" s="38">
        <v>0.12</v>
      </c>
      <c r="L702" s="39">
        <v>738</v>
      </c>
    </row>
    <row r="703" spans="1:12" ht="19.95" customHeight="1" x14ac:dyDescent="0.3">
      <c r="A703" s="6" t="s">
        <v>4396</v>
      </c>
      <c r="B703" s="7" t="s">
        <v>4386</v>
      </c>
      <c r="C703" s="6" t="s">
        <v>4668</v>
      </c>
      <c r="D703" s="7" t="s">
        <v>4726</v>
      </c>
      <c r="E703" s="6" t="s">
        <v>4727</v>
      </c>
      <c r="F703" s="7" t="s">
        <v>4728</v>
      </c>
      <c r="G703" s="7" t="s">
        <v>4367</v>
      </c>
      <c r="H703" s="5" t="s">
        <v>223</v>
      </c>
      <c r="I703" s="6" t="s">
        <v>224</v>
      </c>
      <c r="J703" s="7" t="s">
        <v>11</v>
      </c>
      <c r="K703" s="36">
        <v>0.12</v>
      </c>
      <c r="L703" s="37">
        <v>679</v>
      </c>
    </row>
    <row r="704" spans="1:12" ht="19.95" customHeight="1" x14ac:dyDescent="0.3">
      <c r="A704" s="2" t="s">
        <v>4396</v>
      </c>
      <c r="B704" s="3" t="s">
        <v>4386</v>
      </c>
      <c r="C704" s="2" t="s">
        <v>4668</v>
      </c>
      <c r="D704" s="3" t="s">
        <v>4726</v>
      </c>
      <c r="E704" s="2" t="s">
        <v>4727</v>
      </c>
      <c r="F704" s="3" t="s">
        <v>4728</v>
      </c>
      <c r="G704" s="3" t="s">
        <v>4367</v>
      </c>
      <c r="H704" s="1" t="s">
        <v>209</v>
      </c>
      <c r="I704" s="2" t="s">
        <v>210</v>
      </c>
      <c r="J704" s="3" t="s">
        <v>11</v>
      </c>
      <c r="K704" s="38">
        <v>0.25</v>
      </c>
      <c r="L704" s="39">
        <v>558</v>
      </c>
    </row>
    <row r="705" spans="1:12" ht="19.95" customHeight="1" x14ac:dyDescent="0.3">
      <c r="A705" s="6" t="s">
        <v>4396</v>
      </c>
      <c r="B705" s="7" t="s">
        <v>4386</v>
      </c>
      <c r="C705" s="6" t="s">
        <v>4668</v>
      </c>
      <c r="D705" s="7" t="s">
        <v>4729</v>
      </c>
      <c r="E705" s="6" t="s">
        <v>4730</v>
      </c>
      <c r="F705" s="7" t="s">
        <v>4398</v>
      </c>
      <c r="G705" s="7" t="s">
        <v>4367</v>
      </c>
      <c r="H705" s="5" t="s">
        <v>205</v>
      </c>
      <c r="I705" s="6" t="s">
        <v>206</v>
      </c>
      <c r="J705" s="7" t="s">
        <v>11</v>
      </c>
      <c r="K705" s="36">
        <v>0.2</v>
      </c>
      <c r="L705" s="37">
        <v>679</v>
      </c>
    </row>
    <row r="706" spans="1:12" ht="19.95" customHeight="1" x14ac:dyDescent="0.3">
      <c r="A706" s="2" t="s">
        <v>4396</v>
      </c>
      <c r="B706" s="3" t="s">
        <v>4386</v>
      </c>
      <c r="C706" s="2" t="s">
        <v>4668</v>
      </c>
      <c r="D706" s="3" t="s">
        <v>4729</v>
      </c>
      <c r="E706" s="2" t="s">
        <v>4730</v>
      </c>
      <c r="F706" s="3" t="s">
        <v>4398</v>
      </c>
      <c r="G706" s="3" t="s">
        <v>4367</v>
      </c>
      <c r="H706" s="1" t="s">
        <v>209</v>
      </c>
      <c r="I706" s="2" t="s">
        <v>210</v>
      </c>
      <c r="J706" s="3" t="s">
        <v>11</v>
      </c>
      <c r="K706" s="38">
        <v>0.2</v>
      </c>
      <c r="L706" s="39">
        <v>558</v>
      </c>
    </row>
    <row r="707" spans="1:12" ht="19.95" customHeight="1" x14ac:dyDescent="0.3">
      <c r="A707" s="6" t="s">
        <v>4396</v>
      </c>
      <c r="B707" s="7" t="s">
        <v>4386</v>
      </c>
      <c r="C707" s="6" t="s">
        <v>4668</v>
      </c>
      <c r="D707" s="7" t="s">
        <v>4729</v>
      </c>
      <c r="E707" s="6" t="s">
        <v>4730</v>
      </c>
      <c r="F707" s="7" t="s">
        <v>4398</v>
      </c>
      <c r="G707" s="7" t="s">
        <v>4367</v>
      </c>
      <c r="H707" s="5" t="s">
        <v>205</v>
      </c>
      <c r="I707" s="6" t="s">
        <v>206</v>
      </c>
      <c r="J707" s="7" t="s">
        <v>11</v>
      </c>
      <c r="K707" s="36">
        <v>0.27</v>
      </c>
      <c r="L707" s="37">
        <v>679</v>
      </c>
    </row>
    <row r="708" spans="1:12" ht="19.95" customHeight="1" x14ac:dyDescent="0.3">
      <c r="A708" s="2" t="s">
        <v>4396</v>
      </c>
      <c r="B708" s="3" t="s">
        <v>4386</v>
      </c>
      <c r="C708" s="2" t="s">
        <v>4668</v>
      </c>
      <c r="D708" s="3" t="s">
        <v>4729</v>
      </c>
      <c r="E708" s="2" t="s">
        <v>4730</v>
      </c>
      <c r="F708" s="3" t="s">
        <v>4398</v>
      </c>
      <c r="G708" s="3" t="s">
        <v>4367</v>
      </c>
      <c r="H708" s="1" t="s">
        <v>209</v>
      </c>
      <c r="I708" s="2" t="s">
        <v>210</v>
      </c>
      <c r="J708" s="3" t="s">
        <v>11</v>
      </c>
      <c r="K708" s="38">
        <v>0.27</v>
      </c>
      <c r="L708" s="39">
        <v>558</v>
      </c>
    </row>
    <row r="709" spans="1:12" ht="19.95" customHeight="1" x14ac:dyDescent="0.3">
      <c r="A709" s="6" t="s">
        <v>4396</v>
      </c>
      <c r="B709" s="7" t="s">
        <v>4386</v>
      </c>
      <c r="C709" s="6" t="s">
        <v>4668</v>
      </c>
      <c r="D709" s="7" t="s">
        <v>4731</v>
      </c>
      <c r="E709" s="6" t="s">
        <v>4732</v>
      </c>
      <c r="F709" s="7" t="s">
        <v>4733</v>
      </c>
      <c r="G709" s="7" t="s">
        <v>4367</v>
      </c>
      <c r="H709" s="5" t="s">
        <v>205</v>
      </c>
      <c r="I709" s="6" t="s">
        <v>206</v>
      </c>
      <c r="J709" s="7" t="s">
        <v>11</v>
      </c>
      <c r="K709" s="36">
        <v>6.7000000000000004E-2</v>
      </c>
      <c r="L709" s="37">
        <v>679</v>
      </c>
    </row>
    <row r="710" spans="1:12" ht="19.95" customHeight="1" x14ac:dyDescent="0.3">
      <c r="A710" s="2" t="s">
        <v>4396</v>
      </c>
      <c r="B710" s="3" t="s">
        <v>4386</v>
      </c>
      <c r="C710" s="2" t="s">
        <v>4668</v>
      </c>
      <c r="D710" s="3" t="s">
        <v>4731</v>
      </c>
      <c r="E710" s="2" t="s">
        <v>4732</v>
      </c>
      <c r="F710" s="3" t="s">
        <v>4733</v>
      </c>
      <c r="G710" s="3" t="s">
        <v>4367</v>
      </c>
      <c r="H710" s="1" t="s">
        <v>209</v>
      </c>
      <c r="I710" s="2" t="s">
        <v>210</v>
      </c>
      <c r="J710" s="3" t="s">
        <v>11</v>
      </c>
      <c r="K710" s="38">
        <v>6.7000000000000004E-2</v>
      </c>
      <c r="L710" s="39">
        <v>558</v>
      </c>
    </row>
    <row r="711" spans="1:12" ht="19.95" customHeight="1" x14ac:dyDescent="0.3">
      <c r="A711" s="6" t="s">
        <v>4396</v>
      </c>
      <c r="B711" s="7" t="s">
        <v>4386</v>
      </c>
      <c r="C711" s="6" t="s">
        <v>4668</v>
      </c>
      <c r="D711" s="7" t="s">
        <v>4731</v>
      </c>
      <c r="E711" s="6" t="s">
        <v>4732</v>
      </c>
      <c r="F711" s="7" t="s">
        <v>4733</v>
      </c>
      <c r="G711" s="7" t="s">
        <v>4367</v>
      </c>
      <c r="H711" s="5" t="s">
        <v>205</v>
      </c>
      <c r="I711" s="6" t="s">
        <v>206</v>
      </c>
      <c r="J711" s="7" t="s">
        <v>11</v>
      </c>
      <c r="K711" s="36">
        <v>8.8999999999999996E-2</v>
      </c>
      <c r="L711" s="37">
        <v>679</v>
      </c>
    </row>
    <row r="712" spans="1:12" ht="19.95" customHeight="1" x14ac:dyDescent="0.3">
      <c r="A712" s="2" t="s">
        <v>4396</v>
      </c>
      <c r="B712" s="3" t="s">
        <v>4386</v>
      </c>
      <c r="C712" s="2" t="s">
        <v>4668</v>
      </c>
      <c r="D712" s="3" t="s">
        <v>4731</v>
      </c>
      <c r="E712" s="2" t="s">
        <v>4732</v>
      </c>
      <c r="F712" s="3" t="s">
        <v>4733</v>
      </c>
      <c r="G712" s="3" t="s">
        <v>4367</v>
      </c>
      <c r="H712" s="1" t="s">
        <v>209</v>
      </c>
      <c r="I712" s="2" t="s">
        <v>210</v>
      </c>
      <c r="J712" s="3" t="s">
        <v>11</v>
      </c>
      <c r="K712" s="38">
        <v>8.8999999999999996E-2</v>
      </c>
      <c r="L712" s="39">
        <v>558</v>
      </c>
    </row>
    <row r="713" spans="1:12" ht="19.95" customHeight="1" x14ac:dyDescent="0.3">
      <c r="A713" s="6" t="s">
        <v>4396</v>
      </c>
      <c r="B713" s="7" t="s">
        <v>4386</v>
      </c>
      <c r="C713" s="6" t="s">
        <v>4668</v>
      </c>
      <c r="D713" s="7" t="s">
        <v>4734</v>
      </c>
      <c r="E713" s="6" t="s">
        <v>4735</v>
      </c>
      <c r="F713" s="7" t="s">
        <v>4736</v>
      </c>
      <c r="G713" s="7" t="s">
        <v>4367</v>
      </c>
      <c r="H713" s="5" t="s">
        <v>205</v>
      </c>
      <c r="I713" s="6" t="s">
        <v>206</v>
      </c>
      <c r="J713" s="7" t="s">
        <v>11</v>
      </c>
      <c r="K713" s="36">
        <v>0.2</v>
      </c>
      <c r="L713" s="37">
        <v>679</v>
      </c>
    </row>
    <row r="714" spans="1:12" ht="19.95" customHeight="1" x14ac:dyDescent="0.3">
      <c r="A714" s="2" t="s">
        <v>4396</v>
      </c>
      <c r="B714" s="3" t="s">
        <v>4386</v>
      </c>
      <c r="C714" s="2" t="s">
        <v>4668</v>
      </c>
      <c r="D714" s="3" t="s">
        <v>4734</v>
      </c>
      <c r="E714" s="2" t="s">
        <v>4735</v>
      </c>
      <c r="F714" s="3" t="s">
        <v>4736</v>
      </c>
      <c r="G714" s="3" t="s">
        <v>4367</v>
      </c>
      <c r="H714" s="1" t="s">
        <v>209</v>
      </c>
      <c r="I714" s="2" t="s">
        <v>210</v>
      </c>
      <c r="J714" s="3" t="s">
        <v>11</v>
      </c>
      <c r="K714" s="38">
        <v>0.2</v>
      </c>
      <c r="L714" s="39">
        <v>558</v>
      </c>
    </row>
    <row r="715" spans="1:12" ht="19.95" customHeight="1" x14ac:dyDescent="0.3">
      <c r="A715" s="6" t="s">
        <v>4396</v>
      </c>
      <c r="B715" s="7" t="s">
        <v>4386</v>
      </c>
      <c r="C715" s="6" t="s">
        <v>4668</v>
      </c>
      <c r="D715" s="7" t="s">
        <v>4734</v>
      </c>
      <c r="E715" s="6" t="s">
        <v>4735</v>
      </c>
      <c r="F715" s="7" t="s">
        <v>4398</v>
      </c>
      <c r="G715" s="7" t="s">
        <v>4367</v>
      </c>
      <c r="H715" s="5" t="s">
        <v>205</v>
      </c>
      <c r="I715" s="6" t="s">
        <v>206</v>
      </c>
      <c r="J715" s="7" t="s">
        <v>11</v>
      </c>
      <c r="K715" s="36">
        <v>0.27</v>
      </c>
      <c r="L715" s="37">
        <v>679</v>
      </c>
    </row>
    <row r="716" spans="1:12" ht="19.95" customHeight="1" x14ac:dyDescent="0.3">
      <c r="A716" s="2" t="s">
        <v>4396</v>
      </c>
      <c r="B716" s="3" t="s">
        <v>4386</v>
      </c>
      <c r="C716" s="2" t="s">
        <v>4668</v>
      </c>
      <c r="D716" s="3" t="s">
        <v>4734</v>
      </c>
      <c r="E716" s="2" t="s">
        <v>4735</v>
      </c>
      <c r="F716" s="3" t="s">
        <v>4398</v>
      </c>
      <c r="G716" s="3" t="s">
        <v>4367</v>
      </c>
      <c r="H716" s="1" t="s">
        <v>209</v>
      </c>
      <c r="I716" s="2" t="s">
        <v>210</v>
      </c>
      <c r="J716" s="3" t="s">
        <v>11</v>
      </c>
      <c r="K716" s="38">
        <v>0.27</v>
      </c>
      <c r="L716" s="39">
        <v>558</v>
      </c>
    </row>
    <row r="717" spans="1:12" ht="19.95" customHeight="1" x14ac:dyDescent="0.3">
      <c r="A717" s="6" t="s">
        <v>4396</v>
      </c>
      <c r="B717" s="7" t="s">
        <v>4386</v>
      </c>
      <c r="C717" s="6" t="s">
        <v>4668</v>
      </c>
      <c r="D717" s="7" t="s">
        <v>4737</v>
      </c>
      <c r="E717" s="6" t="s">
        <v>4738</v>
      </c>
      <c r="F717" s="7" t="s">
        <v>4384</v>
      </c>
      <c r="G717" s="7" t="s">
        <v>4367</v>
      </c>
      <c r="H717" s="5" t="s">
        <v>255</v>
      </c>
      <c r="I717" s="6" t="s">
        <v>256</v>
      </c>
      <c r="J717" s="7" t="s">
        <v>11</v>
      </c>
      <c r="K717" s="36">
        <v>0.24</v>
      </c>
      <c r="L717" s="37">
        <v>709</v>
      </c>
    </row>
    <row r="718" spans="1:12" ht="19.95" customHeight="1" x14ac:dyDescent="0.3">
      <c r="A718" s="2" t="s">
        <v>4396</v>
      </c>
      <c r="B718" s="3" t="s">
        <v>4386</v>
      </c>
      <c r="C718" s="2" t="s">
        <v>4668</v>
      </c>
      <c r="D718" s="3" t="s">
        <v>4737</v>
      </c>
      <c r="E718" s="2" t="s">
        <v>4738</v>
      </c>
      <c r="F718" s="3" t="s">
        <v>4384</v>
      </c>
      <c r="G718" s="3" t="s">
        <v>4367</v>
      </c>
      <c r="H718" s="1" t="s">
        <v>209</v>
      </c>
      <c r="I718" s="2" t="s">
        <v>210</v>
      </c>
      <c r="J718" s="3" t="s">
        <v>11</v>
      </c>
      <c r="K718" s="38">
        <v>2.75</v>
      </c>
      <c r="L718" s="39">
        <v>558</v>
      </c>
    </row>
    <row r="719" spans="1:12" ht="19.95" customHeight="1" x14ac:dyDescent="0.3">
      <c r="A719" s="6" t="s">
        <v>4396</v>
      </c>
      <c r="B719" s="7" t="s">
        <v>4386</v>
      </c>
      <c r="C719" s="6" t="s">
        <v>4668</v>
      </c>
      <c r="D719" s="7" t="s">
        <v>4737</v>
      </c>
      <c r="E719" s="6" t="s">
        <v>4738</v>
      </c>
      <c r="F719" s="7" t="s">
        <v>4384</v>
      </c>
      <c r="G719" s="7" t="s">
        <v>4367</v>
      </c>
      <c r="H719" s="5" t="s">
        <v>197</v>
      </c>
      <c r="I719" s="6" t="s">
        <v>198</v>
      </c>
      <c r="J719" s="7" t="s">
        <v>11</v>
      </c>
      <c r="K719" s="36">
        <v>0.9</v>
      </c>
      <c r="L719" s="37">
        <v>617</v>
      </c>
    </row>
    <row r="720" spans="1:12" ht="19.95" customHeight="1" x14ac:dyDescent="0.3">
      <c r="A720" s="2" t="s">
        <v>4396</v>
      </c>
      <c r="B720" s="3" t="s">
        <v>4386</v>
      </c>
      <c r="C720" s="2" t="s">
        <v>4668</v>
      </c>
      <c r="D720" s="3" t="s">
        <v>4737</v>
      </c>
      <c r="E720" s="2" t="s">
        <v>4738</v>
      </c>
      <c r="F720" s="3" t="s">
        <v>4384</v>
      </c>
      <c r="G720" s="3" t="s">
        <v>4369</v>
      </c>
      <c r="H720" s="1" t="s">
        <v>12</v>
      </c>
      <c r="I720" s="2" t="s">
        <v>4388</v>
      </c>
      <c r="J720" s="3" t="s">
        <v>11</v>
      </c>
      <c r="K720" s="38">
        <v>0.08</v>
      </c>
      <c r="L720" s="39">
        <v>800</v>
      </c>
    </row>
    <row r="721" spans="1:12" ht="19.95" customHeight="1" x14ac:dyDescent="0.3">
      <c r="A721" s="6" t="s">
        <v>4396</v>
      </c>
      <c r="B721" s="7" t="s">
        <v>4386</v>
      </c>
      <c r="C721" s="6" t="s">
        <v>4668</v>
      </c>
      <c r="D721" s="7" t="s">
        <v>4737</v>
      </c>
      <c r="E721" s="6" t="s">
        <v>4738</v>
      </c>
      <c r="F721" s="7" t="s">
        <v>4384</v>
      </c>
      <c r="G721" s="7" t="s">
        <v>4369</v>
      </c>
      <c r="H721" s="5" t="s">
        <v>33</v>
      </c>
      <c r="I721" s="6" t="s">
        <v>4387</v>
      </c>
      <c r="J721" s="7" t="s">
        <v>11</v>
      </c>
      <c r="K721" s="36">
        <v>0.08</v>
      </c>
      <c r="L721" s="37">
        <v>370</v>
      </c>
    </row>
    <row r="722" spans="1:12" ht="19.95" customHeight="1" x14ac:dyDescent="0.3">
      <c r="A722" s="2" t="s">
        <v>4396</v>
      </c>
      <c r="B722" s="3" t="s">
        <v>4386</v>
      </c>
      <c r="C722" s="2" t="s">
        <v>4668</v>
      </c>
      <c r="D722" s="3" t="s">
        <v>4737</v>
      </c>
      <c r="E722" s="2" t="s">
        <v>4738</v>
      </c>
      <c r="F722" s="3" t="s">
        <v>4384</v>
      </c>
      <c r="G722" s="3" t="s">
        <v>4367</v>
      </c>
      <c r="H722" s="1" t="s">
        <v>211</v>
      </c>
      <c r="I722" s="2" t="s">
        <v>212</v>
      </c>
      <c r="J722" s="3" t="s">
        <v>11</v>
      </c>
      <c r="K722" s="38">
        <v>1.88</v>
      </c>
      <c r="L722" s="39">
        <v>558</v>
      </c>
    </row>
    <row r="723" spans="1:12" ht="19.95" customHeight="1" x14ac:dyDescent="0.3">
      <c r="A723" s="6" t="s">
        <v>4396</v>
      </c>
      <c r="B723" s="7" t="s">
        <v>4386</v>
      </c>
      <c r="C723" s="6" t="s">
        <v>4668</v>
      </c>
      <c r="D723" s="7" t="s">
        <v>4739</v>
      </c>
      <c r="E723" s="6" t="s">
        <v>4740</v>
      </c>
      <c r="F723" s="7" t="s">
        <v>4741</v>
      </c>
      <c r="G723" s="7" t="s">
        <v>4367</v>
      </c>
      <c r="H723" s="5" t="s">
        <v>221</v>
      </c>
      <c r="I723" s="6" t="s">
        <v>222</v>
      </c>
      <c r="J723" s="7" t="s">
        <v>11</v>
      </c>
      <c r="K723" s="36">
        <v>0.5</v>
      </c>
      <c r="L723" s="37">
        <v>738</v>
      </c>
    </row>
    <row r="724" spans="1:12" ht="19.95" customHeight="1" x14ac:dyDescent="0.3">
      <c r="A724" s="2" t="s">
        <v>4396</v>
      </c>
      <c r="B724" s="3" t="s">
        <v>4386</v>
      </c>
      <c r="C724" s="2" t="s">
        <v>4668</v>
      </c>
      <c r="D724" s="3" t="s">
        <v>4739</v>
      </c>
      <c r="E724" s="2" t="s">
        <v>4740</v>
      </c>
      <c r="F724" s="3" t="s">
        <v>4741</v>
      </c>
      <c r="G724" s="3" t="s">
        <v>4367</v>
      </c>
      <c r="H724" s="1" t="s">
        <v>223</v>
      </c>
      <c r="I724" s="2" t="s">
        <v>224</v>
      </c>
      <c r="J724" s="3" t="s">
        <v>11</v>
      </c>
      <c r="K724" s="38">
        <v>0.5</v>
      </c>
      <c r="L724" s="39">
        <v>679</v>
      </c>
    </row>
    <row r="725" spans="1:12" ht="19.95" customHeight="1" x14ac:dyDescent="0.3">
      <c r="A725" s="6" t="s">
        <v>4396</v>
      </c>
      <c r="B725" s="7" t="s">
        <v>4386</v>
      </c>
      <c r="C725" s="6" t="s">
        <v>4668</v>
      </c>
      <c r="D725" s="7" t="s">
        <v>4739</v>
      </c>
      <c r="E725" s="6" t="s">
        <v>4740</v>
      </c>
      <c r="F725" s="7" t="s">
        <v>4741</v>
      </c>
      <c r="G725" s="7" t="s">
        <v>4367</v>
      </c>
      <c r="H725" s="5" t="s">
        <v>211</v>
      </c>
      <c r="I725" s="6" t="s">
        <v>212</v>
      </c>
      <c r="J725" s="7" t="s">
        <v>11</v>
      </c>
      <c r="K725" s="36">
        <v>1</v>
      </c>
      <c r="L725" s="37">
        <v>558</v>
      </c>
    </row>
    <row r="726" spans="1:12" ht="19.95" customHeight="1" x14ac:dyDescent="0.3">
      <c r="A726" s="2" t="s">
        <v>4396</v>
      </c>
      <c r="B726" s="3" t="s">
        <v>4386</v>
      </c>
      <c r="C726" s="2" t="s">
        <v>4668</v>
      </c>
      <c r="D726" s="3" t="s">
        <v>4742</v>
      </c>
      <c r="E726" s="2" t="s">
        <v>4743</v>
      </c>
      <c r="F726" s="3" t="s">
        <v>4401</v>
      </c>
      <c r="G726" s="3" t="s">
        <v>4369</v>
      </c>
      <c r="H726" s="1" t="s">
        <v>31</v>
      </c>
      <c r="I726" s="2" t="s">
        <v>4400</v>
      </c>
      <c r="J726" s="3" t="s">
        <v>11</v>
      </c>
      <c r="K726" s="38">
        <v>0.375</v>
      </c>
      <c r="L726" s="39">
        <v>700</v>
      </c>
    </row>
    <row r="727" spans="1:12" ht="19.95" customHeight="1" x14ac:dyDescent="0.3">
      <c r="A727" s="6" t="s">
        <v>4396</v>
      </c>
      <c r="B727" s="7" t="s">
        <v>4386</v>
      </c>
      <c r="C727" s="6" t="s">
        <v>4668</v>
      </c>
      <c r="D727" s="7" t="s">
        <v>4742</v>
      </c>
      <c r="E727" s="6" t="s">
        <v>4743</v>
      </c>
      <c r="F727" s="7" t="s">
        <v>4401</v>
      </c>
      <c r="G727" s="7" t="s">
        <v>4367</v>
      </c>
      <c r="H727" s="5" t="s">
        <v>209</v>
      </c>
      <c r="I727" s="6" t="s">
        <v>210</v>
      </c>
      <c r="J727" s="7" t="s">
        <v>11</v>
      </c>
      <c r="K727" s="36">
        <v>4</v>
      </c>
      <c r="L727" s="37">
        <v>558</v>
      </c>
    </row>
    <row r="728" spans="1:12" ht="19.95" customHeight="1" x14ac:dyDescent="0.3">
      <c r="A728" s="2" t="s">
        <v>4396</v>
      </c>
      <c r="B728" s="3" t="s">
        <v>4386</v>
      </c>
      <c r="C728" s="2" t="s">
        <v>4668</v>
      </c>
      <c r="D728" s="3" t="s">
        <v>4744</v>
      </c>
      <c r="E728" s="2" t="s">
        <v>4745</v>
      </c>
      <c r="F728" s="3" t="s">
        <v>4401</v>
      </c>
      <c r="G728" s="3" t="s">
        <v>4367</v>
      </c>
      <c r="H728" s="1" t="s">
        <v>221</v>
      </c>
      <c r="I728" s="2" t="s">
        <v>222</v>
      </c>
      <c r="J728" s="3" t="s">
        <v>11</v>
      </c>
      <c r="K728" s="38">
        <v>0.02</v>
      </c>
      <c r="L728" s="39">
        <v>738</v>
      </c>
    </row>
    <row r="729" spans="1:12" ht="19.95" customHeight="1" x14ac:dyDescent="0.3">
      <c r="A729" s="6" t="s">
        <v>4396</v>
      </c>
      <c r="B729" s="7" t="s">
        <v>4386</v>
      </c>
      <c r="C729" s="6" t="s">
        <v>4668</v>
      </c>
      <c r="D729" s="7" t="s">
        <v>4744</v>
      </c>
      <c r="E729" s="6" t="s">
        <v>4745</v>
      </c>
      <c r="F729" s="7" t="s">
        <v>4401</v>
      </c>
      <c r="G729" s="7" t="s">
        <v>4367</v>
      </c>
      <c r="H729" s="5" t="s">
        <v>223</v>
      </c>
      <c r="I729" s="6" t="s">
        <v>224</v>
      </c>
      <c r="J729" s="7" t="s">
        <v>11</v>
      </c>
      <c r="K729" s="36">
        <v>0.02</v>
      </c>
      <c r="L729" s="37">
        <v>679</v>
      </c>
    </row>
    <row r="730" spans="1:12" ht="19.95" customHeight="1" x14ac:dyDescent="0.3">
      <c r="A730" s="2" t="s">
        <v>4396</v>
      </c>
      <c r="B730" s="3" t="s">
        <v>4386</v>
      </c>
      <c r="C730" s="2" t="s">
        <v>4668</v>
      </c>
      <c r="D730" s="3" t="s">
        <v>4744</v>
      </c>
      <c r="E730" s="2" t="s">
        <v>4745</v>
      </c>
      <c r="F730" s="3" t="s">
        <v>4401</v>
      </c>
      <c r="G730" s="3" t="s">
        <v>4367</v>
      </c>
      <c r="H730" s="1" t="s">
        <v>209</v>
      </c>
      <c r="I730" s="2" t="s">
        <v>210</v>
      </c>
      <c r="J730" s="3" t="s">
        <v>11</v>
      </c>
      <c r="K730" s="38">
        <v>0.25</v>
      </c>
      <c r="L730" s="39">
        <v>558</v>
      </c>
    </row>
    <row r="731" spans="1:12" ht="19.95" customHeight="1" x14ac:dyDescent="0.3">
      <c r="A731" s="6" t="s">
        <v>4396</v>
      </c>
      <c r="B731" s="7" t="s">
        <v>4386</v>
      </c>
      <c r="C731" s="6" t="s">
        <v>4668</v>
      </c>
      <c r="D731" s="7" t="s">
        <v>4744</v>
      </c>
      <c r="E731" s="6" t="s">
        <v>4745</v>
      </c>
      <c r="F731" s="7" t="s">
        <v>4401</v>
      </c>
      <c r="G731" s="7" t="s">
        <v>4367</v>
      </c>
      <c r="H731" s="5" t="s">
        <v>211</v>
      </c>
      <c r="I731" s="6" t="s">
        <v>212</v>
      </c>
      <c r="J731" s="7" t="s">
        <v>11</v>
      </c>
      <c r="K731" s="36">
        <v>0.15</v>
      </c>
      <c r="L731" s="37">
        <v>558</v>
      </c>
    </row>
    <row r="732" spans="1:12" ht="19.95" customHeight="1" x14ac:dyDescent="0.3">
      <c r="A732" s="2" t="s">
        <v>4396</v>
      </c>
      <c r="B732" s="3" t="s">
        <v>4386</v>
      </c>
      <c r="C732" s="2" t="s">
        <v>4668</v>
      </c>
      <c r="D732" s="3" t="s">
        <v>4746</v>
      </c>
      <c r="E732" s="2" t="s">
        <v>4747</v>
      </c>
      <c r="F732" s="3" t="s">
        <v>4390</v>
      </c>
      <c r="G732" s="3" t="s">
        <v>4369</v>
      </c>
      <c r="H732" s="1" t="s">
        <v>16</v>
      </c>
      <c r="I732" s="2" t="s">
        <v>4389</v>
      </c>
      <c r="J732" s="3" t="s">
        <v>18</v>
      </c>
      <c r="K732" s="38">
        <v>1</v>
      </c>
      <c r="L732" s="39">
        <v>350</v>
      </c>
    </row>
    <row r="733" spans="1:12" ht="19.95" customHeight="1" x14ac:dyDescent="0.3">
      <c r="A733" s="6" t="s">
        <v>4396</v>
      </c>
      <c r="B733" s="7" t="s">
        <v>4386</v>
      </c>
      <c r="C733" s="6" t="s">
        <v>4668</v>
      </c>
      <c r="D733" s="7" t="s">
        <v>4746</v>
      </c>
      <c r="E733" s="6" t="s">
        <v>4747</v>
      </c>
      <c r="F733" s="7" t="s">
        <v>4390</v>
      </c>
      <c r="G733" s="7" t="s">
        <v>4369</v>
      </c>
      <c r="H733" s="5" t="s">
        <v>27</v>
      </c>
      <c r="I733" s="6" t="s">
        <v>4393</v>
      </c>
      <c r="J733" s="7" t="s">
        <v>18</v>
      </c>
      <c r="K733" s="36">
        <v>1</v>
      </c>
      <c r="L733" s="37">
        <v>210</v>
      </c>
    </row>
    <row r="734" spans="1:12" ht="19.95" customHeight="1" x14ac:dyDescent="0.3">
      <c r="A734" s="2" t="s">
        <v>4396</v>
      </c>
      <c r="B734" s="3" t="s">
        <v>4386</v>
      </c>
      <c r="C734" s="2" t="s">
        <v>4668</v>
      </c>
      <c r="D734" s="3" t="s">
        <v>4746</v>
      </c>
      <c r="E734" s="2" t="s">
        <v>4747</v>
      </c>
      <c r="F734" s="3" t="s">
        <v>4390</v>
      </c>
      <c r="G734" s="3" t="s">
        <v>4367</v>
      </c>
      <c r="H734" s="1" t="s">
        <v>255</v>
      </c>
      <c r="I734" s="2" t="s">
        <v>256</v>
      </c>
      <c r="J734" s="3" t="s">
        <v>11</v>
      </c>
      <c r="K734" s="38">
        <v>0.17</v>
      </c>
      <c r="L734" s="39">
        <v>709</v>
      </c>
    </row>
    <row r="735" spans="1:12" ht="19.95" customHeight="1" x14ac:dyDescent="0.3">
      <c r="A735" s="6" t="s">
        <v>4396</v>
      </c>
      <c r="B735" s="7" t="s">
        <v>4386</v>
      </c>
      <c r="C735" s="6" t="s">
        <v>4668</v>
      </c>
      <c r="D735" s="7" t="s">
        <v>4746</v>
      </c>
      <c r="E735" s="6" t="s">
        <v>4747</v>
      </c>
      <c r="F735" s="7" t="s">
        <v>4390</v>
      </c>
      <c r="G735" s="7" t="s">
        <v>4367</v>
      </c>
      <c r="H735" s="5" t="s">
        <v>209</v>
      </c>
      <c r="I735" s="6" t="s">
        <v>210</v>
      </c>
      <c r="J735" s="7" t="s">
        <v>11</v>
      </c>
      <c r="K735" s="36">
        <v>2</v>
      </c>
      <c r="L735" s="37">
        <v>558</v>
      </c>
    </row>
    <row r="736" spans="1:12" ht="19.95" customHeight="1" x14ac:dyDescent="0.3">
      <c r="A736" s="2" t="s">
        <v>4396</v>
      </c>
      <c r="B736" s="3" t="s">
        <v>4386</v>
      </c>
      <c r="C736" s="2" t="s">
        <v>4668</v>
      </c>
      <c r="D736" s="3" t="s">
        <v>4746</v>
      </c>
      <c r="E736" s="2" t="s">
        <v>4747</v>
      </c>
      <c r="F736" s="3" t="s">
        <v>4390</v>
      </c>
      <c r="G736" s="3" t="s">
        <v>4367</v>
      </c>
      <c r="H736" s="1" t="s">
        <v>197</v>
      </c>
      <c r="I736" s="2" t="s">
        <v>198</v>
      </c>
      <c r="J736" s="3" t="s">
        <v>11</v>
      </c>
      <c r="K736" s="38">
        <v>0.9</v>
      </c>
      <c r="L736" s="39">
        <v>617</v>
      </c>
    </row>
    <row r="737" spans="1:12" ht="19.95" customHeight="1" x14ac:dyDescent="0.3">
      <c r="A737" s="6" t="s">
        <v>4396</v>
      </c>
      <c r="B737" s="7" t="s">
        <v>4386</v>
      </c>
      <c r="C737" s="6" t="s">
        <v>4668</v>
      </c>
      <c r="D737" s="7" t="s">
        <v>4746</v>
      </c>
      <c r="E737" s="6" t="s">
        <v>4747</v>
      </c>
      <c r="F737" s="7" t="s">
        <v>4390</v>
      </c>
      <c r="G737" s="7" t="s">
        <v>4369</v>
      </c>
      <c r="H737" s="5" t="s">
        <v>33</v>
      </c>
      <c r="I737" s="6" t="s">
        <v>4387</v>
      </c>
      <c r="J737" s="7" t="s">
        <v>11</v>
      </c>
      <c r="K737" s="36">
        <v>7.0000000000000007E-2</v>
      </c>
      <c r="L737" s="37">
        <v>370</v>
      </c>
    </row>
    <row r="738" spans="1:12" ht="19.95" customHeight="1" x14ac:dyDescent="0.3">
      <c r="A738" s="2" t="s">
        <v>4396</v>
      </c>
      <c r="B738" s="3" t="s">
        <v>4386</v>
      </c>
      <c r="C738" s="2" t="s">
        <v>4668</v>
      </c>
      <c r="D738" s="3" t="s">
        <v>4748</v>
      </c>
      <c r="E738" s="2" t="s">
        <v>4749</v>
      </c>
      <c r="F738" s="3" t="s">
        <v>4390</v>
      </c>
      <c r="G738" s="3" t="s">
        <v>4369</v>
      </c>
      <c r="H738" s="1" t="s">
        <v>16</v>
      </c>
      <c r="I738" s="2" t="s">
        <v>4389</v>
      </c>
      <c r="J738" s="3" t="s">
        <v>18</v>
      </c>
      <c r="K738" s="38">
        <v>1</v>
      </c>
      <c r="L738" s="39">
        <v>350</v>
      </c>
    </row>
    <row r="739" spans="1:12" ht="19.95" customHeight="1" x14ac:dyDescent="0.3">
      <c r="A739" s="6" t="s">
        <v>4396</v>
      </c>
      <c r="B739" s="7" t="s">
        <v>4386</v>
      </c>
      <c r="C739" s="6" t="s">
        <v>4668</v>
      </c>
      <c r="D739" s="7" t="s">
        <v>4748</v>
      </c>
      <c r="E739" s="6" t="s">
        <v>4749</v>
      </c>
      <c r="F739" s="7" t="s">
        <v>4390</v>
      </c>
      <c r="G739" s="7" t="s">
        <v>4369</v>
      </c>
      <c r="H739" s="5" t="s">
        <v>27</v>
      </c>
      <c r="I739" s="6" t="s">
        <v>4393</v>
      </c>
      <c r="J739" s="7" t="s">
        <v>18</v>
      </c>
      <c r="K739" s="36">
        <v>1</v>
      </c>
      <c r="L739" s="37">
        <v>210</v>
      </c>
    </row>
    <row r="740" spans="1:12" ht="19.95" customHeight="1" x14ac:dyDescent="0.3">
      <c r="A740" s="2" t="s">
        <v>4396</v>
      </c>
      <c r="B740" s="3" t="s">
        <v>4386</v>
      </c>
      <c r="C740" s="2" t="s">
        <v>4668</v>
      </c>
      <c r="D740" s="3" t="s">
        <v>4748</v>
      </c>
      <c r="E740" s="2" t="s">
        <v>4749</v>
      </c>
      <c r="F740" s="3" t="s">
        <v>4390</v>
      </c>
      <c r="G740" s="3" t="s">
        <v>4367</v>
      </c>
      <c r="H740" s="1" t="s">
        <v>255</v>
      </c>
      <c r="I740" s="2" t="s">
        <v>256</v>
      </c>
      <c r="J740" s="3" t="s">
        <v>11</v>
      </c>
      <c r="K740" s="38">
        <v>0.17</v>
      </c>
      <c r="L740" s="39">
        <v>709</v>
      </c>
    </row>
    <row r="741" spans="1:12" ht="19.95" customHeight="1" x14ac:dyDescent="0.3">
      <c r="A741" s="6" t="s">
        <v>4396</v>
      </c>
      <c r="B741" s="7" t="s">
        <v>4386</v>
      </c>
      <c r="C741" s="6" t="s">
        <v>4668</v>
      </c>
      <c r="D741" s="7" t="s">
        <v>4748</v>
      </c>
      <c r="E741" s="6" t="s">
        <v>4749</v>
      </c>
      <c r="F741" s="7" t="s">
        <v>4390</v>
      </c>
      <c r="G741" s="7" t="s">
        <v>4367</v>
      </c>
      <c r="H741" s="5" t="s">
        <v>209</v>
      </c>
      <c r="I741" s="6" t="s">
        <v>210</v>
      </c>
      <c r="J741" s="7" t="s">
        <v>11</v>
      </c>
      <c r="K741" s="36">
        <v>2</v>
      </c>
      <c r="L741" s="37">
        <v>558</v>
      </c>
    </row>
    <row r="742" spans="1:12" ht="19.95" customHeight="1" x14ac:dyDescent="0.3">
      <c r="A742" s="2" t="s">
        <v>4396</v>
      </c>
      <c r="B742" s="3" t="s">
        <v>4386</v>
      </c>
      <c r="C742" s="2" t="s">
        <v>4668</v>
      </c>
      <c r="D742" s="3" t="s">
        <v>4748</v>
      </c>
      <c r="E742" s="2" t="s">
        <v>4749</v>
      </c>
      <c r="F742" s="3" t="s">
        <v>4390</v>
      </c>
      <c r="G742" s="3" t="s">
        <v>4367</v>
      </c>
      <c r="H742" s="1" t="s">
        <v>197</v>
      </c>
      <c r="I742" s="2" t="s">
        <v>198</v>
      </c>
      <c r="J742" s="3" t="s">
        <v>11</v>
      </c>
      <c r="K742" s="38">
        <v>0.9</v>
      </c>
      <c r="L742" s="39">
        <v>617</v>
      </c>
    </row>
    <row r="743" spans="1:12" ht="19.95" customHeight="1" x14ac:dyDescent="0.3">
      <c r="A743" s="6" t="s">
        <v>4396</v>
      </c>
      <c r="B743" s="7" t="s">
        <v>4386</v>
      </c>
      <c r="C743" s="6" t="s">
        <v>4668</v>
      </c>
      <c r="D743" s="7" t="s">
        <v>4748</v>
      </c>
      <c r="E743" s="6" t="s">
        <v>4749</v>
      </c>
      <c r="F743" s="7" t="s">
        <v>4390</v>
      </c>
      <c r="G743" s="7" t="s">
        <v>4369</v>
      </c>
      <c r="H743" s="5" t="s">
        <v>33</v>
      </c>
      <c r="I743" s="6" t="s">
        <v>4387</v>
      </c>
      <c r="J743" s="7" t="s">
        <v>11</v>
      </c>
      <c r="K743" s="36">
        <v>7.0000000000000007E-2</v>
      </c>
      <c r="L743" s="37">
        <v>370</v>
      </c>
    </row>
    <row r="744" spans="1:12" ht="19.95" customHeight="1" x14ac:dyDescent="0.3">
      <c r="A744" s="2" t="s">
        <v>4396</v>
      </c>
      <c r="B744" s="3" t="s">
        <v>4386</v>
      </c>
      <c r="C744" s="2" t="s">
        <v>4668</v>
      </c>
      <c r="D744" s="3" t="s">
        <v>4748</v>
      </c>
      <c r="E744" s="2" t="s">
        <v>4749</v>
      </c>
      <c r="F744" s="3" t="s">
        <v>4390</v>
      </c>
      <c r="G744" s="3" t="s">
        <v>4367</v>
      </c>
      <c r="H744" s="1" t="s">
        <v>211</v>
      </c>
      <c r="I744" s="2" t="s">
        <v>212</v>
      </c>
      <c r="J744" s="3" t="s">
        <v>11</v>
      </c>
      <c r="K744" s="38">
        <v>1.88</v>
      </c>
      <c r="L744" s="39">
        <v>558</v>
      </c>
    </row>
    <row r="745" spans="1:12" ht="19.95" customHeight="1" x14ac:dyDescent="0.3">
      <c r="A745" s="6" t="s">
        <v>4396</v>
      </c>
      <c r="B745" s="7" t="s">
        <v>4386</v>
      </c>
      <c r="C745" s="6" t="s">
        <v>4668</v>
      </c>
      <c r="D745" s="7" t="s">
        <v>4750</v>
      </c>
      <c r="E745" s="6" t="s">
        <v>4751</v>
      </c>
      <c r="F745" s="7" t="s">
        <v>4368</v>
      </c>
      <c r="G745" s="7" t="s">
        <v>4369</v>
      </c>
      <c r="H745" s="5" t="s">
        <v>59</v>
      </c>
      <c r="I745" s="6" t="s">
        <v>60</v>
      </c>
      <c r="J745" s="7" t="s">
        <v>11</v>
      </c>
      <c r="K745" s="36">
        <v>1</v>
      </c>
      <c r="L745" s="37">
        <v>3000</v>
      </c>
    </row>
    <row r="746" spans="1:12" ht="19.95" customHeight="1" x14ac:dyDescent="0.3">
      <c r="A746" s="2" t="s">
        <v>4396</v>
      </c>
      <c r="B746" s="3" t="s">
        <v>4386</v>
      </c>
      <c r="C746" s="2" t="s">
        <v>4668</v>
      </c>
      <c r="D746" s="3" t="s">
        <v>4752</v>
      </c>
      <c r="E746" s="2" t="s">
        <v>4747</v>
      </c>
      <c r="F746" s="3" t="s">
        <v>4390</v>
      </c>
      <c r="G746" s="3" t="s">
        <v>4369</v>
      </c>
      <c r="H746" s="1" t="s">
        <v>16</v>
      </c>
      <c r="I746" s="2" t="s">
        <v>4389</v>
      </c>
      <c r="J746" s="3" t="s">
        <v>18</v>
      </c>
      <c r="K746" s="38">
        <v>1</v>
      </c>
      <c r="L746" s="39">
        <v>350</v>
      </c>
    </row>
    <row r="747" spans="1:12" ht="19.95" customHeight="1" x14ac:dyDescent="0.3">
      <c r="A747" s="6" t="s">
        <v>4396</v>
      </c>
      <c r="B747" s="7" t="s">
        <v>4386</v>
      </c>
      <c r="C747" s="6" t="s">
        <v>4668</v>
      </c>
      <c r="D747" s="7" t="s">
        <v>4752</v>
      </c>
      <c r="E747" s="6" t="s">
        <v>4747</v>
      </c>
      <c r="F747" s="7" t="s">
        <v>4390</v>
      </c>
      <c r="G747" s="7" t="s">
        <v>4369</v>
      </c>
      <c r="H747" s="5" t="s">
        <v>67</v>
      </c>
      <c r="I747" s="6" t="s">
        <v>4391</v>
      </c>
      <c r="J747" s="7" t="s">
        <v>4392</v>
      </c>
      <c r="K747" s="36">
        <v>10</v>
      </c>
      <c r="L747" s="37">
        <v>30</v>
      </c>
    </row>
    <row r="748" spans="1:12" ht="19.95" customHeight="1" x14ac:dyDescent="0.3">
      <c r="A748" s="2" t="s">
        <v>4396</v>
      </c>
      <c r="B748" s="3" t="s">
        <v>4386</v>
      </c>
      <c r="C748" s="2" t="s">
        <v>4668</v>
      </c>
      <c r="D748" s="3" t="s">
        <v>4752</v>
      </c>
      <c r="E748" s="2" t="s">
        <v>4747</v>
      </c>
      <c r="F748" s="3" t="s">
        <v>4390</v>
      </c>
      <c r="G748" s="3" t="s">
        <v>4369</v>
      </c>
      <c r="H748" s="1" t="s">
        <v>27</v>
      </c>
      <c r="I748" s="2" t="s">
        <v>4393</v>
      </c>
      <c r="J748" s="3" t="s">
        <v>18</v>
      </c>
      <c r="K748" s="38">
        <v>1</v>
      </c>
      <c r="L748" s="39">
        <v>210</v>
      </c>
    </row>
    <row r="749" spans="1:12" ht="19.95" customHeight="1" x14ac:dyDescent="0.3">
      <c r="A749" s="6" t="s">
        <v>4396</v>
      </c>
      <c r="B749" s="7" t="s">
        <v>4386</v>
      </c>
      <c r="C749" s="6" t="s">
        <v>4668</v>
      </c>
      <c r="D749" s="7" t="s">
        <v>4752</v>
      </c>
      <c r="E749" s="6" t="s">
        <v>4747</v>
      </c>
      <c r="F749" s="7" t="s">
        <v>4390</v>
      </c>
      <c r="G749" s="7" t="s">
        <v>4367</v>
      </c>
      <c r="H749" s="5" t="s">
        <v>255</v>
      </c>
      <c r="I749" s="6" t="s">
        <v>256</v>
      </c>
      <c r="J749" s="7" t="s">
        <v>11</v>
      </c>
      <c r="K749" s="36">
        <v>0.17</v>
      </c>
      <c r="L749" s="37">
        <v>709</v>
      </c>
    </row>
    <row r="750" spans="1:12" ht="19.95" customHeight="1" x14ac:dyDescent="0.3">
      <c r="A750" s="2" t="s">
        <v>4396</v>
      </c>
      <c r="B750" s="3" t="s">
        <v>4386</v>
      </c>
      <c r="C750" s="2" t="s">
        <v>4668</v>
      </c>
      <c r="D750" s="3" t="s">
        <v>4752</v>
      </c>
      <c r="E750" s="2" t="s">
        <v>4747</v>
      </c>
      <c r="F750" s="3" t="s">
        <v>4390</v>
      </c>
      <c r="G750" s="3" t="s">
        <v>4367</v>
      </c>
      <c r="H750" s="1" t="s">
        <v>209</v>
      </c>
      <c r="I750" s="2" t="s">
        <v>210</v>
      </c>
      <c r="J750" s="3" t="s">
        <v>11</v>
      </c>
      <c r="K750" s="38">
        <v>2</v>
      </c>
      <c r="L750" s="39">
        <v>558</v>
      </c>
    </row>
    <row r="751" spans="1:12" ht="19.95" customHeight="1" x14ac:dyDescent="0.3">
      <c r="A751" s="6" t="s">
        <v>4396</v>
      </c>
      <c r="B751" s="7" t="s">
        <v>4386</v>
      </c>
      <c r="C751" s="6" t="s">
        <v>4668</v>
      </c>
      <c r="D751" s="7" t="s">
        <v>4752</v>
      </c>
      <c r="E751" s="6" t="s">
        <v>4747</v>
      </c>
      <c r="F751" s="7" t="s">
        <v>4390</v>
      </c>
      <c r="G751" s="7" t="s">
        <v>4367</v>
      </c>
      <c r="H751" s="5" t="s">
        <v>197</v>
      </c>
      <c r="I751" s="6" t="s">
        <v>198</v>
      </c>
      <c r="J751" s="7" t="s">
        <v>11</v>
      </c>
      <c r="K751" s="36">
        <v>0.9</v>
      </c>
      <c r="L751" s="37">
        <v>617</v>
      </c>
    </row>
    <row r="752" spans="1:12" ht="19.95" customHeight="1" x14ac:dyDescent="0.3">
      <c r="A752" s="2" t="s">
        <v>4396</v>
      </c>
      <c r="B752" s="3" t="s">
        <v>4386</v>
      </c>
      <c r="C752" s="2" t="s">
        <v>4668</v>
      </c>
      <c r="D752" s="3" t="s">
        <v>4752</v>
      </c>
      <c r="E752" s="2" t="s">
        <v>4747</v>
      </c>
      <c r="F752" s="3" t="s">
        <v>4390</v>
      </c>
      <c r="G752" s="3" t="s">
        <v>4369</v>
      </c>
      <c r="H752" s="1" t="s">
        <v>33</v>
      </c>
      <c r="I752" s="2" t="s">
        <v>4387</v>
      </c>
      <c r="J752" s="3" t="s">
        <v>11</v>
      </c>
      <c r="K752" s="38">
        <v>7.0000000000000007E-2</v>
      </c>
      <c r="L752" s="39">
        <v>370</v>
      </c>
    </row>
    <row r="753" spans="1:12" ht="19.95" customHeight="1" x14ac:dyDescent="0.3">
      <c r="A753" s="6" t="s">
        <v>4396</v>
      </c>
      <c r="B753" s="7" t="s">
        <v>4386</v>
      </c>
      <c r="C753" s="6" t="s">
        <v>4668</v>
      </c>
      <c r="D753" s="7" t="s">
        <v>4753</v>
      </c>
      <c r="E753" s="6" t="s">
        <v>4749</v>
      </c>
      <c r="F753" s="7" t="s">
        <v>4390</v>
      </c>
      <c r="G753" s="7" t="s">
        <v>4369</v>
      </c>
      <c r="H753" s="5" t="s">
        <v>16</v>
      </c>
      <c r="I753" s="6" t="s">
        <v>4389</v>
      </c>
      <c r="J753" s="7" t="s">
        <v>18</v>
      </c>
      <c r="K753" s="36">
        <v>1</v>
      </c>
      <c r="L753" s="37">
        <v>350</v>
      </c>
    </row>
    <row r="754" spans="1:12" ht="19.95" customHeight="1" x14ac:dyDescent="0.3">
      <c r="A754" s="2" t="s">
        <v>4396</v>
      </c>
      <c r="B754" s="3" t="s">
        <v>4386</v>
      </c>
      <c r="C754" s="2" t="s">
        <v>4668</v>
      </c>
      <c r="D754" s="3" t="s">
        <v>4753</v>
      </c>
      <c r="E754" s="2" t="s">
        <v>4749</v>
      </c>
      <c r="F754" s="3" t="s">
        <v>4390</v>
      </c>
      <c r="G754" s="3" t="s">
        <v>4369</v>
      </c>
      <c r="H754" s="1" t="s">
        <v>67</v>
      </c>
      <c r="I754" s="2" t="s">
        <v>4391</v>
      </c>
      <c r="J754" s="3" t="s">
        <v>4392</v>
      </c>
      <c r="K754" s="38">
        <v>10</v>
      </c>
      <c r="L754" s="39">
        <v>30</v>
      </c>
    </row>
    <row r="755" spans="1:12" ht="19.95" customHeight="1" x14ac:dyDescent="0.3">
      <c r="A755" s="6" t="s">
        <v>4396</v>
      </c>
      <c r="B755" s="7" t="s">
        <v>4386</v>
      </c>
      <c r="C755" s="6" t="s">
        <v>4668</v>
      </c>
      <c r="D755" s="7" t="s">
        <v>4753</v>
      </c>
      <c r="E755" s="6" t="s">
        <v>4749</v>
      </c>
      <c r="F755" s="7" t="s">
        <v>4390</v>
      </c>
      <c r="G755" s="7" t="s">
        <v>4369</v>
      </c>
      <c r="H755" s="5" t="s">
        <v>27</v>
      </c>
      <c r="I755" s="6" t="s">
        <v>4393</v>
      </c>
      <c r="J755" s="7" t="s">
        <v>18</v>
      </c>
      <c r="K755" s="36">
        <v>1</v>
      </c>
      <c r="L755" s="37">
        <v>210</v>
      </c>
    </row>
    <row r="756" spans="1:12" ht="19.95" customHeight="1" x14ac:dyDescent="0.3">
      <c r="A756" s="2" t="s">
        <v>4396</v>
      </c>
      <c r="B756" s="3" t="s">
        <v>4386</v>
      </c>
      <c r="C756" s="2" t="s">
        <v>4668</v>
      </c>
      <c r="D756" s="3" t="s">
        <v>4753</v>
      </c>
      <c r="E756" s="2" t="s">
        <v>4749</v>
      </c>
      <c r="F756" s="3" t="s">
        <v>4390</v>
      </c>
      <c r="G756" s="3" t="s">
        <v>4367</v>
      </c>
      <c r="H756" s="1" t="s">
        <v>255</v>
      </c>
      <c r="I756" s="2" t="s">
        <v>256</v>
      </c>
      <c r="J756" s="3" t="s">
        <v>11</v>
      </c>
      <c r="K756" s="38">
        <v>0.17</v>
      </c>
      <c r="L756" s="39">
        <v>709</v>
      </c>
    </row>
    <row r="757" spans="1:12" ht="19.95" customHeight="1" x14ac:dyDescent="0.3">
      <c r="A757" s="6" t="s">
        <v>4396</v>
      </c>
      <c r="B757" s="7" t="s">
        <v>4386</v>
      </c>
      <c r="C757" s="6" t="s">
        <v>4668</v>
      </c>
      <c r="D757" s="7" t="s">
        <v>4753</v>
      </c>
      <c r="E757" s="6" t="s">
        <v>4749</v>
      </c>
      <c r="F757" s="7" t="s">
        <v>4390</v>
      </c>
      <c r="G757" s="7" t="s">
        <v>4367</v>
      </c>
      <c r="H757" s="5" t="s">
        <v>209</v>
      </c>
      <c r="I757" s="6" t="s">
        <v>210</v>
      </c>
      <c r="J757" s="7" t="s">
        <v>11</v>
      </c>
      <c r="K757" s="36">
        <v>2</v>
      </c>
      <c r="L757" s="37">
        <v>558</v>
      </c>
    </row>
    <row r="758" spans="1:12" ht="19.95" customHeight="1" x14ac:dyDescent="0.3">
      <c r="A758" s="2" t="s">
        <v>4396</v>
      </c>
      <c r="B758" s="3" t="s">
        <v>4386</v>
      </c>
      <c r="C758" s="2" t="s">
        <v>4668</v>
      </c>
      <c r="D758" s="3" t="s">
        <v>4753</v>
      </c>
      <c r="E758" s="2" t="s">
        <v>4749</v>
      </c>
      <c r="F758" s="3" t="s">
        <v>4390</v>
      </c>
      <c r="G758" s="3" t="s">
        <v>4367</v>
      </c>
      <c r="H758" s="1" t="s">
        <v>197</v>
      </c>
      <c r="I758" s="2" t="s">
        <v>198</v>
      </c>
      <c r="J758" s="3" t="s">
        <v>11</v>
      </c>
      <c r="K758" s="38">
        <v>0.9</v>
      </c>
      <c r="L758" s="39">
        <v>617</v>
      </c>
    </row>
    <row r="759" spans="1:12" ht="19.95" customHeight="1" x14ac:dyDescent="0.3">
      <c r="A759" s="6" t="s">
        <v>4396</v>
      </c>
      <c r="B759" s="7" t="s">
        <v>4386</v>
      </c>
      <c r="C759" s="6" t="s">
        <v>4668</v>
      </c>
      <c r="D759" s="7" t="s">
        <v>4753</v>
      </c>
      <c r="E759" s="6" t="s">
        <v>4749</v>
      </c>
      <c r="F759" s="7" t="s">
        <v>4390</v>
      </c>
      <c r="G759" s="7" t="s">
        <v>4369</v>
      </c>
      <c r="H759" s="5" t="s">
        <v>33</v>
      </c>
      <c r="I759" s="6" t="s">
        <v>4387</v>
      </c>
      <c r="J759" s="7" t="s">
        <v>11</v>
      </c>
      <c r="K759" s="36">
        <v>7.0000000000000007E-2</v>
      </c>
      <c r="L759" s="37">
        <v>370</v>
      </c>
    </row>
    <row r="760" spans="1:12" ht="19.95" customHeight="1" x14ac:dyDescent="0.3">
      <c r="A760" s="2" t="s">
        <v>4396</v>
      </c>
      <c r="B760" s="3" t="s">
        <v>4386</v>
      </c>
      <c r="C760" s="2" t="s">
        <v>4668</v>
      </c>
      <c r="D760" s="3" t="s">
        <v>4753</v>
      </c>
      <c r="E760" s="2" t="s">
        <v>4749</v>
      </c>
      <c r="F760" s="3" t="s">
        <v>4390</v>
      </c>
      <c r="G760" s="3" t="s">
        <v>4367</v>
      </c>
      <c r="H760" s="1" t="s">
        <v>211</v>
      </c>
      <c r="I760" s="2" t="s">
        <v>212</v>
      </c>
      <c r="J760" s="3" t="s">
        <v>11</v>
      </c>
      <c r="K760" s="38">
        <v>1.88</v>
      </c>
      <c r="L760" s="39">
        <v>558</v>
      </c>
    </row>
    <row r="761" spans="1:12" ht="19.95" customHeight="1" x14ac:dyDescent="0.3">
      <c r="A761" s="6" t="s">
        <v>4396</v>
      </c>
      <c r="B761" s="7" t="s">
        <v>4386</v>
      </c>
      <c r="C761" s="6" t="s">
        <v>4668</v>
      </c>
      <c r="D761" s="7" t="s">
        <v>4754</v>
      </c>
      <c r="E761" s="6" t="s">
        <v>4755</v>
      </c>
      <c r="F761" s="7" t="s">
        <v>4384</v>
      </c>
      <c r="G761" s="7" t="s">
        <v>4369</v>
      </c>
      <c r="H761" s="5" t="s">
        <v>27</v>
      </c>
      <c r="I761" s="6" t="s">
        <v>4756</v>
      </c>
      <c r="J761" s="7" t="s">
        <v>18</v>
      </c>
      <c r="K761" s="36">
        <v>1</v>
      </c>
      <c r="L761" s="37">
        <v>210</v>
      </c>
    </row>
    <row r="762" spans="1:12" ht="19.95" customHeight="1" x14ac:dyDescent="0.3">
      <c r="A762" s="2" t="s">
        <v>4396</v>
      </c>
      <c r="B762" s="3" t="s">
        <v>4386</v>
      </c>
      <c r="C762" s="2" t="s">
        <v>4668</v>
      </c>
      <c r="D762" s="3" t="s">
        <v>4757</v>
      </c>
      <c r="E762" s="2" t="s">
        <v>4758</v>
      </c>
      <c r="F762" s="3" t="s">
        <v>4390</v>
      </c>
      <c r="G762" s="3" t="s">
        <v>4369</v>
      </c>
      <c r="H762" s="1" t="s">
        <v>16</v>
      </c>
      <c r="I762" s="2" t="s">
        <v>4389</v>
      </c>
      <c r="J762" s="3" t="s">
        <v>18</v>
      </c>
      <c r="K762" s="38">
        <v>1</v>
      </c>
      <c r="L762" s="39">
        <v>350</v>
      </c>
    </row>
    <row r="763" spans="1:12" ht="19.95" customHeight="1" x14ac:dyDescent="0.3">
      <c r="A763" s="6" t="s">
        <v>4396</v>
      </c>
      <c r="B763" s="7" t="s">
        <v>4386</v>
      </c>
      <c r="C763" s="6" t="s">
        <v>4668</v>
      </c>
      <c r="D763" s="7" t="s">
        <v>4757</v>
      </c>
      <c r="E763" s="6" t="s">
        <v>4758</v>
      </c>
      <c r="F763" s="7" t="s">
        <v>4390</v>
      </c>
      <c r="G763" s="7" t="s">
        <v>4369</v>
      </c>
      <c r="H763" s="5" t="s">
        <v>67</v>
      </c>
      <c r="I763" s="6" t="s">
        <v>4391</v>
      </c>
      <c r="J763" s="7" t="s">
        <v>4392</v>
      </c>
      <c r="K763" s="36">
        <v>10</v>
      </c>
      <c r="L763" s="37">
        <v>30</v>
      </c>
    </row>
    <row r="764" spans="1:12" ht="19.95" customHeight="1" x14ac:dyDescent="0.3">
      <c r="A764" s="2" t="s">
        <v>4396</v>
      </c>
      <c r="B764" s="3" t="s">
        <v>4386</v>
      </c>
      <c r="C764" s="2" t="s">
        <v>4668</v>
      </c>
      <c r="D764" s="3" t="s">
        <v>4757</v>
      </c>
      <c r="E764" s="2" t="s">
        <v>4758</v>
      </c>
      <c r="F764" s="3" t="s">
        <v>4390</v>
      </c>
      <c r="G764" s="3" t="s">
        <v>4369</v>
      </c>
      <c r="H764" s="1" t="s">
        <v>27</v>
      </c>
      <c r="I764" s="2" t="s">
        <v>4393</v>
      </c>
      <c r="J764" s="3" t="s">
        <v>18</v>
      </c>
      <c r="K764" s="38">
        <v>1</v>
      </c>
      <c r="L764" s="39">
        <v>210</v>
      </c>
    </row>
    <row r="765" spans="1:12" ht="19.95" customHeight="1" x14ac:dyDescent="0.3">
      <c r="A765" s="6" t="s">
        <v>4396</v>
      </c>
      <c r="B765" s="7" t="s">
        <v>4386</v>
      </c>
      <c r="C765" s="6" t="s">
        <v>4668</v>
      </c>
      <c r="D765" s="7" t="s">
        <v>4757</v>
      </c>
      <c r="E765" s="6" t="s">
        <v>4758</v>
      </c>
      <c r="F765" s="7" t="s">
        <v>4390</v>
      </c>
      <c r="G765" s="7" t="s">
        <v>4367</v>
      </c>
      <c r="H765" s="5" t="s">
        <v>255</v>
      </c>
      <c r="I765" s="6" t="s">
        <v>256</v>
      </c>
      <c r="J765" s="7" t="s">
        <v>11</v>
      </c>
      <c r="K765" s="36">
        <v>0.17</v>
      </c>
      <c r="L765" s="37">
        <v>709</v>
      </c>
    </row>
    <row r="766" spans="1:12" ht="19.95" customHeight="1" x14ac:dyDescent="0.3">
      <c r="A766" s="2" t="s">
        <v>4396</v>
      </c>
      <c r="B766" s="3" t="s">
        <v>4386</v>
      </c>
      <c r="C766" s="2" t="s">
        <v>4668</v>
      </c>
      <c r="D766" s="3" t="s">
        <v>4757</v>
      </c>
      <c r="E766" s="2" t="s">
        <v>4758</v>
      </c>
      <c r="F766" s="3" t="s">
        <v>4390</v>
      </c>
      <c r="G766" s="3" t="s">
        <v>4367</v>
      </c>
      <c r="H766" s="1" t="s">
        <v>209</v>
      </c>
      <c r="I766" s="2" t="s">
        <v>210</v>
      </c>
      <c r="J766" s="3" t="s">
        <v>11</v>
      </c>
      <c r="K766" s="38">
        <v>2</v>
      </c>
      <c r="L766" s="39">
        <v>558</v>
      </c>
    </row>
    <row r="767" spans="1:12" ht="19.95" customHeight="1" x14ac:dyDescent="0.3">
      <c r="A767" s="6" t="s">
        <v>4396</v>
      </c>
      <c r="B767" s="7" t="s">
        <v>4386</v>
      </c>
      <c r="C767" s="6" t="s">
        <v>4668</v>
      </c>
      <c r="D767" s="7" t="s">
        <v>4757</v>
      </c>
      <c r="E767" s="6" t="s">
        <v>4758</v>
      </c>
      <c r="F767" s="7" t="s">
        <v>4390</v>
      </c>
      <c r="G767" s="7" t="s">
        <v>4367</v>
      </c>
      <c r="H767" s="5" t="s">
        <v>197</v>
      </c>
      <c r="I767" s="6" t="s">
        <v>198</v>
      </c>
      <c r="J767" s="7" t="s">
        <v>11</v>
      </c>
      <c r="K767" s="36">
        <v>0.9</v>
      </c>
      <c r="L767" s="37">
        <v>617</v>
      </c>
    </row>
    <row r="768" spans="1:12" ht="19.95" customHeight="1" x14ac:dyDescent="0.3">
      <c r="A768" s="2" t="s">
        <v>4396</v>
      </c>
      <c r="B768" s="3" t="s">
        <v>4386</v>
      </c>
      <c r="C768" s="2" t="s">
        <v>4668</v>
      </c>
      <c r="D768" s="3" t="s">
        <v>4757</v>
      </c>
      <c r="E768" s="2" t="s">
        <v>4758</v>
      </c>
      <c r="F768" s="3" t="s">
        <v>4390</v>
      </c>
      <c r="G768" s="3" t="s">
        <v>4369</v>
      </c>
      <c r="H768" s="1" t="s">
        <v>33</v>
      </c>
      <c r="I768" s="2" t="s">
        <v>4387</v>
      </c>
      <c r="J768" s="3" t="s">
        <v>11</v>
      </c>
      <c r="K768" s="38">
        <v>7.0000000000000007E-2</v>
      </c>
      <c r="L768" s="39">
        <v>370</v>
      </c>
    </row>
    <row r="769" spans="1:12" ht="19.95" customHeight="1" x14ac:dyDescent="0.3">
      <c r="A769" s="6" t="s">
        <v>4396</v>
      </c>
      <c r="B769" s="7" t="s">
        <v>4386</v>
      </c>
      <c r="C769" s="6" t="s">
        <v>4668</v>
      </c>
      <c r="D769" s="7" t="s">
        <v>4759</v>
      </c>
      <c r="E769" s="6" t="s">
        <v>4760</v>
      </c>
      <c r="F769" s="7" t="s">
        <v>4390</v>
      </c>
      <c r="G769" s="7" t="s">
        <v>4369</v>
      </c>
      <c r="H769" s="5" t="s">
        <v>16</v>
      </c>
      <c r="I769" s="6" t="s">
        <v>4389</v>
      </c>
      <c r="J769" s="7" t="s">
        <v>18</v>
      </c>
      <c r="K769" s="36">
        <v>1</v>
      </c>
      <c r="L769" s="37">
        <v>350</v>
      </c>
    </row>
    <row r="770" spans="1:12" ht="19.95" customHeight="1" x14ac:dyDescent="0.3">
      <c r="A770" s="2" t="s">
        <v>4396</v>
      </c>
      <c r="B770" s="3" t="s">
        <v>4386</v>
      </c>
      <c r="C770" s="2" t="s">
        <v>4668</v>
      </c>
      <c r="D770" s="3" t="s">
        <v>4759</v>
      </c>
      <c r="E770" s="2" t="s">
        <v>4760</v>
      </c>
      <c r="F770" s="3" t="s">
        <v>4390</v>
      </c>
      <c r="G770" s="3" t="s">
        <v>4369</v>
      </c>
      <c r="H770" s="1" t="s">
        <v>67</v>
      </c>
      <c r="I770" s="2" t="s">
        <v>4391</v>
      </c>
      <c r="J770" s="3" t="s">
        <v>4392</v>
      </c>
      <c r="K770" s="38">
        <v>10</v>
      </c>
      <c r="L770" s="39">
        <v>30</v>
      </c>
    </row>
    <row r="771" spans="1:12" ht="19.95" customHeight="1" x14ac:dyDescent="0.3">
      <c r="A771" s="6" t="s">
        <v>4396</v>
      </c>
      <c r="B771" s="7" t="s">
        <v>4386</v>
      </c>
      <c r="C771" s="6" t="s">
        <v>4668</v>
      </c>
      <c r="D771" s="7" t="s">
        <v>4759</v>
      </c>
      <c r="E771" s="6" t="s">
        <v>4760</v>
      </c>
      <c r="F771" s="7" t="s">
        <v>4390</v>
      </c>
      <c r="G771" s="7" t="s">
        <v>4369</v>
      </c>
      <c r="H771" s="5" t="s">
        <v>27</v>
      </c>
      <c r="I771" s="6" t="s">
        <v>4393</v>
      </c>
      <c r="J771" s="7" t="s">
        <v>18</v>
      </c>
      <c r="K771" s="36">
        <v>1</v>
      </c>
      <c r="L771" s="37">
        <v>210</v>
      </c>
    </row>
    <row r="772" spans="1:12" ht="19.95" customHeight="1" x14ac:dyDescent="0.3">
      <c r="A772" s="2" t="s">
        <v>4396</v>
      </c>
      <c r="B772" s="3" t="s">
        <v>4386</v>
      </c>
      <c r="C772" s="2" t="s">
        <v>4668</v>
      </c>
      <c r="D772" s="3" t="s">
        <v>4759</v>
      </c>
      <c r="E772" s="2" t="s">
        <v>4760</v>
      </c>
      <c r="F772" s="3" t="s">
        <v>4390</v>
      </c>
      <c r="G772" s="3" t="s">
        <v>4367</v>
      </c>
      <c r="H772" s="1" t="s">
        <v>255</v>
      </c>
      <c r="I772" s="2" t="s">
        <v>256</v>
      </c>
      <c r="J772" s="3" t="s">
        <v>11</v>
      </c>
      <c r="K772" s="38">
        <v>0.17</v>
      </c>
      <c r="L772" s="39">
        <v>709</v>
      </c>
    </row>
    <row r="773" spans="1:12" ht="19.95" customHeight="1" x14ac:dyDescent="0.3">
      <c r="A773" s="6" t="s">
        <v>4396</v>
      </c>
      <c r="B773" s="7" t="s">
        <v>4386</v>
      </c>
      <c r="C773" s="6" t="s">
        <v>4668</v>
      </c>
      <c r="D773" s="7" t="s">
        <v>4759</v>
      </c>
      <c r="E773" s="6" t="s">
        <v>4760</v>
      </c>
      <c r="F773" s="7" t="s">
        <v>4390</v>
      </c>
      <c r="G773" s="7" t="s">
        <v>4367</v>
      </c>
      <c r="H773" s="5" t="s">
        <v>209</v>
      </c>
      <c r="I773" s="6" t="s">
        <v>210</v>
      </c>
      <c r="J773" s="7" t="s">
        <v>11</v>
      </c>
      <c r="K773" s="36">
        <v>2</v>
      </c>
      <c r="L773" s="37">
        <v>558</v>
      </c>
    </row>
    <row r="774" spans="1:12" ht="19.95" customHeight="1" x14ac:dyDescent="0.3">
      <c r="A774" s="2" t="s">
        <v>4396</v>
      </c>
      <c r="B774" s="3" t="s">
        <v>4386</v>
      </c>
      <c r="C774" s="2" t="s">
        <v>4668</v>
      </c>
      <c r="D774" s="3" t="s">
        <v>4759</v>
      </c>
      <c r="E774" s="2" t="s">
        <v>4760</v>
      </c>
      <c r="F774" s="3" t="s">
        <v>4390</v>
      </c>
      <c r="G774" s="3" t="s">
        <v>4367</v>
      </c>
      <c r="H774" s="1" t="s">
        <v>197</v>
      </c>
      <c r="I774" s="2" t="s">
        <v>198</v>
      </c>
      <c r="J774" s="3" t="s">
        <v>11</v>
      </c>
      <c r="K774" s="38">
        <v>0.9</v>
      </c>
      <c r="L774" s="39">
        <v>617</v>
      </c>
    </row>
    <row r="775" spans="1:12" ht="19.95" customHeight="1" x14ac:dyDescent="0.3">
      <c r="A775" s="6" t="s">
        <v>4396</v>
      </c>
      <c r="B775" s="7" t="s">
        <v>4386</v>
      </c>
      <c r="C775" s="6" t="s">
        <v>4668</v>
      </c>
      <c r="D775" s="7" t="s">
        <v>4759</v>
      </c>
      <c r="E775" s="6" t="s">
        <v>4760</v>
      </c>
      <c r="F775" s="7" t="s">
        <v>4390</v>
      </c>
      <c r="G775" s="7" t="s">
        <v>4369</v>
      </c>
      <c r="H775" s="5" t="s">
        <v>33</v>
      </c>
      <c r="I775" s="6" t="s">
        <v>4387</v>
      </c>
      <c r="J775" s="7" t="s">
        <v>11</v>
      </c>
      <c r="K775" s="36">
        <v>7.0000000000000007E-2</v>
      </c>
      <c r="L775" s="37">
        <v>370</v>
      </c>
    </row>
    <row r="776" spans="1:12" ht="19.95" customHeight="1" x14ac:dyDescent="0.3">
      <c r="A776" s="2" t="s">
        <v>4396</v>
      </c>
      <c r="B776" s="3" t="s">
        <v>4386</v>
      </c>
      <c r="C776" s="2" t="s">
        <v>4668</v>
      </c>
      <c r="D776" s="3" t="s">
        <v>4759</v>
      </c>
      <c r="E776" s="2" t="s">
        <v>4760</v>
      </c>
      <c r="F776" s="3" t="s">
        <v>4390</v>
      </c>
      <c r="G776" s="3" t="s">
        <v>4367</v>
      </c>
      <c r="H776" s="1" t="s">
        <v>211</v>
      </c>
      <c r="I776" s="2" t="s">
        <v>212</v>
      </c>
      <c r="J776" s="3" t="s">
        <v>11</v>
      </c>
      <c r="K776" s="38">
        <v>1.88</v>
      </c>
      <c r="L776" s="39">
        <v>558</v>
      </c>
    </row>
    <row r="777" spans="1:12" ht="19.95" customHeight="1" x14ac:dyDescent="0.3">
      <c r="A777" s="6" t="s">
        <v>4396</v>
      </c>
      <c r="B777" s="7" t="s">
        <v>4386</v>
      </c>
      <c r="C777" s="6" t="s">
        <v>4668</v>
      </c>
      <c r="D777" s="7" t="s">
        <v>4761</v>
      </c>
      <c r="E777" s="6" t="s">
        <v>4762</v>
      </c>
      <c r="F777" s="7" t="s">
        <v>4368</v>
      </c>
      <c r="G777" s="7" t="s">
        <v>4367</v>
      </c>
      <c r="H777" s="5" t="s">
        <v>209</v>
      </c>
      <c r="I777" s="6" t="s">
        <v>210</v>
      </c>
      <c r="J777" s="7" t="s">
        <v>11</v>
      </c>
      <c r="K777" s="36">
        <v>0.17</v>
      </c>
      <c r="L777" s="37">
        <v>558</v>
      </c>
    </row>
    <row r="778" spans="1:12" ht="19.95" customHeight="1" x14ac:dyDescent="0.3">
      <c r="A778" s="2" t="s">
        <v>4396</v>
      </c>
      <c r="B778" s="3" t="s">
        <v>4386</v>
      </c>
      <c r="C778" s="2" t="s">
        <v>4668</v>
      </c>
      <c r="D778" s="3" t="s">
        <v>4763</v>
      </c>
      <c r="E778" s="2" t="s">
        <v>4764</v>
      </c>
      <c r="F778" s="3" t="s">
        <v>4368</v>
      </c>
      <c r="G778" s="3" t="s">
        <v>4367</v>
      </c>
      <c r="H778" s="1" t="s">
        <v>201</v>
      </c>
      <c r="I778" s="2" t="s">
        <v>202</v>
      </c>
      <c r="J778" s="3" t="s">
        <v>11</v>
      </c>
      <c r="K778" s="38">
        <v>6.7000000000000004E-2</v>
      </c>
      <c r="L778" s="39">
        <v>679</v>
      </c>
    </row>
    <row r="779" spans="1:12" ht="19.95" customHeight="1" x14ac:dyDescent="0.3">
      <c r="A779" s="6" t="s">
        <v>4396</v>
      </c>
      <c r="B779" s="7" t="s">
        <v>4386</v>
      </c>
      <c r="C779" s="6" t="s">
        <v>4668</v>
      </c>
      <c r="D779" s="7" t="s">
        <v>4763</v>
      </c>
      <c r="E779" s="6" t="s">
        <v>4764</v>
      </c>
      <c r="F779" s="7" t="s">
        <v>4368</v>
      </c>
      <c r="G779" s="7" t="s">
        <v>4367</v>
      </c>
      <c r="H779" s="5" t="s">
        <v>209</v>
      </c>
      <c r="I779" s="6" t="s">
        <v>210</v>
      </c>
      <c r="J779" s="7" t="s">
        <v>11</v>
      </c>
      <c r="K779" s="36">
        <v>6.7000000000000004E-2</v>
      </c>
      <c r="L779" s="37">
        <v>558</v>
      </c>
    </row>
    <row r="780" spans="1:12" ht="19.95" customHeight="1" x14ac:dyDescent="0.3">
      <c r="A780" s="2" t="s">
        <v>4396</v>
      </c>
      <c r="B780" s="3" t="s">
        <v>4386</v>
      </c>
      <c r="C780" s="2" t="s">
        <v>4668</v>
      </c>
      <c r="D780" s="3" t="s">
        <v>4765</v>
      </c>
      <c r="E780" s="2" t="s">
        <v>4766</v>
      </c>
      <c r="F780" s="3" t="s">
        <v>4368</v>
      </c>
      <c r="G780" s="3" t="s">
        <v>4367</v>
      </c>
      <c r="H780" s="1" t="s">
        <v>201</v>
      </c>
      <c r="I780" s="2" t="s">
        <v>202</v>
      </c>
      <c r="J780" s="3" t="s">
        <v>11</v>
      </c>
      <c r="K780" s="38">
        <v>6.7000000000000004E-2</v>
      </c>
      <c r="L780" s="39">
        <v>679</v>
      </c>
    </row>
    <row r="781" spans="1:12" ht="19.95" customHeight="1" x14ac:dyDescent="0.3">
      <c r="A781" s="6" t="s">
        <v>4396</v>
      </c>
      <c r="B781" s="7" t="s">
        <v>4386</v>
      </c>
      <c r="C781" s="6" t="s">
        <v>4668</v>
      </c>
      <c r="D781" s="7" t="s">
        <v>4765</v>
      </c>
      <c r="E781" s="6" t="s">
        <v>4766</v>
      </c>
      <c r="F781" s="7" t="s">
        <v>4368</v>
      </c>
      <c r="G781" s="7" t="s">
        <v>4367</v>
      </c>
      <c r="H781" s="5" t="s">
        <v>209</v>
      </c>
      <c r="I781" s="6" t="s">
        <v>210</v>
      </c>
      <c r="J781" s="7" t="s">
        <v>11</v>
      </c>
      <c r="K781" s="36">
        <v>6.7000000000000004E-2</v>
      </c>
      <c r="L781" s="37">
        <v>558</v>
      </c>
    </row>
    <row r="782" spans="1:12" ht="19.95" customHeight="1" x14ac:dyDescent="0.3">
      <c r="A782" s="2" t="s">
        <v>4396</v>
      </c>
      <c r="B782" s="3" t="s">
        <v>4386</v>
      </c>
      <c r="C782" s="2" t="s">
        <v>4668</v>
      </c>
      <c r="D782" s="3" t="s">
        <v>4767</v>
      </c>
      <c r="E782" s="2" t="s">
        <v>4768</v>
      </c>
      <c r="F782" s="3" t="s">
        <v>4368</v>
      </c>
      <c r="G782" s="3" t="s">
        <v>4367</v>
      </c>
      <c r="H782" s="1" t="s">
        <v>199</v>
      </c>
      <c r="I782" s="2" t="s">
        <v>200</v>
      </c>
      <c r="J782" s="3" t="s">
        <v>11</v>
      </c>
      <c r="K782" s="38">
        <v>0.05</v>
      </c>
      <c r="L782" s="39">
        <v>738</v>
      </c>
    </row>
    <row r="783" spans="1:12" ht="19.95" customHeight="1" x14ac:dyDescent="0.3">
      <c r="A783" s="6" t="s">
        <v>4396</v>
      </c>
      <c r="B783" s="7" t="s">
        <v>4386</v>
      </c>
      <c r="C783" s="6" t="s">
        <v>4668</v>
      </c>
      <c r="D783" s="7" t="s">
        <v>4767</v>
      </c>
      <c r="E783" s="6" t="s">
        <v>4768</v>
      </c>
      <c r="F783" s="7" t="s">
        <v>4368</v>
      </c>
      <c r="G783" s="7" t="s">
        <v>4367</v>
      </c>
      <c r="H783" s="5" t="s">
        <v>221</v>
      </c>
      <c r="I783" s="6" t="s">
        <v>222</v>
      </c>
      <c r="J783" s="7" t="s">
        <v>11</v>
      </c>
      <c r="K783" s="36">
        <v>0.1</v>
      </c>
      <c r="L783" s="37">
        <v>738</v>
      </c>
    </row>
    <row r="784" spans="1:12" ht="19.95" customHeight="1" x14ac:dyDescent="0.3">
      <c r="A784" s="2" t="s">
        <v>4396</v>
      </c>
      <c r="B784" s="3" t="s">
        <v>4386</v>
      </c>
      <c r="C784" s="2" t="s">
        <v>4668</v>
      </c>
      <c r="D784" s="3" t="s">
        <v>4767</v>
      </c>
      <c r="E784" s="2" t="s">
        <v>4768</v>
      </c>
      <c r="F784" s="3" t="s">
        <v>4368</v>
      </c>
      <c r="G784" s="3" t="s">
        <v>4367</v>
      </c>
      <c r="H784" s="1" t="s">
        <v>209</v>
      </c>
      <c r="I784" s="2" t="s">
        <v>210</v>
      </c>
      <c r="J784" s="3" t="s">
        <v>11</v>
      </c>
      <c r="K784" s="38">
        <v>0.15</v>
      </c>
      <c r="L784" s="39">
        <v>558</v>
      </c>
    </row>
    <row r="785" spans="1:12" ht="19.95" customHeight="1" x14ac:dyDescent="0.3">
      <c r="A785" s="6" t="s">
        <v>4396</v>
      </c>
      <c r="B785" s="7" t="s">
        <v>4386</v>
      </c>
      <c r="C785" s="6" t="s">
        <v>4668</v>
      </c>
      <c r="D785" s="7" t="s">
        <v>4769</v>
      </c>
      <c r="E785" s="6" t="s">
        <v>4770</v>
      </c>
      <c r="F785" s="7" t="s">
        <v>4368</v>
      </c>
      <c r="G785" s="7" t="s">
        <v>4367</v>
      </c>
      <c r="H785" s="5" t="s">
        <v>199</v>
      </c>
      <c r="I785" s="6" t="s">
        <v>200</v>
      </c>
      <c r="J785" s="7" t="s">
        <v>11</v>
      </c>
      <c r="K785" s="36">
        <v>0.05</v>
      </c>
      <c r="L785" s="37">
        <v>738</v>
      </c>
    </row>
    <row r="786" spans="1:12" ht="19.95" customHeight="1" x14ac:dyDescent="0.3">
      <c r="A786" s="2" t="s">
        <v>4396</v>
      </c>
      <c r="B786" s="3" t="s">
        <v>4386</v>
      </c>
      <c r="C786" s="2" t="s">
        <v>4668</v>
      </c>
      <c r="D786" s="3" t="s">
        <v>4769</v>
      </c>
      <c r="E786" s="2" t="s">
        <v>4770</v>
      </c>
      <c r="F786" s="3" t="s">
        <v>4368</v>
      </c>
      <c r="G786" s="3" t="s">
        <v>4367</v>
      </c>
      <c r="H786" s="1" t="s">
        <v>221</v>
      </c>
      <c r="I786" s="2" t="s">
        <v>222</v>
      </c>
      <c r="J786" s="3" t="s">
        <v>11</v>
      </c>
      <c r="K786" s="38">
        <v>0.1</v>
      </c>
      <c r="L786" s="39">
        <v>738</v>
      </c>
    </row>
    <row r="787" spans="1:12" ht="19.95" customHeight="1" x14ac:dyDescent="0.3">
      <c r="A787" s="6" t="s">
        <v>4396</v>
      </c>
      <c r="B787" s="7" t="s">
        <v>4386</v>
      </c>
      <c r="C787" s="6" t="s">
        <v>4668</v>
      </c>
      <c r="D787" s="7" t="s">
        <v>4769</v>
      </c>
      <c r="E787" s="6" t="s">
        <v>4770</v>
      </c>
      <c r="F787" s="7" t="s">
        <v>4368</v>
      </c>
      <c r="G787" s="7" t="s">
        <v>4367</v>
      </c>
      <c r="H787" s="5" t="s">
        <v>209</v>
      </c>
      <c r="I787" s="6" t="s">
        <v>210</v>
      </c>
      <c r="J787" s="7" t="s">
        <v>11</v>
      </c>
      <c r="K787" s="36">
        <v>0.15</v>
      </c>
      <c r="L787" s="37">
        <v>558</v>
      </c>
    </row>
    <row r="788" spans="1:12" ht="19.95" customHeight="1" x14ac:dyDescent="0.3">
      <c r="A788" s="2" t="s">
        <v>4396</v>
      </c>
      <c r="B788" s="3" t="s">
        <v>4386</v>
      </c>
      <c r="C788" s="2" t="s">
        <v>4668</v>
      </c>
      <c r="D788" s="3" t="s">
        <v>4771</v>
      </c>
      <c r="E788" s="2" t="s">
        <v>4772</v>
      </c>
      <c r="F788" s="3" t="s">
        <v>4368</v>
      </c>
      <c r="G788" s="3" t="s">
        <v>4367</v>
      </c>
      <c r="H788" s="1" t="s">
        <v>199</v>
      </c>
      <c r="I788" s="2" t="s">
        <v>200</v>
      </c>
      <c r="J788" s="3" t="s">
        <v>11</v>
      </c>
      <c r="K788" s="38">
        <v>0.05</v>
      </c>
      <c r="L788" s="39">
        <v>738</v>
      </c>
    </row>
    <row r="789" spans="1:12" ht="19.95" customHeight="1" x14ac:dyDescent="0.3">
      <c r="A789" s="6" t="s">
        <v>4396</v>
      </c>
      <c r="B789" s="7" t="s">
        <v>4386</v>
      </c>
      <c r="C789" s="6" t="s">
        <v>4668</v>
      </c>
      <c r="D789" s="7" t="s">
        <v>4771</v>
      </c>
      <c r="E789" s="6" t="s">
        <v>4772</v>
      </c>
      <c r="F789" s="7" t="s">
        <v>4368</v>
      </c>
      <c r="G789" s="7" t="s">
        <v>4367</v>
      </c>
      <c r="H789" s="5" t="s">
        <v>221</v>
      </c>
      <c r="I789" s="6" t="s">
        <v>222</v>
      </c>
      <c r="J789" s="7" t="s">
        <v>11</v>
      </c>
      <c r="K789" s="36">
        <v>0.1</v>
      </c>
      <c r="L789" s="37">
        <v>738</v>
      </c>
    </row>
    <row r="790" spans="1:12" ht="19.95" customHeight="1" x14ac:dyDescent="0.3">
      <c r="A790" s="2" t="s">
        <v>4396</v>
      </c>
      <c r="B790" s="3" t="s">
        <v>4386</v>
      </c>
      <c r="C790" s="2" t="s">
        <v>4668</v>
      </c>
      <c r="D790" s="3" t="s">
        <v>4771</v>
      </c>
      <c r="E790" s="2" t="s">
        <v>4772</v>
      </c>
      <c r="F790" s="3" t="s">
        <v>4368</v>
      </c>
      <c r="G790" s="3" t="s">
        <v>4367</v>
      </c>
      <c r="H790" s="1" t="s">
        <v>209</v>
      </c>
      <c r="I790" s="2" t="s">
        <v>210</v>
      </c>
      <c r="J790" s="3" t="s">
        <v>11</v>
      </c>
      <c r="K790" s="38">
        <v>0.15</v>
      </c>
      <c r="L790" s="39">
        <v>558</v>
      </c>
    </row>
    <row r="791" spans="1:12" ht="19.95" customHeight="1" x14ac:dyDescent="0.3">
      <c r="A791" s="6" t="s">
        <v>4396</v>
      </c>
      <c r="B791" s="7" t="s">
        <v>4386</v>
      </c>
      <c r="C791" s="6" t="s">
        <v>4668</v>
      </c>
      <c r="D791" s="7" t="s">
        <v>4773</v>
      </c>
      <c r="E791" s="6" t="s">
        <v>4774</v>
      </c>
      <c r="F791" s="7" t="s">
        <v>4368</v>
      </c>
      <c r="G791" s="7" t="s">
        <v>4367</v>
      </c>
      <c r="H791" s="5" t="s">
        <v>199</v>
      </c>
      <c r="I791" s="6" t="s">
        <v>200</v>
      </c>
      <c r="J791" s="7" t="s">
        <v>11</v>
      </c>
      <c r="K791" s="36">
        <v>0.05</v>
      </c>
      <c r="L791" s="37">
        <v>738</v>
      </c>
    </row>
    <row r="792" spans="1:12" ht="19.95" customHeight="1" x14ac:dyDescent="0.3">
      <c r="A792" s="2" t="s">
        <v>4396</v>
      </c>
      <c r="B792" s="3" t="s">
        <v>4386</v>
      </c>
      <c r="C792" s="2" t="s">
        <v>4668</v>
      </c>
      <c r="D792" s="3" t="s">
        <v>4773</v>
      </c>
      <c r="E792" s="2" t="s">
        <v>4774</v>
      </c>
      <c r="F792" s="3" t="s">
        <v>4368</v>
      </c>
      <c r="G792" s="3" t="s">
        <v>4367</v>
      </c>
      <c r="H792" s="1" t="s">
        <v>221</v>
      </c>
      <c r="I792" s="2" t="s">
        <v>222</v>
      </c>
      <c r="J792" s="3" t="s">
        <v>11</v>
      </c>
      <c r="K792" s="38">
        <v>0.1</v>
      </c>
      <c r="L792" s="39">
        <v>738</v>
      </c>
    </row>
    <row r="793" spans="1:12" ht="19.95" customHeight="1" x14ac:dyDescent="0.3">
      <c r="A793" s="6" t="s">
        <v>4396</v>
      </c>
      <c r="B793" s="7" t="s">
        <v>4386</v>
      </c>
      <c r="C793" s="6" t="s">
        <v>4668</v>
      </c>
      <c r="D793" s="7" t="s">
        <v>4773</v>
      </c>
      <c r="E793" s="6" t="s">
        <v>4774</v>
      </c>
      <c r="F793" s="7" t="s">
        <v>4368</v>
      </c>
      <c r="G793" s="7" t="s">
        <v>4367</v>
      </c>
      <c r="H793" s="5" t="s">
        <v>209</v>
      </c>
      <c r="I793" s="6" t="s">
        <v>210</v>
      </c>
      <c r="J793" s="7" t="s">
        <v>11</v>
      </c>
      <c r="K793" s="36">
        <v>0.15</v>
      </c>
      <c r="L793" s="37">
        <v>558</v>
      </c>
    </row>
    <row r="794" spans="1:12" ht="19.95" customHeight="1" x14ac:dyDescent="0.3">
      <c r="A794" s="2" t="s">
        <v>4396</v>
      </c>
      <c r="B794" s="3" t="s">
        <v>4386</v>
      </c>
      <c r="C794" s="2" t="s">
        <v>4668</v>
      </c>
      <c r="D794" s="3" t="s">
        <v>4775</v>
      </c>
      <c r="E794" s="2" t="s">
        <v>4776</v>
      </c>
      <c r="F794" s="3" t="s">
        <v>4368</v>
      </c>
      <c r="G794" s="3" t="s">
        <v>4367</v>
      </c>
      <c r="H794" s="1" t="s">
        <v>199</v>
      </c>
      <c r="I794" s="2" t="s">
        <v>200</v>
      </c>
      <c r="J794" s="3" t="s">
        <v>11</v>
      </c>
      <c r="K794" s="38">
        <v>0.05</v>
      </c>
      <c r="L794" s="39">
        <v>738</v>
      </c>
    </row>
    <row r="795" spans="1:12" ht="19.95" customHeight="1" x14ac:dyDescent="0.3">
      <c r="A795" s="6" t="s">
        <v>4396</v>
      </c>
      <c r="B795" s="7" t="s">
        <v>4386</v>
      </c>
      <c r="C795" s="6" t="s">
        <v>4668</v>
      </c>
      <c r="D795" s="7" t="s">
        <v>4775</v>
      </c>
      <c r="E795" s="6" t="s">
        <v>4776</v>
      </c>
      <c r="F795" s="7" t="s">
        <v>4368</v>
      </c>
      <c r="G795" s="7" t="s">
        <v>4367</v>
      </c>
      <c r="H795" s="5" t="s">
        <v>221</v>
      </c>
      <c r="I795" s="6" t="s">
        <v>222</v>
      </c>
      <c r="J795" s="7" t="s">
        <v>11</v>
      </c>
      <c r="K795" s="36">
        <v>0.1</v>
      </c>
      <c r="L795" s="37">
        <v>738</v>
      </c>
    </row>
    <row r="796" spans="1:12" ht="19.95" customHeight="1" x14ac:dyDescent="0.3">
      <c r="A796" s="2" t="s">
        <v>4396</v>
      </c>
      <c r="B796" s="3" t="s">
        <v>4386</v>
      </c>
      <c r="C796" s="2" t="s">
        <v>4668</v>
      </c>
      <c r="D796" s="3" t="s">
        <v>4775</v>
      </c>
      <c r="E796" s="2" t="s">
        <v>4776</v>
      </c>
      <c r="F796" s="3" t="s">
        <v>4368</v>
      </c>
      <c r="G796" s="3" t="s">
        <v>4367</v>
      </c>
      <c r="H796" s="1" t="s">
        <v>209</v>
      </c>
      <c r="I796" s="2" t="s">
        <v>210</v>
      </c>
      <c r="J796" s="3" t="s">
        <v>11</v>
      </c>
      <c r="K796" s="38">
        <v>0.15</v>
      </c>
      <c r="L796" s="39">
        <v>558</v>
      </c>
    </row>
    <row r="797" spans="1:12" ht="19.95" customHeight="1" x14ac:dyDescent="0.3">
      <c r="A797" s="6" t="s">
        <v>4396</v>
      </c>
      <c r="B797" s="7" t="s">
        <v>4386</v>
      </c>
      <c r="C797" s="6" t="s">
        <v>4668</v>
      </c>
      <c r="D797" s="7" t="s">
        <v>4777</v>
      </c>
      <c r="E797" s="6" t="s">
        <v>4778</v>
      </c>
      <c r="F797" s="7" t="s">
        <v>4368</v>
      </c>
      <c r="G797" s="7" t="s">
        <v>4367</v>
      </c>
      <c r="H797" s="5" t="s">
        <v>199</v>
      </c>
      <c r="I797" s="6" t="s">
        <v>200</v>
      </c>
      <c r="J797" s="7" t="s">
        <v>11</v>
      </c>
      <c r="K797" s="36">
        <v>0.05</v>
      </c>
      <c r="L797" s="37">
        <v>738</v>
      </c>
    </row>
    <row r="798" spans="1:12" ht="19.95" customHeight="1" x14ac:dyDescent="0.3">
      <c r="A798" s="2" t="s">
        <v>4396</v>
      </c>
      <c r="B798" s="3" t="s">
        <v>4386</v>
      </c>
      <c r="C798" s="2" t="s">
        <v>4668</v>
      </c>
      <c r="D798" s="3" t="s">
        <v>4777</v>
      </c>
      <c r="E798" s="2" t="s">
        <v>4778</v>
      </c>
      <c r="F798" s="3" t="s">
        <v>4368</v>
      </c>
      <c r="G798" s="3" t="s">
        <v>4367</v>
      </c>
      <c r="H798" s="1" t="s">
        <v>221</v>
      </c>
      <c r="I798" s="2" t="s">
        <v>222</v>
      </c>
      <c r="J798" s="3" t="s">
        <v>11</v>
      </c>
      <c r="K798" s="38">
        <v>0.1</v>
      </c>
      <c r="L798" s="39">
        <v>738</v>
      </c>
    </row>
    <row r="799" spans="1:12" ht="19.95" customHeight="1" x14ac:dyDescent="0.3">
      <c r="A799" s="6" t="s">
        <v>4396</v>
      </c>
      <c r="B799" s="7" t="s">
        <v>4386</v>
      </c>
      <c r="C799" s="6" t="s">
        <v>4668</v>
      </c>
      <c r="D799" s="7" t="s">
        <v>4777</v>
      </c>
      <c r="E799" s="6" t="s">
        <v>4778</v>
      </c>
      <c r="F799" s="7" t="s">
        <v>4368</v>
      </c>
      <c r="G799" s="7" t="s">
        <v>4367</v>
      </c>
      <c r="H799" s="5" t="s">
        <v>209</v>
      </c>
      <c r="I799" s="6" t="s">
        <v>210</v>
      </c>
      <c r="J799" s="7" t="s">
        <v>11</v>
      </c>
      <c r="K799" s="36">
        <v>0.15</v>
      </c>
      <c r="L799" s="37">
        <v>558</v>
      </c>
    </row>
    <row r="800" spans="1:12" ht="19.95" customHeight="1" x14ac:dyDescent="0.3">
      <c r="A800" s="2" t="s">
        <v>4396</v>
      </c>
      <c r="B800" s="3" t="s">
        <v>4386</v>
      </c>
      <c r="C800" s="2" t="s">
        <v>4668</v>
      </c>
      <c r="D800" s="3" t="s">
        <v>4779</v>
      </c>
      <c r="E800" s="2" t="s">
        <v>4780</v>
      </c>
      <c r="F800" s="3" t="s">
        <v>4368</v>
      </c>
      <c r="G800" s="3" t="s">
        <v>4367</v>
      </c>
      <c r="H800" s="1" t="s">
        <v>199</v>
      </c>
      <c r="I800" s="2" t="s">
        <v>200</v>
      </c>
      <c r="J800" s="3" t="s">
        <v>11</v>
      </c>
      <c r="K800" s="38">
        <v>0.05</v>
      </c>
      <c r="L800" s="39">
        <v>738</v>
      </c>
    </row>
    <row r="801" spans="1:12" ht="19.95" customHeight="1" x14ac:dyDescent="0.3">
      <c r="A801" s="6" t="s">
        <v>4396</v>
      </c>
      <c r="B801" s="7" t="s">
        <v>4386</v>
      </c>
      <c r="C801" s="6" t="s">
        <v>4668</v>
      </c>
      <c r="D801" s="7" t="s">
        <v>4779</v>
      </c>
      <c r="E801" s="6" t="s">
        <v>4780</v>
      </c>
      <c r="F801" s="7" t="s">
        <v>4368</v>
      </c>
      <c r="G801" s="7" t="s">
        <v>4367</v>
      </c>
      <c r="H801" s="5" t="s">
        <v>221</v>
      </c>
      <c r="I801" s="6" t="s">
        <v>222</v>
      </c>
      <c r="J801" s="7" t="s">
        <v>11</v>
      </c>
      <c r="K801" s="36">
        <v>0.1</v>
      </c>
      <c r="L801" s="37">
        <v>738</v>
      </c>
    </row>
    <row r="802" spans="1:12" ht="19.95" customHeight="1" x14ac:dyDescent="0.3">
      <c r="A802" s="2" t="s">
        <v>4396</v>
      </c>
      <c r="B802" s="3" t="s">
        <v>4386</v>
      </c>
      <c r="C802" s="2" t="s">
        <v>4668</v>
      </c>
      <c r="D802" s="3" t="s">
        <v>4779</v>
      </c>
      <c r="E802" s="2" t="s">
        <v>4780</v>
      </c>
      <c r="F802" s="3" t="s">
        <v>4368</v>
      </c>
      <c r="G802" s="3" t="s">
        <v>4367</v>
      </c>
      <c r="H802" s="1" t="s">
        <v>209</v>
      </c>
      <c r="I802" s="2" t="s">
        <v>210</v>
      </c>
      <c r="J802" s="3" t="s">
        <v>11</v>
      </c>
      <c r="K802" s="38">
        <v>0.15</v>
      </c>
      <c r="L802" s="39">
        <v>558</v>
      </c>
    </row>
    <row r="803" spans="1:12" ht="19.95" customHeight="1" x14ac:dyDescent="0.3">
      <c r="A803" s="6" t="s">
        <v>4396</v>
      </c>
      <c r="B803" s="7" t="s">
        <v>4386</v>
      </c>
      <c r="C803" s="6" t="s">
        <v>4668</v>
      </c>
      <c r="D803" s="7" t="s">
        <v>4781</v>
      </c>
      <c r="E803" s="6" t="s">
        <v>4782</v>
      </c>
      <c r="F803" s="7" t="s">
        <v>4368</v>
      </c>
      <c r="G803" s="7" t="s">
        <v>4367</v>
      </c>
      <c r="H803" s="5" t="s">
        <v>199</v>
      </c>
      <c r="I803" s="6" t="s">
        <v>200</v>
      </c>
      <c r="J803" s="7" t="s">
        <v>11</v>
      </c>
      <c r="K803" s="36">
        <v>0.05</v>
      </c>
      <c r="L803" s="37">
        <v>738</v>
      </c>
    </row>
    <row r="804" spans="1:12" ht="19.95" customHeight="1" x14ac:dyDescent="0.3">
      <c r="A804" s="2" t="s">
        <v>4396</v>
      </c>
      <c r="B804" s="3" t="s">
        <v>4386</v>
      </c>
      <c r="C804" s="2" t="s">
        <v>4668</v>
      </c>
      <c r="D804" s="3" t="s">
        <v>4781</v>
      </c>
      <c r="E804" s="2" t="s">
        <v>4782</v>
      </c>
      <c r="F804" s="3" t="s">
        <v>4368</v>
      </c>
      <c r="G804" s="3" t="s">
        <v>4367</v>
      </c>
      <c r="H804" s="1" t="s">
        <v>221</v>
      </c>
      <c r="I804" s="2" t="s">
        <v>222</v>
      </c>
      <c r="J804" s="3" t="s">
        <v>11</v>
      </c>
      <c r="K804" s="38">
        <v>0.1</v>
      </c>
      <c r="L804" s="39">
        <v>738</v>
      </c>
    </row>
    <row r="805" spans="1:12" ht="19.95" customHeight="1" x14ac:dyDescent="0.3">
      <c r="A805" s="6" t="s">
        <v>4396</v>
      </c>
      <c r="B805" s="7" t="s">
        <v>4386</v>
      </c>
      <c r="C805" s="6" t="s">
        <v>4668</v>
      </c>
      <c r="D805" s="7" t="s">
        <v>4781</v>
      </c>
      <c r="E805" s="6" t="s">
        <v>4782</v>
      </c>
      <c r="F805" s="7" t="s">
        <v>4368</v>
      </c>
      <c r="G805" s="7" t="s">
        <v>4367</v>
      </c>
      <c r="H805" s="5" t="s">
        <v>209</v>
      </c>
      <c r="I805" s="6" t="s">
        <v>210</v>
      </c>
      <c r="J805" s="7" t="s">
        <v>11</v>
      </c>
      <c r="K805" s="36">
        <v>0.15</v>
      </c>
      <c r="L805" s="37">
        <v>558</v>
      </c>
    </row>
    <row r="806" spans="1:12" ht="19.95" customHeight="1" x14ac:dyDescent="0.3">
      <c r="A806" s="2" t="s">
        <v>4396</v>
      </c>
      <c r="B806" s="3" t="s">
        <v>4386</v>
      </c>
      <c r="C806" s="2" t="s">
        <v>4668</v>
      </c>
      <c r="D806" s="3" t="s">
        <v>4783</v>
      </c>
      <c r="E806" s="2" t="s">
        <v>4784</v>
      </c>
      <c r="F806" s="3" t="s">
        <v>4368</v>
      </c>
      <c r="G806" s="3" t="s">
        <v>4367</v>
      </c>
      <c r="H806" s="1" t="s">
        <v>199</v>
      </c>
      <c r="I806" s="2" t="s">
        <v>200</v>
      </c>
      <c r="J806" s="3" t="s">
        <v>11</v>
      </c>
      <c r="K806" s="38">
        <v>0.05</v>
      </c>
      <c r="L806" s="39">
        <v>738</v>
      </c>
    </row>
    <row r="807" spans="1:12" ht="19.95" customHeight="1" x14ac:dyDescent="0.3">
      <c r="A807" s="6" t="s">
        <v>4396</v>
      </c>
      <c r="B807" s="7" t="s">
        <v>4386</v>
      </c>
      <c r="C807" s="6" t="s">
        <v>4668</v>
      </c>
      <c r="D807" s="7" t="s">
        <v>4783</v>
      </c>
      <c r="E807" s="6" t="s">
        <v>4784</v>
      </c>
      <c r="F807" s="7" t="s">
        <v>4368</v>
      </c>
      <c r="G807" s="7" t="s">
        <v>4367</v>
      </c>
      <c r="H807" s="5" t="s">
        <v>221</v>
      </c>
      <c r="I807" s="6" t="s">
        <v>222</v>
      </c>
      <c r="J807" s="7" t="s">
        <v>11</v>
      </c>
      <c r="K807" s="36">
        <v>0.1</v>
      </c>
      <c r="L807" s="37">
        <v>738</v>
      </c>
    </row>
    <row r="808" spans="1:12" ht="19.95" customHeight="1" x14ac:dyDescent="0.3">
      <c r="A808" s="2" t="s">
        <v>4396</v>
      </c>
      <c r="B808" s="3" t="s">
        <v>4386</v>
      </c>
      <c r="C808" s="2" t="s">
        <v>4668</v>
      </c>
      <c r="D808" s="3" t="s">
        <v>4783</v>
      </c>
      <c r="E808" s="2" t="s">
        <v>4784</v>
      </c>
      <c r="F808" s="3" t="s">
        <v>4368</v>
      </c>
      <c r="G808" s="3" t="s">
        <v>4367</v>
      </c>
      <c r="H808" s="1" t="s">
        <v>209</v>
      </c>
      <c r="I808" s="2" t="s">
        <v>210</v>
      </c>
      <c r="J808" s="3" t="s">
        <v>11</v>
      </c>
      <c r="K808" s="38">
        <v>0.15</v>
      </c>
      <c r="L808" s="39">
        <v>558</v>
      </c>
    </row>
    <row r="809" spans="1:12" ht="19.95" customHeight="1" x14ac:dyDescent="0.3">
      <c r="A809" s="6" t="s">
        <v>4396</v>
      </c>
      <c r="B809" s="7" t="s">
        <v>4386</v>
      </c>
      <c r="C809" s="6" t="s">
        <v>4668</v>
      </c>
      <c r="D809" s="7" t="s">
        <v>4785</v>
      </c>
      <c r="E809" s="6" t="s">
        <v>4786</v>
      </c>
      <c r="F809" s="7" t="s">
        <v>4399</v>
      </c>
      <c r="G809" s="7" t="s">
        <v>4367</v>
      </c>
      <c r="H809" s="5" t="s">
        <v>231</v>
      </c>
      <c r="I809" s="6" t="s">
        <v>232</v>
      </c>
      <c r="J809" s="7" t="s">
        <v>11</v>
      </c>
      <c r="K809" s="36">
        <v>0.94</v>
      </c>
      <c r="L809" s="37">
        <v>617</v>
      </c>
    </row>
    <row r="810" spans="1:12" ht="19.95" customHeight="1" x14ac:dyDescent="0.3">
      <c r="A810" s="2" t="s">
        <v>4396</v>
      </c>
      <c r="B810" s="3" t="s">
        <v>4386</v>
      </c>
      <c r="C810" s="2" t="s">
        <v>4668</v>
      </c>
      <c r="D810" s="3" t="s">
        <v>4785</v>
      </c>
      <c r="E810" s="2" t="s">
        <v>4786</v>
      </c>
      <c r="F810" s="3" t="s">
        <v>4399</v>
      </c>
      <c r="G810" s="3" t="s">
        <v>4367</v>
      </c>
      <c r="H810" s="1" t="s">
        <v>221</v>
      </c>
      <c r="I810" s="2" t="s">
        <v>4787</v>
      </c>
      <c r="J810" s="3" t="s">
        <v>11</v>
      </c>
      <c r="K810" s="38">
        <v>3.5</v>
      </c>
      <c r="L810" s="39">
        <v>738</v>
      </c>
    </row>
    <row r="811" spans="1:12" ht="19.95" customHeight="1" x14ac:dyDescent="0.3">
      <c r="A811" s="6" t="s">
        <v>4396</v>
      </c>
      <c r="B811" s="7" t="s">
        <v>4386</v>
      </c>
      <c r="C811" s="6" t="s">
        <v>4668</v>
      </c>
      <c r="D811" s="7" t="s">
        <v>4785</v>
      </c>
      <c r="E811" s="6" t="s">
        <v>4786</v>
      </c>
      <c r="F811" s="7" t="s">
        <v>4399</v>
      </c>
      <c r="G811" s="7" t="s">
        <v>4367</v>
      </c>
      <c r="H811" s="5" t="s">
        <v>209</v>
      </c>
      <c r="I811" s="6" t="s">
        <v>210</v>
      </c>
      <c r="J811" s="7" t="s">
        <v>11</v>
      </c>
      <c r="K811" s="36">
        <v>20</v>
      </c>
      <c r="L811" s="37">
        <v>558</v>
      </c>
    </row>
    <row r="812" spans="1:12" ht="19.95" customHeight="1" x14ac:dyDescent="0.3">
      <c r="A812" s="2" t="s">
        <v>4396</v>
      </c>
      <c r="B812" s="3" t="s">
        <v>4386</v>
      </c>
      <c r="C812" s="2" t="s">
        <v>4668</v>
      </c>
      <c r="D812" s="3" t="s">
        <v>4785</v>
      </c>
      <c r="E812" s="2" t="s">
        <v>4786</v>
      </c>
      <c r="F812" s="3" t="s">
        <v>4399</v>
      </c>
      <c r="G812" s="3" t="s">
        <v>4369</v>
      </c>
      <c r="H812" s="1" t="s">
        <v>145</v>
      </c>
      <c r="I812" s="2" t="s">
        <v>146</v>
      </c>
      <c r="J812" s="3" t="s">
        <v>110</v>
      </c>
      <c r="K812" s="38">
        <v>1.6</v>
      </c>
      <c r="L812" s="39">
        <v>2400</v>
      </c>
    </row>
    <row r="813" spans="1:12" ht="19.95" customHeight="1" x14ac:dyDescent="0.3">
      <c r="A813" s="6" t="s">
        <v>4396</v>
      </c>
      <c r="B813" s="7" t="s">
        <v>4386</v>
      </c>
      <c r="C813" s="6" t="s">
        <v>4668</v>
      </c>
      <c r="D813" s="7" t="s">
        <v>4785</v>
      </c>
      <c r="E813" s="6" t="s">
        <v>4786</v>
      </c>
      <c r="F813" s="7" t="s">
        <v>4399</v>
      </c>
      <c r="G813" s="7" t="s">
        <v>4369</v>
      </c>
      <c r="H813" s="5" t="s">
        <v>152</v>
      </c>
      <c r="I813" s="6" t="s">
        <v>153</v>
      </c>
      <c r="J813" s="7" t="s">
        <v>110</v>
      </c>
      <c r="K813" s="36">
        <v>1.6</v>
      </c>
      <c r="L813" s="37">
        <v>250</v>
      </c>
    </row>
    <row r="814" spans="1:12" ht="19.95" customHeight="1" x14ac:dyDescent="0.3">
      <c r="A814" s="2" t="s">
        <v>4396</v>
      </c>
      <c r="B814" s="3" t="s">
        <v>4386</v>
      </c>
      <c r="C814" s="2" t="s">
        <v>4668</v>
      </c>
      <c r="D814" s="3" t="s">
        <v>4785</v>
      </c>
      <c r="E814" s="2" t="s">
        <v>4786</v>
      </c>
      <c r="F814" s="3" t="s">
        <v>4399</v>
      </c>
      <c r="G814" s="3" t="s">
        <v>4369</v>
      </c>
      <c r="H814" s="1" t="s">
        <v>115</v>
      </c>
      <c r="I814" s="2" t="s">
        <v>116</v>
      </c>
      <c r="J814" s="3" t="s">
        <v>110</v>
      </c>
      <c r="K814" s="38">
        <v>1.6</v>
      </c>
      <c r="L814" s="39">
        <v>900</v>
      </c>
    </row>
    <row r="815" spans="1:12" ht="19.95" customHeight="1" x14ac:dyDescent="0.3">
      <c r="A815" s="6" t="s">
        <v>4396</v>
      </c>
      <c r="B815" s="7" t="s">
        <v>4386</v>
      </c>
      <c r="C815" s="6" t="s">
        <v>4668</v>
      </c>
      <c r="D815" s="7" t="s">
        <v>4785</v>
      </c>
      <c r="E815" s="6" t="s">
        <v>4786</v>
      </c>
      <c r="F815" s="7" t="s">
        <v>4399</v>
      </c>
      <c r="G815" s="7" t="s">
        <v>4369</v>
      </c>
      <c r="H815" s="5" t="s">
        <v>67</v>
      </c>
      <c r="I815" s="6" t="s">
        <v>68</v>
      </c>
      <c r="J815" s="7" t="s">
        <v>69</v>
      </c>
      <c r="K815" s="36">
        <v>1200</v>
      </c>
      <c r="L815" s="37">
        <v>30</v>
      </c>
    </row>
    <row r="816" spans="1:12" ht="19.95" customHeight="1" x14ac:dyDescent="0.3">
      <c r="A816" s="2" t="s">
        <v>4396</v>
      </c>
      <c r="B816" s="3" t="s">
        <v>4386</v>
      </c>
      <c r="C816" s="2" t="s">
        <v>4668</v>
      </c>
      <c r="D816" s="3" t="s">
        <v>4785</v>
      </c>
      <c r="E816" s="2" t="s">
        <v>4786</v>
      </c>
      <c r="F816" s="3" t="s">
        <v>4399</v>
      </c>
      <c r="G816" s="3" t="s">
        <v>4369</v>
      </c>
      <c r="H816" s="1" t="s">
        <v>27</v>
      </c>
      <c r="I816" s="2" t="s">
        <v>4393</v>
      </c>
      <c r="J816" s="3" t="s">
        <v>18</v>
      </c>
      <c r="K816" s="38">
        <v>120</v>
      </c>
      <c r="L816" s="39">
        <v>210</v>
      </c>
    </row>
    <row r="817" spans="1:12" ht="19.95" customHeight="1" x14ac:dyDescent="0.3">
      <c r="A817" s="6" t="s">
        <v>4396</v>
      </c>
      <c r="B817" s="7" t="s">
        <v>4386</v>
      </c>
      <c r="C817" s="6" t="s">
        <v>4668</v>
      </c>
      <c r="D817" s="7" t="s">
        <v>4785</v>
      </c>
      <c r="E817" s="6" t="s">
        <v>4786</v>
      </c>
      <c r="F817" s="7" t="s">
        <v>4399</v>
      </c>
      <c r="G817" s="7" t="s">
        <v>4367</v>
      </c>
      <c r="H817" s="5" t="s">
        <v>231</v>
      </c>
      <c r="I817" s="6" t="s">
        <v>232</v>
      </c>
      <c r="J817" s="7" t="s">
        <v>11</v>
      </c>
      <c r="K817" s="36">
        <v>0.94</v>
      </c>
      <c r="L817" s="37">
        <v>617</v>
      </c>
    </row>
    <row r="818" spans="1:12" ht="19.95" customHeight="1" x14ac:dyDescent="0.3">
      <c r="A818" s="2" t="s">
        <v>4396</v>
      </c>
      <c r="B818" s="3" t="s">
        <v>4386</v>
      </c>
      <c r="C818" s="2" t="s">
        <v>4668</v>
      </c>
      <c r="D818" s="3" t="s">
        <v>4785</v>
      </c>
      <c r="E818" s="2" t="s">
        <v>4786</v>
      </c>
      <c r="F818" s="3" t="s">
        <v>4399</v>
      </c>
      <c r="G818" s="3" t="s">
        <v>4367</v>
      </c>
      <c r="H818" s="1" t="s">
        <v>221</v>
      </c>
      <c r="I818" s="2" t="s">
        <v>4787</v>
      </c>
      <c r="J818" s="3" t="s">
        <v>11</v>
      </c>
      <c r="K818" s="38">
        <v>3.5</v>
      </c>
      <c r="L818" s="39">
        <v>738</v>
      </c>
    </row>
    <row r="819" spans="1:12" ht="19.95" customHeight="1" x14ac:dyDescent="0.3">
      <c r="A819" s="6" t="s">
        <v>4396</v>
      </c>
      <c r="B819" s="7" t="s">
        <v>4386</v>
      </c>
      <c r="C819" s="6" t="s">
        <v>4668</v>
      </c>
      <c r="D819" s="7" t="s">
        <v>4785</v>
      </c>
      <c r="E819" s="6" t="s">
        <v>4786</v>
      </c>
      <c r="F819" s="7" t="s">
        <v>4399</v>
      </c>
      <c r="G819" s="7" t="s">
        <v>4367</v>
      </c>
      <c r="H819" s="5" t="s">
        <v>209</v>
      </c>
      <c r="I819" s="6" t="s">
        <v>210</v>
      </c>
      <c r="J819" s="7" t="s">
        <v>11</v>
      </c>
      <c r="K819" s="36">
        <v>20</v>
      </c>
      <c r="L819" s="37">
        <v>558</v>
      </c>
    </row>
    <row r="820" spans="1:12" ht="19.95" customHeight="1" x14ac:dyDescent="0.3">
      <c r="A820" s="2" t="s">
        <v>4396</v>
      </c>
      <c r="B820" s="3" t="s">
        <v>4386</v>
      </c>
      <c r="C820" s="2" t="s">
        <v>4668</v>
      </c>
      <c r="D820" s="3" t="s">
        <v>4785</v>
      </c>
      <c r="E820" s="2" t="s">
        <v>4786</v>
      </c>
      <c r="F820" s="3" t="s">
        <v>4399</v>
      </c>
      <c r="G820" s="3" t="s">
        <v>4369</v>
      </c>
      <c r="H820" s="1" t="s">
        <v>145</v>
      </c>
      <c r="I820" s="2" t="s">
        <v>146</v>
      </c>
      <c r="J820" s="3" t="s">
        <v>110</v>
      </c>
      <c r="K820" s="38">
        <v>1.6</v>
      </c>
      <c r="L820" s="39">
        <v>2400</v>
      </c>
    </row>
    <row r="821" spans="1:12" ht="19.95" customHeight="1" x14ac:dyDescent="0.3">
      <c r="A821" s="6" t="s">
        <v>4396</v>
      </c>
      <c r="B821" s="7" t="s">
        <v>4386</v>
      </c>
      <c r="C821" s="6" t="s">
        <v>4668</v>
      </c>
      <c r="D821" s="7" t="s">
        <v>4785</v>
      </c>
      <c r="E821" s="6" t="s">
        <v>4786</v>
      </c>
      <c r="F821" s="7" t="s">
        <v>4399</v>
      </c>
      <c r="G821" s="7" t="s">
        <v>4369</v>
      </c>
      <c r="H821" s="5" t="s">
        <v>152</v>
      </c>
      <c r="I821" s="6" t="s">
        <v>153</v>
      </c>
      <c r="J821" s="7" t="s">
        <v>110</v>
      </c>
      <c r="K821" s="36">
        <v>1.6</v>
      </c>
      <c r="L821" s="37">
        <v>250</v>
      </c>
    </row>
    <row r="822" spans="1:12" ht="19.95" customHeight="1" x14ac:dyDescent="0.3">
      <c r="A822" s="2" t="s">
        <v>4396</v>
      </c>
      <c r="B822" s="3" t="s">
        <v>4386</v>
      </c>
      <c r="C822" s="2" t="s">
        <v>4668</v>
      </c>
      <c r="D822" s="3" t="s">
        <v>4785</v>
      </c>
      <c r="E822" s="2" t="s">
        <v>4786</v>
      </c>
      <c r="F822" s="3" t="s">
        <v>4399</v>
      </c>
      <c r="G822" s="3" t="s">
        <v>4369</v>
      </c>
      <c r="H822" s="1" t="s">
        <v>115</v>
      </c>
      <c r="I822" s="2" t="s">
        <v>116</v>
      </c>
      <c r="J822" s="3" t="s">
        <v>110</v>
      </c>
      <c r="K822" s="38">
        <v>1.6</v>
      </c>
      <c r="L822" s="39">
        <v>900</v>
      </c>
    </row>
    <row r="823" spans="1:12" ht="19.95" customHeight="1" x14ac:dyDescent="0.3">
      <c r="A823" s="6" t="s">
        <v>4396</v>
      </c>
      <c r="B823" s="7" t="s">
        <v>4386</v>
      </c>
      <c r="C823" s="6" t="s">
        <v>4668</v>
      </c>
      <c r="D823" s="7" t="s">
        <v>4785</v>
      </c>
      <c r="E823" s="6" t="s">
        <v>4786</v>
      </c>
      <c r="F823" s="7" t="s">
        <v>4399</v>
      </c>
      <c r="G823" s="7" t="s">
        <v>4369</v>
      </c>
      <c r="H823" s="5" t="s">
        <v>67</v>
      </c>
      <c r="I823" s="6" t="s">
        <v>68</v>
      </c>
      <c r="J823" s="7" t="s">
        <v>69</v>
      </c>
      <c r="K823" s="36">
        <v>1200</v>
      </c>
      <c r="L823" s="37">
        <v>30</v>
      </c>
    </row>
    <row r="824" spans="1:12" ht="19.95" customHeight="1" x14ac:dyDescent="0.3">
      <c r="A824" s="2" t="s">
        <v>4396</v>
      </c>
      <c r="B824" s="3" t="s">
        <v>4386</v>
      </c>
      <c r="C824" s="2" t="s">
        <v>4668</v>
      </c>
      <c r="D824" s="3" t="s">
        <v>4785</v>
      </c>
      <c r="E824" s="2" t="s">
        <v>4786</v>
      </c>
      <c r="F824" s="3" t="s">
        <v>4399</v>
      </c>
      <c r="G824" s="3" t="s">
        <v>4369</v>
      </c>
      <c r="H824" s="1" t="s">
        <v>27</v>
      </c>
      <c r="I824" s="2" t="s">
        <v>4393</v>
      </c>
      <c r="J824" s="3" t="s">
        <v>18</v>
      </c>
      <c r="K824" s="38">
        <v>120</v>
      </c>
      <c r="L824" s="39">
        <v>210</v>
      </c>
    </row>
    <row r="825" spans="1:12" ht="19.95" customHeight="1" x14ac:dyDescent="0.3">
      <c r="A825" s="6" t="s">
        <v>4396</v>
      </c>
      <c r="B825" s="7" t="s">
        <v>4386</v>
      </c>
      <c r="C825" s="6" t="s">
        <v>4668</v>
      </c>
      <c r="D825" s="7" t="s">
        <v>4785</v>
      </c>
      <c r="E825" s="6" t="s">
        <v>4786</v>
      </c>
      <c r="F825" s="7" t="s">
        <v>189</v>
      </c>
      <c r="G825" s="7" t="s">
        <v>4367</v>
      </c>
      <c r="H825" s="5" t="s">
        <v>231</v>
      </c>
      <c r="I825" s="6" t="s">
        <v>232</v>
      </c>
      <c r="J825" s="7" t="s">
        <v>11</v>
      </c>
      <c r="K825" s="36">
        <v>0.84</v>
      </c>
      <c r="L825" s="37">
        <v>617</v>
      </c>
    </row>
    <row r="826" spans="1:12" ht="19.95" customHeight="1" x14ac:dyDescent="0.3">
      <c r="A826" s="2" t="s">
        <v>4396</v>
      </c>
      <c r="B826" s="3" t="s">
        <v>4386</v>
      </c>
      <c r="C826" s="2" t="s">
        <v>4668</v>
      </c>
      <c r="D826" s="3" t="s">
        <v>4785</v>
      </c>
      <c r="E826" s="2" t="s">
        <v>4786</v>
      </c>
      <c r="F826" s="3" t="s">
        <v>189</v>
      </c>
      <c r="G826" s="3" t="s">
        <v>4367</v>
      </c>
      <c r="H826" s="1" t="s">
        <v>221</v>
      </c>
      <c r="I826" s="2" t="s">
        <v>4787</v>
      </c>
      <c r="J826" s="3" t="s">
        <v>11</v>
      </c>
      <c r="K826" s="38">
        <v>3</v>
      </c>
      <c r="L826" s="39">
        <v>738</v>
      </c>
    </row>
    <row r="827" spans="1:12" ht="19.95" customHeight="1" x14ac:dyDescent="0.3">
      <c r="A827" s="6" t="s">
        <v>4396</v>
      </c>
      <c r="B827" s="7" t="s">
        <v>4386</v>
      </c>
      <c r="C827" s="6" t="s">
        <v>4668</v>
      </c>
      <c r="D827" s="7" t="s">
        <v>4785</v>
      </c>
      <c r="E827" s="6" t="s">
        <v>4786</v>
      </c>
      <c r="F827" s="7" t="s">
        <v>189</v>
      </c>
      <c r="G827" s="7" t="s">
        <v>4367</v>
      </c>
      <c r="H827" s="5" t="s">
        <v>209</v>
      </c>
      <c r="I827" s="6" t="s">
        <v>210</v>
      </c>
      <c r="J827" s="7" t="s">
        <v>11</v>
      </c>
      <c r="K827" s="36">
        <v>18</v>
      </c>
      <c r="L827" s="37">
        <v>558</v>
      </c>
    </row>
    <row r="828" spans="1:12" ht="19.95" customHeight="1" x14ac:dyDescent="0.3">
      <c r="A828" s="2" t="s">
        <v>4396</v>
      </c>
      <c r="B828" s="3" t="s">
        <v>4386</v>
      </c>
      <c r="C828" s="2" t="s">
        <v>4668</v>
      </c>
      <c r="D828" s="3" t="s">
        <v>4785</v>
      </c>
      <c r="E828" s="2" t="s">
        <v>4786</v>
      </c>
      <c r="F828" s="3" t="s">
        <v>189</v>
      </c>
      <c r="G828" s="3" t="s">
        <v>4369</v>
      </c>
      <c r="H828" s="1" t="s">
        <v>145</v>
      </c>
      <c r="I828" s="2" t="s">
        <v>146</v>
      </c>
      <c r="J828" s="3" t="s">
        <v>110</v>
      </c>
      <c r="K828" s="38">
        <v>1.6</v>
      </c>
      <c r="L828" s="39">
        <v>2400</v>
      </c>
    </row>
    <row r="829" spans="1:12" ht="19.95" customHeight="1" x14ac:dyDescent="0.3">
      <c r="A829" s="6" t="s">
        <v>4396</v>
      </c>
      <c r="B829" s="7" t="s">
        <v>4386</v>
      </c>
      <c r="C829" s="6" t="s">
        <v>4668</v>
      </c>
      <c r="D829" s="7" t="s">
        <v>4785</v>
      </c>
      <c r="E829" s="6" t="s">
        <v>4786</v>
      </c>
      <c r="F829" s="7" t="s">
        <v>189</v>
      </c>
      <c r="G829" s="7" t="s">
        <v>4369</v>
      </c>
      <c r="H829" s="5" t="s">
        <v>152</v>
      </c>
      <c r="I829" s="6" t="s">
        <v>153</v>
      </c>
      <c r="J829" s="7" t="s">
        <v>110</v>
      </c>
      <c r="K829" s="36">
        <v>1.6</v>
      </c>
      <c r="L829" s="37">
        <v>250</v>
      </c>
    </row>
    <row r="830" spans="1:12" ht="19.95" customHeight="1" x14ac:dyDescent="0.3">
      <c r="A830" s="2" t="s">
        <v>4396</v>
      </c>
      <c r="B830" s="3" t="s">
        <v>4386</v>
      </c>
      <c r="C830" s="2" t="s">
        <v>4668</v>
      </c>
      <c r="D830" s="3" t="s">
        <v>4785</v>
      </c>
      <c r="E830" s="2" t="s">
        <v>4786</v>
      </c>
      <c r="F830" s="3" t="s">
        <v>189</v>
      </c>
      <c r="G830" s="3" t="s">
        <v>4369</v>
      </c>
      <c r="H830" s="1" t="s">
        <v>115</v>
      </c>
      <c r="I830" s="2" t="s">
        <v>116</v>
      </c>
      <c r="J830" s="3" t="s">
        <v>110</v>
      </c>
      <c r="K830" s="38">
        <v>1.6</v>
      </c>
      <c r="L830" s="39">
        <v>900</v>
      </c>
    </row>
    <row r="831" spans="1:12" ht="19.95" customHeight="1" x14ac:dyDescent="0.3">
      <c r="A831" s="6" t="s">
        <v>4396</v>
      </c>
      <c r="B831" s="7" t="s">
        <v>4386</v>
      </c>
      <c r="C831" s="6" t="s">
        <v>4668</v>
      </c>
      <c r="D831" s="7" t="s">
        <v>4785</v>
      </c>
      <c r="E831" s="6" t="s">
        <v>4786</v>
      </c>
      <c r="F831" s="7" t="s">
        <v>189</v>
      </c>
      <c r="G831" s="7" t="s">
        <v>4369</v>
      </c>
      <c r="H831" s="5" t="s">
        <v>67</v>
      </c>
      <c r="I831" s="6" t="s">
        <v>68</v>
      </c>
      <c r="J831" s="7" t="s">
        <v>69</v>
      </c>
      <c r="K831" s="36">
        <v>1200</v>
      </c>
      <c r="L831" s="37">
        <v>30</v>
      </c>
    </row>
    <row r="832" spans="1:12" ht="19.95" customHeight="1" x14ac:dyDescent="0.3">
      <c r="A832" s="2" t="s">
        <v>4396</v>
      </c>
      <c r="B832" s="3" t="s">
        <v>4386</v>
      </c>
      <c r="C832" s="2" t="s">
        <v>4668</v>
      </c>
      <c r="D832" s="3" t="s">
        <v>4785</v>
      </c>
      <c r="E832" s="2" t="s">
        <v>4786</v>
      </c>
      <c r="F832" s="3" t="s">
        <v>189</v>
      </c>
      <c r="G832" s="3" t="s">
        <v>4369</v>
      </c>
      <c r="H832" s="1" t="s">
        <v>27</v>
      </c>
      <c r="I832" s="2" t="s">
        <v>4393</v>
      </c>
      <c r="J832" s="3" t="s">
        <v>18</v>
      </c>
      <c r="K832" s="38">
        <v>120</v>
      </c>
      <c r="L832" s="39">
        <v>210</v>
      </c>
    </row>
    <row r="833" spans="1:12" ht="19.95" customHeight="1" x14ac:dyDescent="0.3">
      <c r="A833" s="6" t="s">
        <v>4396</v>
      </c>
      <c r="B833" s="7" t="s">
        <v>4386</v>
      </c>
      <c r="C833" s="6" t="s">
        <v>4668</v>
      </c>
      <c r="D833" s="7" t="s">
        <v>4788</v>
      </c>
      <c r="E833" s="6" t="s">
        <v>4789</v>
      </c>
      <c r="F833" s="7" t="s">
        <v>4402</v>
      </c>
      <c r="G833" s="7" t="s">
        <v>4369</v>
      </c>
      <c r="H833" s="5" t="s">
        <v>167</v>
      </c>
      <c r="I833" s="6" t="s">
        <v>168</v>
      </c>
      <c r="J833" s="7" t="s">
        <v>169</v>
      </c>
      <c r="K833" s="36">
        <v>240</v>
      </c>
      <c r="L833" s="37">
        <v>1300</v>
      </c>
    </row>
    <row r="834" spans="1:12" ht="19.95" customHeight="1" x14ac:dyDescent="0.3">
      <c r="A834" s="2" t="s">
        <v>4396</v>
      </c>
      <c r="B834" s="3" t="s">
        <v>4386</v>
      </c>
      <c r="C834" s="2" t="s">
        <v>4668</v>
      </c>
      <c r="D834" s="3" t="s">
        <v>4790</v>
      </c>
      <c r="E834" s="2" t="s">
        <v>4791</v>
      </c>
      <c r="F834" s="3" t="s">
        <v>4792</v>
      </c>
      <c r="G834" s="3" t="s">
        <v>4367</v>
      </c>
      <c r="H834" s="1" t="s">
        <v>255</v>
      </c>
      <c r="I834" s="2" t="s">
        <v>256</v>
      </c>
      <c r="J834" s="3" t="s">
        <v>11</v>
      </c>
      <c r="K834" s="38">
        <v>6.42</v>
      </c>
      <c r="L834" s="39">
        <v>709</v>
      </c>
    </row>
    <row r="835" spans="1:12" ht="19.95" customHeight="1" x14ac:dyDescent="0.3">
      <c r="A835" s="6" t="s">
        <v>4396</v>
      </c>
      <c r="B835" s="7" t="s">
        <v>4386</v>
      </c>
      <c r="C835" s="6" t="s">
        <v>4668</v>
      </c>
      <c r="D835" s="7" t="s">
        <v>4790</v>
      </c>
      <c r="E835" s="6" t="s">
        <v>4791</v>
      </c>
      <c r="F835" s="7" t="s">
        <v>4792</v>
      </c>
      <c r="G835" s="7" t="s">
        <v>4367</v>
      </c>
      <c r="H835" s="5" t="s">
        <v>209</v>
      </c>
      <c r="I835" s="6" t="s">
        <v>210</v>
      </c>
      <c r="J835" s="7" t="s">
        <v>11</v>
      </c>
      <c r="K835" s="36">
        <v>73.510000000000005</v>
      </c>
      <c r="L835" s="37">
        <v>558</v>
      </c>
    </row>
    <row r="836" spans="1:12" ht="19.95" customHeight="1" x14ac:dyDescent="0.3">
      <c r="A836" s="2" t="s">
        <v>4396</v>
      </c>
      <c r="B836" s="3" t="s">
        <v>4386</v>
      </c>
      <c r="C836" s="2" t="s">
        <v>4668</v>
      </c>
      <c r="D836" s="3" t="s">
        <v>4790</v>
      </c>
      <c r="E836" s="2" t="s">
        <v>4791</v>
      </c>
      <c r="F836" s="3" t="s">
        <v>4792</v>
      </c>
      <c r="G836" s="3" t="s">
        <v>4367</v>
      </c>
      <c r="H836" s="1" t="s">
        <v>197</v>
      </c>
      <c r="I836" s="2" t="s">
        <v>198</v>
      </c>
      <c r="J836" s="3" t="s">
        <v>11</v>
      </c>
      <c r="K836" s="38">
        <v>24.06</v>
      </c>
      <c r="L836" s="39">
        <v>617</v>
      </c>
    </row>
    <row r="837" spans="1:12" ht="19.95" customHeight="1" x14ac:dyDescent="0.3">
      <c r="A837" s="6" t="s">
        <v>4396</v>
      </c>
      <c r="B837" s="7" t="s">
        <v>4386</v>
      </c>
      <c r="C837" s="6" t="s">
        <v>4668</v>
      </c>
      <c r="D837" s="7" t="s">
        <v>4790</v>
      </c>
      <c r="E837" s="6" t="s">
        <v>4791</v>
      </c>
      <c r="F837" s="7" t="s">
        <v>4792</v>
      </c>
      <c r="G837" s="7" t="s">
        <v>4369</v>
      </c>
      <c r="H837" s="5" t="s">
        <v>12</v>
      </c>
      <c r="I837" s="6" t="s">
        <v>4388</v>
      </c>
      <c r="J837" s="7" t="s">
        <v>11</v>
      </c>
      <c r="K837" s="36">
        <v>2.14</v>
      </c>
      <c r="L837" s="37">
        <v>800</v>
      </c>
    </row>
    <row r="838" spans="1:12" ht="19.95" customHeight="1" x14ac:dyDescent="0.3">
      <c r="A838" s="2" t="s">
        <v>4396</v>
      </c>
      <c r="B838" s="3" t="s">
        <v>4386</v>
      </c>
      <c r="C838" s="2" t="s">
        <v>4668</v>
      </c>
      <c r="D838" s="3" t="s">
        <v>4790</v>
      </c>
      <c r="E838" s="2" t="s">
        <v>4791</v>
      </c>
      <c r="F838" s="3" t="s">
        <v>4792</v>
      </c>
      <c r="G838" s="3" t="s">
        <v>4369</v>
      </c>
      <c r="H838" s="1" t="s">
        <v>33</v>
      </c>
      <c r="I838" s="2" t="s">
        <v>4387</v>
      </c>
      <c r="J838" s="3" t="s">
        <v>11</v>
      </c>
      <c r="K838" s="38">
        <v>2.14</v>
      </c>
      <c r="L838" s="39">
        <v>370</v>
      </c>
    </row>
    <row r="839" spans="1:12" ht="19.95" customHeight="1" x14ac:dyDescent="0.3">
      <c r="A839" s="6" t="s">
        <v>4396</v>
      </c>
      <c r="B839" s="7" t="s">
        <v>4386</v>
      </c>
      <c r="C839" s="6" t="s">
        <v>4668</v>
      </c>
      <c r="D839" s="7" t="s">
        <v>4790</v>
      </c>
      <c r="E839" s="6" t="s">
        <v>4791</v>
      </c>
      <c r="F839" s="7" t="s">
        <v>4792</v>
      </c>
      <c r="G839" s="7" t="s">
        <v>4367</v>
      </c>
      <c r="H839" s="5" t="s">
        <v>221</v>
      </c>
      <c r="I839" s="6" t="s">
        <v>222</v>
      </c>
      <c r="J839" s="7" t="s">
        <v>11</v>
      </c>
      <c r="K839" s="36">
        <v>5</v>
      </c>
      <c r="L839" s="37">
        <v>738</v>
      </c>
    </row>
    <row r="840" spans="1:12" ht="19.95" customHeight="1" x14ac:dyDescent="0.3">
      <c r="A840" s="2" t="s">
        <v>4396</v>
      </c>
      <c r="B840" s="3" t="s">
        <v>4386</v>
      </c>
      <c r="C840" s="2" t="s">
        <v>4668</v>
      </c>
      <c r="D840" s="3" t="s">
        <v>4790</v>
      </c>
      <c r="E840" s="2" t="s">
        <v>4791</v>
      </c>
      <c r="F840" s="3" t="s">
        <v>4792</v>
      </c>
      <c r="G840" s="3" t="s">
        <v>4367</v>
      </c>
      <c r="H840" s="1" t="s">
        <v>223</v>
      </c>
      <c r="I840" s="2" t="s">
        <v>224</v>
      </c>
      <c r="J840" s="3" t="s">
        <v>11</v>
      </c>
      <c r="K840" s="38">
        <v>5</v>
      </c>
      <c r="L840" s="39">
        <v>679</v>
      </c>
    </row>
    <row r="841" spans="1:12" ht="19.95" customHeight="1" x14ac:dyDescent="0.3">
      <c r="A841" s="6" t="s">
        <v>4396</v>
      </c>
      <c r="B841" s="7" t="s">
        <v>4386</v>
      </c>
      <c r="C841" s="6" t="s">
        <v>4668</v>
      </c>
      <c r="D841" s="7" t="s">
        <v>4790</v>
      </c>
      <c r="E841" s="6" t="s">
        <v>4791</v>
      </c>
      <c r="F841" s="7" t="s">
        <v>4792</v>
      </c>
      <c r="G841" s="7" t="s">
        <v>4367</v>
      </c>
      <c r="H841" s="5" t="s">
        <v>197</v>
      </c>
      <c r="I841" s="6" t="s">
        <v>198</v>
      </c>
      <c r="J841" s="7" t="s">
        <v>11</v>
      </c>
      <c r="K841" s="36">
        <v>1.5</v>
      </c>
      <c r="L841" s="37">
        <v>617</v>
      </c>
    </row>
    <row r="842" spans="1:12" ht="19.95" customHeight="1" x14ac:dyDescent="0.3">
      <c r="A842" s="2" t="s">
        <v>4396</v>
      </c>
      <c r="B842" s="3" t="s">
        <v>4386</v>
      </c>
      <c r="C842" s="2" t="s">
        <v>4668</v>
      </c>
      <c r="D842" s="3" t="s">
        <v>4790</v>
      </c>
      <c r="E842" s="2" t="s">
        <v>4791</v>
      </c>
      <c r="F842" s="3" t="s">
        <v>4792</v>
      </c>
      <c r="G842" s="3" t="s">
        <v>4367</v>
      </c>
      <c r="H842" s="1" t="s">
        <v>211</v>
      </c>
      <c r="I842" s="2" t="s">
        <v>212</v>
      </c>
      <c r="J842" s="3" t="s">
        <v>11</v>
      </c>
      <c r="K842" s="38">
        <v>4.5</v>
      </c>
      <c r="L842" s="39">
        <v>558</v>
      </c>
    </row>
    <row r="843" spans="1:12" ht="19.95" customHeight="1" x14ac:dyDescent="0.3">
      <c r="A843" s="6" t="s">
        <v>4396</v>
      </c>
      <c r="B843" s="7" t="s">
        <v>4386</v>
      </c>
      <c r="C843" s="6" t="s">
        <v>4668</v>
      </c>
      <c r="D843" s="7" t="s">
        <v>4790</v>
      </c>
      <c r="E843" s="6" t="s">
        <v>4791</v>
      </c>
      <c r="F843" s="7" t="s">
        <v>4792</v>
      </c>
      <c r="G843" s="7" t="s">
        <v>4367</v>
      </c>
      <c r="H843" s="5" t="s">
        <v>211</v>
      </c>
      <c r="I843" s="6" t="s">
        <v>212</v>
      </c>
      <c r="J843" s="7" t="s">
        <v>11</v>
      </c>
      <c r="K843" s="36">
        <v>50.12</v>
      </c>
      <c r="L843" s="37">
        <v>558</v>
      </c>
    </row>
    <row r="844" spans="1:12" ht="19.95" customHeight="1" x14ac:dyDescent="0.3">
      <c r="A844" s="2" t="s">
        <v>4396</v>
      </c>
      <c r="B844" s="3" t="s">
        <v>4386</v>
      </c>
      <c r="C844" s="2" t="s">
        <v>4668</v>
      </c>
      <c r="D844" s="3" t="s">
        <v>4793</v>
      </c>
      <c r="E844" s="2" t="s">
        <v>4794</v>
      </c>
      <c r="F844" s="3" t="s">
        <v>4795</v>
      </c>
      <c r="G844" s="3" t="s">
        <v>4367</v>
      </c>
      <c r="H844" s="1" t="s">
        <v>209</v>
      </c>
      <c r="I844" s="2" t="s">
        <v>210</v>
      </c>
      <c r="J844" s="3" t="s">
        <v>11</v>
      </c>
      <c r="K844" s="38">
        <v>0.79</v>
      </c>
      <c r="L844" s="39">
        <v>558</v>
      </c>
    </row>
    <row r="845" spans="1:12" ht="19.95" customHeight="1" x14ac:dyDescent="0.3">
      <c r="A845" s="6" t="s">
        <v>4396</v>
      </c>
      <c r="B845" s="7" t="s">
        <v>4386</v>
      </c>
      <c r="C845" s="6" t="s">
        <v>4668</v>
      </c>
      <c r="D845" s="7" t="s">
        <v>4793</v>
      </c>
      <c r="E845" s="6" t="s">
        <v>4794</v>
      </c>
      <c r="F845" s="7" t="s">
        <v>4795</v>
      </c>
      <c r="G845" s="7" t="s">
        <v>4367</v>
      </c>
      <c r="H845" s="5" t="s">
        <v>211</v>
      </c>
      <c r="I845" s="6" t="s">
        <v>212</v>
      </c>
      <c r="J845" s="7" t="s">
        <v>11</v>
      </c>
      <c r="K845" s="36">
        <v>0.56000000000000005</v>
      </c>
      <c r="L845" s="37">
        <v>558</v>
      </c>
    </row>
    <row r="846" spans="1:12" ht="19.95" customHeight="1" x14ac:dyDescent="0.3">
      <c r="A846" s="2" t="s">
        <v>4396</v>
      </c>
      <c r="B846" s="3" t="s">
        <v>4386</v>
      </c>
      <c r="C846" s="2" t="s">
        <v>4668</v>
      </c>
      <c r="D846" s="3" t="s">
        <v>4793</v>
      </c>
      <c r="E846" s="2" t="s">
        <v>4794</v>
      </c>
      <c r="F846" s="3" t="s">
        <v>4795</v>
      </c>
      <c r="G846" s="3" t="s">
        <v>4367</v>
      </c>
      <c r="H846" s="1" t="s">
        <v>197</v>
      </c>
      <c r="I846" s="2" t="s">
        <v>198</v>
      </c>
      <c r="J846" s="3" t="s">
        <v>11</v>
      </c>
      <c r="K846" s="38">
        <v>0.6</v>
      </c>
      <c r="L846" s="39">
        <v>617</v>
      </c>
    </row>
    <row r="847" spans="1:12" ht="19.95" customHeight="1" x14ac:dyDescent="0.3">
      <c r="A847" s="6" t="s">
        <v>4396</v>
      </c>
      <c r="B847" s="7" t="s">
        <v>4386</v>
      </c>
      <c r="C847" s="6" t="s">
        <v>4668</v>
      </c>
      <c r="D847" s="7" t="s">
        <v>4793</v>
      </c>
      <c r="E847" s="6" t="s">
        <v>4794</v>
      </c>
      <c r="F847" s="7" t="s">
        <v>4795</v>
      </c>
      <c r="G847" s="7" t="s">
        <v>4367</v>
      </c>
      <c r="H847" s="5" t="s">
        <v>221</v>
      </c>
      <c r="I847" s="6" t="s">
        <v>222</v>
      </c>
      <c r="J847" s="7" t="s">
        <v>11</v>
      </c>
      <c r="K847" s="36">
        <v>0.06</v>
      </c>
      <c r="L847" s="37">
        <v>738</v>
      </c>
    </row>
    <row r="848" spans="1:12" ht="19.95" customHeight="1" x14ac:dyDescent="0.3">
      <c r="A848" s="2" t="s">
        <v>4396</v>
      </c>
      <c r="B848" s="3" t="s">
        <v>4386</v>
      </c>
      <c r="C848" s="2" t="s">
        <v>4668</v>
      </c>
      <c r="D848" s="3" t="s">
        <v>4793</v>
      </c>
      <c r="E848" s="2" t="s">
        <v>4794</v>
      </c>
      <c r="F848" s="3" t="s">
        <v>4795</v>
      </c>
      <c r="G848" s="3" t="s">
        <v>4367</v>
      </c>
      <c r="H848" s="1" t="s">
        <v>223</v>
      </c>
      <c r="I848" s="2" t="s">
        <v>224</v>
      </c>
      <c r="J848" s="3" t="s">
        <v>11</v>
      </c>
      <c r="K848" s="38">
        <v>0.06</v>
      </c>
      <c r="L848" s="39">
        <v>679</v>
      </c>
    </row>
    <row r="849" spans="1:12" ht="19.95" customHeight="1" x14ac:dyDescent="0.3">
      <c r="A849" s="6" t="s">
        <v>4396</v>
      </c>
      <c r="B849" s="7" t="s">
        <v>4386</v>
      </c>
      <c r="C849" s="6" t="s">
        <v>4668</v>
      </c>
      <c r="D849" s="7" t="s">
        <v>4793</v>
      </c>
      <c r="E849" s="6" t="s">
        <v>4794</v>
      </c>
      <c r="F849" s="7" t="s">
        <v>4795</v>
      </c>
      <c r="G849" s="7" t="s">
        <v>4369</v>
      </c>
      <c r="H849" s="5" t="s">
        <v>12</v>
      </c>
      <c r="I849" s="6" t="s">
        <v>4388</v>
      </c>
      <c r="J849" s="7" t="s">
        <v>11</v>
      </c>
      <c r="K849" s="36">
        <v>0.05</v>
      </c>
      <c r="L849" s="37">
        <v>800</v>
      </c>
    </row>
    <row r="850" spans="1:12" ht="19.95" customHeight="1" x14ac:dyDescent="0.3">
      <c r="A850" s="2" t="s">
        <v>4396</v>
      </c>
      <c r="B850" s="3" t="s">
        <v>4386</v>
      </c>
      <c r="C850" s="2" t="s">
        <v>4668</v>
      </c>
      <c r="D850" s="3" t="s">
        <v>4793</v>
      </c>
      <c r="E850" s="2" t="s">
        <v>4794</v>
      </c>
      <c r="F850" s="3" t="s">
        <v>4795</v>
      </c>
      <c r="G850" s="3" t="s">
        <v>4369</v>
      </c>
      <c r="H850" s="1" t="s">
        <v>33</v>
      </c>
      <c r="I850" s="2" t="s">
        <v>4387</v>
      </c>
      <c r="J850" s="3" t="s">
        <v>11</v>
      </c>
      <c r="K850" s="38">
        <v>0.05</v>
      </c>
      <c r="L850" s="39">
        <v>370</v>
      </c>
    </row>
    <row r="851" spans="1:12" ht="19.95" customHeight="1" x14ac:dyDescent="0.3">
      <c r="A851" s="6" t="s">
        <v>4396</v>
      </c>
      <c r="B851" s="7" t="s">
        <v>4386</v>
      </c>
      <c r="C851" s="6" t="s">
        <v>4668</v>
      </c>
      <c r="D851" s="7" t="s">
        <v>4793</v>
      </c>
      <c r="E851" s="6" t="s">
        <v>4794</v>
      </c>
      <c r="F851" s="7" t="s">
        <v>4795</v>
      </c>
      <c r="G851" s="7" t="s">
        <v>4367</v>
      </c>
      <c r="H851" s="5" t="s">
        <v>211</v>
      </c>
      <c r="I851" s="6" t="s">
        <v>212</v>
      </c>
      <c r="J851" s="7" t="s">
        <v>11</v>
      </c>
      <c r="K851" s="36">
        <v>0.18</v>
      </c>
      <c r="L851" s="37">
        <v>558</v>
      </c>
    </row>
    <row r="852" spans="1:12" ht="19.95" customHeight="1" x14ac:dyDescent="0.3">
      <c r="A852" s="2" t="s">
        <v>4396</v>
      </c>
      <c r="B852" s="3" t="s">
        <v>4386</v>
      </c>
      <c r="C852" s="2" t="s">
        <v>4668</v>
      </c>
      <c r="D852" s="3" t="s">
        <v>4793</v>
      </c>
      <c r="E852" s="2" t="s">
        <v>4794</v>
      </c>
      <c r="F852" s="3" t="s">
        <v>4795</v>
      </c>
      <c r="G852" s="3" t="s">
        <v>4367</v>
      </c>
      <c r="H852" s="1" t="s">
        <v>221</v>
      </c>
      <c r="I852" s="2" t="s">
        <v>222</v>
      </c>
      <c r="J852" s="3" t="s">
        <v>11</v>
      </c>
      <c r="K852" s="38">
        <v>0.05</v>
      </c>
      <c r="L852" s="39">
        <v>738</v>
      </c>
    </row>
    <row r="853" spans="1:12" ht="19.95" customHeight="1" x14ac:dyDescent="0.3">
      <c r="A853" s="6" t="s">
        <v>4396</v>
      </c>
      <c r="B853" s="7" t="s">
        <v>4386</v>
      </c>
      <c r="C853" s="6" t="s">
        <v>4668</v>
      </c>
      <c r="D853" s="7" t="s">
        <v>4793</v>
      </c>
      <c r="E853" s="6" t="s">
        <v>4794</v>
      </c>
      <c r="F853" s="7" t="s">
        <v>4795</v>
      </c>
      <c r="G853" s="7" t="s">
        <v>4367</v>
      </c>
      <c r="H853" s="5" t="s">
        <v>223</v>
      </c>
      <c r="I853" s="6" t="s">
        <v>224</v>
      </c>
      <c r="J853" s="7" t="s">
        <v>11</v>
      </c>
      <c r="K853" s="36">
        <v>0.05</v>
      </c>
      <c r="L853" s="37">
        <v>679</v>
      </c>
    </row>
    <row r="854" spans="1:12" ht="19.95" customHeight="1" x14ac:dyDescent="0.3">
      <c r="A854" s="2" t="s">
        <v>4396</v>
      </c>
      <c r="B854" s="3" t="s">
        <v>4386</v>
      </c>
      <c r="C854" s="2" t="s">
        <v>4668</v>
      </c>
      <c r="D854" s="3" t="s">
        <v>4793</v>
      </c>
      <c r="E854" s="2" t="s">
        <v>4794</v>
      </c>
      <c r="F854" s="3" t="s">
        <v>4795</v>
      </c>
      <c r="G854" s="3" t="s">
        <v>4367</v>
      </c>
      <c r="H854" s="1" t="s">
        <v>209</v>
      </c>
      <c r="I854" s="2" t="s">
        <v>210</v>
      </c>
      <c r="J854" s="3" t="s">
        <v>11</v>
      </c>
      <c r="K854" s="38">
        <v>0.1</v>
      </c>
      <c r="L854" s="39">
        <v>558</v>
      </c>
    </row>
    <row r="855" spans="1:12" ht="19.95" customHeight="1" x14ac:dyDescent="0.3">
      <c r="A855" s="6" t="s">
        <v>4396</v>
      </c>
      <c r="B855" s="7" t="s">
        <v>4386</v>
      </c>
      <c r="C855" s="6" t="s">
        <v>4668</v>
      </c>
      <c r="D855" s="7" t="s">
        <v>4793</v>
      </c>
      <c r="E855" s="6" t="s">
        <v>4794</v>
      </c>
      <c r="F855" s="7" t="s">
        <v>4795</v>
      </c>
      <c r="G855" s="7" t="s">
        <v>4367</v>
      </c>
      <c r="H855" s="5" t="s">
        <v>197</v>
      </c>
      <c r="I855" s="6" t="s">
        <v>198</v>
      </c>
      <c r="J855" s="7" t="s">
        <v>11</v>
      </c>
      <c r="K855" s="36">
        <v>0.15</v>
      </c>
      <c r="L855" s="37">
        <v>617</v>
      </c>
    </row>
    <row r="856" spans="1:12" ht="19.95" customHeight="1" x14ac:dyDescent="0.3">
      <c r="A856" s="2" t="s">
        <v>4396</v>
      </c>
      <c r="B856" s="3" t="s">
        <v>4386</v>
      </c>
      <c r="C856" s="2" t="s">
        <v>4668</v>
      </c>
      <c r="D856" s="3" t="s">
        <v>4796</v>
      </c>
      <c r="E856" s="2" t="s">
        <v>4797</v>
      </c>
      <c r="F856" s="3" t="s">
        <v>4663</v>
      </c>
      <c r="G856" s="3" t="s">
        <v>4367</v>
      </c>
      <c r="H856" s="1" t="s">
        <v>213</v>
      </c>
      <c r="I856" s="2" t="s">
        <v>214</v>
      </c>
      <c r="J856" s="3" t="s">
        <v>11</v>
      </c>
      <c r="K856" s="38">
        <v>0.75</v>
      </c>
      <c r="L856" s="39">
        <v>738</v>
      </c>
    </row>
    <row r="857" spans="1:12" ht="19.95" customHeight="1" x14ac:dyDescent="0.3">
      <c r="A857" s="6" t="s">
        <v>4396</v>
      </c>
      <c r="B857" s="7" t="s">
        <v>4386</v>
      </c>
      <c r="C857" s="6" t="s">
        <v>4668</v>
      </c>
      <c r="D857" s="7" t="s">
        <v>4796</v>
      </c>
      <c r="E857" s="6" t="s">
        <v>4797</v>
      </c>
      <c r="F857" s="7" t="s">
        <v>4663</v>
      </c>
      <c r="G857" s="7" t="s">
        <v>4367</v>
      </c>
      <c r="H857" s="5" t="s">
        <v>209</v>
      </c>
      <c r="I857" s="6" t="s">
        <v>210</v>
      </c>
      <c r="J857" s="7" t="s">
        <v>11</v>
      </c>
      <c r="K857" s="36">
        <v>1.5</v>
      </c>
      <c r="L857" s="37">
        <v>558</v>
      </c>
    </row>
    <row r="858" spans="1:12" ht="19.95" customHeight="1" x14ac:dyDescent="0.3">
      <c r="A858" s="2" t="s">
        <v>4396</v>
      </c>
      <c r="B858" s="3" t="s">
        <v>4386</v>
      </c>
      <c r="C858" s="2" t="s">
        <v>4668</v>
      </c>
      <c r="D858" s="3" t="s">
        <v>4798</v>
      </c>
      <c r="E858" s="2" t="s">
        <v>4799</v>
      </c>
      <c r="F858" s="3" t="s">
        <v>4405</v>
      </c>
      <c r="G858" s="3" t="s">
        <v>4367</v>
      </c>
      <c r="H858" s="1" t="s">
        <v>205</v>
      </c>
      <c r="I858" s="2" t="s">
        <v>206</v>
      </c>
      <c r="J858" s="3" t="s">
        <v>11</v>
      </c>
      <c r="K858" s="38">
        <v>28</v>
      </c>
      <c r="L858" s="39">
        <v>679</v>
      </c>
    </row>
    <row r="859" spans="1:12" ht="19.95" customHeight="1" x14ac:dyDescent="0.3">
      <c r="A859" s="6" t="s">
        <v>4396</v>
      </c>
      <c r="B859" s="7" t="s">
        <v>4386</v>
      </c>
      <c r="C859" s="6" t="s">
        <v>4668</v>
      </c>
      <c r="D859" s="7" t="s">
        <v>4798</v>
      </c>
      <c r="E859" s="6" t="s">
        <v>4799</v>
      </c>
      <c r="F859" s="7" t="s">
        <v>4405</v>
      </c>
      <c r="G859" s="7" t="s">
        <v>4367</v>
      </c>
      <c r="H859" s="5" t="s">
        <v>209</v>
      </c>
      <c r="I859" s="6" t="s">
        <v>210</v>
      </c>
      <c r="J859" s="7" t="s">
        <v>11</v>
      </c>
      <c r="K859" s="36">
        <v>24</v>
      </c>
      <c r="L859" s="37">
        <v>558</v>
      </c>
    </row>
    <row r="860" spans="1:12" ht="19.95" customHeight="1" x14ac:dyDescent="0.3">
      <c r="A860" s="2" t="s">
        <v>4396</v>
      </c>
      <c r="B860" s="3" t="s">
        <v>4386</v>
      </c>
      <c r="C860" s="2" t="s">
        <v>4668</v>
      </c>
      <c r="D860" s="3" t="s">
        <v>4800</v>
      </c>
      <c r="E860" s="2" t="s">
        <v>4801</v>
      </c>
      <c r="F860" s="3" t="s">
        <v>4368</v>
      </c>
      <c r="G860" s="3" t="s">
        <v>4367</v>
      </c>
      <c r="H860" s="1" t="s">
        <v>213</v>
      </c>
      <c r="I860" s="2" t="s">
        <v>214</v>
      </c>
      <c r="J860" s="3" t="s">
        <v>11</v>
      </c>
      <c r="K860" s="38">
        <v>3.5</v>
      </c>
      <c r="L860" s="39">
        <v>738</v>
      </c>
    </row>
    <row r="861" spans="1:12" ht="19.95" customHeight="1" x14ac:dyDescent="0.3">
      <c r="A861" s="6" t="s">
        <v>4396</v>
      </c>
      <c r="B861" s="7" t="s">
        <v>4386</v>
      </c>
      <c r="C861" s="6" t="s">
        <v>4668</v>
      </c>
      <c r="D861" s="7" t="s">
        <v>4800</v>
      </c>
      <c r="E861" s="6" t="s">
        <v>4801</v>
      </c>
      <c r="F861" s="7" t="s">
        <v>4368</v>
      </c>
      <c r="G861" s="7" t="s">
        <v>4367</v>
      </c>
      <c r="H861" s="5" t="s">
        <v>209</v>
      </c>
      <c r="I861" s="6" t="s">
        <v>210</v>
      </c>
      <c r="J861" s="7" t="s">
        <v>11</v>
      </c>
      <c r="K861" s="36">
        <v>6</v>
      </c>
      <c r="L861" s="37">
        <v>558</v>
      </c>
    </row>
    <row r="862" spans="1:12" ht="19.95" customHeight="1" x14ac:dyDescent="0.3">
      <c r="A862" s="2" t="s">
        <v>4396</v>
      </c>
      <c r="B862" s="3" t="s">
        <v>4386</v>
      </c>
      <c r="C862" s="2" t="s">
        <v>4668</v>
      </c>
      <c r="D862" s="3" t="s">
        <v>4802</v>
      </c>
      <c r="E862" s="2" t="s">
        <v>4803</v>
      </c>
      <c r="F862" s="3" t="s">
        <v>4804</v>
      </c>
      <c r="G862" s="3" t="s">
        <v>4367</v>
      </c>
      <c r="H862" s="1" t="s">
        <v>205</v>
      </c>
      <c r="I862" s="2" t="s">
        <v>206</v>
      </c>
      <c r="J862" s="3" t="s">
        <v>11</v>
      </c>
      <c r="K862" s="38">
        <v>11</v>
      </c>
      <c r="L862" s="39">
        <v>679</v>
      </c>
    </row>
    <row r="863" spans="1:12" ht="19.95" customHeight="1" x14ac:dyDescent="0.3">
      <c r="A863" s="6" t="s">
        <v>4396</v>
      </c>
      <c r="B863" s="7" t="s">
        <v>4386</v>
      </c>
      <c r="C863" s="6" t="s">
        <v>4668</v>
      </c>
      <c r="D863" s="7" t="s">
        <v>4802</v>
      </c>
      <c r="E863" s="6" t="s">
        <v>4803</v>
      </c>
      <c r="F863" s="7" t="s">
        <v>4804</v>
      </c>
      <c r="G863" s="7" t="s">
        <v>4367</v>
      </c>
      <c r="H863" s="5" t="s">
        <v>209</v>
      </c>
      <c r="I863" s="6" t="s">
        <v>210</v>
      </c>
      <c r="J863" s="7" t="s">
        <v>11</v>
      </c>
      <c r="K863" s="36">
        <v>11</v>
      </c>
      <c r="L863" s="37">
        <v>558</v>
      </c>
    </row>
    <row r="864" spans="1:12" ht="19.95" customHeight="1" x14ac:dyDescent="0.3">
      <c r="A864" s="2" t="s">
        <v>4396</v>
      </c>
      <c r="B864" s="3" t="s">
        <v>4386</v>
      </c>
      <c r="C864" s="2" t="s">
        <v>4668</v>
      </c>
      <c r="D864" s="3" t="s">
        <v>4805</v>
      </c>
      <c r="E864" s="2" t="s">
        <v>4806</v>
      </c>
      <c r="F864" s="3" t="s">
        <v>4663</v>
      </c>
      <c r="G864" s="3" t="s">
        <v>4367</v>
      </c>
      <c r="H864" s="1" t="s">
        <v>213</v>
      </c>
      <c r="I864" s="2" t="s">
        <v>214</v>
      </c>
      <c r="J864" s="3" t="s">
        <v>11</v>
      </c>
      <c r="K864" s="38">
        <v>0.75</v>
      </c>
      <c r="L864" s="39">
        <v>738</v>
      </c>
    </row>
    <row r="865" spans="1:12" ht="19.95" customHeight="1" x14ac:dyDescent="0.3">
      <c r="A865" s="6" t="s">
        <v>4396</v>
      </c>
      <c r="B865" s="7" t="s">
        <v>4386</v>
      </c>
      <c r="C865" s="6" t="s">
        <v>4668</v>
      </c>
      <c r="D865" s="7" t="s">
        <v>4805</v>
      </c>
      <c r="E865" s="6" t="s">
        <v>4806</v>
      </c>
      <c r="F865" s="7" t="s">
        <v>4663</v>
      </c>
      <c r="G865" s="7" t="s">
        <v>4367</v>
      </c>
      <c r="H865" s="5" t="s">
        <v>209</v>
      </c>
      <c r="I865" s="6" t="s">
        <v>210</v>
      </c>
      <c r="J865" s="7" t="s">
        <v>11</v>
      </c>
      <c r="K865" s="36">
        <v>1.5</v>
      </c>
      <c r="L865" s="37">
        <v>558</v>
      </c>
    </row>
    <row r="866" spans="1:12" ht="19.95" customHeight="1" x14ac:dyDescent="0.3">
      <c r="A866" s="2" t="s">
        <v>4396</v>
      </c>
      <c r="B866" s="3" t="s">
        <v>4386</v>
      </c>
      <c r="C866" s="2" t="s">
        <v>4668</v>
      </c>
      <c r="D866" s="3" t="s">
        <v>4807</v>
      </c>
      <c r="E866" s="2" t="s">
        <v>4808</v>
      </c>
      <c r="F866" s="3" t="s">
        <v>4809</v>
      </c>
      <c r="G866" s="3" t="s">
        <v>4367</v>
      </c>
      <c r="H866" s="1" t="s">
        <v>205</v>
      </c>
      <c r="I866" s="2" t="s">
        <v>206</v>
      </c>
      <c r="J866" s="3" t="s">
        <v>11</v>
      </c>
      <c r="K866" s="38">
        <v>0.81</v>
      </c>
      <c r="L866" s="39">
        <v>679</v>
      </c>
    </row>
    <row r="867" spans="1:12" ht="19.95" customHeight="1" x14ac:dyDescent="0.3">
      <c r="A867" s="6" t="s">
        <v>4396</v>
      </c>
      <c r="B867" s="7" t="s">
        <v>4386</v>
      </c>
      <c r="C867" s="6" t="s">
        <v>4668</v>
      </c>
      <c r="D867" s="7" t="s">
        <v>4807</v>
      </c>
      <c r="E867" s="6" t="s">
        <v>4808</v>
      </c>
      <c r="F867" s="7" t="s">
        <v>4809</v>
      </c>
      <c r="G867" s="7" t="s">
        <v>4367</v>
      </c>
      <c r="H867" s="5" t="s">
        <v>209</v>
      </c>
      <c r="I867" s="6" t="s">
        <v>210</v>
      </c>
      <c r="J867" s="7" t="s">
        <v>11</v>
      </c>
      <c r="K867" s="36">
        <v>0.54</v>
      </c>
      <c r="L867" s="37">
        <v>558</v>
      </c>
    </row>
    <row r="868" spans="1:12" ht="19.95" customHeight="1" x14ac:dyDescent="0.3">
      <c r="A868" s="2" t="s">
        <v>4396</v>
      </c>
      <c r="B868" s="3" t="s">
        <v>4386</v>
      </c>
      <c r="C868" s="2" t="s">
        <v>4668</v>
      </c>
      <c r="D868" s="3" t="s">
        <v>4807</v>
      </c>
      <c r="E868" s="2" t="s">
        <v>4808</v>
      </c>
      <c r="F868" s="3" t="s">
        <v>4810</v>
      </c>
      <c r="G868" s="3" t="s">
        <v>4367</v>
      </c>
      <c r="H868" s="1" t="s">
        <v>205</v>
      </c>
      <c r="I868" s="2" t="s">
        <v>206</v>
      </c>
      <c r="J868" s="3" t="s">
        <v>11</v>
      </c>
      <c r="K868" s="38">
        <v>1</v>
      </c>
      <c r="L868" s="39">
        <v>679</v>
      </c>
    </row>
    <row r="869" spans="1:12" ht="19.95" customHeight="1" x14ac:dyDescent="0.3">
      <c r="A869" s="6" t="s">
        <v>4396</v>
      </c>
      <c r="B869" s="7" t="s">
        <v>4386</v>
      </c>
      <c r="C869" s="6" t="s">
        <v>4668</v>
      </c>
      <c r="D869" s="7" t="s">
        <v>4807</v>
      </c>
      <c r="E869" s="6" t="s">
        <v>4808</v>
      </c>
      <c r="F869" s="7" t="s">
        <v>4810</v>
      </c>
      <c r="G869" s="7" t="s">
        <v>4367</v>
      </c>
      <c r="H869" s="5" t="s">
        <v>209</v>
      </c>
      <c r="I869" s="6" t="s">
        <v>210</v>
      </c>
      <c r="J869" s="7" t="s">
        <v>11</v>
      </c>
      <c r="K869" s="36">
        <v>0.75</v>
      </c>
      <c r="L869" s="37">
        <v>558</v>
      </c>
    </row>
    <row r="870" spans="1:12" ht="19.95" customHeight="1" x14ac:dyDescent="0.3">
      <c r="A870" s="2" t="s">
        <v>4396</v>
      </c>
      <c r="B870" s="3" t="s">
        <v>4386</v>
      </c>
      <c r="C870" s="2" t="s">
        <v>4668</v>
      </c>
      <c r="D870" s="3" t="s">
        <v>4811</v>
      </c>
      <c r="E870" s="2" t="s">
        <v>4812</v>
      </c>
      <c r="F870" s="3" t="s">
        <v>4813</v>
      </c>
      <c r="G870" s="3" t="s">
        <v>4367</v>
      </c>
      <c r="H870" s="1" t="s">
        <v>205</v>
      </c>
      <c r="I870" s="2" t="s">
        <v>206</v>
      </c>
      <c r="J870" s="3" t="s">
        <v>11</v>
      </c>
      <c r="K870" s="38">
        <v>0.63</v>
      </c>
      <c r="L870" s="39">
        <v>679</v>
      </c>
    </row>
    <row r="871" spans="1:12" ht="19.95" customHeight="1" x14ac:dyDescent="0.3">
      <c r="A871" s="6" t="s">
        <v>4396</v>
      </c>
      <c r="B871" s="7" t="s">
        <v>4386</v>
      </c>
      <c r="C871" s="6" t="s">
        <v>4668</v>
      </c>
      <c r="D871" s="7" t="s">
        <v>4811</v>
      </c>
      <c r="E871" s="6" t="s">
        <v>4812</v>
      </c>
      <c r="F871" s="7" t="s">
        <v>4813</v>
      </c>
      <c r="G871" s="7" t="s">
        <v>4367</v>
      </c>
      <c r="H871" s="5" t="s">
        <v>209</v>
      </c>
      <c r="I871" s="6" t="s">
        <v>210</v>
      </c>
      <c r="J871" s="7" t="s">
        <v>11</v>
      </c>
      <c r="K871" s="36">
        <v>0.63</v>
      </c>
      <c r="L871" s="37">
        <v>558</v>
      </c>
    </row>
    <row r="872" spans="1:12" ht="19.95" customHeight="1" x14ac:dyDescent="0.3">
      <c r="A872" s="2" t="s">
        <v>4396</v>
      </c>
      <c r="B872" s="3" t="s">
        <v>4386</v>
      </c>
      <c r="C872" s="2" t="s">
        <v>4668</v>
      </c>
      <c r="D872" s="3" t="s">
        <v>4814</v>
      </c>
      <c r="E872" s="2" t="s">
        <v>4815</v>
      </c>
      <c r="F872" s="3" t="s">
        <v>4816</v>
      </c>
      <c r="G872" s="3" t="s">
        <v>4367</v>
      </c>
      <c r="H872" s="1" t="s">
        <v>205</v>
      </c>
      <c r="I872" s="2" t="s">
        <v>206</v>
      </c>
      <c r="J872" s="3" t="s">
        <v>11</v>
      </c>
      <c r="K872" s="38">
        <v>0.8</v>
      </c>
      <c r="L872" s="39">
        <v>679</v>
      </c>
    </row>
    <row r="873" spans="1:12" ht="19.95" customHeight="1" x14ac:dyDescent="0.3">
      <c r="A873" s="6" t="s">
        <v>4396</v>
      </c>
      <c r="B873" s="7" t="s">
        <v>4386</v>
      </c>
      <c r="C873" s="6" t="s">
        <v>4668</v>
      </c>
      <c r="D873" s="7" t="s">
        <v>4814</v>
      </c>
      <c r="E873" s="6" t="s">
        <v>4815</v>
      </c>
      <c r="F873" s="7" t="s">
        <v>4816</v>
      </c>
      <c r="G873" s="7" t="s">
        <v>4367</v>
      </c>
      <c r="H873" s="5" t="s">
        <v>209</v>
      </c>
      <c r="I873" s="6" t="s">
        <v>210</v>
      </c>
      <c r="J873" s="7" t="s">
        <v>11</v>
      </c>
      <c r="K873" s="36">
        <v>0.8</v>
      </c>
      <c r="L873" s="37">
        <v>558</v>
      </c>
    </row>
    <row r="874" spans="1:12" ht="19.95" customHeight="1" x14ac:dyDescent="0.3">
      <c r="A874" s="2" t="s">
        <v>4396</v>
      </c>
      <c r="B874" s="3" t="s">
        <v>4386</v>
      </c>
      <c r="C874" s="2" t="s">
        <v>4668</v>
      </c>
      <c r="D874" s="3" t="s">
        <v>4817</v>
      </c>
      <c r="E874" s="2" t="s">
        <v>4818</v>
      </c>
      <c r="F874" s="3" t="s">
        <v>4819</v>
      </c>
      <c r="G874" s="3" t="s">
        <v>4367</v>
      </c>
      <c r="H874" s="1" t="s">
        <v>205</v>
      </c>
      <c r="I874" s="2" t="s">
        <v>206</v>
      </c>
      <c r="J874" s="3" t="s">
        <v>11</v>
      </c>
      <c r="K874" s="38">
        <v>0.3</v>
      </c>
      <c r="L874" s="39">
        <v>679</v>
      </c>
    </row>
    <row r="875" spans="1:12" ht="19.95" customHeight="1" x14ac:dyDescent="0.3">
      <c r="A875" s="6" t="s">
        <v>4396</v>
      </c>
      <c r="B875" s="7" t="s">
        <v>4386</v>
      </c>
      <c r="C875" s="6" t="s">
        <v>4668</v>
      </c>
      <c r="D875" s="7" t="s">
        <v>4817</v>
      </c>
      <c r="E875" s="6" t="s">
        <v>4818</v>
      </c>
      <c r="F875" s="7" t="s">
        <v>4819</v>
      </c>
      <c r="G875" s="7" t="s">
        <v>4367</v>
      </c>
      <c r="H875" s="5" t="s">
        <v>209</v>
      </c>
      <c r="I875" s="6" t="s">
        <v>210</v>
      </c>
      <c r="J875" s="7" t="s">
        <v>11</v>
      </c>
      <c r="K875" s="36">
        <v>0.25</v>
      </c>
      <c r="L875" s="37">
        <v>558</v>
      </c>
    </row>
    <row r="876" spans="1:12" ht="19.95" customHeight="1" x14ac:dyDescent="0.3">
      <c r="A876" s="2" t="s">
        <v>4396</v>
      </c>
      <c r="B876" s="3" t="s">
        <v>4386</v>
      </c>
      <c r="C876" s="2" t="s">
        <v>4668</v>
      </c>
      <c r="D876" s="3" t="s">
        <v>4820</v>
      </c>
      <c r="E876" s="2" t="s">
        <v>4821</v>
      </c>
      <c r="F876" s="3" t="s">
        <v>4368</v>
      </c>
      <c r="G876" s="3" t="s">
        <v>4367</v>
      </c>
      <c r="H876" s="1" t="s">
        <v>213</v>
      </c>
      <c r="I876" s="2" t="s">
        <v>214</v>
      </c>
      <c r="J876" s="3" t="s">
        <v>11</v>
      </c>
      <c r="K876" s="38">
        <v>3.5</v>
      </c>
      <c r="L876" s="39">
        <v>738</v>
      </c>
    </row>
    <row r="877" spans="1:12" ht="19.95" customHeight="1" x14ac:dyDescent="0.3">
      <c r="A877" s="6" t="s">
        <v>4396</v>
      </c>
      <c r="B877" s="7" t="s">
        <v>4386</v>
      </c>
      <c r="C877" s="6" t="s">
        <v>4668</v>
      </c>
      <c r="D877" s="7" t="s">
        <v>4820</v>
      </c>
      <c r="E877" s="6" t="s">
        <v>4821</v>
      </c>
      <c r="F877" s="7" t="s">
        <v>4368</v>
      </c>
      <c r="G877" s="7" t="s">
        <v>4367</v>
      </c>
      <c r="H877" s="5" t="s">
        <v>209</v>
      </c>
      <c r="I877" s="6" t="s">
        <v>210</v>
      </c>
      <c r="J877" s="7" t="s">
        <v>11</v>
      </c>
      <c r="K877" s="36">
        <v>6</v>
      </c>
      <c r="L877" s="37">
        <v>558</v>
      </c>
    </row>
    <row r="878" spans="1:12" ht="19.95" customHeight="1" x14ac:dyDescent="0.3">
      <c r="A878" s="2" t="s">
        <v>4396</v>
      </c>
      <c r="B878" s="3" t="s">
        <v>4386</v>
      </c>
      <c r="C878" s="2" t="s">
        <v>4668</v>
      </c>
      <c r="D878" s="3" t="s">
        <v>4822</v>
      </c>
      <c r="E878" s="2" t="s">
        <v>4823</v>
      </c>
      <c r="F878" s="3" t="s">
        <v>4368</v>
      </c>
      <c r="G878" s="3" t="s">
        <v>4367</v>
      </c>
      <c r="H878" s="1" t="s">
        <v>213</v>
      </c>
      <c r="I878" s="2" t="s">
        <v>214</v>
      </c>
      <c r="J878" s="3" t="s">
        <v>11</v>
      </c>
      <c r="K878" s="38">
        <v>1</v>
      </c>
      <c r="L878" s="39">
        <v>738</v>
      </c>
    </row>
    <row r="879" spans="1:12" ht="19.95" customHeight="1" x14ac:dyDescent="0.3">
      <c r="A879" s="6" t="s">
        <v>4396</v>
      </c>
      <c r="B879" s="7" t="s">
        <v>4386</v>
      </c>
      <c r="C879" s="6" t="s">
        <v>4668</v>
      </c>
      <c r="D879" s="7" t="s">
        <v>4822</v>
      </c>
      <c r="E879" s="6" t="s">
        <v>4823</v>
      </c>
      <c r="F879" s="7" t="s">
        <v>4368</v>
      </c>
      <c r="G879" s="7" t="s">
        <v>4367</v>
      </c>
      <c r="H879" s="5" t="s">
        <v>209</v>
      </c>
      <c r="I879" s="6" t="s">
        <v>210</v>
      </c>
      <c r="J879" s="7" t="s">
        <v>11</v>
      </c>
      <c r="K879" s="36">
        <v>2</v>
      </c>
      <c r="L879" s="37">
        <v>558</v>
      </c>
    </row>
    <row r="880" spans="1:12" ht="19.95" customHeight="1" x14ac:dyDescent="0.3">
      <c r="A880" s="2" t="s">
        <v>4396</v>
      </c>
      <c r="B880" s="3" t="s">
        <v>4386</v>
      </c>
      <c r="C880" s="2" t="s">
        <v>4668</v>
      </c>
      <c r="D880" s="3" t="s">
        <v>4824</v>
      </c>
      <c r="E880" s="2" t="s">
        <v>4825</v>
      </c>
      <c r="F880" s="3" t="s">
        <v>4406</v>
      </c>
      <c r="G880" s="3" t="s">
        <v>4367</v>
      </c>
      <c r="H880" s="1" t="s">
        <v>205</v>
      </c>
      <c r="I880" s="2" t="s">
        <v>206</v>
      </c>
      <c r="J880" s="3" t="s">
        <v>11</v>
      </c>
      <c r="K880" s="38">
        <v>1.75</v>
      </c>
      <c r="L880" s="39">
        <v>679</v>
      </c>
    </row>
    <row r="881" spans="1:12" ht="19.95" customHeight="1" x14ac:dyDescent="0.3">
      <c r="A881" s="6" t="s">
        <v>4396</v>
      </c>
      <c r="B881" s="7" t="s">
        <v>4386</v>
      </c>
      <c r="C881" s="6" t="s">
        <v>4668</v>
      </c>
      <c r="D881" s="7" t="s">
        <v>4824</v>
      </c>
      <c r="E881" s="6" t="s">
        <v>4825</v>
      </c>
      <c r="F881" s="7" t="s">
        <v>4406</v>
      </c>
      <c r="G881" s="7" t="s">
        <v>4367</v>
      </c>
      <c r="H881" s="5" t="s">
        <v>209</v>
      </c>
      <c r="I881" s="6" t="s">
        <v>210</v>
      </c>
      <c r="J881" s="7" t="s">
        <v>11</v>
      </c>
      <c r="K881" s="36">
        <v>1</v>
      </c>
      <c r="L881" s="37">
        <v>558</v>
      </c>
    </row>
    <row r="882" spans="1:12" ht="19.95" customHeight="1" x14ac:dyDescent="0.3">
      <c r="A882" s="2" t="s">
        <v>4396</v>
      </c>
      <c r="B882" s="3" t="s">
        <v>4386</v>
      </c>
      <c r="C882" s="2" t="s">
        <v>4668</v>
      </c>
      <c r="D882" s="3" t="s">
        <v>4826</v>
      </c>
      <c r="E882" s="2" t="s">
        <v>4827</v>
      </c>
      <c r="F882" s="3" t="s">
        <v>4828</v>
      </c>
      <c r="G882" s="3" t="s">
        <v>4367</v>
      </c>
      <c r="H882" s="1" t="s">
        <v>205</v>
      </c>
      <c r="I882" s="2" t="s">
        <v>206</v>
      </c>
      <c r="J882" s="3" t="s">
        <v>11</v>
      </c>
      <c r="K882" s="38">
        <v>16</v>
      </c>
      <c r="L882" s="39">
        <v>679</v>
      </c>
    </row>
    <row r="883" spans="1:12" ht="19.95" customHeight="1" x14ac:dyDescent="0.3">
      <c r="A883" s="6" t="s">
        <v>4396</v>
      </c>
      <c r="B883" s="7" t="s">
        <v>4386</v>
      </c>
      <c r="C883" s="6" t="s">
        <v>4668</v>
      </c>
      <c r="D883" s="7" t="s">
        <v>4826</v>
      </c>
      <c r="E883" s="6" t="s">
        <v>4827</v>
      </c>
      <c r="F883" s="7" t="s">
        <v>4828</v>
      </c>
      <c r="G883" s="7" t="s">
        <v>4367</v>
      </c>
      <c r="H883" s="5" t="s">
        <v>209</v>
      </c>
      <c r="I883" s="6" t="s">
        <v>210</v>
      </c>
      <c r="J883" s="7" t="s">
        <v>11</v>
      </c>
      <c r="K883" s="36">
        <v>13</v>
      </c>
      <c r="L883" s="37">
        <v>558</v>
      </c>
    </row>
    <row r="884" spans="1:12" ht="19.95" customHeight="1" x14ac:dyDescent="0.3">
      <c r="A884" s="2" t="s">
        <v>4403</v>
      </c>
      <c r="B884" s="3" t="s">
        <v>4404</v>
      </c>
      <c r="C884" s="2" t="s">
        <v>4829</v>
      </c>
      <c r="D884" s="3" t="s">
        <v>4577</v>
      </c>
      <c r="E884" s="2" t="s">
        <v>4830</v>
      </c>
      <c r="F884" s="3" t="s">
        <v>4368</v>
      </c>
      <c r="G884" s="3" t="s">
        <v>4367</v>
      </c>
      <c r="H884" s="1" t="s">
        <v>221</v>
      </c>
      <c r="I884" s="2" t="s">
        <v>222</v>
      </c>
      <c r="J884" s="3" t="s">
        <v>11</v>
      </c>
      <c r="K884" s="38">
        <v>0.36</v>
      </c>
      <c r="L884" s="39">
        <v>738</v>
      </c>
    </row>
    <row r="885" spans="1:12" ht="19.95" customHeight="1" x14ac:dyDescent="0.3">
      <c r="A885" s="6" t="s">
        <v>4403</v>
      </c>
      <c r="B885" s="7" t="s">
        <v>4404</v>
      </c>
      <c r="C885" s="6" t="s">
        <v>4829</v>
      </c>
      <c r="D885" s="7" t="s">
        <v>4577</v>
      </c>
      <c r="E885" s="6" t="s">
        <v>4830</v>
      </c>
      <c r="F885" s="7" t="s">
        <v>4368</v>
      </c>
      <c r="G885" s="7" t="s">
        <v>4367</v>
      </c>
      <c r="H885" s="5" t="s">
        <v>223</v>
      </c>
      <c r="I885" s="6" t="s">
        <v>224</v>
      </c>
      <c r="J885" s="7" t="s">
        <v>11</v>
      </c>
      <c r="K885" s="36">
        <v>0.36</v>
      </c>
      <c r="L885" s="37">
        <v>679</v>
      </c>
    </row>
    <row r="886" spans="1:12" ht="19.95" customHeight="1" x14ac:dyDescent="0.3">
      <c r="A886" s="2" t="s">
        <v>4403</v>
      </c>
      <c r="B886" s="3" t="s">
        <v>4404</v>
      </c>
      <c r="C886" s="2" t="s">
        <v>4829</v>
      </c>
      <c r="D886" s="3" t="s">
        <v>4577</v>
      </c>
      <c r="E886" s="2" t="s">
        <v>4830</v>
      </c>
      <c r="F886" s="3" t="s">
        <v>4368</v>
      </c>
      <c r="G886" s="3" t="s">
        <v>4367</v>
      </c>
      <c r="H886" s="1" t="s">
        <v>211</v>
      </c>
      <c r="I886" s="2" t="s">
        <v>212</v>
      </c>
      <c r="J886" s="3" t="s">
        <v>11</v>
      </c>
      <c r="K886" s="38">
        <v>1.37</v>
      </c>
      <c r="L886" s="39">
        <v>558</v>
      </c>
    </row>
    <row r="887" spans="1:12" ht="19.95" customHeight="1" x14ac:dyDescent="0.3">
      <c r="A887" s="6" t="s">
        <v>4403</v>
      </c>
      <c r="B887" s="7" t="s">
        <v>4404</v>
      </c>
      <c r="C887" s="6" t="s">
        <v>4829</v>
      </c>
      <c r="D887" s="7" t="s">
        <v>4577</v>
      </c>
      <c r="E887" s="6" t="s">
        <v>4830</v>
      </c>
      <c r="F887" s="7" t="s">
        <v>4368</v>
      </c>
      <c r="G887" s="7" t="s">
        <v>4367</v>
      </c>
      <c r="H887" s="5" t="s">
        <v>197</v>
      </c>
      <c r="I887" s="6" t="s">
        <v>198</v>
      </c>
      <c r="J887" s="7" t="s">
        <v>11</v>
      </c>
      <c r="K887" s="36">
        <v>0.2</v>
      </c>
      <c r="L887" s="37">
        <v>617</v>
      </c>
    </row>
    <row r="888" spans="1:12" ht="19.95" customHeight="1" x14ac:dyDescent="0.3">
      <c r="A888" s="2" t="s">
        <v>4403</v>
      </c>
      <c r="B888" s="3" t="s">
        <v>4404</v>
      </c>
      <c r="C888" s="2" t="s">
        <v>4829</v>
      </c>
      <c r="D888" s="3" t="s">
        <v>4577</v>
      </c>
      <c r="E888" s="2" t="s">
        <v>4831</v>
      </c>
      <c r="F888" s="3" t="s">
        <v>4368</v>
      </c>
      <c r="G888" s="3" t="s">
        <v>4367</v>
      </c>
      <c r="H888" s="1" t="s">
        <v>221</v>
      </c>
      <c r="I888" s="2" t="s">
        <v>222</v>
      </c>
      <c r="J888" s="3" t="s">
        <v>11</v>
      </c>
      <c r="K888" s="38">
        <v>0.33</v>
      </c>
      <c r="L888" s="39">
        <v>738</v>
      </c>
    </row>
    <row r="889" spans="1:12" ht="19.95" customHeight="1" x14ac:dyDescent="0.3">
      <c r="A889" s="6" t="s">
        <v>4403</v>
      </c>
      <c r="B889" s="7" t="s">
        <v>4404</v>
      </c>
      <c r="C889" s="6" t="s">
        <v>4829</v>
      </c>
      <c r="D889" s="7" t="s">
        <v>4577</v>
      </c>
      <c r="E889" s="6" t="s">
        <v>4831</v>
      </c>
      <c r="F889" s="7" t="s">
        <v>4368</v>
      </c>
      <c r="G889" s="7" t="s">
        <v>4367</v>
      </c>
      <c r="H889" s="5" t="s">
        <v>223</v>
      </c>
      <c r="I889" s="6" t="s">
        <v>224</v>
      </c>
      <c r="J889" s="7" t="s">
        <v>11</v>
      </c>
      <c r="K889" s="36">
        <v>0.33</v>
      </c>
      <c r="L889" s="37">
        <v>679</v>
      </c>
    </row>
    <row r="890" spans="1:12" ht="19.95" customHeight="1" x14ac:dyDescent="0.3">
      <c r="A890" s="2" t="s">
        <v>4403</v>
      </c>
      <c r="B890" s="3" t="s">
        <v>4404</v>
      </c>
      <c r="C890" s="2" t="s">
        <v>4829</v>
      </c>
      <c r="D890" s="3" t="s">
        <v>4577</v>
      </c>
      <c r="E890" s="2" t="s">
        <v>4831</v>
      </c>
      <c r="F890" s="3" t="s">
        <v>4368</v>
      </c>
      <c r="G890" s="3" t="s">
        <v>4367</v>
      </c>
      <c r="H890" s="1" t="s">
        <v>211</v>
      </c>
      <c r="I890" s="2" t="s">
        <v>212</v>
      </c>
      <c r="J890" s="3" t="s">
        <v>11</v>
      </c>
      <c r="K890" s="38">
        <v>1</v>
      </c>
      <c r="L890" s="39">
        <v>558</v>
      </c>
    </row>
    <row r="891" spans="1:12" ht="19.95" customHeight="1" x14ac:dyDescent="0.3">
      <c r="A891" s="6" t="s">
        <v>4403</v>
      </c>
      <c r="B891" s="7" t="s">
        <v>4404</v>
      </c>
      <c r="C891" s="6" t="s">
        <v>4829</v>
      </c>
      <c r="D891" s="7" t="s">
        <v>4577</v>
      </c>
      <c r="E891" s="6" t="s">
        <v>4831</v>
      </c>
      <c r="F891" s="7" t="s">
        <v>4368</v>
      </c>
      <c r="G891" s="7" t="s">
        <v>4367</v>
      </c>
      <c r="H891" s="5" t="s">
        <v>197</v>
      </c>
      <c r="I891" s="6" t="s">
        <v>198</v>
      </c>
      <c r="J891" s="7" t="s">
        <v>11</v>
      </c>
      <c r="K891" s="36">
        <v>0.18</v>
      </c>
      <c r="L891" s="37">
        <v>617</v>
      </c>
    </row>
    <row r="892" spans="1:12" ht="19.95" customHeight="1" x14ac:dyDescent="0.3">
      <c r="A892" s="2" t="s">
        <v>4403</v>
      </c>
      <c r="B892" s="3" t="s">
        <v>4404</v>
      </c>
      <c r="C892" s="2" t="s">
        <v>4829</v>
      </c>
      <c r="D892" s="3" t="s">
        <v>4577</v>
      </c>
      <c r="E892" s="2" t="s">
        <v>4831</v>
      </c>
      <c r="F892" s="3" t="s">
        <v>4368</v>
      </c>
      <c r="G892" s="3" t="s">
        <v>4367</v>
      </c>
      <c r="H892" s="1" t="s">
        <v>221</v>
      </c>
      <c r="I892" s="2" t="s">
        <v>222</v>
      </c>
      <c r="J892" s="3" t="s">
        <v>11</v>
      </c>
      <c r="K892" s="38">
        <v>0.47</v>
      </c>
      <c r="L892" s="39">
        <v>738</v>
      </c>
    </row>
    <row r="893" spans="1:12" ht="19.95" customHeight="1" x14ac:dyDescent="0.3">
      <c r="A893" s="6" t="s">
        <v>4403</v>
      </c>
      <c r="B893" s="7" t="s">
        <v>4404</v>
      </c>
      <c r="C893" s="6" t="s">
        <v>4829</v>
      </c>
      <c r="D893" s="7" t="s">
        <v>4577</v>
      </c>
      <c r="E893" s="6" t="s">
        <v>4831</v>
      </c>
      <c r="F893" s="7" t="s">
        <v>4368</v>
      </c>
      <c r="G893" s="7" t="s">
        <v>4367</v>
      </c>
      <c r="H893" s="5" t="s">
        <v>223</v>
      </c>
      <c r="I893" s="6" t="s">
        <v>224</v>
      </c>
      <c r="J893" s="7" t="s">
        <v>11</v>
      </c>
      <c r="K893" s="36">
        <v>0.47</v>
      </c>
      <c r="L893" s="37">
        <v>679</v>
      </c>
    </row>
    <row r="894" spans="1:12" ht="19.95" customHeight="1" x14ac:dyDescent="0.3">
      <c r="A894" s="2" t="s">
        <v>4403</v>
      </c>
      <c r="B894" s="3" t="s">
        <v>4404</v>
      </c>
      <c r="C894" s="2" t="s">
        <v>4829</v>
      </c>
      <c r="D894" s="3" t="s">
        <v>4577</v>
      </c>
      <c r="E894" s="2" t="s">
        <v>4831</v>
      </c>
      <c r="F894" s="3" t="s">
        <v>4368</v>
      </c>
      <c r="G894" s="3" t="s">
        <v>4367</v>
      </c>
      <c r="H894" s="1" t="s">
        <v>211</v>
      </c>
      <c r="I894" s="2" t="s">
        <v>212</v>
      </c>
      <c r="J894" s="3" t="s">
        <v>11</v>
      </c>
      <c r="K894" s="38">
        <v>1.8</v>
      </c>
      <c r="L894" s="39">
        <v>558</v>
      </c>
    </row>
    <row r="895" spans="1:12" ht="19.95" customHeight="1" x14ac:dyDescent="0.3">
      <c r="A895" s="6" t="s">
        <v>4403</v>
      </c>
      <c r="B895" s="7" t="s">
        <v>4404</v>
      </c>
      <c r="C895" s="6" t="s">
        <v>4829</v>
      </c>
      <c r="D895" s="7" t="s">
        <v>4577</v>
      </c>
      <c r="E895" s="6" t="s">
        <v>4831</v>
      </c>
      <c r="F895" s="7" t="s">
        <v>4368</v>
      </c>
      <c r="G895" s="7" t="s">
        <v>4367</v>
      </c>
      <c r="H895" s="5" t="s">
        <v>197</v>
      </c>
      <c r="I895" s="6" t="s">
        <v>198</v>
      </c>
      <c r="J895" s="7" t="s">
        <v>11</v>
      </c>
      <c r="K895" s="36">
        <v>0.2</v>
      </c>
      <c r="L895" s="37">
        <v>617</v>
      </c>
    </row>
    <row r="896" spans="1:12" ht="19.95" customHeight="1" x14ac:dyDescent="0.3">
      <c r="A896" s="2" t="s">
        <v>4403</v>
      </c>
      <c r="B896" s="3" t="s">
        <v>4404</v>
      </c>
      <c r="C896" s="2" t="s">
        <v>4829</v>
      </c>
      <c r="D896" s="3" t="s">
        <v>4577</v>
      </c>
      <c r="E896" s="2" t="s">
        <v>4831</v>
      </c>
      <c r="F896" s="3" t="s">
        <v>4368</v>
      </c>
      <c r="G896" s="3" t="s">
        <v>4367</v>
      </c>
      <c r="H896" s="1" t="s">
        <v>211</v>
      </c>
      <c r="I896" s="2" t="s">
        <v>212</v>
      </c>
      <c r="J896" s="3" t="s">
        <v>11</v>
      </c>
      <c r="K896" s="38">
        <v>1.1299999999999999</v>
      </c>
      <c r="L896" s="39">
        <v>558</v>
      </c>
    </row>
    <row r="897" spans="1:12" ht="19.95" customHeight="1" x14ac:dyDescent="0.3">
      <c r="A897" s="6" t="s">
        <v>4403</v>
      </c>
      <c r="B897" s="7" t="s">
        <v>4404</v>
      </c>
      <c r="C897" s="6" t="s">
        <v>4829</v>
      </c>
      <c r="D897" s="7" t="s">
        <v>4577</v>
      </c>
      <c r="E897" s="6" t="s">
        <v>4831</v>
      </c>
      <c r="F897" s="7" t="s">
        <v>4368</v>
      </c>
      <c r="G897" s="7" t="s">
        <v>4367</v>
      </c>
      <c r="H897" s="5" t="s">
        <v>221</v>
      </c>
      <c r="I897" s="6" t="s">
        <v>222</v>
      </c>
      <c r="J897" s="7" t="s">
        <v>11</v>
      </c>
      <c r="K897" s="36">
        <v>0.44</v>
      </c>
      <c r="L897" s="37">
        <v>738</v>
      </c>
    </row>
    <row r="898" spans="1:12" ht="19.95" customHeight="1" x14ac:dyDescent="0.3">
      <c r="A898" s="2" t="s">
        <v>4403</v>
      </c>
      <c r="B898" s="3" t="s">
        <v>4404</v>
      </c>
      <c r="C898" s="2" t="s">
        <v>4829</v>
      </c>
      <c r="D898" s="3" t="s">
        <v>4577</v>
      </c>
      <c r="E898" s="2" t="s">
        <v>4831</v>
      </c>
      <c r="F898" s="3" t="s">
        <v>4368</v>
      </c>
      <c r="G898" s="3" t="s">
        <v>4367</v>
      </c>
      <c r="H898" s="1" t="s">
        <v>223</v>
      </c>
      <c r="I898" s="2" t="s">
        <v>224</v>
      </c>
      <c r="J898" s="3" t="s">
        <v>11</v>
      </c>
      <c r="K898" s="38">
        <v>0.44</v>
      </c>
      <c r="L898" s="39">
        <v>679</v>
      </c>
    </row>
    <row r="899" spans="1:12" ht="19.95" customHeight="1" x14ac:dyDescent="0.3">
      <c r="A899" s="6" t="s">
        <v>4403</v>
      </c>
      <c r="B899" s="7" t="s">
        <v>4404</v>
      </c>
      <c r="C899" s="6" t="s">
        <v>4829</v>
      </c>
      <c r="D899" s="7" t="s">
        <v>4577</v>
      </c>
      <c r="E899" s="6" t="s">
        <v>4831</v>
      </c>
      <c r="F899" s="7" t="s">
        <v>4368</v>
      </c>
      <c r="G899" s="7" t="s">
        <v>4367</v>
      </c>
      <c r="H899" s="5" t="s">
        <v>211</v>
      </c>
      <c r="I899" s="6" t="s">
        <v>212</v>
      </c>
      <c r="J899" s="7" t="s">
        <v>11</v>
      </c>
      <c r="K899" s="36">
        <v>1.43</v>
      </c>
      <c r="L899" s="37">
        <v>558</v>
      </c>
    </row>
    <row r="900" spans="1:12" ht="19.95" customHeight="1" x14ac:dyDescent="0.3">
      <c r="A900" s="2" t="s">
        <v>4403</v>
      </c>
      <c r="B900" s="3" t="s">
        <v>4404</v>
      </c>
      <c r="C900" s="2" t="s">
        <v>4829</v>
      </c>
      <c r="D900" s="3" t="s">
        <v>4577</v>
      </c>
      <c r="E900" s="2" t="s">
        <v>4831</v>
      </c>
      <c r="F900" s="3" t="s">
        <v>4368</v>
      </c>
      <c r="G900" s="3" t="s">
        <v>4367</v>
      </c>
      <c r="H900" s="1" t="s">
        <v>197</v>
      </c>
      <c r="I900" s="2" t="s">
        <v>198</v>
      </c>
      <c r="J900" s="3" t="s">
        <v>11</v>
      </c>
      <c r="K900" s="38">
        <v>0.18</v>
      </c>
      <c r="L900" s="39">
        <v>617</v>
      </c>
    </row>
    <row r="901" spans="1:12" ht="19.95" customHeight="1" x14ac:dyDescent="0.3">
      <c r="A901" s="6" t="s">
        <v>4403</v>
      </c>
      <c r="B901" s="7" t="s">
        <v>4404</v>
      </c>
      <c r="C901" s="6" t="s">
        <v>4829</v>
      </c>
      <c r="D901" s="7" t="s">
        <v>4577</v>
      </c>
      <c r="E901" s="6" t="s">
        <v>4831</v>
      </c>
      <c r="F901" s="7" t="s">
        <v>4368</v>
      </c>
      <c r="G901" s="7" t="s">
        <v>4367</v>
      </c>
      <c r="H901" s="5" t="s">
        <v>211</v>
      </c>
      <c r="I901" s="6" t="s">
        <v>212</v>
      </c>
      <c r="J901" s="7" t="s">
        <v>11</v>
      </c>
      <c r="K901" s="36">
        <v>1.1299999999999999</v>
      </c>
      <c r="L901" s="37">
        <v>558</v>
      </c>
    </row>
    <row r="902" spans="1:12" ht="19.95" customHeight="1" x14ac:dyDescent="0.3">
      <c r="A902" s="2" t="s">
        <v>4403</v>
      </c>
      <c r="B902" s="3" t="s">
        <v>4404</v>
      </c>
      <c r="C902" s="2" t="s">
        <v>4829</v>
      </c>
      <c r="D902" s="3" t="s">
        <v>4577</v>
      </c>
      <c r="E902" s="2" t="s">
        <v>4832</v>
      </c>
      <c r="F902" s="3" t="s">
        <v>4368</v>
      </c>
      <c r="G902" s="3" t="s">
        <v>4367</v>
      </c>
      <c r="H902" s="1" t="s">
        <v>221</v>
      </c>
      <c r="I902" s="2" t="s">
        <v>222</v>
      </c>
      <c r="J902" s="3" t="s">
        <v>11</v>
      </c>
      <c r="K902" s="38">
        <v>0.47</v>
      </c>
      <c r="L902" s="39">
        <v>738</v>
      </c>
    </row>
    <row r="903" spans="1:12" ht="19.95" customHeight="1" x14ac:dyDescent="0.3">
      <c r="A903" s="6" t="s">
        <v>4403</v>
      </c>
      <c r="B903" s="7" t="s">
        <v>4404</v>
      </c>
      <c r="C903" s="6" t="s">
        <v>4829</v>
      </c>
      <c r="D903" s="7" t="s">
        <v>4577</v>
      </c>
      <c r="E903" s="6" t="s">
        <v>4832</v>
      </c>
      <c r="F903" s="7" t="s">
        <v>4368</v>
      </c>
      <c r="G903" s="7" t="s">
        <v>4367</v>
      </c>
      <c r="H903" s="5" t="s">
        <v>223</v>
      </c>
      <c r="I903" s="6" t="s">
        <v>224</v>
      </c>
      <c r="J903" s="7" t="s">
        <v>11</v>
      </c>
      <c r="K903" s="36">
        <v>0.47</v>
      </c>
      <c r="L903" s="37">
        <v>679</v>
      </c>
    </row>
    <row r="904" spans="1:12" ht="19.95" customHeight="1" x14ac:dyDescent="0.3">
      <c r="A904" s="2" t="s">
        <v>4403</v>
      </c>
      <c r="B904" s="3" t="s">
        <v>4404</v>
      </c>
      <c r="C904" s="2" t="s">
        <v>4829</v>
      </c>
      <c r="D904" s="3" t="s">
        <v>4577</v>
      </c>
      <c r="E904" s="2" t="s">
        <v>4832</v>
      </c>
      <c r="F904" s="3" t="s">
        <v>4368</v>
      </c>
      <c r="G904" s="3" t="s">
        <v>4367</v>
      </c>
      <c r="H904" s="1" t="s">
        <v>211</v>
      </c>
      <c r="I904" s="2" t="s">
        <v>212</v>
      </c>
      <c r="J904" s="3" t="s">
        <v>11</v>
      </c>
      <c r="K904" s="38">
        <v>1.8</v>
      </c>
      <c r="L904" s="39">
        <v>558</v>
      </c>
    </row>
    <row r="905" spans="1:12" ht="19.95" customHeight="1" x14ac:dyDescent="0.3">
      <c r="A905" s="6" t="s">
        <v>4403</v>
      </c>
      <c r="B905" s="7" t="s">
        <v>4404</v>
      </c>
      <c r="C905" s="6" t="s">
        <v>4829</v>
      </c>
      <c r="D905" s="7" t="s">
        <v>4577</v>
      </c>
      <c r="E905" s="6" t="s">
        <v>4832</v>
      </c>
      <c r="F905" s="7" t="s">
        <v>4368</v>
      </c>
      <c r="G905" s="7" t="s">
        <v>4367</v>
      </c>
      <c r="H905" s="5" t="s">
        <v>197</v>
      </c>
      <c r="I905" s="6" t="s">
        <v>198</v>
      </c>
      <c r="J905" s="7" t="s">
        <v>11</v>
      </c>
      <c r="K905" s="36">
        <v>0.2</v>
      </c>
      <c r="L905" s="37">
        <v>617</v>
      </c>
    </row>
    <row r="906" spans="1:12" ht="19.95" customHeight="1" x14ac:dyDescent="0.3">
      <c r="A906" s="2" t="s">
        <v>4403</v>
      </c>
      <c r="B906" s="3" t="s">
        <v>4404</v>
      </c>
      <c r="C906" s="2" t="s">
        <v>4829</v>
      </c>
      <c r="D906" s="3" t="s">
        <v>4577</v>
      </c>
      <c r="E906" s="2" t="s">
        <v>4832</v>
      </c>
      <c r="F906" s="3" t="s">
        <v>4368</v>
      </c>
      <c r="G906" s="3" t="s">
        <v>4367</v>
      </c>
      <c r="H906" s="1" t="s">
        <v>211</v>
      </c>
      <c r="I906" s="2" t="s">
        <v>212</v>
      </c>
      <c r="J906" s="3" t="s">
        <v>11</v>
      </c>
      <c r="K906" s="38">
        <v>1.1299999999999999</v>
      </c>
      <c r="L906" s="39">
        <v>558</v>
      </c>
    </row>
    <row r="907" spans="1:12" ht="19.95" customHeight="1" x14ac:dyDescent="0.3">
      <c r="A907" s="6" t="s">
        <v>4403</v>
      </c>
      <c r="B907" s="7" t="s">
        <v>4404</v>
      </c>
      <c r="C907" s="6" t="s">
        <v>4829</v>
      </c>
      <c r="D907" s="7" t="s">
        <v>4577</v>
      </c>
      <c r="E907" s="6" t="s">
        <v>4832</v>
      </c>
      <c r="F907" s="7" t="s">
        <v>4406</v>
      </c>
      <c r="G907" s="7" t="s">
        <v>4369</v>
      </c>
      <c r="H907" s="5" t="s">
        <v>84</v>
      </c>
      <c r="I907" s="6" t="s">
        <v>85</v>
      </c>
      <c r="J907" s="7" t="s">
        <v>11</v>
      </c>
      <c r="K907" s="36">
        <v>0.125</v>
      </c>
      <c r="L907" s="37">
        <v>7500</v>
      </c>
    </row>
    <row r="908" spans="1:12" ht="19.95" customHeight="1" x14ac:dyDescent="0.3">
      <c r="A908" s="2" t="s">
        <v>4403</v>
      </c>
      <c r="B908" s="3" t="s">
        <v>4404</v>
      </c>
      <c r="C908" s="2" t="s">
        <v>4829</v>
      </c>
      <c r="D908" s="3" t="s">
        <v>4577</v>
      </c>
      <c r="E908" s="2" t="s">
        <v>4832</v>
      </c>
      <c r="F908" s="3" t="s">
        <v>4368</v>
      </c>
      <c r="G908" s="3" t="s">
        <v>4367</v>
      </c>
      <c r="H908" s="1" t="s">
        <v>221</v>
      </c>
      <c r="I908" s="2" t="s">
        <v>222</v>
      </c>
      <c r="J908" s="3" t="s">
        <v>11</v>
      </c>
      <c r="K908" s="38">
        <v>0.7</v>
      </c>
      <c r="L908" s="39">
        <v>738</v>
      </c>
    </row>
    <row r="909" spans="1:12" ht="19.95" customHeight="1" x14ac:dyDescent="0.3">
      <c r="A909" s="6" t="s">
        <v>4403</v>
      </c>
      <c r="B909" s="7" t="s">
        <v>4404</v>
      </c>
      <c r="C909" s="6" t="s">
        <v>4829</v>
      </c>
      <c r="D909" s="7" t="s">
        <v>4577</v>
      </c>
      <c r="E909" s="6" t="s">
        <v>4832</v>
      </c>
      <c r="F909" s="7" t="s">
        <v>4368</v>
      </c>
      <c r="G909" s="7" t="s">
        <v>4367</v>
      </c>
      <c r="H909" s="5" t="s">
        <v>223</v>
      </c>
      <c r="I909" s="6" t="s">
        <v>224</v>
      </c>
      <c r="J909" s="7" t="s">
        <v>11</v>
      </c>
      <c r="K909" s="36">
        <v>0.7</v>
      </c>
      <c r="L909" s="37">
        <v>679</v>
      </c>
    </row>
    <row r="910" spans="1:12" ht="19.95" customHeight="1" x14ac:dyDescent="0.3">
      <c r="A910" s="2" t="s">
        <v>4403</v>
      </c>
      <c r="B910" s="3" t="s">
        <v>4404</v>
      </c>
      <c r="C910" s="2" t="s">
        <v>4829</v>
      </c>
      <c r="D910" s="3" t="s">
        <v>4577</v>
      </c>
      <c r="E910" s="2" t="s">
        <v>4832</v>
      </c>
      <c r="F910" s="3" t="s">
        <v>4368</v>
      </c>
      <c r="G910" s="3" t="s">
        <v>4367</v>
      </c>
      <c r="H910" s="1" t="s">
        <v>211</v>
      </c>
      <c r="I910" s="2" t="s">
        <v>212</v>
      </c>
      <c r="J910" s="3" t="s">
        <v>11</v>
      </c>
      <c r="K910" s="38">
        <v>1.54</v>
      </c>
      <c r="L910" s="39">
        <v>558</v>
      </c>
    </row>
    <row r="911" spans="1:12" ht="19.95" customHeight="1" x14ac:dyDescent="0.3">
      <c r="A911" s="6" t="s">
        <v>4403</v>
      </c>
      <c r="B911" s="7" t="s">
        <v>4404</v>
      </c>
      <c r="C911" s="6" t="s">
        <v>4829</v>
      </c>
      <c r="D911" s="7" t="s">
        <v>4577</v>
      </c>
      <c r="E911" s="6" t="s">
        <v>4832</v>
      </c>
      <c r="F911" s="7" t="s">
        <v>4368</v>
      </c>
      <c r="G911" s="7" t="s">
        <v>4367</v>
      </c>
      <c r="H911" s="5" t="s">
        <v>197</v>
      </c>
      <c r="I911" s="6" t="s">
        <v>198</v>
      </c>
      <c r="J911" s="7" t="s">
        <v>11</v>
      </c>
      <c r="K911" s="36">
        <v>0.2</v>
      </c>
      <c r="L911" s="37">
        <v>617</v>
      </c>
    </row>
    <row r="912" spans="1:12" ht="19.95" customHeight="1" x14ac:dyDescent="0.3">
      <c r="A912" s="2" t="s">
        <v>4403</v>
      </c>
      <c r="B912" s="3" t="s">
        <v>4404</v>
      </c>
      <c r="C912" s="2" t="s">
        <v>4829</v>
      </c>
      <c r="D912" s="3" t="s">
        <v>4577</v>
      </c>
      <c r="E912" s="2" t="s">
        <v>4832</v>
      </c>
      <c r="F912" s="3" t="s">
        <v>4368</v>
      </c>
      <c r="G912" s="3" t="s">
        <v>4367</v>
      </c>
      <c r="H912" s="1" t="s">
        <v>221</v>
      </c>
      <c r="I912" s="2" t="s">
        <v>222</v>
      </c>
      <c r="J912" s="3" t="s">
        <v>11</v>
      </c>
      <c r="K912" s="38">
        <v>0.7</v>
      </c>
      <c r="L912" s="39">
        <v>738</v>
      </c>
    </row>
    <row r="913" spans="1:12" ht="19.95" customHeight="1" x14ac:dyDescent="0.3">
      <c r="A913" s="6" t="s">
        <v>4403</v>
      </c>
      <c r="B913" s="7" t="s">
        <v>4404</v>
      </c>
      <c r="C913" s="6" t="s">
        <v>4829</v>
      </c>
      <c r="D913" s="7" t="s">
        <v>4577</v>
      </c>
      <c r="E913" s="6" t="s">
        <v>4832</v>
      </c>
      <c r="F913" s="7" t="s">
        <v>4368</v>
      </c>
      <c r="G913" s="7" t="s">
        <v>4367</v>
      </c>
      <c r="H913" s="5" t="s">
        <v>223</v>
      </c>
      <c r="I913" s="6" t="s">
        <v>224</v>
      </c>
      <c r="J913" s="7" t="s">
        <v>11</v>
      </c>
      <c r="K913" s="36">
        <v>0.7</v>
      </c>
      <c r="L913" s="37">
        <v>679</v>
      </c>
    </row>
    <row r="914" spans="1:12" ht="19.95" customHeight="1" x14ac:dyDescent="0.3">
      <c r="A914" s="2" t="s">
        <v>4403</v>
      </c>
      <c r="B914" s="3" t="s">
        <v>4404</v>
      </c>
      <c r="C914" s="2" t="s">
        <v>4829</v>
      </c>
      <c r="D914" s="3" t="s">
        <v>4577</v>
      </c>
      <c r="E914" s="2" t="s">
        <v>4832</v>
      </c>
      <c r="F914" s="3" t="s">
        <v>4368</v>
      </c>
      <c r="G914" s="3" t="s">
        <v>4367</v>
      </c>
      <c r="H914" s="1" t="s">
        <v>211</v>
      </c>
      <c r="I914" s="2" t="s">
        <v>212</v>
      </c>
      <c r="J914" s="3" t="s">
        <v>11</v>
      </c>
      <c r="K914" s="38">
        <v>1.54</v>
      </c>
      <c r="L914" s="39">
        <v>558</v>
      </c>
    </row>
    <row r="915" spans="1:12" ht="19.95" customHeight="1" x14ac:dyDescent="0.3">
      <c r="A915" s="6" t="s">
        <v>4403</v>
      </c>
      <c r="B915" s="7" t="s">
        <v>4404</v>
      </c>
      <c r="C915" s="6" t="s">
        <v>4829</v>
      </c>
      <c r="D915" s="7" t="s">
        <v>4577</v>
      </c>
      <c r="E915" s="6" t="s">
        <v>4832</v>
      </c>
      <c r="F915" s="7" t="s">
        <v>4368</v>
      </c>
      <c r="G915" s="7" t="s">
        <v>4367</v>
      </c>
      <c r="H915" s="5" t="s">
        <v>197</v>
      </c>
      <c r="I915" s="6" t="s">
        <v>198</v>
      </c>
      <c r="J915" s="7" t="s">
        <v>11</v>
      </c>
      <c r="K915" s="36">
        <v>0.2</v>
      </c>
      <c r="L915" s="37">
        <v>617</v>
      </c>
    </row>
    <row r="916" spans="1:12" ht="19.95" customHeight="1" x14ac:dyDescent="0.3">
      <c r="A916" s="2" t="s">
        <v>4403</v>
      </c>
      <c r="B916" s="3" t="s">
        <v>4404</v>
      </c>
      <c r="C916" s="2" t="s">
        <v>4829</v>
      </c>
      <c r="D916" s="3" t="s">
        <v>4577</v>
      </c>
      <c r="E916" s="2" t="s">
        <v>4832</v>
      </c>
      <c r="F916" s="3" t="s">
        <v>4368</v>
      </c>
      <c r="G916" s="3" t="s">
        <v>4367</v>
      </c>
      <c r="H916" s="1" t="s">
        <v>221</v>
      </c>
      <c r="I916" s="2" t="s">
        <v>222</v>
      </c>
      <c r="J916" s="3" t="s">
        <v>11</v>
      </c>
      <c r="K916" s="38">
        <v>0.9</v>
      </c>
      <c r="L916" s="39">
        <v>738</v>
      </c>
    </row>
    <row r="917" spans="1:12" ht="19.95" customHeight="1" x14ac:dyDescent="0.3">
      <c r="A917" s="6" t="s">
        <v>4403</v>
      </c>
      <c r="B917" s="7" t="s">
        <v>4404</v>
      </c>
      <c r="C917" s="6" t="s">
        <v>4829</v>
      </c>
      <c r="D917" s="7" t="s">
        <v>4577</v>
      </c>
      <c r="E917" s="6" t="s">
        <v>4832</v>
      </c>
      <c r="F917" s="7" t="s">
        <v>4368</v>
      </c>
      <c r="G917" s="7" t="s">
        <v>4367</v>
      </c>
      <c r="H917" s="5" t="s">
        <v>223</v>
      </c>
      <c r="I917" s="6" t="s">
        <v>224</v>
      </c>
      <c r="J917" s="7" t="s">
        <v>11</v>
      </c>
      <c r="K917" s="36">
        <v>0.9</v>
      </c>
      <c r="L917" s="37">
        <v>679</v>
      </c>
    </row>
    <row r="918" spans="1:12" ht="19.95" customHeight="1" x14ac:dyDescent="0.3">
      <c r="A918" s="2" t="s">
        <v>4403</v>
      </c>
      <c r="B918" s="3" t="s">
        <v>4404</v>
      </c>
      <c r="C918" s="2" t="s">
        <v>4829</v>
      </c>
      <c r="D918" s="3" t="s">
        <v>4577</v>
      </c>
      <c r="E918" s="2" t="s">
        <v>4832</v>
      </c>
      <c r="F918" s="3" t="s">
        <v>4368</v>
      </c>
      <c r="G918" s="3" t="s">
        <v>4367</v>
      </c>
      <c r="H918" s="1" t="s">
        <v>211</v>
      </c>
      <c r="I918" s="2" t="s">
        <v>212</v>
      </c>
      <c r="J918" s="3" t="s">
        <v>11</v>
      </c>
      <c r="K918" s="38">
        <v>1.8</v>
      </c>
      <c r="L918" s="39">
        <v>558</v>
      </c>
    </row>
    <row r="919" spans="1:12" ht="19.95" customHeight="1" x14ac:dyDescent="0.3">
      <c r="A919" s="6" t="s">
        <v>4403</v>
      </c>
      <c r="B919" s="7" t="s">
        <v>4404</v>
      </c>
      <c r="C919" s="6" t="s">
        <v>4829</v>
      </c>
      <c r="D919" s="7" t="s">
        <v>4577</v>
      </c>
      <c r="E919" s="6" t="s">
        <v>4832</v>
      </c>
      <c r="F919" s="7" t="s">
        <v>4368</v>
      </c>
      <c r="G919" s="7" t="s">
        <v>4367</v>
      </c>
      <c r="H919" s="5" t="s">
        <v>197</v>
      </c>
      <c r="I919" s="6" t="s">
        <v>198</v>
      </c>
      <c r="J919" s="7" t="s">
        <v>11</v>
      </c>
      <c r="K919" s="36">
        <v>0.2</v>
      </c>
      <c r="L919" s="37">
        <v>617</v>
      </c>
    </row>
    <row r="920" spans="1:12" ht="19.95" customHeight="1" x14ac:dyDescent="0.3">
      <c r="A920" s="2" t="s">
        <v>4403</v>
      </c>
      <c r="B920" s="3" t="s">
        <v>4404</v>
      </c>
      <c r="C920" s="2" t="s">
        <v>4829</v>
      </c>
      <c r="D920" s="3" t="s">
        <v>4577</v>
      </c>
      <c r="E920" s="2" t="s">
        <v>4832</v>
      </c>
      <c r="F920" s="3" t="s">
        <v>4368</v>
      </c>
      <c r="G920" s="3" t="s">
        <v>4367</v>
      </c>
      <c r="H920" s="1" t="s">
        <v>211</v>
      </c>
      <c r="I920" s="2" t="s">
        <v>212</v>
      </c>
      <c r="J920" s="3" t="s">
        <v>11</v>
      </c>
      <c r="K920" s="38">
        <v>1.1299999999999999</v>
      </c>
      <c r="L920" s="39">
        <v>558</v>
      </c>
    </row>
    <row r="921" spans="1:12" ht="19.95" customHeight="1" x14ac:dyDescent="0.3">
      <c r="A921" s="6" t="s">
        <v>4403</v>
      </c>
      <c r="B921" s="7" t="s">
        <v>4404</v>
      </c>
      <c r="C921" s="6" t="s">
        <v>4829</v>
      </c>
      <c r="D921" s="7" t="s">
        <v>4577</v>
      </c>
      <c r="E921" s="6" t="s">
        <v>4832</v>
      </c>
      <c r="F921" s="7" t="s">
        <v>4368</v>
      </c>
      <c r="G921" s="7" t="s">
        <v>4367</v>
      </c>
      <c r="H921" s="5" t="s">
        <v>209</v>
      </c>
      <c r="I921" s="6" t="s">
        <v>210</v>
      </c>
      <c r="J921" s="7" t="s">
        <v>11</v>
      </c>
      <c r="K921" s="36">
        <v>0.5</v>
      </c>
      <c r="L921" s="37">
        <v>558</v>
      </c>
    </row>
    <row r="922" spans="1:12" ht="19.95" customHeight="1" x14ac:dyDescent="0.3">
      <c r="A922" s="2" t="s">
        <v>4403</v>
      </c>
      <c r="B922" s="3" t="s">
        <v>4404</v>
      </c>
      <c r="C922" s="2" t="s">
        <v>4829</v>
      </c>
      <c r="D922" s="3" t="s">
        <v>4577</v>
      </c>
      <c r="E922" s="2" t="s">
        <v>4832</v>
      </c>
      <c r="F922" s="3" t="s">
        <v>4368</v>
      </c>
      <c r="G922" s="3" t="s">
        <v>4367</v>
      </c>
      <c r="H922" s="1" t="s">
        <v>221</v>
      </c>
      <c r="I922" s="2" t="s">
        <v>222</v>
      </c>
      <c r="J922" s="3" t="s">
        <v>11</v>
      </c>
      <c r="K922" s="38">
        <v>0.35</v>
      </c>
      <c r="L922" s="39">
        <v>738</v>
      </c>
    </row>
    <row r="923" spans="1:12" ht="19.95" customHeight="1" x14ac:dyDescent="0.3">
      <c r="A923" s="6" t="s">
        <v>4403</v>
      </c>
      <c r="B923" s="7" t="s">
        <v>4404</v>
      </c>
      <c r="C923" s="6" t="s">
        <v>4829</v>
      </c>
      <c r="D923" s="7" t="s">
        <v>4577</v>
      </c>
      <c r="E923" s="6" t="s">
        <v>4832</v>
      </c>
      <c r="F923" s="7" t="s">
        <v>4368</v>
      </c>
      <c r="G923" s="7" t="s">
        <v>4367</v>
      </c>
      <c r="H923" s="5" t="s">
        <v>223</v>
      </c>
      <c r="I923" s="6" t="s">
        <v>224</v>
      </c>
      <c r="J923" s="7" t="s">
        <v>11</v>
      </c>
      <c r="K923" s="36">
        <v>0.35</v>
      </c>
      <c r="L923" s="37">
        <v>679</v>
      </c>
    </row>
    <row r="924" spans="1:12" ht="19.95" customHeight="1" x14ac:dyDescent="0.3">
      <c r="A924" s="2" t="s">
        <v>4403</v>
      </c>
      <c r="B924" s="3" t="s">
        <v>4404</v>
      </c>
      <c r="C924" s="2" t="s">
        <v>4829</v>
      </c>
      <c r="D924" s="3" t="s">
        <v>4577</v>
      </c>
      <c r="E924" s="2" t="s">
        <v>4832</v>
      </c>
      <c r="F924" s="3" t="s">
        <v>4368</v>
      </c>
      <c r="G924" s="3" t="s">
        <v>4367</v>
      </c>
      <c r="H924" s="1" t="s">
        <v>211</v>
      </c>
      <c r="I924" s="2" t="s">
        <v>212</v>
      </c>
      <c r="J924" s="3" t="s">
        <v>11</v>
      </c>
      <c r="K924" s="38">
        <v>1.07</v>
      </c>
      <c r="L924" s="39">
        <v>558</v>
      </c>
    </row>
    <row r="925" spans="1:12" ht="19.95" customHeight="1" x14ac:dyDescent="0.3">
      <c r="A925" s="6" t="s">
        <v>4403</v>
      </c>
      <c r="B925" s="7" t="s">
        <v>4404</v>
      </c>
      <c r="C925" s="6" t="s">
        <v>4829</v>
      </c>
      <c r="D925" s="7" t="s">
        <v>4577</v>
      </c>
      <c r="E925" s="6" t="s">
        <v>4832</v>
      </c>
      <c r="F925" s="7" t="s">
        <v>4368</v>
      </c>
      <c r="G925" s="7" t="s">
        <v>4367</v>
      </c>
      <c r="H925" s="5" t="s">
        <v>197</v>
      </c>
      <c r="I925" s="6" t="s">
        <v>198</v>
      </c>
      <c r="J925" s="7" t="s">
        <v>11</v>
      </c>
      <c r="K925" s="36">
        <v>0.2</v>
      </c>
      <c r="L925" s="37">
        <v>617</v>
      </c>
    </row>
    <row r="926" spans="1:12" ht="19.95" customHeight="1" x14ac:dyDescent="0.3">
      <c r="A926" s="2" t="s">
        <v>4403</v>
      </c>
      <c r="B926" s="3" t="s">
        <v>4404</v>
      </c>
      <c r="C926" s="2" t="s">
        <v>4829</v>
      </c>
      <c r="D926" s="3" t="s">
        <v>4577</v>
      </c>
      <c r="E926" s="2" t="s">
        <v>4832</v>
      </c>
      <c r="F926" s="3" t="s">
        <v>4368</v>
      </c>
      <c r="G926" s="3" t="s">
        <v>4367</v>
      </c>
      <c r="H926" s="1" t="s">
        <v>209</v>
      </c>
      <c r="I926" s="2" t="s">
        <v>210</v>
      </c>
      <c r="J926" s="3" t="s">
        <v>11</v>
      </c>
      <c r="K926" s="38">
        <v>0.5</v>
      </c>
      <c r="L926" s="39">
        <v>558</v>
      </c>
    </row>
    <row r="927" spans="1:12" ht="19.95" customHeight="1" x14ac:dyDescent="0.3">
      <c r="A927" s="6" t="s">
        <v>4403</v>
      </c>
      <c r="B927" s="7" t="s">
        <v>4404</v>
      </c>
      <c r="C927" s="6" t="s">
        <v>4829</v>
      </c>
      <c r="D927" s="7" t="s">
        <v>4577</v>
      </c>
      <c r="E927" s="6" t="s">
        <v>4832</v>
      </c>
      <c r="F927" s="7" t="s">
        <v>4368</v>
      </c>
      <c r="G927" s="7" t="s">
        <v>4367</v>
      </c>
      <c r="H927" s="5" t="s">
        <v>221</v>
      </c>
      <c r="I927" s="6" t="s">
        <v>222</v>
      </c>
      <c r="J927" s="7" t="s">
        <v>11</v>
      </c>
      <c r="K927" s="36">
        <v>0.46</v>
      </c>
      <c r="L927" s="37">
        <v>738</v>
      </c>
    </row>
    <row r="928" spans="1:12" ht="19.95" customHeight="1" x14ac:dyDescent="0.3">
      <c r="A928" s="2" t="s">
        <v>4403</v>
      </c>
      <c r="B928" s="3" t="s">
        <v>4404</v>
      </c>
      <c r="C928" s="2" t="s">
        <v>4829</v>
      </c>
      <c r="D928" s="3" t="s">
        <v>4577</v>
      </c>
      <c r="E928" s="2" t="s">
        <v>4832</v>
      </c>
      <c r="F928" s="3" t="s">
        <v>4368</v>
      </c>
      <c r="G928" s="3" t="s">
        <v>4367</v>
      </c>
      <c r="H928" s="1" t="s">
        <v>223</v>
      </c>
      <c r="I928" s="2" t="s">
        <v>224</v>
      </c>
      <c r="J928" s="3" t="s">
        <v>11</v>
      </c>
      <c r="K928" s="38">
        <v>0.46</v>
      </c>
      <c r="L928" s="39">
        <v>679</v>
      </c>
    </row>
    <row r="929" spans="1:12" ht="19.95" customHeight="1" x14ac:dyDescent="0.3">
      <c r="A929" s="6" t="s">
        <v>4403</v>
      </c>
      <c r="B929" s="7" t="s">
        <v>4404</v>
      </c>
      <c r="C929" s="6" t="s">
        <v>4829</v>
      </c>
      <c r="D929" s="7" t="s">
        <v>4577</v>
      </c>
      <c r="E929" s="6" t="s">
        <v>4832</v>
      </c>
      <c r="F929" s="7" t="s">
        <v>4368</v>
      </c>
      <c r="G929" s="7" t="s">
        <v>4367</v>
      </c>
      <c r="H929" s="5" t="s">
        <v>211</v>
      </c>
      <c r="I929" s="6" t="s">
        <v>212</v>
      </c>
      <c r="J929" s="7" t="s">
        <v>11</v>
      </c>
      <c r="K929" s="36">
        <v>1.6</v>
      </c>
      <c r="L929" s="37">
        <v>558</v>
      </c>
    </row>
    <row r="930" spans="1:12" ht="19.95" customHeight="1" x14ac:dyDescent="0.3">
      <c r="A930" s="2" t="s">
        <v>4403</v>
      </c>
      <c r="B930" s="3" t="s">
        <v>4404</v>
      </c>
      <c r="C930" s="2" t="s">
        <v>4829</v>
      </c>
      <c r="D930" s="3" t="s">
        <v>4577</v>
      </c>
      <c r="E930" s="2" t="s">
        <v>4832</v>
      </c>
      <c r="F930" s="3" t="s">
        <v>4368</v>
      </c>
      <c r="G930" s="3" t="s">
        <v>4367</v>
      </c>
      <c r="H930" s="1" t="s">
        <v>197</v>
      </c>
      <c r="I930" s="2" t="s">
        <v>198</v>
      </c>
      <c r="J930" s="3" t="s">
        <v>11</v>
      </c>
      <c r="K930" s="38">
        <v>0.2</v>
      </c>
      <c r="L930" s="39">
        <v>617</v>
      </c>
    </row>
    <row r="931" spans="1:12" ht="19.95" customHeight="1" x14ac:dyDescent="0.3">
      <c r="A931" s="6" t="s">
        <v>4403</v>
      </c>
      <c r="B931" s="7" t="s">
        <v>4404</v>
      </c>
      <c r="C931" s="6" t="s">
        <v>4829</v>
      </c>
      <c r="D931" s="7" t="s">
        <v>4577</v>
      </c>
      <c r="E931" s="6" t="s">
        <v>4832</v>
      </c>
      <c r="F931" s="7" t="s">
        <v>4368</v>
      </c>
      <c r="G931" s="7" t="s">
        <v>4367</v>
      </c>
      <c r="H931" s="5" t="s">
        <v>211</v>
      </c>
      <c r="I931" s="6" t="s">
        <v>212</v>
      </c>
      <c r="J931" s="7" t="s">
        <v>11</v>
      </c>
      <c r="K931" s="36">
        <v>1.1299999999999999</v>
      </c>
      <c r="L931" s="37">
        <v>558</v>
      </c>
    </row>
    <row r="932" spans="1:12" ht="19.95" customHeight="1" x14ac:dyDescent="0.3">
      <c r="A932" s="2" t="s">
        <v>4403</v>
      </c>
      <c r="B932" s="3" t="s">
        <v>4404</v>
      </c>
      <c r="C932" s="2" t="s">
        <v>4829</v>
      </c>
      <c r="D932" s="3" t="s">
        <v>4577</v>
      </c>
      <c r="E932" s="2" t="s">
        <v>4832</v>
      </c>
      <c r="F932" s="3" t="s">
        <v>4368</v>
      </c>
      <c r="G932" s="3" t="s">
        <v>4367</v>
      </c>
      <c r="H932" s="1" t="s">
        <v>221</v>
      </c>
      <c r="I932" s="2" t="s">
        <v>222</v>
      </c>
      <c r="J932" s="3" t="s">
        <v>11</v>
      </c>
      <c r="K932" s="38">
        <v>0.33</v>
      </c>
      <c r="L932" s="39">
        <v>738</v>
      </c>
    </row>
    <row r="933" spans="1:12" ht="19.95" customHeight="1" x14ac:dyDescent="0.3">
      <c r="A933" s="6" t="s">
        <v>4403</v>
      </c>
      <c r="B933" s="7" t="s">
        <v>4404</v>
      </c>
      <c r="C933" s="6" t="s">
        <v>4829</v>
      </c>
      <c r="D933" s="7" t="s">
        <v>4577</v>
      </c>
      <c r="E933" s="6" t="s">
        <v>4832</v>
      </c>
      <c r="F933" s="7" t="s">
        <v>4368</v>
      </c>
      <c r="G933" s="7" t="s">
        <v>4367</v>
      </c>
      <c r="H933" s="5" t="s">
        <v>223</v>
      </c>
      <c r="I933" s="6" t="s">
        <v>224</v>
      </c>
      <c r="J933" s="7" t="s">
        <v>11</v>
      </c>
      <c r="K933" s="36">
        <v>0.33</v>
      </c>
      <c r="L933" s="37">
        <v>679</v>
      </c>
    </row>
    <row r="934" spans="1:12" ht="19.95" customHeight="1" x14ac:dyDescent="0.3">
      <c r="A934" s="2" t="s">
        <v>4403</v>
      </c>
      <c r="B934" s="3" t="s">
        <v>4404</v>
      </c>
      <c r="C934" s="2" t="s">
        <v>4829</v>
      </c>
      <c r="D934" s="3" t="s">
        <v>4577</v>
      </c>
      <c r="E934" s="2" t="s">
        <v>4832</v>
      </c>
      <c r="F934" s="3" t="s">
        <v>4368</v>
      </c>
      <c r="G934" s="3" t="s">
        <v>4367</v>
      </c>
      <c r="H934" s="1" t="s">
        <v>211</v>
      </c>
      <c r="I934" s="2" t="s">
        <v>212</v>
      </c>
      <c r="J934" s="3" t="s">
        <v>11</v>
      </c>
      <c r="K934" s="38">
        <v>1</v>
      </c>
      <c r="L934" s="39">
        <v>558</v>
      </c>
    </row>
    <row r="935" spans="1:12" ht="19.95" customHeight="1" x14ac:dyDescent="0.3">
      <c r="A935" s="6" t="s">
        <v>4403</v>
      </c>
      <c r="B935" s="7" t="s">
        <v>4404</v>
      </c>
      <c r="C935" s="6" t="s">
        <v>4829</v>
      </c>
      <c r="D935" s="7" t="s">
        <v>4577</v>
      </c>
      <c r="E935" s="6" t="s">
        <v>4832</v>
      </c>
      <c r="F935" s="7" t="s">
        <v>4368</v>
      </c>
      <c r="G935" s="7" t="s">
        <v>4367</v>
      </c>
      <c r="H935" s="5" t="s">
        <v>197</v>
      </c>
      <c r="I935" s="6" t="s">
        <v>198</v>
      </c>
      <c r="J935" s="7" t="s">
        <v>11</v>
      </c>
      <c r="K935" s="36">
        <v>0.18</v>
      </c>
      <c r="L935" s="37">
        <v>617</v>
      </c>
    </row>
    <row r="936" spans="1:12" ht="19.95" customHeight="1" x14ac:dyDescent="0.3">
      <c r="A936" s="2" t="s">
        <v>4403</v>
      </c>
      <c r="B936" s="3" t="s">
        <v>4404</v>
      </c>
      <c r="C936" s="2" t="s">
        <v>4829</v>
      </c>
      <c r="D936" s="3" t="s">
        <v>4577</v>
      </c>
      <c r="E936" s="2" t="s">
        <v>4832</v>
      </c>
      <c r="F936" s="3" t="s">
        <v>4368</v>
      </c>
      <c r="G936" s="3" t="s">
        <v>4367</v>
      </c>
      <c r="H936" s="1" t="s">
        <v>221</v>
      </c>
      <c r="I936" s="2" t="s">
        <v>222</v>
      </c>
      <c r="J936" s="3" t="s">
        <v>11</v>
      </c>
      <c r="K936" s="38">
        <v>0.44</v>
      </c>
      <c r="L936" s="39">
        <v>738</v>
      </c>
    </row>
    <row r="937" spans="1:12" ht="19.95" customHeight="1" x14ac:dyDescent="0.3">
      <c r="A937" s="6" t="s">
        <v>4403</v>
      </c>
      <c r="B937" s="7" t="s">
        <v>4404</v>
      </c>
      <c r="C937" s="6" t="s">
        <v>4829</v>
      </c>
      <c r="D937" s="7" t="s">
        <v>4577</v>
      </c>
      <c r="E937" s="6" t="s">
        <v>4832</v>
      </c>
      <c r="F937" s="7" t="s">
        <v>4368</v>
      </c>
      <c r="G937" s="7" t="s">
        <v>4367</v>
      </c>
      <c r="H937" s="5" t="s">
        <v>223</v>
      </c>
      <c r="I937" s="6" t="s">
        <v>224</v>
      </c>
      <c r="J937" s="7" t="s">
        <v>11</v>
      </c>
      <c r="K937" s="36">
        <v>0.44</v>
      </c>
      <c r="L937" s="37">
        <v>679</v>
      </c>
    </row>
    <row r="938" spans="1:12" ht="19.95" customHeight="1" x14ac:dyDescent="0.3">
      <c r="A938" s="2" t="s">
        <v>4403</v>
      </c>
      <c r="B938" s="3" t="s">
        <v>4404</v>
      </c>
      <c r="C938" s="2" t="s">
        <v>4829</v>
      </c>
      <c r="D938" s="3" t="s">
        <v>4577</v>
      </c>
      <c r="E938" s="2" t="s">
        <v>4832</v>
      </c>
      <c r="F938" s="3" t="s">
        <v>4368</v>
      </c>
      <c r="G938" s="3" t="s">
        <v>4367</v>
      </c>
      <c r="H938" s="1" t="s">
        <v>211</v>
      </c>
      <c r="I938" s="2" t="s">
        <v>212</v>
      </c>
      <c r="J938" s="3" t="s">
        <v>11</v>
      </c>
      <c r="K938" s="38">
        <v>1.43</v>
      </c>
      <c r="L938" s="39">
        <v>558</v>
      </c>
    </row>
    <row r="939" spans="1:12" ht="19.95" customHeight="1" x14ac:dyDescent="0.3">
      <c r="A939" s="6" t="s">
        <v>4403</v>
      </c>
      <c r="B939" s="7" t="s">
        <v>4404</v>
      </c>
      <c r="C939" s="6" t="s">
        <v>4829</v>
      </c>
      <c r="D939" s="7" t="s">
        <v>4577</v>
      </c>
      <c r="E939" s="6" t="s">
        <v>4832</v>
      </c>
      <c r="F939" s="7" t="s">
        <v>4368</v>
      </c>
      <c r="G939" s="7" t="s">
        <v>4367</v>
      </c>
      <c r="H939" s="5" t="s">
        <v>197</v>
      </c>
      <c r="I939" s="6" t="s">
        <v>198</v>
      </c>
      <c r="J939" s="7" t="s">
        <v>11</v>
      </c>
      <c r="K939" s="36">
        <v>0.18</v>
      </c>
      <c r="L939" s="37">
        <v>617</v>
      </c>
    </row>
    <row r="940" spans="1:12" ht="19.95" customHeight="1" x14ac:dyDescent="0.3">
      <c r="A940" s="2" t="s">
        <v>4403</v>
      </c>
      <c r="B940" s="3" t="s">
        <v>4404</v>
      </c>
      <c r="C940" s="2" t="s">
        <v>4829</v>
      </c>
      <c r="D940" s="3" t="s">
        <v>4577</v>
      </c>
      <c r="E940" s="2" t="s">
        <v>4832</v>
      </c>
      <c r="F940" s="3" t="s">
        <v>4368</v>
      </c>
      <c r="G940" s="3" t="s">
        <v>4367</v>
      </c>
      <c r="H940" s="1" t="s">
        <v>211</v>
      </c>
      <c r="I940" s="2" t="s">
        <v>212</v>
      </c>
      <c r="J940" s="3" t="s">
        <v>11</v>
      </c>
      <c r="K940" s="38">
        <v>1.1299999999999999</v>
      </c>
      <c r="L940" s="39">
        <v>558</v>
      </c>
    </row>
    <row r="941" spans="1:12" ht="19.95" customHeight="1" x14ac:dyDescent="0.3">
      <c r="A941" s="6" t="s">
        <v>4403</v>
      </c>
      <c r="B941" s="7" t="s">
        <v>4404</v>
      </c>
      <c r="C941" s="6" t="s">
        <v>4829</v>
      </c>
      <c r="D941" s="7" t="s">
        <v>4577</v>
      </c>
      <c r="E941" s="6" t="s">
        <v>4832</v>
      </c>
      <c r="F941" s="7" t="s">
        <v>4368</v>
      </c>
      <c r="G941" s="7" t="s">
        <v>4367</v>
      </c>
      <c r="H941" s="5" t="s">
        <v>221</v>
      </c>
      <c r="I941" s="6" t="s">
        <v>222</v>
      </c>
      <c r="J941" s="7" t="s">
        <v>11</v>
      </c>
      <c r="K941" s="36">
        <v>0.33</v>
      </c>
      <c r="L941" s="37">
        <v>738</v>
      </c>
    </row>
    <row r="942" spans="1:12" ht="19.95" customHeight="1" x14ac:dyDescent="0.3">
      <c r="A942" s="2" t="s">
        <v>4403</v>
      </c>
      <c r="B942" s="3" t="s">
        <v>4404</v>
      </c>
      <c r="C942" s="2" t="s">
        <v>4829</v>
      </c>
      <c r="D942" s="3" t="s">
        <v>4577</v>
      </c>
      <c r="E942" s="2" t="s">
        <v>4832</v>
      </c>
      <c r="F942" s="3" t="s">
        <v>4368</v>
      </c>
      <c r="G942" s="3" t="s">
        <v>4367</v>
      </c>
      <c r="H942" s="1" t="s">
        <v>223</v>
      </c>
      <c r="I942" s="2" t="s">
        <v>224</v>
      </c>
      <c r="J942" s="3" t="s">
        <v>11</v>
      </c>
      <c r="K942" s="38">
        <v>0.33</v>
      </c>
      <c r="L942" s="39">
        <v>679</v>
      </c>
    </row>
    <row r="943" spans="1:12" ht="19.95" customHeight="1" x14ac:dyDescent="0.3">
      <c r="A943" s="6" t="s">
        <v>4403</v>
      </c>
      <c r="B943" s="7" t="s">
        <v>4404</v>
      </c>
      <c r="C943" s="6" t="s">
        <v>4829</v>
      </c>
      <c r="D943" s="7" t="s">
        <v>4577</v>
      </c>
      <c r="E943" s="6" t="s">
        <v>4832</v>
      </c>
      <c r="F943" s="7" t="s">
        <v>4368</v>
      </c>
      <c r="G943" s="7" t="s">
        <v>4367</v>
      </c>
      <c r="H943" s="5" t="s">
        <v>211</v>
      </c>
      <c r="I943" s="6" t="s">
        <v>212</v>
      </c>
      <c r="J943" s="7" t="s">
        <v>11</v>
      </c>
      <c r="K943" s="36">
        <v>1</v>
      </c>
      <c r="L943" s="37">
        <v>558</v>
      </c>
    </row>
    <row r="944" spans="1:12" ht="19.95" customHeight="1" x14ac:dyDescent="0.3">
      <c r="A944" s="2" t="s">
        <v>4403</v>
      </c>
      <c r="B944" s="3" t="s">
        <v>4404</v>
      </c>
      <c r="C944" s="2" t="s">
        <v>4829</v>
      </c>
      <c r="D944" s="3" t="s">
        <v>4577</v>
      </c>
      <c r="E944" s="2" t="s">
        <v>4832</v>
      </c>
      <c r="F944" s="3" t="s">
        <v>4368</v>
      </c>
      <c r="G944" s="3" t="s">
        <v>4367</v>
      </c>
      <c r="H944" s="1" t="s">
        <v>197</v>
      </c>
      <c r="I944" s="2" t="s">
        <v>198</v>
      </c>
      <c r="J944" s="3" t="s">
        <v>11</v>
      </c>
      <c r="K944" s="38">
        <v>0.18</v>
      </c>
      <c r="L944" s="39">
        <v>617</v>
      </c>
    </row>
    <row r="945" spans="1:12" ht="19.95" customHeight="1" x14ac:dyDescent="0.3">
      <c r="A945" s="6" t="s">
        <v>4403</v>
      </c>
      <c r="B945" s="7" t="s">
        <v>4404</v>
      </c>
      <c r="C945" s="6" t="s">
        <v>4829</v>
      </c>
      <c r="D945" s="7" t="s">
        <v>4577</v>
      </c>
      <c r="E945" s="6" t="s">
        <v>4832</v>
      </c>
      <c r="F945" s="7" t="s">
        <v>4368</v>
      </c>
      <c r="G945" s="7" t="s">
        <v>4367</v>
      </c>
      <c r="H945" s="5" t="s">
        <v>221</v>
      </c>
      <c r="I945" s="6" t="s">
        <v>222</v>
      </c>
      <c r="J945" s="7" t="s">
        <v>11</v>
      </c>
      <c r="K945" s="36">
        <v>0.44</v>
      </c>
      <c r="L945" s="37">
        <v>738</v>
      </c>
    </row>
    <row r="946" spans="1:12" ht="19.95" customHeight="1" x14ac:dyDescent="0.3">
      <c r="A946" s="2" t="s">
        <v>4403</v>
      </c>
      <c r="B946" s="3" t="s">
        <v>4404</v>
      </c>
      <c r="C946" s="2" t="s">
        <v>4829</v>
      </c>
      <c r="D946" s="3" t="s">
        <v>4577</v>
      </c>
      <c r="E946" s="2" t="s">
        <v>4832</v>
      </c>
      <c r="F946" s="3" t="s">
        <v>4368</v>
      </c>
      <c r="G946" s="3" t="s">
        <v>4367</v>
      </c>
      <c r="H946" s="1" t="s">
        <v>223</v>
      </c>
      <c r="I946" s="2" t="s">
        <v>224</v>
      </c>
      <c r="J946" s="3" t="s">
        <v>11</v>
      </c>
      <c r="K946" s="38">
        <v>0.44</v>
      </c>
      <c r="L946" s="39">
        <v>679</v>
      </c>
    </row>
    <row r="947" spans="1:12" ht="19.95" customHeight="1" x14ac:dyDescent="0.3">
      <c r="A947" s="6" t="s">
        <v>4403</v>
      </c>
      <c r="B947" s="7" t="s">
        <v>4404</v>
      </c>
      <c r="C947" s="6" t="s">
        <v>4829</v>
      </c>
      <c r="D947" s="7" t="s">
        <v>4577</v>
      </c>
      <c r="E947" s="6" t="s">
        <v>4832</v>
      </c>
      <c r="F947" s="7" t="s">
        <v>4368</v>
      </c>
      <c r="G947" s="7" t="s">
        <v>4367</v>
      </c>
      <c r="H947" s="5" t="s">
        <v>211</v>
      </c>
      <c r="I947" s="6" t="s">
        <v>212</v>
      </c>
      <c r="J947" s="7" t="s">
        <v>11</v>
      </c>
      <c r="K947" s="36">
        <v>1.43</v>
      </c>
      <c r="L947" s="37">
        <v>558</v>
      </c>
    </row>
    <row r="948" spans="1:12" ht="19.95" customHeight="1" x14ac:dyDescent="0.3">
      <c r="A948" s="2" t="s">
        <v>4403</v>
      </c>
      <c r="B948" s="3" t="s">
        <v>4404</v>
      </c>
      <c r="C948" s="2" t="s">
        <v>4829</v>
      </c>
      <c r="D948" s="3" t="s">
        <v>4577</v>
      </c>
      <c r="E948" s="2" t="s">
        <v>4832</v>
      </c>
      <c r="F948" s="3" t="s">
        <v>4368</v>
      </c>
      <c r="G948" s="3" t="s">
        <v>4367</v>
      </c>
      <c r="H948" s="1" t="s">
        <v>197</v>
      </c>
      <c r="I948" s="2" t="s">
        <v>198</v>
      </c>
      <c r="J948" s="3" t="s">
        <v>11</v>
      </c>
      <c r="K948" s="38">
        <v>0.18</v>
      </c>
      <c r="L948" s="39">
        <v>617</v>
      </c>
    </row>
    <row r="949" spans="1:12" ht="19.95" customHeight="1" x14ac:dyDescent="0.3">
      <c r="A949" s="6" t="s">
        <v>4403</v>
      </c>
      <c r="B949" s="7" t="s">
        <v>4404</v>
      </c>
      <c r="C949" s="6" t="s">
        <v>4829</v>
      </c>
      <c r="D949" s="7" t="s">
        <v>4577</v>
      </c>
      <c r="E949" s="6" t="s">
        <v>4832</v>
      </c>
      <c r="F949" s="7" t="s">
        <v>4368</v>
      </c>
      <c r="G949" s="7" t="s">
        <v>4367</v>
      </c>
      <c r="H949" s="5" t="s">
        <v>211</v>
      </c>
      <c r="I949" s="6" t="s">
        <v>212</v>
      </c>
      <c r="J949" s="7" t="s">
        <v>11</v>
      </c>
      <c r="K949" s="36">
        <v>1.1299999999999999</v>
      </c>
      <c r="L949" s="37">
        <v>558</v>
      </c>
    </row>
    <row r="950" spans="1:12" ht="19.95" customHeight="1" x14ac:dyDescent="0.3">
      <c r="A950" s="2" t="s">
        <v>4403</v>
      </c>
      <c r="B950" s="3" t="s">
        <v>4404</v>
      </c>
      <c r="C950" s="2" t="s">
        <v>4829</v>
      </c>
      <c r="D950" s="3" t="s">
        <v>4577</v>
      </c>
      <c r="E950" s="2" t="s">
        <v>4832</v>
      </c>
      <c r="F950" s="3" t="s">
        <v>4368</v>
      </c>
      <c r="G950" s="3" t="s">
        <v>4367</v>
      </c>
      <c r="H950" s="1" t="s">
        <v>221</v>
      </c>
      <c r="I950" s="2" t="s">
        <v>222</v>
      </c>
      <c r="J950" s="3" t="s">
        <v>11</v>
      </c>
      <c r="K950" s="38">
        <v>0.36</v>
      </c>
      <c r="L950" s="39">
        <v>738</v>
      </c>
    </row>
    <row r="951" spans="1:12" ht="19.95" customHeight="1" x14ac:dyDescent="0.3">
      <c r="A951" s="6" t="s">
        <v>4403</v>
      </c>
      <c r="B951" s="7" t="s">
        <v>4404</v>
      </c>
      <c r="C951" s="6" t="s">
        <v>4829</v>
      </c>
      <c r="D951" s="7" t="s">
        <v>4577</v>
      </c>
      <c r="E951" s="6" t="s">
        <v>4832</v>
      </c>
      <c r="F951" s="7" t="s">
        <v>4368</v>
      </c>
      <c r="G951" s="7" t="s">
        <v>4367</v>
      </c>
      <c r="H951" s="5" t="s">
        <v>223</v>
      </c>
      <c r="I951" s="6" t="s">
        <v>224</v>
      </c>
      <c r="J951" s="7" t="s">
        <v>11</v>
      </c>
      <c r="K951" s="36">
        <v>0.36</v>
      </c>
      <c r="L951" s="37">
        <v>679</v>
      </c>
    </row>
    <row r="952" spans="1:12" ht="19.95" customHeight="1" x14ac:dyDescent="0.3">
      <c r="A952" s="2" t="s">
        <v>4403</v>
      </c>
      <c r="B952" s="3" t="s">
        <v>4404</v>
      </c>
      <c r="C952" s="2" t="s">
        <v>4829</v>
      </c>
      <c r="D952" s="3" t="s">
        <v>4577</v>
      </c>
      <c r="E952" s="2" t="s">
        <v>4832</v>
      </c>
      <c r="F952" s="3" t="s">
        <v>4368</v>
      </c>
      <c r="G952" s="3" t="s">
        <v>4367</v>
      </c>
      <c r="H952" s="1" t="s">
        <v>211</v>
      </c>
      <c r="I952" s="2" t="s">
        <v>212</v>
      </c>
      <c r="J952" s="3" t="s">
        <v>11</v>
      </c>
      <c r="K952" s="38">
        <v>1.37</v>
      </c>
      <c r="L952" s="39">
        <v>558</v>
      </c>
    </row>
    <row r="953" spans="1:12" ht="19.95" customHeight="1" x14ac:dyDescent="0.3">
      <c r="A953" s="6" t="s">
        <v>4403</v>
      </c>
      <c r="B953" s="7" t="s">
        <v>4404</v>
      </c>
      <c r="C953" s="6" t="s">
        <v>4829</v>
      </c>
      <c r="D953" s="7" t="s">
        <v>4577</v>
      </c>
      <c r="E953" s="6" t="s">
        <v>4832</v>
      </c>
      <c r="F953" s="7" t="s">
        <v>4368</v>
      </c>
      <c r="G953" s="7" t="s">
        <v>4367</v>
      </c>
      <c r="H953" s="5" t="s">
        <v>197</v>
      </c>
      <c r="I953" s="6" t="s">
        <v>198</v>
      </c>
      <c r="J953" s="7" t="s">
        <v>11</v>
      </c>
      <c r="K953" s="36">
        <v>0.2</v>
      </c>
      <c r="L953" s="37">
        <v>617</v>
      </c>
    </row>
    <row r="954" spans="1:12" ht="19.95" customHeight="1" x14ac:dyDescent="0.3">
      <c r="A954" s="2" t="s">
        <v>4403</v>
      </c>
      <c r="B954" s="3" t="s">
        <v>4404</v>
      </c>
      <c r="C954" s="2" t="s">
        <v>4829</v>
      </c>
      <c r="D954" s="3" t="s">
        <v>4577</v>
      </c>
      <c r="E954" s="2" t="s">
        <v>4832</v>
      </c>
      <c r="F954" s="3" t="s">
        <v>4368</v>
      </c>
      <c r="G954" s="3" t="s">
        <v>4367</v>
      </c>
      <c r="H954" s="1" t="s">
        <v>221</v>
      </c>
      <c r="I954" s="2" t="s">
        <v>222</v>
      </c>
      <c r="J954" s="3" t="s">
        <v>11</v>
      </c>
      <c r="K954" s="38">
        <v>0.44</v>
      </c>
      <c r="L954" s="39">
        <v>738</v>
      </c>
    </row>
    <row r="955" spans="1:12" ht="19.95" customHeight="1" x14ac:dyDescent="0.3">
      <c r="A955" s="6" t="s">
        <v>4403</v>
      </c>
      <c r="B955" s="7" t="s">
        <v>4404</v>
      </c>
      <c r="C955" s="6" t="s">
        <v>4829</v>
      </c>
      <c r="D955" s="7" t="s">
        <v>4577</v>
      </c>
      <c r="E955" s="6" t="s">
        <v>4832</v>
      </c>
      <c r="F955" s="7" t="s">
        <v>4368</v>
      </c>
      <c r="G955" s="7" t="s">
        <v>4367</v>
      </c>
      <c r="H955" s="5" t="s">
        <v>223</v>
      </c>
      <c r="I955" s="6" t="s">
        <v>224</v>
      </c>
      <c r="J955" s="7" t="s">
        <v>11</v>
      </c>
      <c r="K955" s="36">
        <v>0.44</v>
      </c>
      <c r="L955" s="37">
        <v>679</v>
      </c>
    </row>
    <row r="956" spans="1:12" ht="19.95" customHeight="1" x14ac:dyDescent="0.3">
      <c r="A956" s="2" t="s">
        <v>4403</v>
      </c>
      <c r="B956" s="3" t="s">
        <v>4404</v>
      </c>
      <c r="C956" s="2" t="s">
        <v>4829</v>
      </c>
      <c r="D956" s="3" t="s">
        <v>4577</v>
      </c>
      <c r="E956" s="2" t="s">
        <v>4832</v>
      </c>
      <c r="F956" s="3" t="s">
        <v>4368</v>
      </c>
      <c r="G956" s="3" t="s">
        <v>4367</v>
      </c>
      <c r="H956" s="1" t="s">
        <v>211</v>
      </c>
      <c r="I956" s="2" t="s">
        <v>212</v>
      </c>
      <c r="J956" s="3" t="s">
        <v>11</v>
      </c>
      <c r="K956" s="38">
        <v>1.8</v>
      </c>
      <c r="L956" s="39">
        <v>558</v>
      </c>
    </row>
    <row r="957" spans="1:12" ht="19.95" customHeight="1" x14ac:dyDescent="0.3">
      <c r="A957" s="6" t="s">
        <v>4403</v>
      </c>
      <c r="B957" s="7" t="s">
        <v>4404</v>
      </c>
      <c r="C957" s="6" t="s">
        <v>4829</v>
      </c>
      <c r="D957" s="7" t="s">
        <v>4577</v>
      </c>
      <c r="E957" s="6" t="s">
        <v>4832</v>
      </c>
      <c r="F957" s="7" t="s">
        <v>4368</v>
      </c>
      <c r="G957" s="7" t="s">
        <v>4367</v>
      </c>
      <c r="H957" s="5" t="s">
        <v>197</v>
      </c>
      <c r="I957" s="6" t="s">
        <v>198</v>
      </c>
      <c r="J957" s="7" t="s">
        <v>11</v>
      </c>
      <c r="K957" s="36">
        <v>0.2</v>
      </c>
      <c r="L957" s="37">
        <v>617</v>
      </c>
    </row>
    <row r="958" spans="1:12" ht="19.95" customHeight="1" x14ac:dyDescent="0.3">
      <c r="A958" s="2" t="s">
        <v>4403</v>
      </c>
      <c r="B958" s="3" t="s">
        <v>4404</v>
      </c>
      <c r="C958" s="2" t="s">
        <v>4829</v>
      </c>
      <c r="D958" s="3" t="s">
        <v>4577</v>
      </c>
      <c r="E958" s="2" t="s">
        <v>4832</v>
      </c>
      <c r="F958" s="3" t="s">
        <v>4368</v>
      </c>
      <c r="G958" s="3" t="s">
        <v>4367</v>
      </c>
      <c r="H958" s="1" t="s">
        <v>211</v>
      </c>
      <c r="I958" s="2" t="s">
        <v>212</v>
      </c>
      <c r="J958" s="3" t="s">
        <v>11</v>
      </c>
      <c r="K958" s="38">
        <v>1.1299999999999999</v>
      </c>
      <c r="L958" s="39">
        <v>558</v>
      </c>
    </row>
    <row r="959" spans="1:12" ht="19.95" customHeight="1" x14ac:dyDescent="0.3">
      <c r="A959" s="6" t="s">
        <v>4403</v>
      </c>
      <c r="B959" s="7" t="s">
        <v>4404</v>
      </c>
      <c r="C959" s="6" t="s">
        <v>4829</v>
      </c>
      <c r="D959" s="7" t="s">
        <v>4577</v>
      </c>
      <c r="E959" s="6" t="s">
        <v>4832</v>
      </c>
      <c r="F959" s="7" t="s">
        <v>4368</v>
      </c>
      <c r="G959" s="7" t="s">
        <v>4367</v>
      </c>
      <c r="H959" s="5" t="s">
        <v>221</v>
      </c>
      <c r="I959" s="6" t="s">
        <v>222</v>
      </c>
      <c r="J959" s="7" t="s">
        <v>11</v>
      </c>
      <c r="K959" s="36">
        <v>0.36</v>
      </c>
      <c r="L959" s="37">
        <v>738</v>
      </c>
    </row>
    <row r="960" spans="1:12" ht="19.95" customHeight="1" x14ac:dyDescent="0.3">
      <c r="A960" s="2" t="s">
        <v>4403</v>
      </c>
      <c r="B960" s="3" t="s">
        <v>4404</v>
      </c>
      <c r="C960" s="2" t="s">
        <v>4829</v>
      </c>
      <c r="D960" s="3" t="s">
        <v>4577</v>
      </c>
      <c r="E960" s="2" t="s">
        <v>4832</v>
      </c>
      <c r="F960" s="3" t="s">
        <v>4368</v>
      </c>
      <c r="G960" s="3" t="s">
        <v>4367</v>
      </c>
      <c r="H960" s="1" t="s">
        <v>223</v>
      </c>
      <c r="I960" s="2" t="s">
        <v>224</v>
      </c>
      <c r="J960" s="3" t="s">
        <v>11</v>
      </c>
      <c r="K960" s="38">
        <v>0.36</v>
      </c>
      <c r="L960" s="39">
        <v>679</v>
      </c>
    </row>
    <row r="961" spans="1:12" ht="19.95" customHeight="1" x14ac:dyDescent="0.3">
      <c r="A961" s="6" t="s">
        <v>4403</v>
      </c>
      <c r="B961" s="7" t="s">
        <v>4404</v>
      </c>
      <c r="C961" s="6" t="s">
        <v>4829</v>
      </c>
      <c r="D961" s="7" t="s">
        <v>4577</v>
      </c>
      <c r="E961" s="6" t="s">
        <v>4832</v>
      </c>
      <c r="F961" s="7" t="s">
        <v>4368</v>
      </c>
      <c r="G961" s="7" t="s">
        <v>4367</v>
      </c>
      <c r="H961" s="5" t="s">
        <v>211</v>
      </c>
      <c r="I961" s="6" t="s">
        <v>212</v>
      </c>
      <c r="J961" s="7" t="s">
        <v>11</v>
      </c>
      <c r="K961" s="36">
        <v>1.37</v>
      </c>
      <c r="L961" s="37">
        <v>558</v>
      </c>
    </row>
    <row r="962" spans="1:12" ht="19.95" customHeight="1" x14ac:dyDescent="0.3">
      <c r="A962" s="2" t="s">
        <v>4403</v>
      </c>
      <c r="B962" s="3" t="s">
        <v>4404</v>
      </c>
      <c r="C962" s="2" t="s">
        <v>4829</v>
      </c>
      <c r="D962" s="3" t="s">
        <v>4577</v>
      </c>
      <c r="E962" s="2" t="s">
        <v>4832</v>
      </c>
      <c r="F962" s="3" t="s">
        <v>4368</v>
      </c>
      <c r="G962" s="3" t="s">
        <v>4367</v>
      </c>
      <c r="H962" s="1" t="s">
        <v>197</v>
      </c>
      <c r="I962" s="2" t="s">
        <v>198</v>
      </c>
      <c r="J962" s="3" t="s">
        <v>11</v>
      </c>
      <c r="K962" s="38">
        <v>0.2</v>
      </c>
      <c r="L962" s="39">
        <v>617</v>
      </c>
    </row>
    <row r="963" spans="1:12" ht="19.95" customHeight="1" x14ac:dyDescent="0.3">
      <c r="A963" s="6" t="s">
        <v>4403</v>
      </c>
      <c r="B963" s="7" t="s">
        <v>4404</v>
      </c>
      <c r="C963" s="6" t="s">
        <v>4829</v>
      </c>
      <c r="D963" s="7" t="s">
        <v>4577</v>
      </c>
      <c r="E963" s="6" t="s">
        <v>4832</v>
      </c>
      <c r="F963" s="7" t="s">
        <v>4368</v>
      </c>
      <c r="G963" s="7" t="s">
        <v>4367</v>
      </c>
      <c r="H963" s="5" t="s">
        <v>221</v>
      </c>
      <c r="I963" s="6" t="s">
        <v>222</v>
      </c>
      <c r="J963" s="7" t="s">
        <v>11</v>
      </c>
      <c r="K963" s="36">
        <v>0.47</v>
      </c>
      <c r="L963" s="37">
        <v>738</v>
      </c>
    </row>
    <row r="964" spans="1:12" ht="19.95" customHeight="1" x14ac:dyDescent="0.3">
      <c r="A964" s="2" t="s">
        <v>4403</v>
      </c>
      <c r="B964" s="3" t="s">
        <v>4404</v>
      </c>
      <c r="C964" s="2" t="s">
        <v>4829</v>
      </c>
      <c r="D964" s="3" t="s">
        <v>4577</v>
      </c>
      <c r="E964" s="2" t="s">
        <v>4832</v>
      </c>
      <c r="F964" s="3" t="s">
        <v>4368</v>
      </c>
      <c r="G964" s="3" t="s">
        <v>4367</v>
      </c>
      <c r="H964" s="1" t="s">
        <v>223</v>
      </c>
      <c r="I964" s="2" t="s">
        <v>224</v>
      </c>
      <c r="J964" s="3" t="s">
        <v>11</v>
      </c>
      <c r="K964" s="38">
        <v>0.47</v>
      </c>
      <c r="L964" s="39">
        <v>679</v>
      </c>
    </row>
    <row r="965" spans="1:12" ht="19.95" customHeight="1" x14ac:dyDescent="0.3">
      <c r="A965" s="6" t="s">
        <v>4403</v>
      </c>
      <c r="B965" s="7" t="s">
        <v>4404</v>
      </c>
      <c r="C965" s="6" t="s">
        <v>4829</v>
      </c>
      <c r="D965" s="7" t="s">
        <v>4577</v>
      </c>
      <c r="E965" s="6" t="s">
        <v>4832</v>
      </c>
      <c r="F965" s="7" t="s">
        <v>4368</v>
      </c>
      <c r="G965" s="7" t="s">
        <v>4367</v>
      </c>
      <c r="H965" s="5" t="s">
        <v>211</v>
      </c>
      <c r="I965" s="6" t="s">
        <v>212</v>
      </c>
      <c r="J965" s="7" t="s">
        <v>11</v>
      </c>
      <c r="K965" s="36">
        <v>1.8</v>
      </c>
      <c r="L965" s="37">
        <v>558</v>
      </c>
    </row>
    <row r="966" spans="1:12" ht="19.95" customHeight="1" x14ac:dyDescent="0.3">
      <c r="A966" s="2" t="s">
        <v>4403</v>
      </c>
      <c r="B966" s="3" t="s">
        <v>4404</v>
      </c>
      <c r="C966" s="2" t="s">
        <v>4829</v>
      </c>
      <c r="D966" s="3" t="s">
        <v>4577</v>
      </c>
      <c r="E966" s="2" t="s">
        <v>4832</v>
      </c>
      <c r="F966" s="3" t="s">
        <v>4368</v>
      </c>
      <c r="G966" s="3" t="s">
        <v>4367</v>
      </c>
      <c r="H966" s="1" t="s">
        <v>197</v>
      </c>
      <c r="I966" s="2" t="s">
        <v>198</v>
      </c>
      <c r="J966" s="3" t="s">
        <v>11</v>
      </c>
      <c r="K966" s="38">
        <v>0.2</v>
      </c>
      <c r="L966" s="39">
        <v>617</v>
      </c>
    </row>
    <row r="967" spans="1:12" ht="19.95" customHeight="1" x14ac:dyDescent="0.3">
      <c r="A967" s="6" t="s">
        <v>4403</v>
      </c>
      <c r="B967" s="7" t="s">
        <v>4404</v>
      </c>
      <c r="C967" s="6" t="s">
        <v>4829</v>
      </c>
      <c r="D967" s="7" t="s">
        <v>4577</v>
      </c>
      <c r="E967" s="6" t="s">
        <v>4832</v>
      </c>
      <c r="F967" s="7" t="s">
        <v>4368</v>
      </c>
      <c r="G967" s="7" t="s">
        <v>4367</v>
      </c>
      <c r="H967" s="5" t="s">
        <v>211</v>
      </c>
      <c r="I967" s="6" t="s">
        <v>212</v>
      </c>
      <c r="J967" s="7" t="s">
        <v>11</v>
      </c>
      <c r="K967" s="36">
        <v>1.1299999999999999</v>
      </c>
      <c r="L967" s="37">
        <v>558</v>
      </c>
    </row>
    <row r="968" spans="1:12" ht="19.95" customHeight="1" x14ac:dyDescent="0.3">
      <c r="A968" s="2" t="s">
        <v>4403</v>
      </c>
      <c r="B968" s="3" t="s">
        <v>4404</v>
      </c>
      <c r="C968" s="2" t="s">
        <v>4829</v>
      </c>
      <c r="D968" s="3" t="s">
        <v>4577</v>
      </c>
      <c r="E968" s="2" t="s">
        <v>4833</v>
      </c>
      <c r="F968" s="3" t="s">
        <v>4368</v>
      </c>
      <c r="G968" s="3" t="s">
        <v>4367</v>
      </c>
      <c r="H968" s="1" t="s">
        <v>221</v>
      </c>
      <c r="I968" s="2" t="s">
        <v>222</v>
      </c>
      <c r="J968" s="3" t="s">
        <v>11</v>
      </c>
      <c r="K968" s="38">
        <v>0.33</v>
      </c>
      <c r="L968" s="39">
        <v>738</v>
      </c>
    </row>
    <row r="969" spans="1:12" ht="19.95" customHeight="1" x14ac:dyDescent="0.3">
      <c r="A969" s="6" t="s">
        <v>4403</v>
      </c>
      <c r="B969" s="7" t="s">
        <v>4404</v>
      </c>
      <c r="C969" s="6" t="s">
        <v>4829</v>
      </c>
      <c r="D969" s="7" t="s">
        <v>4577</v>
      </c>
      <c r="E969" s="6" t="s">
        <v>4833</v>
      </c>
      <c r="F969" s="7" t="s">
        <v>4368</v>
      </c>
      <c r="G969" s="7" t="s">
        <v>4367</v>
      </c>
      <c r="H969" s="5" t="s">
        <v>223</v>
      </c>
      <c r="I969" s="6" t="s">
        <v>224</v>
      </c>
      <c r="J969" s="7" t="s">
        <v>11</v>
      </c>
      <c r="K969" s="36">
        <v>0.33</v>
      </c>
      <c r="L969" s="37">
        <v>679</v>
      </c>
    </row>
    <row r="970" spans="1:12" ht="19.95" customHeight="1" x14ac:dyDescent="0.3">
      <c r="A970" s="2" t="s">
        <v>4403</v>
      </c>
      <c r="B970" s="3" t="s">
        <v>4404</v>
      </c>
      <c r="C970" s="2" t="s">
        <v>4829</v>
      </c>
      <c r="D970" s="3" t="s">
        <v>4577</v>
      </c>
      <c r="E970" s="2" t="s">
        <v>4833</v>
      </c>
      <c r="F970" s="3" t="s">
        <v>4368</v>
      </c>
      <c r="G970" s="3" t="s">
        <v>4367</v>
      </c>
      <c r="H970" s="1" t="s">
        <v>211</v>
      </c>
      <c r="I970" s="2" t="s">
        <v>212</v>
      </c>
      <c r="J970" s="3" t="s">
        <v>11</v>
      </c>
      <c r="K970" s="38">
        <v>1</v>
      </c>
      <c r="L970" s="39">
        <v>558</v>
      </c>
    </row>
    <row r="971" spans="1:12" ht="19.95" customHeight="1" x14ac:dyDescent="0.3">
      <c r="A971" s="6" t="s">
        <v>4403</v>
      </c>
      <c r="B971" s="7" t="s">
        <v>4404</v>
      </c>
      <c r="C971" s="6" t="s">
        <v>4829</v>
      </c>
      <c r="D971" s="7" t="s">
        <v>4577</v>
      </c>
      <c r="E971" s="6" t="s">
        <v>4833</v>
      </c>
      <c r="F971" s="7" t="s">
        <v>4368</v>
      </c>
      <c r="G971" s="7" t="s">
        <v>4367</v>
      </c>
      <c r="H971" s="5" t="s">
        <v>197</v>
      </c>
      <c r="I971" s="6" t="s">
        <v>198</v>
      </c>
      <c r="J971" s="7" t="s">
        <v>11</v>
      </c>
      <c r="K971" s="36">
        <v>0.18</v>
      </c>
      <c r="L971" s="37">
        <v>617</v>
      </c>
    </row>
    <row r="972" spans="1:12" ht="19.95" customHeight="1" x14ac:dyDescent="0.3">
      <c r="A972" s="2" t="s">
        <v>4403</v>
      </c>
      <c r="B972" s="3" t="s">
        <v>4404</v>
      </c>
      <c r="C972" s="2" t="s">
        <v>4829</v>
      </c>
      <c r="D972" s="3" t="s">
        <v>4577</v>
      </c>
      <c r="E972" s="2" t="s">
        <v>4832</v>
      </c>
      <c r="F972" s="3" t="s">
        <v>4368</v>
      </c>
      <c r="G972" s="3" t="s">
        <v>4367</v>
      </c>
      <c r="H972" s="1" t="s">
        <v>221</v>
      </c>
      <c r="I972" s="2" t="s">
        <v>222</v>
      </c>
      <c r="J972" s="3" t="s">
        <v>11</v>
      </c>
      <c r="K972" s="38">
        <v>0.44</v>
      </c>
      <c r="L972" s="39">
        <v>738</v>
      </c>
    </row>
    <row r="973" spans="1:12" ht="19.95" customHeight="1" x14ac:dyDescent="0.3">
      <c r="A973" s="6" t="s">
        <v>4403</v>
      </c>
      <c r="B973" s="7" t="s">
        <v>4404</v>
      </c>
      <c r="C973" s="6" t="s">
        <v>4829</v>
      </c>
      <c r="D973" s="7" t="s">
        <v>4577</v>
      </c>
      <c r="E973" s="6" t="s">
        <v>4832</v>
      </c>
      <c r="F973" s="7" t="s">
        <v>4368</v>
      </c>
      <c r="G973" s="7" t="s">
        <v>4367</v>
      </c>
      <c r="H973" s="5" t="s">
        <v>223</v>
      </c>
      <c r="I973" s="6" t="s">
        <v>224</v>
      </c>
      <c r="J973" s="7" t="s">
        <v>11</v>
      </c>
      <c r="K973" s="36">
        <v>0.44</v>
      </c>
      <c r="L973" s="37">
        <v>679</v>
      </c>
    </row>
    <row r="974" spans="1:12" ht="19.95" customHeight="1" x14ac:dyDescent="0.3">
      <c r="A974" s="2" t="s">
        <v>4403</v>
      </c>
      <c r="B974" s="3" t="s">
        <v>4404</v>
      </c>
      <c r="C974" s="2" t="s">
        <v>4829</v>
      </c>
      <c r="D974" s="3" t="s">
        <v>4577</v>
      </c>
      <c r="E974" s="2" t="s">
        <v>4832</v>
      </c>
      <c r="F974" s="3" t="s">
        <v>4368</v>
      </c>
      <c r="G974" s="3" t="s">
        <v>4367</v>
      </c>
      <c r="H974" s="1" t="s">
        <v>211</v>
      </c>
      <c r="I974" s="2" t="s">
        <v>212</v>
      </c>
      <c r="J974" s="3" t="s">
        <v>11</v>
      </c>
      <c r="K974" s="38">
        <v>1.43</v>
      </c>
      <c r="L974" s="39">
        <v>558</v>
      </c>
    </row>
    <row r="975" spans="1:12" ht="19.95" customHeight="1" x14ac:dyDescent="0.3">
      <c r="A975" s="6" t="s">
        <v>4403</v>
      </c>
      <c r="B975" s="7" t="s">
        <v>4404</v>
      </c>
      <c r="C975" s="6" t="s">
        <v>4829</v>
      </c>
      <c r="D975" s="7" t="s">
        <v>4577</v>
      </c>
      <c r="E975" s="6" t="s">
        <v>4832</v>
      </c>
      <c r="F975" s="7" t="s">
        <v>4368</v>
      </c>
      <c r="G975" s="7" t="s">
        <v>4367</v>
      </c>
      <c r="H975" s="5" t="s">
        <v>197</v>
      </c>
      <c r="I975" s="6" t="s">
        <v>198</v>
      </c>
      <c r="J975" s="7" t="s">
        <v>11</v>
      </c>
      <c r="K975" s="36">
        <v>0.18</v>
      </c>
      <c r="L975" s="37">
        <v>617</v>
      </c>
    </row>
    <row r="976" spans="1:12" ht="19.95" customHeight="1" x14ac:dyDescent="0.3">
      <c r="A976" s="2" t="s">
        <v>4403</v>
      </c>
      <c r="B976" s="3" t="s">
        <v>4404</v>
      </c>
      <c r="C976" s="2" t="s">
        <v>4829</v>
      </c>
      <c r="D976" s="3" t="s">
        <v>4577</v>
      </c>
      <c r="E976" s="2" t="s">
        <v>4832</v>
      </c>
      <c r="F976" s="3" t="s">
        <v>4368</v>
      </c>
      <c r="G976" s="3" t="s">
        <v>4367</v>
      </c>
      <c r="H976" s="1" t="s">
        <v>211</v>
      </c>
      <c r="I976" s="2" t="s">
        <v>212</v>
      </c>
      <c r="J976" s="3" t="s">
        <v>11</v>
      </c>
      <c r="K976" s="38">
        <v>1.1299999999999999</v>
      </c>
      <c r="L976" s="39">
        <v>558</v>
      </c>
    </row>
    <row r="977" spans="1:12" ht="19.95" customHeight="1" x14ac:dyDescent="0.3">
      <c r="A977" s="6" t="s">
        <v>4403</v>
      </c>
      <c r="B977" s="7" t="s">
        <v>4404</v>
      </c>
      <c r="C977" s="6" t="s">
        <v>4829</v>
      </c>
      <c r="D977" s="7" t="s">
        <v>4577</v>
      </c>
      <c r="E977" s="6" t="s">
        <v>4832</v>
      </c>
      <c r="F977" s="7" t="s">
        <v>4368</v>
      </c>
      <c r="G977" s="7" t="s">
        <v>4367</v>
      </c>
      <c r="H977" s="5" t="s">
        <v>221</v>
      </c>
      <c r="I977" s="6" t="s">
        <v>222</v>
      </c>
      <c r="J977" s="7" t="s">
        <v>11</v>
      </c>
      <c r="K977" s="36">
        <v>0.47</v>
      </c>
      <c r="L977" s="37">
        <v>738</v>
      </c>
    </row>
    <row r="978" spans="1:12" ht="19.95" customHeight="1" x14ac:dyDescent="0.3">
      <c r="A978" s="2" t="s">
        <v>4403</v>
      </c>
      <c r="B978" s="3" t="s">
        <v>4404</v>
      </c>
      <c r="C978" s="2" t="s">
        <v>4829</v>
      </c>
      <c r="D978" s="3" t="s">
        <v>4577</v>
      </c>
      <c r="E978" s="2" t="s">
        <v>4832</v>
      </c>
      <c r="F978" s="3" t="s">
        <v>4368</v>
      </c>
      <c r="G978" s="3" t="s">
        <v>4367</v>
      </c>
      <c r="H978" s="1" t="s">
        <v>223</v>
      </c>
      <c r="I978" s="2" t="s">
        <v>224</v>
      </c>
      <c r="J978" s="3" t="s">
        <v>11</v>
      </c>
      <c r="K978" s="38">
        <v>0.47</v>
      </c>
      <c r="L978" s="39">
        <v>679</v>
      </c>
    </row>
    <row r="979" spans="1:12" ht="19.95" customHeight="1" x14ac:dyDescent="0.3">
      <c r="A979" s="6" t="s">
        <v>4403</v>
      </c>
      <c r="B979" s="7" t="s">
        <v>4404</v>
      </c>
      <c r="C979" s="6" t="s">
        <v>4829</v>
      </c>
      <c r="D979" s="7" t="s">
        <v>4577</v>
      </c>
      <c r="E979" s="6" t="s">
        <v>4832</v>
      </c>
      <c r="F979" s="7" t="s">
        <v>4368</v>
      </c>
      <c r="G979" s="7" t="s">
        <v>4367</v>
      </c>
      <c r="H979" s="5" t="s">
        <v>211</v>
      </c>
      <c r="I979" s="6" t="s">
        <v>212</v>
      </c>
      <c r="J979" s="7" t="s">
        <v>11</v>
      </c>
      <c r="K979" s="36">
        <v>1.8</v>
      </c>
      <c r="L979" s="37">
        <v>558</v>
      </c>
    </row>
    <row r="980" spans="1:12" ht="19.95" customHeight="1" x14ac:dyDescent="0.3">
      <c r="A980" s="2" t="s">
        <v>4403</v>
      </c>
      <c r="B980" s="3" t="s">
        <v>4404</v>
      </c>
      <c r="C980" s="2" t="s">
        <v>4829</v>
      </c>
      <c r="D980" s="3" t="s">
        <v>4577</v>
      </c>
      <c r="E980" s="2" t="s">
        <v>4832</v>
      </c>
      <c r="F980" s="3" t="s">
        <v>4368</v>
      </c>
      <c r="G980" s="3" t="s">
        <v>4367</v>
      </c>
      <c r="H980" s="1" t="s">
        <v>197</v>
      </c>
      <c r="I980" s="2" t="s">
        <v>198</v>
      </c>
      <c r="J980" s="3" t="s">
        <v>11</v>
      </c>
      <c r="K980" s="38">
        <v>0.2</v>
      </c>
      <c r="L980" s="39">
        <v>617</v>
      </c>
    </row>
    <row r="981" spans="1:12" ht="19.95" customHeight="1" x14ac:dyDescent="0.3">
      <c r="A981" s="6" t="s">
        <v>4403</v>
      </c>
      <c r="B981" s="7" t="s">
        <v>4404</v>
      </c>
      <c r="C981" s="6" t="s">
        <v>4829</v>
      </c>
      <c r="D981" s="7" t="s">
        <v>4577</v>
      </c>
      <c r="E981" s="6" t="s">
        <v>4832</v>
      </c>
      <c r="F981" s="7" t="s">
        <v>4368</v>
      </c>
      <c r="G981" s="7" t="s">
        <v>4367</v>
      </c>
      <c r="H981" s="5" t="s">
        <v>211</v>
      </c>
      <c r="I981" s="6" t="s">
        <v>212</v>
      </c>
      <c r="J981" s="7" t="s">
        <v>11</v>
      </c>
      <c r="K981" s="36">
        <v>1.1299999999999999</v>
      </c>
      <c r="L981" s="37">
        <v>558</v>
      </c>
    </row>
    <row r="982" spans="1:12" ht="19.95" customHeight="1" x14ac:dyDescent="0.3">
      <c r="A982" s="2" t="s">
        <v>4403</v>
      </c>
      <c r="B982" s="3" t="s">
        <v>4404</v>
      </c>
      <c r="C982" s="2" t="s">
        <v>4829</v>
      </c>
      <c r="D982" s="3" t="s">
        <v>4577</v>
      </c>
      <c r="E982" s="2" t="s">
        <v>4832</v>
      </c>
      <c r="F982" s="3" t="s">
        <v>4368</v>
      </c>
      <c r="G982" s="3" t="s">
        <v>4367</v>
      </c>
      <c r="H982" s="1" t="s">
        <v>221</v>
      </c>
      <c r="I982" s="2" t="s">
        <v>222</v>
      </c>
      <c r="J982" s="3" t="s">
        <v>11</v>
      </c>
      <c r="K982" s="38">
        <v>0.47</v>
      </c>
      <c r="L982" s="39">
        <v>738</v>
      </c>
    </row>
    <row r="983" spans="1:12" ht="19.95" customHeight="1" x14ac:dyDescent="0.3">
      <c r="A983" s="6" t="s">
        <v>4403</v>
      </c>
      <c r="B983" s="7" t="s">
        <v>4404</v>
      </c>
      <c r="C983" s="6" t="s">
        <v>4829</v>
      </c>
      <c r="D983" s="7" t="s">
        <v>4577</v>
      </c>
      <c r="E983" s="6" t="s">
        <v>4832</v>
      </c>
      <c r="F983" s="7" t="s">
        <v>4368</v>
      </c>
      <c r="G983" s="7" t="s">
        <v>4367</v>
      </c>
      <c r="H983" s="5" t="s">
        <v>223</v>
      </c>
      <c r="I983" s="6" t="s">
        <v>224</v>
      </c>
      <c r="J983" s="7" t="s">
        <v>11</v>
      </c>
      <c r="K983" s="36">
        <v>0.47</v>
      </c>
      <c r="L983" s="37">
        <v>679</v>
      </c>
    </row>
    <row r="984" spans="1:12" ht="19.95" customHeight="1" x14ac:dyDescent="0.3">
      <c r="A984" s="2" t="s">
        <v>4403</v>
      </c>
      <c r="B984" s="3" t="s">
        <v>4404</v>
      </c>
      <c r="C984" s="2" t="s">
        <v>4829</v>
      </c>
      <c r="D984" s="3" t="s">
        <v>4577</v>
      </c>
      <c r="E984" s="2" t="s">
        <v>4832</v>
      </c>
      <c r="F984" s="3" t="s">
        <v>4368</v>
      </c>
      <c r="G984" s="3" t="s">
        <v>4367</v>
      </c>
      <c r="H984" s="1" t="s">
        <v>211</v>
      </c>
      <c r="I984" s="2" t="s">
        <v>212</v>
      </c>
      <c r="J984" s="3" t="s">
        <v>11</v>
      </c>
      <c r="K984" s="38">
        <v>1.8</v>
      </c>
      <c r="L984" s="39">
        <v>558</v>
      </c>
    </row>
    <row r="985" spans="1:12" ht="19.95" customHeight="1" x14ac:dyDescent="0.3">
      <c r="A985" s="6" t="s">
        <v>4403</v>
      </c>
      <c r="B985" s="7" t="s">
        <v>4404</v>
      </c>
      <c r="C985" s="6" t="s">
        <v>4829</v>
      </c>
      <c r="D985" s="7" t="s">
        <v>4577</v>
      </c>
      <c r="E985" s="6" t="s">
        <v>4832</v>
      </c>
      <c r="F985" s="7" t="s">
        <v>4368</v>
      </c>
      <c r="G985" s="7" t="s">
        <v>4367</v>
      </c>
      <c r="H985" s="5" t="s">
        <v>197</v>
      </c>
      <c r="I985" s="6" t="s">
        <v>198</v>
      </c>
      <c r="J985" s="7" t="s">
        <v>11</v>
      </c>
      <c r="K985" s="36">
        <v>0.2</v>
      </c>
      <c r="L985" s="37">
        <v>617</v>
      </c>
    </row>
    <row r="986" spans="1:12" ht="19.95" customHeight="1" x14ac:dyDescent="0.3">
      <c r="A986" s="2" t="s">
        <v>4403</v>
      </c>
      <c r="B986" s="3" t="s">
        <v>4404</v>
      </c>
      <c r="C986" s="2" t="s">
        <v>4829</v>
      </c>
      <c r="D986" s="3" t="s">
        <v>4577</v>
      </c>
      <c r="E986" s="2" t="s">
        <v>4832</v>
      </c>
      <c r="F986" s="3" t="s">
        <v>4368</v>
      </c>
      <c r="G986" s="3" t="s">
        <v>4367</v>
      </c>
      <c r="H986" s="1" t="s">
        <v>211</v>
      </c>
      <c r="I986" s="2" t="s">
        <v>212</v>
      </c>
      <c r="J986" s="3" t="s">
        <v>11</v>
      </c>
      <c r="K986" s="38">
        <v>1.1299999999999999</v>
      </c>
      <c r="L986" s="39">
        <v>558</v>
      </c>
    </row>
    <row r="987" spans="1:12" ht="19.95" customHeight="1" x14ac:dyDescent="0.3">
      <c r="A987" s="6" t="s">
        <v>4403</v>
      </c>
      <c r="B987" s="7" t="s">
        <v>4404</v>
      </c>
      <c r="C987" s="6" t="s">
        <v>4829</v>
      </c>
      <c r="D987" s="7" t="s">
        <v>4577</v>
      </c>
      <c r="E987" s="6" t="s">
        <v>4832</v>
      </c>
      <c r="F987" s="7" t="s">
        <v>4368</v>
      </c>
      <c r="G987" s="7" t="s">
        <v>4367</v>
      </c>
      <c r="H987" s="5" t="s">
        <v>221</v>
      </c>
      <c r="I987" s="6" t="s">
        <v>222</v>
      </c>
      <c r="J987" s="7" t="s">
        <v>11</v>
      </c>
      <c r="K987" s="36">
        <v>0.47</v>
      </c>
      <c r="L987" s="37">
        <v>738</v>
      </c>
    </row>
    <row r="988" spans="1:12" ht="19.95" customHeight="1" x14ac:dyDescent="0.3">
      <c r="A988" s="2" t="s">
        <v>4403</v>
      </c>
      <c r="B988" s="3" t="s">
        <v>4404</v>
      </c>
      <c r="C988" s="2" t="s">
        <v>4829</v>
      </c>
      <c r="D988" s="3" t="s">
        <v>4577</v>
      </c>
      <c r="E988" s="2" t="s">
        <v>4832</v>
      </c>
      <c r="F988" s="3" t="s">
        <v>4368</v>
      </c>
      <c r="G988" s="3" t="s">
        <v>4367</v>
      </c>
      <c r="H988" s="1" t="s">
        <v>223</v>
      </c>
      <c r="I988" s="2" t="s">
        <v>224</v>
      </c>
      <c r="J988" s="3" t="s">
        <v>11</v>
      </c>
      <c r="K988" s="38">
        <v>0.47</v>
      </c>
      <c r="L988" s="39">
        <v>679</v>
      </c>
    </row>
    <row r="989" spans="1:12" ht="19.95" customHeight="1" x14ac:dyDescent="0.3">
      <c r="A989" s="6" t="s">
        <v>4403</v>
      </c>
      <c r="B989" s="7" t="s">
        <v>4404</v>
      </c>
      <c r="C989" s="6" t="s">
        <v>4829</v>
      </c>
      <c r="D989" s="7" t="s">
        <v>4577</v>
      </c>
      <c r="E989" s="6" t="s">
        <v>4832</v>
      </c>
      <c r="F989" s="7" t="s">
        <v>4368</v>
      </c>
      <c r="G989" s="7" t="s">
        <v>4367</v>
      </c>
      <c r="H989" s="5" t="s">
        <v>211</v>
      </c>
      <c r="I989" s="6" t="s">
        <v>212</v>
      </c>
      <c r="J989" s="7" t="s">
        <v>11</v>
      </c>
      <c r="K989" s="36">
        <v>1.8</v>
      </c>
      <c r="L989" s="37">
        <v>558</v>
      </c>
    </row>
    <row r="990" spans="1:12" ht="19.95" customHeight="1" x14ac:dyDescent="0.3">
      <c r="A990" s="2" t="s">
        <v>4403</v>
      </c>
      <c r="B990" s="3" t="s">
        <v>4404</v>
      </c>
      <c r="C990" s="2" t="s">
        <v>4829</v>
      </c>
      <c r="D990" s="3" t="s">
        <v>4577</v>
      </c>
      <c r="E990" s="2" t="s">
        <v>4832</v>
      </c>
      <c r="F990" s="3" t="s">
        <v>4368</v>
      </c>
      <c r="G990" s="3" t="s">
        <v>4367</v>
      </c>
      <c r="H990" s="1" t="s">
        <v>197</v>
      </c>
      <c r="I990" s="2" t="s">
        <v>198</v>
      </c>
      <c r="J990" s="3" t="s">
        <v>11</v>
      </c>
      <c r="K990" s="38">
        <v>0.2</v>
      </c>
      <c r="L990" s="39">
        <v>617</v>
      </c>
    </row>
    <row r="991" spans="1:12" ht="19.95" customHeight="1" x14ac:dyDescent="0.3">
      <c r="A991" s="6" t="s">
        <v>4403</v>
      </c>
      <c r="B991" s="7" t="s">
        <v>4404</v>
      </c>
      <c r="C991" s="6" t="s">
        <v>4829</v>
      </c>
      <c r="D991" s="7" t="s">
        <v>4577</v>
      </c>
      <c r="E991" s="6" t="s">
        <v>4832</v>
      </c>
      <c r="F991" s="7" t="s">
        <v>4368</v>
      </c>
      <c r="G991" s="7" t="s">
        <v>4367</v>
      </c>
      <c r="H991" s="5" t="s">
        <v>211</v>
      </c>
      <c r="I991" s="6" t="s">
        <v>212</v>
      </c>
      <c r="J991" s="7" t="s">
        <v>11</v>
      </c>
      <c r="K991" s="36">
        <v>1.1299999999999999</v>
      </c>
      <c r="L991" s="37">
        <v>558</v>
      </c>
    </row>
    <row r="992" spans="1:12" ht="19.95" customHeight="1" x14ac:dyDescent="0.3">
      <c r="A992" s="2" t="s">
        <v>4403</v>
      </c>
      <c r="B992" s="3" t="s">
        <v>4404</v>
      </c>
      <c r="C992" s="2" t="s">
        <v>4829</v>
      </c>
      <c r="D992" s="3" t="s">
        <v>4597</v>
      </c>
      <c r="E992" s="2" t="s">
        <v>4834</v>
      </c>
      <c r="F992" s="3" t="s">
        <v>4368</v>
      </c>
      <c r="G992" s="3" t="s">
        <v>4367</v>
      </c>
      <c r="H992" s="1" t="s">
        <v>255</v>
      </c>
      <c r="I992" s="2" t="s">
        <v>256</v>
      </c>
      <c r="J992" s="3" t="s">
        <v>11</v>
      </c>
      <c r="K992" s="38">
        <v>0.1</v>
      </c>
      <c r="L992" s="39">
        <v>709</v>
      </c>
    </row>
    <row r="993" spans="1:12" ht="19.95" customHeight="1" x14ac:dyDescent="0.3">
      <c r="A993" s="6" t="s">
        <v>4403</v>
      </c>
      <c r="B993" s="7" t="s">
        <v>4404</v>
      </c>
      <c r="C993" s="6" t="s">
        <v>4829</v>
      </c>
      <c r="D993" s="7" t="s">
        <v>4597</v>
      </c>
      <c r="E993" s="6" t="s">
        <v>4834</v>
      </c>
      <c r="F993" s="7" t="s">
        <v>4368</v>
      </c>
      <c r="G993" s="7" t="s">
        <v>4367</v>
      </c>
      <c r="H993" s="5" t="s">
        <v>209</v>
      </c>
      <c r="I993" s="6" t="s">
        <v>210</v>
      </c>
      <c r="J993" s="7" t="s">
        <v>11</v>
      </c>
      <c r="K993" s="36">
        <v>0.1</v>
      </c>
      <c r="L993" s="37">
        <v>558</v>
      </c>
    </row>
    <row r="994" spans="1:12" ht="19.95" customHeight="1" x14ac:dyDescent="0.3">
      <c r="A994" s="2" t="s">
        <v>4403</v>
      </c>
      <c r="B994" s="3" t="s">
        <v>4404</v>
      </c>
      <c r="C994" s="2" t="s">
        <v>4829</v>
      </c>
      <c r="D994" s="3" t="s">
        <v>4597</v>
      </c>
      <c r="E994" s="2" t="s">
        <v>4834</v>
      </c>
      <c r="F994" s="3" t="s">
        <v>4368</v>
      </c>
      <c r="G994" s="3" t="s">
        <v>4367</v>
      </c>
      <c r="H994" s="1" t="s">
        <v>197</v>
      </c>
      <c r="I994" s="2" t="s">
        <v>198</v>
      </c>
      <c r="J994" s="3" t="s">
        <v>11</v>
      </c>
      <c r="K994" s="38">
        <v>0.03</v>
      </c>
      <c r="L994" s="39">
        <v>617</v>
      </c>
    </row>
    <row r="995" spans="1:12" ht="19.95" customHeight="1" x14ac:dyDescent="0.3">
      <c r="A995" s="6" t="s">
        <v>4403</v>
      </c>
      <c r="B995" s="7" t="s">
        <v>4404</v>
      </c>
      <c r="C995" s="6" t="s">
        <v>4829</v>
      </c>
      <c r="D995" s="7" t="s">
        <v>4605</v>
      </c>
      <c r="E995" s="6" t="s">
        <v>4835</v>
      </c>
      <c r="F995" s="7" t="s">
        <v>4368</v>
      </c>
      <c r="G995" s="7" t="s">
        <v>4367</v>
      </c>
      <c r="H995" s="5" t="s">
        <v>221</v>
      </c>
      <c r="I995" s="6" t="s">
        <v>222</v>
      </c>
      <c r="J995" s="7" t="s">
        <v>11</v>
      </c>
      <c r="K995" s="36">
        <v>0.72</v>
      </c>
      <c r="L995" s="37">
        <v>738</v>
      </c>
    </row>
    <row r="996" spans="1:12" ht="19.95" customHeight="1" x14ac:dyDescent="0.3">
      <c r="A996" s="2" t="s">
        <v>4403</v>
      </c>
      <c r="B996" s="3" t="s">
        <v>4404</v>
      </c>
      <c r="C996" s="2" t="s">
        <v>4829</v>
      </c>
      <c r="D996" s="3" t="s">
        <v>4605</v>
      </c>
      <c r="E996" s="2" t="s">
        <v>4835</v>
      </c>
      <c r="F996" s="3" t="s">
        <v>4368</v>
      </c>
      <c r="G996" s="3" t="s">
        <v>4367</v>
      </c>
      <c r="H996" s="1" t="s">
        <v>223</v>
      </c>
      <c r="I996" s="2" t="s">
        <v>224</v>
      </c>
      <c r="J996" s="3" t="s">
        <v>11</v>
      </c>
      <c r="K996" s="38">
        <v>0.72</v>
      </c>
      <c r="L996" s="39">
        <v>679</v>
      </c>
    </row>
    <row r="997" spans="1:12" ht="19.95" customHeight="1" x14ac:dyDescent="0.3">
      <c r="A997" s="6" t="s">
        <v>4403</v>
      </c>
      <c r="B997" s="7" t="s">
        <v>4404</v>
      </c>
      <c r="C997" s="6" t="s">
        <v>4829</v>
      </c>
      <c r="D997" s="7" t="s">
        <v>4605</v>
      </c>
      <c r="E997" s="6" t="s">
        <v>4835</v>
      </c>
      <c r="F997" s="7" t="s">
        <v>4368</v>
      </c>
      <c r="G997" s="7" t="s">
        <v>4367</v>
      </c>
      <c r="H997" s="5" t="s">
        <v>211</v>
      </c>
      <c r="I997" s="6" t="s">
        <v>212</v>
      </c>
      <c r="J997" s="7" t="s">
        <v>11</v>
      </c>
      <c r="K997" s="36">
        <v>1.76</v>
      </c>
      <c r="L997" s="37">
        <v>558</v>
      </c>
    </row>
    <row r="998" spans="1:12" ht="19.95" customHeight="1" x14ac:dyDescent="0.3">
      <c r="A998" s="2" t="s">
        <v>4403</v>
      </c>
      <c r="B998" s="3" t="s">
        <v>4404</v>
      </c>
      <c r="C998" s="2" t="s">
        <v>4829</v>
      </c>
      <c r="D998" s="3" t="s">
        <v>4605</v>
      </c>
      <c r="E998" s="2" t="s">
        <v>4835</v>
      </c>
      <c r="F998" s="3" t="s">
        <v>4368</v>
      </c>
      <c r="G998" s="3" t="s">
        <v>4367</v>
      </c>
      <c r="H998" s="1" t="s">
        <v>197</v>
      </c>
      <c r="I998" s="2" t="s">
        <v>198</v>
      </c>
      <c r="J998" s="3" t="s">
        <v>11</v>
      </c>
      <c r="K998" s="38">
        <v>0.36</v>
      </c>
      <c r="L998" s="39">
        <v>617</v>
      </c>
    </row>
    <row r="999" spans="1:12" ht="19.95" customHeight="1" x14ac:dyDescent="0.3">
      <c r="A999" s="6" t="s">
        <v>4403</v>
      </c>
      <c r="B999" s="7" t="s">
        <v>4404</v>
      </c>
      <c r="C999" s="6" t="s">
        <v>4829</v>
      </c>
      <c r="D999" s="7" t="s">
        <v>4605</v>
      </c>
      <c r="E999" s="6" t="s">
        <v>4835</v>
      </c>
      <c r="F999" s="7" t="s">
        <v>4368</v>
      </c>
      <c r="G999" s="7" t="s">
        <v>4367</v>
      </c>
      <c r="H999" s="5" t="s">
        <v>211</v>
      </c>
      <c r="I999" s="6" t="s">
        <v>212</v>
      </c>
      <c r="J999" s="7" t="s">
        <v>11</v>
      </c>
      <c r="K999" s="36">
        <v>1.29</v>
      </c>
      <c r="L999" s="37">
        <v>558</v>
      </c>
    </row>
    <row r="1000" spans="1:12" ht="19.95" customHeight="1" x14ac:dyDescent="0.3">
      <c r="A1000" s="2" t="s">
        <v>4403</v>
      </c>
      <c r="B1000" s="3" t="s">
        <v>4404</v>
      </c>
      <c r="C1000" s="2" t="s">
        <v>4829</v>
      </c>
      <c r="D1000" s="3" t="s">
        <v>4605</v>
      </c>
      <c r="E1000" s="2" t="s">
        <v>4836</v>
      </c>
      <c r="F1000" s="3" t="s">
        <v>4368</v>
      </c>
      <c r="G1000" s="3" t="s">
        <v>4367</v>
      </c>
      <c r="H1000" s="1" t="s">
        <v>221</v>
      </c>
      <c r="I1000" s="2" t="s">
        <v>222</v>
      </c>
      <c r="J1000" s="3" t="s">
        <v>11</v>
      </c>
      <c r="K1000" s="38">
        <v>0.45</v>
      </c>
      <c r="L1000" s="39">
        <v>738</v>
      </c>
    </row>
    <row r="1001" spans="1:12" ht="19.95" customHeight="1" x14ac:dyDescent="0.3">
      <c r="A1001" s="6" t="s">
        <v>4403</v>
      </c>
      <c r="B1001" s="7" t="s">
        <v>4404</v>
      </c>
      <c r="C1001" s="6" t="s">
        <v>4829</v>
      </c>
      <c r="D1001" s="7" t="s">
        <v>4605</v>
      </c>
      <c r="E1001" s="6" t="s">
        <v>4836</v>
      </c>
      <c r="F1001" s="7" t="s">
        <v>4368</v>
      </c>
      <c r="G1001" s="7" t="s">
        <v>4367</v>
      </c>
      <c r="H1001" s="5" t="s">
        <v>223</v>
      </c>
      <c r="I1001" s="6" t="s">
        <v>224</v>
      </c>
      <c r="J1001" s="7" t="s">
        <v>11</v>
      </c>
      <c r="K1001" s="36">
        <v>0.45</v>
      </c>
      <c r="L1001" s="37">
        <v>679</v>
      </c>
    </row>
    <row r="1002" spans="1:12" ht="19.95" customHeight="1" x14ac:dyDescent="0.3">
      <c r="A1002" s="2" t="s">
        <v>4403</v>
      </c>
      <c r="B1002" s="3" t="s">
        <v>4404</v>
      </c>
      <c r="C1002" s="2" t="s">
        <v>4829</v>
      </c>
      <c r="D1002" s="3" t="s">
        <v>4605</v>
      </c>
      <c r="E1002" s="2" t="s">
        <v>4836</v>
      </c>
      <c r="F1002" s="3" t="s">
        <v>4368</v>
      </c>
      <c r="G1002" s="3" t="s">
        <v>4367</v>
      </c>
      <c r="H1002" s="1" t="s">
        <v>211</v>
      </c>
      <c r="I1002" s="2" t="s">
        <v>212</v>
      </c>
      <c r="J1002" s="3" t="s">
        <v>11</v>
      </c>
      <c r="K1002" s="38">
        <v>1.55</v>
      </c>
      <c r="L1002" s="39">
        <v>558</v>
      </c>
    </row>
    <row r="1003" spans="1:12" ht="19.95" customHeight="1" x14ac:dyDescent="0.3">
      <c r="A1003" s="6" t="s">
        <v>4403</v>
      </c>
      <c r="B1003" s="7" t="s">
        <v>4404</v>
      </c>
      <c r="C1003" s="6" t="s">
        <v>4829</v>
      </c>
      <c r="D1003" s="7" t="s">
        <v>4605</v>
      </c>
      <c r="E1003" s="6" t="s">
        <v>4836</v>
      </c>
      <c r="F1003" s="7" t="s">
        <v>4368</v>
      </c>
      <c r="G1003" s="7" t="s">
        <v>4367</v>
      </c>
      <c r="H1003" s="5" t="s">
        <v>197</v>
      </c>
      <c r="I1003" s="6" t="s">
        <v>198</v>
      </c>
      <c r="J1003" s="7" t="s">
        <v>11</v>
      </c>
      <c r="K1003" s="36">
        <v>0.7</v>
      </c>
      <c r="L1003" s="37">
        <v>617</v>
      </c>
    </row>
    <row r="1004" spans="1:12" ht="19.95" customHeight="1" x14ac:dyDescent="0.3">
      <c r="A1004" s="2" t="s">
        <v>4403</v>
      </c>
      <c r="B1004" s="3" t="s">
        <v>4404</v>
      </c>
      <c r="C1004" s="2" t="s">
        <v>4829</v>
      </c>
      <c r="D1004" s="3" t="s">
        <v>4605</v>
      </c>
      <c r="E1004" s="2" t="s">
        <v>4835</v>
      </c>
      <c r="F1004" s="3" t="s">
        <v>4368</v>
      </c>
      <c r="G1004" s="3" t="s">
        <v>4367</v>
      </c>
      <c r="H1004" s="1" t="s">
        <v>221</v>
      </c>
      <c r="I1004" s="2" t="s">
        <v>222</v>
      </c>
      <c r="J1004" s="3" t="s">
        <v>11</v>
      </c>
      <c r="K1004" s="38">
        <v>0.6</v>
      </c>
      <c r="L1004" s="39">
        <v>738</v>
      </c>
    </row>
    <row r="1005" spans="1:12" ht="19.95" customHeight="1" x14ac:dyDescent="0.3">
      <c r="A1005" s="6" t="s">
        <v>4403</v>
      </c>
      <c r="B1005" s="7" t="s">
        <v>4404</v>
      </c>
      <c r="C1005" s="6" t="s">
        <v>4829</v>
      </c>
      <c r="D1005" s="7" t="s">
        <v>4605</v>
      </c>
      <c r="E1005" s="6" t="s">
        <v>4835</v>
      </c>
      <c r="F1005" s="7" t="s">
        <v>4368</v>
      </c>
      <c r="G1005" s="7" t="s">
        <v>4367</v>
      </c>
      <c r="H1005" s="5" t="s">
        <v>223</v>
      </c>
      <c r="I1005" s="6" t="s">
        <v>224</v>
      </c>
      <c r="J1005" s="7" t="s">
        <v>11</v>
      </c>
      <c r="K1005" s="36">
        <v>0.6</v>
      </c>
      <c r="L1005" s="37">
        <v>679</v>
      </c>
    </row>
    <row r="1006" spans="1:12" ht="19.95" customHeight="1" x14ac:dyDescent="0.3">
      <c r="A1006" s="2" t="s">
        <v>4403</v>
      </c>
      <c r="B1006" s="3" t="s">
        <v>4404</v>
      </c>
      <c r="C1006" s="2" t="s">
        <v>4829</v>
      </c>
      <c r="D1006" s="3" t="s">
        <v>4605</v>
      </c>
      <c r="E1006" s="2" t="s">
        <v>4835</v>
      </c>
      <c r="F1006" s="3" t="s">
        <v>4368</v>
      </c>
      <c r="G1006" s="3" t="s">
        <v>4367</v>
      </c>
      <c r="H1006" s="1" t="s">
        <v>211</v>
      </c>
      <c r="I1006" s="2" t="s">
        <v>212</v>
      </c>
      <c r="J1006" s="3" t="s">
        <v>11</v>
      </c>
      <c r="K1006" s="38">
        <v>2</v>
      </c>
      <c r="L1006" s="39">
        <v>558</v>
      </c>
    </row>
    <row r="1007" spans="1:12" ht="19.95" customHeight="1" x14ac:dyDescent="0.3">
      <c r="A1007" s="6" t="s">
        <v>4403</v>
      </c>
      <c r="B1007" s="7" t="s">
        <v>4404</v>
      </c>
      <c r="C1007" s="6" t="s">
        <v>4829</v>
      </c>
      <c r="D1007" s="7" t="s">
        <v>4605</v>
      </c>
      <c r="E1007" s="6" t="s">
        <v>4835</v>
      </c>
      <c r="F1007" s="7" t="s">
        <v>4368</v>
      </c>
      <c r="G1007" s="7" t="s">
        <v>4367</v>
      </c>
      <c r="H1007" s="5" t="s">
        <v>197</v>
      </c>
      <c r="I1007" s="6" t="s">
        <v>198</v>
      </c>
      <c r="J1007" s="7" t="s">
        <v>11</v>
      </c>
      <c r="K1007" s="36">
        <v>0.7</v>
      </c>
      <c r="L1007" s="37">
        <v>617</v>
      </c>
    </row>
    <row r="1008" spans="1:12" ht="19.95" customHeight="1" x14ac:dyDescent="0.3">
      <c r="A1008" s="2" t="s">
        <v>4403</v>
      </c>
      <c r="B1008" s="3" t="s">
        <v>4404</v>
      </c>
      <c r="C1008" s="2" t="s">
        <v>4829</v>
      </c>
      <c r="D1008" s="3" t="s">
        <v>4605</v>
      </c>
      <c r="E1008" s="2" t="s">
        <v>4835</v>
      </c>
      <c r="F1008" s="3" t="s">
        <v>4368</v>
      </c>
      <c r="G1008" s="3" t="s">
        <v>4367</v>
      </c>
      <c r="H1008" s="1" t="s">
        <v>211</v>
      </c>
      <c r="I1008" s="2" t="s">
        <v>212</v>
      </c>
      <c r="J1008" s="3" t="s">
        <v>11</v>
      </c>
      <c r="K1008" s="38">
        <v>1.29</v>
      </c>
      <c r="L1008" s="39">
        <v>558</v>
      </c>
    </row>
    <row r="1009" spans="1:12" ht="19.95" customHeight="1" x14ac:dyDescent="0.3">
      <c r="A1009" s="6" t="s">
        <v>4403</v>
      </c>
      <c r="B1009" s="7" t="s">
        <v>4404</v>
      </c>
      <c r="C1009" s="6" t="s">
        <v>4829</v>
      </c>
      <c r="D1009" s="7" t="s">
        <v>4605</v>
      </c>
      <c r="E1009" s="6" t="s">
        <v>4835</v>
      </c>
      <c r="F1009" s="7" t="s">
        <v>4368</v>
      </c>
      <c r="G1009" s="7" t="s">
        <v>4367</v>
      </c>
      <c r="H1009" s="5" t="s">
        <v>221</v>
      </c>
      <c r="I1009" s="6" t="s">
        <v>222</v>
      </c>
      <c r="J1009" s="7" t="s">
        <v>11</v>
      </c>
      <c r="K1009" s="36">
        <v>0.94</v>
      </c>
      <c r="L1009" s="37">
        <v>738</v>
      </c>
    </row>
    <row r="1010" spans="1:12" ht="19.95" customHeight="1" x14ac:dyDescent="0.3">
      <c r="A1010" s="2" t="s">
        <v>4403</v>
      </c>
      <c r="B1010" s="3" t="s">
        <v>4404</v>
      </c>
      <c r="C1010" s="2" t="s">
        <v>4829</v>
      </c>
      <c r="D1010" s="3" t="s">
        <v>4605</v>
      </c>
      <c r="E1010" s="2" t="s">
        <v>4835</v>
      </c>
      <c r="F1010" s="3" t="s">
        <v>4368</v>
      </c>
      <c r="G1010" s="3" t="s">
        <v>4367</v>
      </c>
      <c r="H1010" s="1" t="s">
        <v>223</v>
      </c>
      <c r="I1010" s="2" t="s">
        <v>224</v>
      </c>
      <c r="J1010" s="3" t="s">
        <v>11</v>
      </c>
      <c r="K1010" s="38">
        <v>0.94</v>
      </c>
      <c r="L1010" s="39">
        <v>679</v>
      </c>
    </row>
    <row r="1011" spans="1:12" ht="19.95" customHeight="1" x14ac:dyDescent="0.3">
      <c r="A1011" s="6" t="s">
        <v>4403</v>
      </c>
      <c r="B1011" s="7" t="s">
        <v>4404</v>
      </c>
      <c r="C1011" s="6" t="s">
        <v>4829</v>
      </c>
      <c r="D1011" s="7" t="s">
        <v>4605</v>
      </c>
      <c r="E1011" s="6" t="s">
        <v>4835</v>
      </c>
      <c r="F1011" s="7" t="s">
        <v>4368</v>
      </c>
      <c r="G1011" s="7" t="s">
        <v>4367</v>
      </c>
      <c r="H1011" s="5" t="s">
        <v>211</v>
      </c>
      <c r="I1011" s="6" t="s">
        <v>212</v>
      </c>
      <c r="J1011" s="7" t="s">
        <v>11</v>
      </c>
      <c r="K1011" s="36">
        <v>1.88</v>
      </c>
      <c r="L1011" s="37">
        <v>558</v>
      </c>
    </row>
    <row r="1012" spans="1:12" ht="19.95" customHeight="1" x14ac:dyDescent="0.3">
      <c r="A1012" s="2" t="s">
        <v>4403</v>
      </c>
      <c r="B1012" s="3" t="s">
        <v>4404</v>
      </c>
      <c r="C1012" s="2" t="s">
        <v>4829</v>
      </c>
      <c r="D1012" s="3" t="s">
        <v>4605</v>
      </c>
      <c r="E1012" s="2" t="s">
        <v>4835</v>
      </c>
      <c r="F1012" s="3" t="s">
        <v>4368</v>
      </c>
      <c r="G1012" s="3" t="s">
        <v>4367</v>
      </c>
      <c r="H1012" s="1" t="s">
        <v>197</v>
      </c>
      <c r="I1012" s="2" t="s">
        <v>198</v>
      </c>
      <c r="J1012" s="3" t="s">
        <v>11</v>
      </c>
      <c r="K1012" s="38">
        <v>0.33</v>
      </c>
      <c r="L1012" s="39">
        <v>617</v>
      </c>
    </row>
    <row r="1013" spans="1:12" ht="19.95" customHeight="1" x14ac:dyDescent="0.3">
      <c r="A1013" s="6" t="s">
        <v>4403</v>
      </c>
      <c r="B1013" s="7" t="s">
        <v>4404</v>
      </c>
      <c r="C1013" s="6" t="s">
        <v>4829</v>
      </c>
      <c r="D1013" s="7" t="s">
        <v>4605</v>
      </c>
      <c r="E1013" s="6" t="s">
        <v>4835</v>
      </c>
      <c r="F1013" s="7" t="s">
        <v>4368</v>
      </c>
      <c r="G1013" s="7" t="s">
        <v>4367</v>
      </c>
      <c r="H1013" s="5" t="s">
        <v>211</v>
      </c>
      <c r="I1013" s="6" t="s">
        <v>212</v>
      </c>
      <c r="J1013" s="7" t="s">
        <v>11</v>
      </c>
      <c r="K1013" s="36">
        <v>1.29</v>
      </c>
      <c r="L1013" s="37">
        <v>558</v>
      </c>
    </row>
    <row r="1014" spans="1:12" ht="19.95" customHeight="1" x14ac:dyDescent="0.3">
      <c r="A1014" s="2" t="s">
        <v>4403</v>
      </c>
      <c r="B1014" s="3" t="s">
        <v>4404</v>
      </c>
      <c r="C1014" s="2" t="s">
        <v>4829</v>
      </c>
      <c r="D1014" s="3" t="s">
        <v>4605</v>
      </c>
      <c r="E1014" s="2" t="s">
        <v>4835</v>
      </c>
      <c r="F1014" s="3" t="s">
        <v>4368</v>
      </c>
      <c r="G1014" s="3" t="s">
        <v>4367</v>
      </c>
      <c r="H1014" s="1" t="s">
        <v>221</v>
      </c>
      <c r="I1014" s="2" t="s">
        <v>222</v>
      </c>
      <c r="J1014" s="3" t="s">
        <v>11</v>
      </c>
      <c r="K1014" s="38">
        <v>0.6</v>
      </c>
      <c r="L1014" s="39">
        <v>738</v>
      </c>
    </row>
    <row r="1015" spans="1:12" ht="19.95" customHeight="1" x14ac:dyDescent="0.3">
      <c r="A1015" s="6" t="s">
        <v>4403</v>
      </c>
      <c r="B1015" s="7" t="s">
        <v>4404</v>
      </c>
      <c r="C1015" s="6" t="s">
        <v>4829</v>
      </c>
      <c r="D1015" s="7" t="s">
        <v>4605</v>
      </c>
      <c r="E1015" s="6" t="s">
        <v>4835</v>
      </c>
      <c r="F1015" s="7" t="s">
        <v>4368</v>
      </c>
      <c r="G1015" s="7" t="s">
        <v>4367</v>
      </c>
      <c r="H1015" s="5" t="s">
        <v>223</v>
      </c>
      <c r="I1015" s="6" t="s">
        <v>224</v>
      </c>
      <c r="J1015" s="7" t="s">
        <v>11</v>
      </c>
      <c r="K1015" s="36">
        <v>0.6</v>
      </c>
      <c r="L1015" s="37">
        <v>679</v>
      </c>
    </row>
    <row r="1016" spans="1:12" ht="19.95" customHeight="1" x14ac:dyDescent="0.3">
      <c r="A1016" s="2" t="s">
        <v>4403</v>
      </c>
      <c r="B1016" s="3" t="s">
        <v>4404</v>
      </c>
      <c r="C1016" s="2" t="s">
        <v>4829</v>
      </c>
      <c r="D1016" s="3" t="s">
        <v>4605</v>
      </c>
      <c r="E1016" s="2" t="s">
        <v>4835</v>
      </c>
      <c r="F1016" s="3" t="s">
        <v>4368</v>
      </c>
      <c r="G1016" s="3" t="s">
        <v>4367</v>
      </c>
      <c r="H1016" s="1" t="s">
        <v>211</v>
      </c>
      <c r="I1016" s="2" t="s">
        <v>212</v>
      </c>
      <c r="J1016" s="3" t="s">
        <v>11</v>
      </c>
      <c r="K1016" s="38">
        <v>2</v>
      </c>
      <c r="L1016" s="39">
        <v>558</v>
      </c>
    </row>
    <row r="1017" spans="1:12" ht="19.95" customHeight="1" x14ac:dyDescent="0.3">
      <c r="A1017" s="6" t="s">
        <v>4403</v>
      </c>
      <c r="B1017" s="7" t="s">
        <v>4404</v>
      </c>
      <c r="C1017" s="6" t="s">
        <v>4829</v>
      </c>
      <c r="D1017" s="7" t="s">
        <v>4605</v>
      </c>
      <c r="E1017" s="6" t="s">
        <v>4835</v>
      </c>
      <c r="F1017" s="7" t="s">
        <v>4368</v>
      </c>
      <c r="G1017" s="7" t="s">
        <v>4367</v>
      </c>
      <c r="H1017" s="5" t="s">
        <v>197</v>
      </c>
      <c r="I1017" s="6" t="s">
        <v>198</v>
      </c>
      <c r="J1017" s="7" t="s">
        <v>11</v>
      </c>
      <c r="K1017" s="36">
        <v>0.7</v>
      </c>
      <c r="L1017" s="37">
        <v>617</v>
      </c>
    </row>
    <row r="1018" spans="1:12" ht="19.95" customHeight="1" x14ac:dyDescent="0.3">
      <c r="A1018" s="2" t="s">
        <v>4403</v>
      </c>
      <c r="B1018" s="3" t="s">
        <v>4404</v>
      </c>
      <c r="C1018" s="2" t="s">
        <v>4829</v>
      </c>
      <c r="D1018" s="3" t="s">
        <v>4605</v>
      </c>
      <c r="E1018" s="2" t="s">
        <v>4835</v>
      </c>
      <c r="F1018" s="3" t="s">
        <v>4368</v>
      </c>
      <c r="G1018" s="3" t="s">
        <v>4367</v>
      </c>
      <c r="H1018" s="1" t="s">
        <v>211</v>
      </c>
      <c r="I1018" s="2" t="s">
        <v>212</v>
      </c>
      <c r="J1018" s="3" t="s">
        <v>11</v>
      </c>
      <c r="K1018" s="38">
        <v>1.29</v>
      </c>
      <c r="L1018" s="39">
        <v>558</v>
      </c>
    </row>
    <row r="1019" spans="1:12" ht="19.95" customHeight="1" x14ac:dyDescent="0.3">
      <c r="A1019" s="6" t="s">
        <v>4403</v>
      </c>
      <c r="B1019" s="7" t="s">
        <v>4404</v>
      </c>
      <c r="C1019" s="6" t="s">
        <v>4829</v>
      </c>
      <c r="D1019" s="7" t="s">
        <v>4607</v>
      </c>
      <c r="E1019" s="6" t="s">
        <v>4837</v>
      </c>
      <c r="F1019" s="7" t="s">
        <v>4368</v>
      </c>
      <c r="G1019" s="7" t="s">
        <v>4367</v>
      </c>
      <c r="H1019" s="5" t="s">
        <v>221</v>
      </c>
      <c r="I1019" s="6" t="s">
        <v>222</v>
      </c>
      <c r="J1019" s="7" t="s">
        <v>11</v>
      </c>
      <c r="K1019" s="36">
        <v>0.36</v>
      </c>
      <c r="L1019" s="37">
        <v>738</v>
      </c>
    </row>
    <row r="1020" spans="1:12" ht="19.95" customHeight="1" x14ac:dyDescent="0.3">
      <c r="A1020" s="2" t="s">
        <v>4403</v>
      </c>
      <c r="B1020" s="3" t="s">
        <v>4404</v>
      </c>
      <c r="C1020" s="2" t="s">
        <v>4829</v>
      </c>
      <c r="D1020" s="3" t="s">
        <v>4607</v>
      </c>
      <c r="E1020" s="2" t="s">
        <v>4837</v>
      </c>
      <c r="F1020" s="3" t="s">
        <v>4368</v>
      </c>
      <c r="G1020" s="3" t="s">
        <v>4367</v>
      </c>
      <c r="H1020" s="1" t="s">
        <v>223</v>
      </c>
      <c r="I1020" s="2" t="s">
        <v>224</v>
      </c>
      <c r="J1020" s="3" t="s">
        <v>11</v>
      </c>
      <c r="K1020" s="38">
        <v>0.36</v>
      </c>
      <c r="L1020" s="39">
        <v>679</v>
      </c>
    </row>
    <row r="1021" spans="1:12" ht="19.95" customHeight="1" x14ac:dyDescent="0.3">
      <c r="A1021" s="6" t="s">
        <v>4403</v>
      </c>
      <c r="B1021" s="7" t="s">
        <v>4404</v>
      </c>
      <c r="C1021" s="6" t="s">
        <v>4829</v>
      </c>
      <c r="D1021" s="7" t="s">
        <v>4607</v>
      </c>
      <c r="E1021" s="6" t="s">
        <v>4837</v>
      </c>
      <c r="F1021" s="7" t="s">
        <v>4368</v>
      </c>
      <c r="G1021" s="7" t="s">
        <v>4367</v>
      </c>
      <c r="H1021" s="5" t="s">
        <v>211</v>
      </c>
      <c r="I1021" s="6" t="s">
        <v>212</v>
      </c>
      <c r="J1021" s="7" t="s">
        <v>11</v>
      </c>
      <c r="K1021" s="36">
        <v>1.37</v>
      </c>
      <c r="L1021" s="37">
        <v>558</v>
      </c>
    </row>
    <row r="1022" spans="1:12" ht="19.95" customHeight="1" x14ac:dyDescent="0.3">
      <c r="A1022" s="2" t="s">
        <v>4403</v>
      </c>
      <c r="B1022" s="3" t="s">
        <v>4404</v>
      </c>
      <c r="C1022" s="2" t="s">
        <v>4829</v>
      </c>
      <c r="D1022" s="3" t="s">
        <v>4607</v>
      </c>
      <c r="E1022" s="2" t="s">
        <v>4837</v>
      </c>
      <c r="F1022" s="3" t="s">
        <v>4368</v>
      </c>
      <c r="G1022" s="3" t="s">
        <v>4367</v>
      </c>
      <c r="H1022" s="1" t="s">
        <v>197</v>
      </c>
      <c r="I1022" s="2" t="s">
        <v>198</v>
      </c>
      <c r="J1022" s="3" t="s">
        <v>11</v>
      </c>
      <c r="K1022" s="38">
        <v>0.2</v>
      </c>
      <c r="L1022" s="39">
        <v>617</v>
      </c>
    </row>
    <row r="1023" spans="1:12" ht="19.95" customHeight="1" x14ac:dyDescent="0.3">
      <c r="A1023" s="6" t="s">
        <v>4403</v>
      </c>
      <c r="B1023" s="7" t="s">
        <v>4404</v>
      </c>
      <c r="C1023" s="6" t="s">
        <v>4829</v>
      </c>
      <c r="D1023" s="7" t="s">
        <v>4607</v>
      </c>
      <c r="E1023" s="6" t="s">
        <v>4837</v>
      </c>
      <c r="F1023" s="7" t="s">
        <v>4368</v>
      </c>
      <c r="G1023" s="7" t="s">
        <v>4367</v>
      </c>
      <c r="H1023" s="5" t="s">
        <v>221</v>
      </c>
      <c r="I1023" s="6" t="s">
        <v>222</v>
      </c>
      <c r="J1023" s="7" t="s">
        <v>11</v>
      </c>
      <c r="K1023" s="36">
        <v>0.33</v>
      </c>
      <c r="L1023" s="37">
        <v>738</v>
      </c>
    </row>
    <row r="1024" spans="1:12" ht="19.95" customHeight="1" x14ac:dyDescent="0.3">
      <c r="A1024" s="2" t="s">
        <v>4403</v>
      </c>
      <c r="B1024" s="3" t="s">
        <v>4404</v>
      </c>
      <c r="C1024" s="2" t="s">
        <v>4829</v>
      </c>
      <c r="D1024" s="3" t="s">
        <v>4607</v>
      </c>
      <c r="E1024" s="2" t="s">
        <v>4837</v>
      </c>
      <c r="F1024" s="3" t="s">
        <v>4368</v>
      </c>
      <c r="G1024" s="3" t="s">
        <v>4367</v>
      </c>
      <c r="H1024" s="1" t="s">
        <v>223</v>
      </c>
      <c r="I1024" s="2" t="s">
        <v>224</v>
      </c>
      <c r="J1024" s="3" t="s">
        <v>11</v>
      </c>
      <c r="K1024" s="38">
        <v>0.33</v>
      </c>
      <c r="L1024" s="39">
        <v>679</v>
      </c>
    </row>
    <row r="1025" spans="1:12" ht="19.95" customHeight="1" x14ac:dyDescent="0.3">
      <c r="A1025" s="6" t="s">
        <v>4403</v>
      </c>
      <c r="B1025" s="7" t="s">
        <v>4404</v>
      </c>
      <c r="C1025" s="6" t="s">
        <v>4829</v>
      </c>
      <c r="D1025" s="7" t="s">
        <v>4607</v>
      </c>
      <c r="E1025" s="6" t="s">
        <v>4837</v>
      </c>
      <c r="F1025" s="7" t="s">
        <v>4368</v>
      </c>
      <c r="G1025" s="7" t="s">
        <v>4367</v>
      </c>
      <c r="H1025" s="5" t="s">
        <v>211</v>
      </c>
      <c r="I1025" s="6" t="s">
        <v>212</v>
      </c>
      <c r="J1025" s="7" t="s">
        <v>11</v>
      </c>
      <c r="K1025" s="36">
        <v>1</v>
      </c>
      <c r="L1025" s="37">
        <v>558</v>
      </c>
    </row>
    <row r="1026" spans="1:12" ht="19.95" customHeight="1" x14ac:dyDescent="0.3">
      <c r="A1026" s="2" t="s">
        <v>4403</v>
      </c>
      <c r="B1026" s="3" t="s">
        <v>4404</v>
      </c>
      <c r="C1026" s="2" t="s">
        <v>4829</v>
      </c>
      <c r="D1026" s="3" t="s">
        <v>4607</v>
      </c>
      <c r="E1026" s="2" t="s">
        <v>4837</v>
      </c>
      <c r="F1026" s="3" t="s">
        <v>4368</v>
      </c>
      <c r="G1026" s="3" t="s">
        <v>4367</v>
      </c>
      <c r="H1026" s="1" t="s">
        <v>197</v>
      </c>
      <c r="I1026" s="2" t="s">
        <v>198</v>
      </c>
      <c r="J1026" s="3" t="s">
        <v>11</v>
      </c>
      <c r="K1026" s="38">
        <v>0.18</v>
      </c>
      <c r="L1026" s="39">
        <v>617</v>
      </c>
    </row>
    <row r="1027" spans="1:12" ht="19.95" customHeight="1" x14ac:dyDescent="0.3">
      <c r="A1027" s="6" t="s">
        <v>4403</v>
      </c>
      <c r="B1027" s="7" t="s">
        <v>4404</v>
      </c>
      <c r="C1027" s="6" t="s">
        <v>4829</v>
      </c>
      <c r="D1027" s="7" t="s">
        <v>4607</v>
      </c>
      <c r="E1027" s="6" t="s">
        <v>4838</v>
      </c>
      <c r="F1027" s="7" t="s">
        <v>4368</v>
      </c>
      <c r="G1027" s="7" t="s">
        <v>4367</v>
      </c>
      <c r="H1027" s="5" t="s">
        <v>221</v>
      </c>
      <c r="I1027" s="6" t="s">
        <v>222</v>
      </c>
      <c r="J1027" s="7" t="s">
        <v>11</v>
      </c>
      <c r="K1027" s="36">
        <v>0.47</v>
      </c>
      <c r="L1027" s="37">
        <v>738</v>
      </c>
    </row>
    <row r="1028" spans="1:12" ht="19.95" customHeight="1" x14ac:dyDescent="0.3">
      <c r="A1028" s="2" t="s">
        <v>4403</v>
      </c>
      <c r="B1028" s="3" t="s">
        <v>4404</v>
      </c>
      <c r="C1028" s="2" t="s">
        <v>4829</v>
      </c>
      <c r="D1028" s="3" t="s">
        <v>4607</v>
      </c>
      <c r="E1028" s="2" t="s">
        <v>4838</v>
      </c>
      <c r="F1028" s="3" t="s">
        <v>4368</v>
      </c>
      <c r="G1028" s="3" t="s">
        <v>4367</v>
      </c>
      <c r="H1028" s="1" t="s">
        <v>223</v>
      </c>
      <c r="I1028" s="2" t="s">
        <v>224</v>
      </c>
      <c r="J1028" s="3" t="s">
        <v>11</v>
      </c>
      <c r="K1028" s="38">
        <v>0.47</v>
      </c>
      <c r="L1028" s="39">
        <v>679</v>
      </c>
    </row>
    <row r="1029" spans="1:12" ht="19.95" customHeight="1" x14ac:dyDescent="0.3">
      <c r="A1029" s="6" t="s">
        <v>4403</v>
      </c>
      <c r="B1029" s="7" t="s">
        <v>4404</v>
      </c>
      <c r="C1029" s="6" t="s">
        <v>4829</v>
      </c>
      <c r="D1029" s="7" t="s">
        <v>4607</v>
      </c>
      <c r="E1029" s="6" t="s">
        <v>4838</v>
      </c>
      <c r="F1029" s="7" t="s">
        <v>4368</v>
      </c>
      <c r="G1029" s="7" t="s">
        <v>4367</v>
      </c>
      <c r="H1029" s="5" t="s">
        <v>211</v>
      </c>
      <c r="I1029" s="6" t="s">
        <v>212</v>
      </c>
      <c r="J1029" s="7" t="s">
        <v>11</v>
      </c>
      <c r="K1029" s="36">
        <v>1.8</v>
      </c>
      <c r="L1029" s="37">
        <v>558</v>
      </c>
    </row>
    <row r="1030" spans="1:12" ht="19.95" customHeight="1" x14ac:dyDescent="0.3">
      <c r="A1030" s="2" t="s">
        <v>4403</v>
      </c>
      <c r="B1030" s="3" t="s">
        <v>4404</v>
      </c>
      <c r="C1030" s="2" t="s">
        <v>4829</v>
      </c>
      <c r="D1030" s="3" t="s">
        <v>4607</v>
      </c>
      <c r="E1030" s="2" t="s">
        <v>4838</v>
      </c>
      <c r="F1030" s="3" t="s">
        <v>4368</v>
      </c>
      <c r="G1030" s="3" t="s">
        <v>4367</v>
      </c>
      <c r="H1030" s="1" t="s">
        <v>197</v>
      </c>
      <c r="I1030" s="2" t="s">
        <v>198</v>
      </c>
      <c r="J1030" s="3" t="s">
        <v>11</v>
      </c>
      <c r="K1030" s="38">
        <v>0.2</v>
      </c>
      <c r="L1030" s="39">
        <v>617</v>
      </c>
    </row>
    <row r="1031" spans="1:12" ht="19.95" customHeight="1" x14ac:dyDescent="0.3">
      <c r="A1031" s="6" t="s">
        <v>4403</v>
      </c>
      <c r="B1031" s="7" t="s">
        <v>4404</v>
      </c>
      <c r="C1031" s="6" t="s">
        <v>4829</v>
      </c>
      <c r="D1031" s="7" t="s">
        <v>4607</v>
      </c>
      <c r="E1031" s="6" t="s">
        <v>4838</v>
      </c>
      <c r="F1031" s="7" t="s">
        <v>4368</v>
      </c>
      <c r="G1031" s="7" t="s">
        <v>4367</v>
      </c>
      <c r="H1031" s="5" t="s">
        <v>211</v>
      </c>
      <c r="I1031" s="6" t="s">
        <v>212</v>
      </c>
      <c r="J1031" s="7" t="s">
        <v>11</v>
      </c>
      <c r="K1031" s="36">
        <v>1.1299999999999999</v>
      </c>
      <c r="L1031" s="37">
        <v>558</v>
      </c>
    </row>
    <row r="1032" spans="1:12" ht="19.95" customHeight="1" x14ac:dyDescent="0.3">
      <c r="A1032" s="2" t="s">
        <v>4403</v>
      </c>
      <c r="B1032" s="3" t="s">
        <v>4404</v>
      </c>
      <c r="C1032" s="2" t="s">
        <v>4829</v>
      </c>
      <c r="D1032" s="3" t="s">
        <v>4607</v>
      </c>
      <c r="E1032" s="2" t="s">
        <v>4839</v>
      </c>
      <c r="F1032" s="3" t="s">
        <v>4368</v>
      </c>
      <c r="G1032" s="3" t="s">
        <v>4367</v>
      </c>
      <c r="H1032" s="1" t="s">
        <v>221</v>
      </c>
      <c r="I1032" s="2" t="s">
        <v>222</v>
      </c>
      <c r="J1032" s="3" t="s">
        <v>11</v>
      </c>
      <c r="K1032" s="38">
        <v>0.45</v>
      </c>
      <c r="L1032" s="39">
        <v>738</v>
      </c>
    </row>
    <row r="1033" spans="1:12" ht="19.95" customHeight="1" x14ac:dyDescent="0.3">
      <c r="A1033" s="6" t="s">
        <v>4403</v>
      </c>
      <c r="B1033" s="7" t="s">
        <v>4404</v>
      </c>
      <c r="C1033" s="6" t="s">
        <v>4829</v>
      </c>
      <c r="D1033" s="7" t="s">
        <v>4607</v>
      </c>
      <c r="E1033" s="6" t="s">
        <v>4839</v>
      </c>
      <c r="F1033" s="7" t="s">
        <v>4368</v>
      </c>
      <c r="G1033" s="7" t="s">
        <v>4367</v>
      </c>
      <c r="H1033" s="5" t="s">
        <v>223</v>
      </c>
      <c r="I1033" s="6" t="s">
        <v>224</v>
      </c>
      <c r="J1033" s="7" t="s">
        <v>11</v>
      </c>
      <c r="K1033" s="36">
        <v>0.45</v>
      </c>
      <c r="L1033" s="37">
        <v>679</v>
      </c>
    </row>
    <row r="1034" spans="1:12" ht="19.95" customHeight="1" x14ac:dyDescent="0.3">
      <c r="A1034" s="2" t="s">
        <v>4403</v>
      </c>
      <c r="B1034" s="3" t="s">
        <v>4404</v>
      </c>
      <c r="C1034" s="2" t="s">
        <v>4829</v>
      </c>
      <c r="D1034" s="3" t="s">
        <v>4607</v>
      </c>
      <c r="E1034" s="2" t="s">
        <v>4839</v>
      </c>
      <c r="F1034" s="3" t="s">
        <v>4368</v>
      </c>
      <c r="G1034" s="3" t="s">
        <v>4367</v>
      </c>
      <c r="H1034" s="1" t="s">
        <v>211</v>
      </c>
      <c r="I1034" s="2" t="s">
        <v>212</v>
      </c>
      <c r="J1034" s="3" t="s">
        <v>11</v>
      </c>
      <c r="K1034" s="38">
        <v>1.55</v>
      </c>
      <c r="L1034" s="39">
        <v>558</v>
      </c>
    </row>
    <row r="1035" spans="1:12" ht="19.95" customHeight="1" x14ac:dyDescent="0.3">
      <c r="A1035" s="6" t="s">
        <v>4403</v>
      </c>
      <c r="B1035" s="7" t="s">
        <v>4404</v>
      </c>
      <c r="C1035" s="6" t="s">
        <v>4829</v>
      </c>
      <c r="D1035" s="7" t="s">
        <v>4607</v>
      </c>
      <c r="E1035" s="6" t="s">
        <v>4839</v>
      </c>
      <c r="F1035" s="7" t="s">
        <v>4368</v>
      </c>
      <c r="G1035" s="7" t="s">
        <v>4367</v>
      </c>
      <c r="H1035" s="5" t="s">
        <v>197</v>
      </c>
      <c r="I1035" s="6" t="s">
        <v>198</v>
      </c>
      <c r="J1035" s="7" t="s">
        <v>11</v>
      </c>
      <c r="K1035" s="36">
        <v>0.7</v>
      </c>
      <c r="L1035" s="37">
        <v>617</v>
      </c>
    </row>
    <row r="1036" spans="1:12" ht="19.95" customHeight="1" x14ac:dyDescent="0.3">
      <c r="A1036" s="2" t="s">
        <v>4403</v>
      </c>
      <c r="B1036" s="3" t="s">
        <v>4404</v>
      </c>
      <c r="C1036" s="2" t="s">
        <v>4829</v>
      </c>
      <c r="D1036" s="3" t="s">
        <v>4607</v>
      </c>
      <c r="E1036" s="2" t="s">
        <v>4838</v>
      </c>
      <c r="F1036" s="3" t="s">
        <v>4368</v>
      </c>
      <c r="G1036" s="3" t="s">
        <v>4367</v>
      </c>
      <c r="H1036" s="1" t="s">
        <v>221</v>
      </c>
      <c r="I1036" s="2" t="s">
        <v>222</v>
      </c>
      <c r="J1036" s="3" t="s">
        <v>11</v>
      </c>
      <c r="K1036" s="38">
        <v>0.6</v>
      </c>
      <c r="L1036" s="39">
        <v>738</v>
      </c>
    </row>
    <row r="1037" spans="1:12" ht="19.95" customHeight="1" x14ac:dyDescent="0.3">
      <c r="A1037" s="6" t="s">
        <v>4403</v>
      </c>
      <c r="B1037" s="7" t="s">
        <v>4404</v>
      </c>
      <c r="C1037" s="6" t="s">
        <v>4829</v>
      </c>
      <c r="D1037" s="7" t="s">
        <v>4607</v>
      </c>
      <c r="E1037" s="6" t="s">
        <v>4838</v>
      </c>
      <c r="F1037" s="7" t="s">
        <v>4368</v>
      </c>
      <c r="G1037" s="7" t="s">
        <v>4367</v>
      </c>
      <c r="H1037" s="5" t="s">
        <v>223</v>
      </c>
      <c r="I1037" s="6" t="s">
        <v>224</v>
      </c>
      <c r="J1037" s="7" t="s">
        <v>11</v>
      </c>
      <c r="K1037" s="36">
        <v>0.6</v>
      </c>
      <c r="L1037" s="37">
        <v>679</v>
      </c>
    </row>
    <row r="1038" spans="1:12" ht="19.95" customHeight="1" x14ac:dyDescent="0.3">
      <c r="A1038" s="2" t="s">
        <v>4403</v>
      </c>
      <c r="B1038" s="3" t="s">
        <v>4404</v>
      </c>
      <c r="C1038" s="2" t="s">
        <v>4829</v>
      </c>
      <c r="D1038" s="3" t="s">
        <v>4607</v>
      </c>
      <c r="E1038" s="2" t="s">
        <v>4838</v>
      </c>
      <c r="F1038" s="3" t="s">
        <v>4368</v>
      </c>
      <c r="G1038" s="3" t="s">
        <v>4367</v>
      </c>
      <c r="H1038" s="1" t="s">
        <v>211</v>
      </c>
      <c r="I1038" s="2" t="s">
        <v>212</v>
      </c>
      <c r="J1038" s="3" t="s">
        <v>11</v>
      </c>
      <c r="K1038" s="38">
        <v>2</v>
      </c>
      <c r="L1038" s="39">
        <v>558</v>
      </c>
    </row>
    <row r="1039" spans="1:12" ht="19.95" customHeight="1" x14ac:dyDescent="0.3">
      <c r="A1039" s="6" t="s">
        <v>4403</v>
      </c>
      <c r="B1039" s="7" t="s">
        <v>4404</v>
      </c>
      <c r="C1039" s="6" t="s">
        <v>4829</v>
      </c>
      <c r="D1039" s="7" t="s">
        <v>4607</v>
      </c>
      <c r="E1039" s="6" t="s">
        <v>4838</v>
      </c>
      <c r="F1039" s="7" t="s">
        <v>4368</v>
      </c>
      <c r="G1039" s="7" t="s">
        <v>4367</v>
      </c>
      <c r="H1039" s="5" t="s">
        <v>197</v>
      </c>
      <c r="I1039" s="6" t="s">
        <v>198</v>
      </c>
      <c r="J1039" s="7" t="s">
        <v>11</v>
      </c>
      <c r="K1039" s="36">
        <v>0.7</v>
      </c>
      <c r="L1039" s="37">
        <v>617</v>
      </c>
    </row>
    <row r="1040" spans="1:12" ht="19.95" customHeight="1" x14ac:dyDescent="0.3">
      <c r="A1040" s="2" t="s">
        <v>4403</v>
      </c>
      <c r="B1040" s="3" t="s">
        <v>4404</v>
      </c>
      <c r="C1040" s="2" t="s">
        <v>4829</v>
      </c>
      <c r="D1040" s="3" t="s">
        <v>4607</v>
      </c>
      <c r="E1040" s="2" t="s">
        <v>4838</v>
      </c>
      <c r="F1040" s="3" t="s">
        <v>4368</v>
      </c>
      <c r="G1040" s="3" t="s">
        <v>4367</v>
      </c>
      <c r="H1040" s="1" t="s">
        <v>211</v>
      </c>
      <c r="I1040" s="2" t="s">
        <v>212</v>
      </c>
      <c r="J1040" s="3" t="s">
        <v>11</v>
      </c>
      <c r="K1040" s="38">
        <v>1.29</v>
      </c>
      <c r="L1040" s="39">
        <v>558</v>
      </c>
    </row>
    <row r="1041" spans="1:12" ht="19.95" customHeight="1" x14ac:dyDescent="0.3">
      <c r="A1041" s="6" t="s">
        <v>4403</v>
      </c>
      <c r="B1041" s="7" t="s">
        <v>4404</v>
      </c>
      <c r="C1041" s="6" t="s">
        <v>4829</v>
      </c>
      <c r="D1041" s="7" t="s">
        <v>4607</v>
      </c>
      <c r="E1041" s="6" t="s">
        <v>4838</v>
      </c>
      <c r="F1041" s="7" t="s">
        <v>4368</v>
      </c>
      <c r="G1041" s="7" t="s">
        <v>4367</v>
      </c>
      <c r="H1041" s="5" t="s">
        <v>221</v>
      </c>
      <c r="I1041" s="6" t="s">
        <v>222</v>
      </c>
      <c r="J1041" s="7" t="s">
        <v>11</v>
      </c>
      <c r="K1041" s="36">
        <v>0.7</v>
      </c>
      <c r="L1041" s="37">
        <v>738</v>
      </c>
    </row>
    <row r="1042" spans="1:12" ht="19.95" customHeight="1" x14ac:dyDescent="0.3">
      <c r="A1042" s="2" t="s">
        <v>4403</v>
      </c>
      <c r="B1042" s="3" t="s">
        <v>4404</v>
      </c>
      <c r="C1042" s="2" t="s">
        <v>4829</v>
      </c>
      <c r="D1042" s="3" t="s">
        <v>4607</v>
      </c>
      <c r="E1042" s="2" t="s">
        <v>4838</v>
      </c>
      <c r="F1042" s="3" t="s">
        <v>4368</v>
      </c>
      <c r="G1042" s="3" t="s">
        <v>4367</v>
      </c>
      <c r="H1042" s="1" t="s">
        <v>223</v>
      </c>
      <c r="I1042" s="2" t="s">
        <v>224</v>
      </c>
      <c r="J1042" s="3" t="s">
        <v>11</v>
      </c>
      <c r="K1042" s="38">
        <v>0.7</v>
      </c>
      <c r="L1042" s="39">
        <v>679</v>
      </c>
    </row>
    <row r="1043" spans="1:12" ht="19.95" customHeight="1" x14ac:dyDescent="0.3">
      <c r="A1043" s="6" t="s">
        <v>4403</v>
      </c>
      <c r="B1043" s="7" t="s">
        <v>4404</v>
      </c>
      <c r="C1043" s="6" t="s">
        <v>4829</v>
      </c>
      <c r="D1043" s="7" t="s">
        <v>4607</v>
      </c>
      <c r="E1043" s="6" t="s">
        <v>4838</v>
      </c>
      <c r="F1043" s="7" t="s">
        <v>4368</v>
      </c>
      <c r="G1043" s="7" t="s">
        <v>4367</v>
      </c>
      <c r="H1043" s="5" t="s">
        <v>211</v>
      </c>
      <c r="I1043" s="6" t="s">
        <v>212</v>
      </c>
      <c r="J1043" s="7" t="s">
        <v>11</v>
      </c>
      <c r="K1043" s="36">
        <v>1.54</v>
      </c>
      <c r="L1043" s="37">
        <v>558</v>
      </c>
    </row>
    <row r="1044" spans="1:12" ht="19.95" customHeight="1" x14ac:dyDescent="0.3">
      <c r="A1044" s="2" t="s">
        <v>4403</v>
      </c>
      <c r="B1044" s="3" t="s">
        <v>4404</v>
      </c>
      <c r="C1044" s="2" t="s">
        <v>4829</v>
      </c>
      <c r="D1044" s="3" t="s">
        <v>4607</v>
      </c>
      <c r="E1044" s="2" t="s">
        <v>4838</v>
      </c>
      <c r="F1044" s="3" t="s">
        <v>4368</v>
      </c>
      <c r="G1044" s="3" t="s">
        <v>4367</v>
      </c>
      <c r="H1044" s="1" t="s">
        <v>197</v>
      </c>
      <c r="I1044" s="2" t="s">
        <v>198</v>
      </c>
      <c r="J1044" s="3" t="s">
        <v>11</v>
      </c>
      <c r="K1044" s="38">
        <v>0.2</v>
      </c>
      <c r="L1044" s="39">
        <v>617</v>
      </c>
    </row>
    <row r="1045" spans="1:12" ht="19.95" customHeight="1" x14ac:dyDescent="0.3">
      <c r="A1045" s="6" t="s">
        <v>4403</v>
      </c>
      <c r="B1045" s="7" t="s">
        <v>4404</v>
      </c>
      <c r="C1045" s="6" t="s">
        <v>4829</v>
      </c>
      <c r="D1045" s="7" t="s">
        <v>4607</v>
      </c>
      <c r="E1045" s="6" t="s">
        <v>4838</v>
      </c>
      <c r="F1045" s="7" t="s">
        <v>4368</v>
      </c>
      <c r="G1045" s="7" t="s">
        <v>4367</v>
      </c>
      <c r="H1045" s="5" t="s">
        <v>221</v>
      </c>
      <c r="I1045" s="6" t="s">
        <v>222</v>
      </c>
      <c r="J1045" s="7" t="s">
        <v>11</v>
      </c>
      <c r="K1045" s="36">
        <v>0.47</v>
      </c>
      <c r="L1045" s="37">
        <v>738</v>
      </c>
    </row>
    <row r="1046" spans="1:12" ht="19.95" customHeight="1" x14ac:dyDescent="0.3">
      <c r="A1046" s="2" t="s">
        <v>4403</v>
      </c>
      <c r="B1046" s="3" t="s">
        <v>4404</v>
      </c>
      <c r="C1046" s="2" t="s">
        <v>4829</v>
      </c>
      <c r="D1046" s="3" t="s">
        <v>4607</v>
      </c>
      <c r="E1046" s="2" t="s">
        <v>4838</v>
      </c>
      <c r="F1046" s="3" t="s">
        <v>4368</v>
      </c>
      <c r="G1046" s="3" t="s">
        <v>4367</v>
      </c>
      <c r="H1046" s="1" t="s">
        <v>223</v>
      </c>
      <c r="I1046" s="2" t="s">
        <v>224</v>
      </c>
      <c r="J1046" s="3" t="s">
        <v>11</v>
      </c>
      <c r="K1046" s="38">
        <v>0.47</v>
      </c>
      <c r="L1046" s="39">
        <v>679</v>
      </c>
    </row>
    <row r="1047" spans="1:12" ht="19.95" customHeight="1" x14ac:dyDescent="0.3">
      <c r="A1047" s="6" t="s">
        <v>4403</v>
      </c>
      <c r="B1047" s="7" t="s">
        <v>4404</v>
      </c>
      <c r="C1047" s="6" t="s">
        <v>4829</v>
      </c>
      <c r="D1047" s="7" t="s">
        <v>4607</v>
      </c>
      <c r="E1047" s="6" t="s">
        <v>4838</v>
      </c>
      <c r="F1047" s="7" t="s">
        <v>4368</v>
      </c>
      <c r="G1047" s="7" t="s">
        <v>4367</v>
      </c>
      <c r="H1047" s="5" t="s">
        <v>211</v>
      </c>
      <c r="I1047" s="6" t="s">
        <v>212</v>
      </c>
      <c r="J1047" s="7" t="s">
        <v>11</v>
      </c>
      <c r="K1047" s="36">
        <v>1.8</v>
      </c>
      <c r="L1047" s="37">
        <v>558</v>
      </c>
    </row>
    <row r="1048" spans="1:12" ht="19.95" customHeight="1" x14ac:dyDescent="0.3">
      <c r="A1048" s="2" t="s">
        <v>4403</v>
      </c>
      <c r="B1048" s="3" t="s">
        <v>4404</v>
      </c>
      <c r="C1048" s="2" t="s">
        <v>4829</v>
      </c>
      <c r="D1048" s="3" t="s">
        <v>4607</v>
      </c>
      <c r="E1048" s="2" t="s">
        <v>4838</v>
      </c>
      <c r="F1048" s="3" t="s">
        <v>4368</v>
      </c>
      <c r="G1048" s="3" t="s">
        <v>4367</v>
      </c>
      <c r="H1048" s="1" t="s">
        <v>197</v>
      </c>
      <c r="I1048" s="2" t="s">
        <v>198</v>
      </c>
      <c r="J1048" s="3" t="s">
        <v>11</v>
      </c>
      <c r="K1048" s="38">
        <v>0.2</v>
      </c>
      <c r="L1048" s="39">
        <v>617</v>
      </c>
    </row>
    <row r="1049" spans="1:12" ht="19.95" customHeight="1" x14ac:dyDescent="0.3">
      <c r="A1049" s="6" t="s">
        <v>4403</v>
      </c>
      <c r="B1049" s="7" t="s">
        <v>4404</v>
      </c>
      <c r="C1049" s="6" t="s">
        <v>4829</v>
      </c>
      <c r="D1049" s="7" t="s">
        <v>4607</v>
      </c>
      <c r="E1049" s="6" t="s">
        <v>4838</v>
      </c>
      <c r="F1049" s="7" t="s">
        <v>4368</v>
      </c>
      <c r="G1049" s="7" t="s">
        <v>4367</v>
      </c>
      <c r="H1049" s="5" t="s">
        <v>211</v>
      </c>
      <c r="I1049" s="6" t="s">
        <v>212</v>
      </c>
      <c r="J1049" s="7" t="s">
        <v>11</v>
      </c>
      <c r="K1049" s="36">
        <v>1.1299999999999999</v>
      </c>
      <c r="L1049" s="37">
        <v>558</v>
      </c>
    </row>
    <row r="1050" spans="1:12" ht="19.95" customHeight="1" x14ac:dyDescent="0.3">
      <c r="A1050" s="2" t="s">
        <v>4403</v>
      </c>
      <c r="B1050" s="3" t="s">
        <v>4404</v>
      </c>
      <c r="C1050" s="2" t="s">
        <v>4829</v>
      </c>
      <c r="D1050" s="3" t="s">
        <v>4607</v>
      </c>
      <c r="E1050" s="2" t="s">
        <v>4838</v>
      </c>
      <c r="F1050" s="3" t="s">
        <v>4368</v>
      </c>
      <c r="G1050" s="3" t="s">
        <v>4367</v>
      </c>
      <c r="H1050" s="1" t="s">
        <v>221</v>
      </c>
      <c r="I1050" s="2" t="s">
        <v>222</v>
      </c>
      <c r="J1050" s="3" t="s">
        <v>11</v>
      </c>
      <c r="K1050" s="38">
        <v>0.47</v>
      </c>
      <c r="L1050" s="39">
        <v>738</v>
      </c>
    </row>
    <row r="1051" spans="1:12" ht="19.95" customHeight="1" x14ac:dyDescent="0.3">
      <c r="A1051" s="6" t="s">
        <v>4403</v>
      </c>
      <c r="B1051" s="7" t="s">
        <v>4404</v>
      </c>
      <c r="C1051" s="6" t="s">
        <v>4829</v>
      </c>
      <c r="D1051" s="7" t="s">
        <v>4607</v>
      </c>
      <c r="E1051" s="6" t="s">
        <v>4838</v>
      </c>
      <c r="F1051" s="7" t="s">
        <v>4368</v>
      </c>
      <c r="G1051" s="7" t="s">
        <v>4367</v>
      </c>
      <c r="H1051" s="5" t="s">
        <v>223</v>
      </c>
      <c r="I1051" s="6" t="s">
        <v>224</v>
      </c>
      <c r="J1051" s="7" t="s">
        <v>11</v>
      </c>
      <c r="K1051" s="36">
        <v>0.47</v>
      </c>
      <c r="L1051" s="37">
        <v>679</v>
      </c>
    </row>
    <row r="1052" spans="1:12" ht="19.95" customHeight="1" x14ac:dyDescent="0.3">
      <c r="A1052" s="2" t="s">
        <v>4403</v>
      </c>
      <c r="B1052" s="3" t="s">
        <v>4404</v>
      </c>
      <c r="C1052" s="2" t="s">
        <v>4829</v>
      </c>
      <c r="D1052" s="3" t="s">
        <v>4607</v>
      </c>
      <c r="E1052" s="2" t="s">
        <v>4838</v>
      </c>
      <c r="F1052" s="3" t="s">
        <v>4368</v>
      </c>
      <c r="G1052" s="3" t="s">
        <v>4367</v>
      </c>
      <c r="H1052" s="1" t="s">
        <v>211</v>
      </c>
      <c r="I1052" s="2" t="s">
        <v>212</v>
      </c>
      <c r="J1052" s="3" t="s">
        <v>11</v>
      </c>
      <c r="K1052" s="38">
        <v>1.8</v>
      </c>
      <c r="L1052" s="39">
        <v>558</v>
      </c>
    </row>
    <row r="1053" spans="1:12" ht="19.95" customHeight="1" x14ac:dyDescent="0.3">
      <c r="A1053" s="6" t="s">
        <v>4403</v>
      </c>
      <c r="B1053" s="7" t="s">
        <v>4404</v>
      </c>
      <c r="C1053" s="6" t="s">
        <v>4829</v>
      </c>
      <c r="D1053" s="7" t="s">
        <v>4607</v>
      </c>
      <c r="E1053" s="6" t="s">
        <v>4838</v>
      </c>
      <c r="F1053" s="7" t="s">
        <v>4368</v>
      </c>
      <c r="G1053" s="7" t="s">
        <v>4367</v>
      </c>
      <c r="H1053" s="5" t="s">
        <v>197</v>
      </c>
      <c r="I1053" s="6" t="s">
        <v>198</v>
      </c>
      <c r="J1053" s="7" t="s">
        <v>11</v>
      </c>
      <c r="K1053" s="36">
        <v>0.2</v>
      </c>
      <c r="L1053" s="37">
        <v>617</v>
      </c>
    </row>
    <row r="1054" spans="1:12" ht="19.95" customHeight="1" x14ac:dyDescent="0.3">
      <c r="A1054" s="2" t="s">
        <v>4403</v>
      </c>
      <c r="B1054" s="3" t="s">
        <v>4404</v>
      </c>
      <c r="C1054" s="2" t="s">
        <v>4829</v>
      </c>
      <c r="D1054" s="3" t="s">
        <v>4607</v>
      </c>
      <c r="E1054" s="2" t="s">
        <v>4838</v>
      </c>
      <c r="F1054" s="3" t="s">
        <v>4368</v>
      </c>
      <c r="G1054" s="3" t="s">
        <v>4367</v>
      </c>
      <c r="H1054" s="1" t="s">
        <v>211</v>
      </c>
      <c r="I1054" s="2" t="s">
        <v>212</v>
      </c>
      <c r="J1054" s="3" t="s">
        <v>11</v>
      </c>
      <c r="K1054" s="38">
        <v>1.1299999999999999</v>
      </c>
      <c r="L1054" s="39">
        <v>558</v>
      </c>
    </row>
    <row r="1055" spans="1:12" ht="19.95" customHeight="1" x14ac:dyDescent="0.3">
      <c r="A1055" s="6" t="s">
        <v>4403</v>
      </c>
      <c r="B1055" s="7" t="s">
        <v>4404</v>
      </c>
      <c r="C1055" s="6" t="s">
        <v>4829</v>
      </c>
      <c r="D1055" s="7" t="s">
        <v>4607</v>
      </c>
      <c r="E1055" s="6" t="s">
        <v>4838</v>
      </c>
      <c r="F1055" s="7" t="s">
        <v>4368</v>
      </c>
      <c r="G1055" s="7" t="s">
        <v>4367</v>
      </c>
      <c r="H1055" s="5" t="s">
        <v>221</v>
      </c>
      <c r="I1055" s="6" t="s">
        <v>222</v>
      </c>
      <c r="J1055" s="7" t="s">
        <v>11</v>
      </c>
      <c r="K1055" s="36">
        <v>0.47</v>
      </c>
      <c r="L1055" s="37">
        <v>738</v>
      </c>
    </row>
    <row r="1056" spans="1:12" ht="19.95" customHeight="1" x14ac:dyDescent="0.3">
      <c r="A1056" s="2" t="s">
        <v>4403</v>
      </c>
      <c r="B1056" s="3" t="s">
        <v>4404</v>
      </c>
      <c r="C1056" s="2" t="s">
        <v>4829</v>
      </c>
      <c r="D1056" s="3" t="s">
        <v>4607</v>
      </c>
      <c r="E1056" s="2" t="s">
        <v>4838</v>
      </c>
      <c r="F1056" s="3" t="s">
        <v>4368</v>
      </c>
      <c r="G1056" s="3" t="s">
        <v>4367</v>
      </c>
      <c r="H1056" s="1" t="s">
        <v>223</v>
      </c>
      <c r="I1056" s="2" t="s">
        <v>224</v>
      </c>
      <c r="J1056" s="3" t="s">
        <v>11</v>
      </c>
      <c r="K1056" s="38">
        <v>0.47</v>
      </c>
      <c r="L1056" s="39">
        <v>679</v>
      </c>
    </row>
    <row r="1057" spans="1:12" ht="19.95" customHeight="1" x14ac:dyDescent="0.3">
      <c r="A1057" s="6" t="s">
        <v>4403</v>
      </c>
      <c r="B1057" s="7" t="s">
        <v>4404</v>
      </c>
      <c r="C1057" s="6" t="s">
        <v>4829</v>
      </c>
      <c r="D1057" s="7" t="s">
        <v>4607</v>
      </c>
      <c r="E1057" s="6" t="s">
        <v>4838</v>
      </c>
      <c r="F1057" s="7" t="s">
        <v>4368</v>
      </c>
      <c r="G1057" s="7" t="s">
        <v>4367</v>
      </c>
      <c r="H1057" s="5" t="s">
        <v>211</v>
      </c>
      <c r="I1057" s="6" t="s">
        <v>212</v>
      </c>
      <c r="J1057" s="7" t="s">
        <v>11</v>
      </c>
      <c r="K1057" s="36">
        <v>1.8</v>
      </c>
      <c r="L1057" s="37">
        <v>558</v>
      </c>
    </row>
    <row r="1058" spans="1:12" ht="19.95" customHeight="1" x14ac:dyDescent="0.3">
      <c r="A1058" s="2" t="s">
        <v>4403</v>
      </c>
      <c r="B1058" s="3" t="s">
        <v>4404</v>
      </c>
      <c r="C1058" s="2" t="s">
        <v>4829</v>
      </c>
      <c r="D1058" s="3" t="s">
        <v>4607</v>
      </c>
      <c r="E1058" s="2" t="s">
        <v>4838</v>
      </c>
      <c r="F1058" s="3" t="s">
        <v>4368</v>
      </c>
      <c r="G1058" s="3" t="s">
        <v>4367</v>
      </c>
      <c r="H1058" s="1" t="s">
        <v>197</v>
      </c>
      <c r="I1058" s="2" t="s">
        <v>198</v>
      </c>
      <c r="J1058" s="3" t="s">
        <v>11</v>
      </c>
      <c r="K1058" s="38">
        <v>0.2</v>
      </c>
      <c r="L1058" s="39">
        <v>617</v>
      </c>
    </row>
    <row r="1059" spans="1:12" ht="19.95" customHeight="1" x14ac:dyDescent="0.3">
      <c r="A1059" s="6" t="s">
        <v>4403</v>
      </c>
      <c r="B1059" s="7" t="s">
        <v>4404</v>
      </c>
      <c r="C1059" s="6" t="s">
        <v>4829</v>
      </c>
      <c r="D1059" s="7" t="s">
        <v>4607</v>
      </c>
      <c r="E1059" s="6" t="s">
        <v>4838</v>
      </c>
      <c r="F1059" s="7" t="s">
        <v>4368</v>
      </c>
      <c r="G1059" s="7" t="s">
        <v>4367</v>
      </c>
      <c r="H1059" s="5" t="s">
        <v>211</v>
      </c>
      <c r="I1059" s="6" t="s">
        <v>212</v>
      </c>
      <c r="J1059" s="7" t="s">
        <v>11</v>
      </c>
      <c r="K1059" s="36">
        <v>1.1299999999999999</v>
      </c>
      <c r="L1059" s="37">
        <v>558</v>
      </c>
    </row>
    <row r="1060" spans="1:12" ht="19.95" customHeight="1" x14ac:dyDescent="0.3">
      <c r="A1060" s="2" t="s">
        <v>4403</v>
      </c>
      <c r="B1060" s="3" t="s">
        <v>4404</v>
      </c>
      <c r="C1060" s="2" t="s">
        <v>4829</v>
      </c>
      <c r="D1060" s="3" t="s">
        <v>4607</v>
      </c>
      <c r="E1060" s="2" t="s">
        <v>4838</v>
      </c>
      <c r="F1060" s="3" t="s">
        <v>4368</v>
      </c>
      <c r="G1060" s="3" t="s">
        <v>4367</v>
      </c>
      <c r="H1060" s="1" t="s">
        <v>221</v>
      </c>
      <c r="I1060" s="2" t="s">
        <v>222</v>
      </c>
      <c r="J1060" s="3" t="s">
        <v>11</v>
      </c>
      <c r="K1060" s="38">
        <v>0.33</v>
      </c>
      <c r="L1060" s="39">
        <v>738</v>
      </c>
    </row>
    <row r="1061" spans="1:12" ht="19.95" customHeight="1" x14ac:dyDescent="0.3">
      <c r="A1061" s="6" t="s">
        <v>4403</v>
      </c>
      <c r="B1061" s="7" t="s">
        <v>4404</v>
      </c>
      <c r="C1061" s="6" t="s">
        <v>4829</v>
      </c>
      <c r="D1061" s="7" t="s">
        <v>4607</v>
      </c>
      <c r="E1061" s="6" t="s">
        <v>4838</v>
      </c>
      <c r="F1061" s="7" t="s">
        <v>4368</v>
      </c>
      <c r="G1061" s="7" t="s">
        <v>4367</v>
      </c>
      <c r="H1061" s="5" t="s">
        <v>223</v>
      </c>
      <c r="I1061" s="6" t="s">
        <v>224</v>
      </c>
      <c r="J1061" s="7" t="s">
        <v>11</v>
      </c>
      <c r="K1061" s="36">
        <v>0.33</v>
      </c>
      <c r="L1061" s="37">
        <v>679</v>
      </c>
    </row>
    <row r="1062" spans="1:12" ht="19.95" customHeight="1" x14ac:dyDescent="0.3">
      <c r="A1062" s="2" t="s">
        <v>4403</v>
      </c>
      <c r="B1062" s="3" t="s">
        <v>4404</v>
      </c>
      <c r="C1062" s="2" t="s">
        <v>4829</v>
      </c>
      <c r="D1062" s="3" t="s">
        <v>4607</v>
      </c>
      <c r="E1062" s="2" t="s">
        <v>4838</v>
      </c>
      <c r="F1062" s="3" t="s">
        <v>4368</v>
      </c>
      <c r="G1062" s="3" t="s">
        <v>4367</v>
      </c>
      <c r="H1062" s="1" t="s">
        <v>211</v>
      </c>
      <c r="I1062" s="2" t="s">
        <v>212</v>
      </c>
      <c r="J1062" s="3" t="s">
        <v>11</v>
      </c>
      <c r="K1062" s="38">
        <v>1</v>
      </c>
      <c r="L1062" s="39">
        <v>558</v>
      </c>
    </row>
    <row r="1063" spans="1:12" ht="19.95" customHeight="1" x14ac:dyDescent="0.3">
      <c r="A1063" s="6" t="s">
        <v>4403</v>
      </c>
      <c r="B1063" s="7" t="s">
        <v>4404</v>
      </c>
      <c r="C1063" s="6" t="s">
        <v>4829</v>
      </c>
      <c r="D1063" s="7" t="s">
        <v>4607</v>
      </c>
      <c r="E1063" s="6" t="s">
        <v>4838</v>
      </c>
      <c r="F1063" s="7" t="s">
        <v>4368</v>
      </c>
      <c r="G1063" s="7" t="s">
        <v>4367</v>
      </c>
      <c r="H1063" s="5" t="s">
        <v>197</v>
      </c>
      <c r="I1063" s="6" t="s">
        <v>198</v>
      </c>
      <c r="J1063" s="7" t="s">
        <v>11</v>
      </c>
      <c r="K1063" s="36">
        <v>0.18</v>
      </c>
      <c r="L1063" s="37">
        <v>617</v>
      </c>
    </row>
    <row r="1064" spans="1:12" ht="19.95" customHeight="1" x14ac:dyDescent="0.3">
      <c r="A1064" s="2" t="s">
        <v>4403</v>
      </c>
      <c r="B1064" s="3" t="s">
        <v>4404</v>
      </c>
      <c r="C1064" s="2" t="s">
        <v>4829</v>
      </c>
      <c r="D1064" s="3" t="s">
        <v>4607</v>
      </c>
      <c r="E1064" s="2" t="s">
        <v>4838</v>
      </c>
      <c r="F1064" s="3" t="s">
        <v>4368</v>
      </c>
      <c r="G1064" s="3" t="s">
        <v>4367</v>
      </c>
      <c r="H1064" s="1" t="s">
        <v>221</v>
      </c>
      <c r="I1064" s="2" t="s">
        <v>222</v>
      </c>
      <c r="J1064" s="3" t="s">
        <v>11</v>
      </c>
      <c r="K1064" s="38">
        <v>0.36</v>
      </c>
      <c r="L1064" s="39">
        <v>738</v>
      </c>
    </row>
    <row r="1065" spans="1:12" ht="19.95" customHeight="1" x14ac:dyDescent="0.3">
      <c r="A1065" s="6" t="s">
        <v>4403</v>
      </c>
      <c r="B1065" s="7" t="s">
        <v>4404</v>
      </c>
      <c r="C1065" s="6" t="s">
        <v>4829</v>
      </c>
      <c r="D1065" s="7" t="s">
        <v>4607</v>
      </c>
      <c r="E1065" s="6" t="s">
        <v>4838</v>
      </c>
      <c r="F1065" s="7" t="s">
        <v>4368</v>
      </c>
      <c r="G1065" s="7" t="s">
        <v>4367</v>
      </c>
      <c r="H1065" s="5" t="s">
        <v>223</v>
      </c>
      <c r="I1065" s="6" t="s">
        <v>224</v>
      </c>
      <c r="J1065" s="7" t="s">
        <v>11</v>
      </c>
      <c r="K1065" s="36">
        <v>0.36</v>
      </c>
      <c r="L1065" s="37">
        <v>679</v>
      </c>
    </row>
    <row r="1066" spans="1:12" ht="19.95" customHeight="1" x14ac:dyDescent="0.3">
      <c r="A1066" s="2" t="s">
        <v>4403</v>
      </c>
      <c r="B1066" s="3" t="s">
        <v>4404</v>
      </c>
      <c r="C1066" s="2" t="s">
        <v>4829</v>
      </c>
      <c r="D1066" s="3" t="s">
        <v>4607</v>
      </c>
      <c r="E1066" s="2" t="s">
        <v>4838</v>
      </c>
      <c r="F1066" s="3" t="s">
        <v>4368</v>
      </c>
      <c r="G1066" s="3" t="s">
        <v>4367</v>
      </c>
      <c r="H1066" s="1" t="s">
        <v>211</v>
      </c>
      <c r="I1066" s="2" t="s">
        <v>212</v>
      </c>
      <c r="J1066" s="3" t="s">
        <v>11</v>
      </c>
      <c r="K1066" s="38">
        <v>1.37</v>
      </c>
      <c r="L1066" s="39">
        <v>558</v>
      </c>
    </row>
    <row r="1067" spans="1:12" ht="19.95" customHeight="1" x14ac:dyDescent="0.3">
      <c r="A1067" s="6" t="s">
        <v>4403</v>
      </c>
      <c r="B1067" s="7" t="s">
        <v>4404</v>
      </c>
      <c r="C1067" s="6" t="s">
        <v>4829</v>
      </c>
      <c r="D1067" s="7" t="s">
        <v>4607</v>
      </c>
      <c r="E1067" s="6" t="s">
        <v>4838</v>
      </c>
      <c r="F1067" s="7" t="s">
        <v>4368</v>
      </c>
      <c r="G1067" s="7" t="s">
        <v>4367</v>
      </c>
      <c r="H1067" s="5" t="s">
        <v>197</v>
      </c>
      <c r="I1067" s="6" t="s">
        <v>198</v>
      </c>
      <c r="J1067" s="7" t="s">
        <v>11</v>
      </c>
      <c r="K1067" s="36">
        <v>0.2</v>
      </c>
      <c r="L1067" s="37">
        <v>617</v>
      </c>
    </row>
    <row r="1068" spans="1:12" ht="19.95" customHeight="1" x14ac:dyDescent="0.3">
      <c r="A1068" s="2" t="s">
        <v>4403</v>
      </c>
      <c r="B1068" s="3" t="s">
        <v>4404</v>
      </c>
      <c r="C1068" s="2" t="s">
        <v>4829</v>
      </c>
      <c r="D1068" s="3" t="s">
        <v>4607</v>
      </c>
      <c r="E1068" s="2" t="s">
        <v>4838</v>
      </c>
      <c r="F1068" s="3" t="s">
        <v>4368</v>
      </c>
      <c r="G1068" s="3" t="s">
        <v>4367</v>
      </c>
      <c r="H1068" s="1" t="s">
        <v>221</v>
      </c>
      <c r="I1068" s="2" t="s">
        <v>222</v>
      </c>
      <c r="J1068" s="3" t="s">
        <v>11</v>
      </c>
      <c r="K1068" s="38">
        <v>0.6</v>
      </c>
      <c r="L1068" s="39">
        <v>738</v>
      </c>
    </row>
    <row r="1069" spans="1:12" ht="19.95" customHeight="1" x14ac:dyDescent="0.3">
      <c r="A1069" s="6" t="s">
        <v>4403</v>
      </c>
      <c r="B1069" s="7" t="s">
        <v>4404</v>
      </c>
      <c r="C1069" s="6" t="s">
        <v>4829</v>
      </c>
      <c r="D1069" s="7" t="s">
        <v>4607</v>
      </c>
      <c r="E1069" s="6" t="s">
        <v>4838</v>
      </c>
      <c r="F1069" s="7" t="s">
        <v>4368</v>
      </c>
      <c r="G1069" s="7" t="s">
        <v>4367</v>
      </c>
      <c r="H1069" s="5" t="s">
        <v>223</v>
      </c>
      <c r="I1069" s="6" t="s">
        <v>224</v>
      </c>
      <c r="J1069" s="7" t="s">
        <v>11</v>
      </c>
      <c r="K1069" s="36">
        <v>0.6</v>
      </c>
      <c r="L1069" s="37">
        <v>679</v>
      </c>
    </row>
    <row r="1070" spans="1:12" ht="19.95" customHeight="1" x14ac:dyDescent="0.3">
      <c r="A1070" s="2" t="s">
        <v>4403</v>
      </c>
      <c r="B1070" s="3" t="s">
        <v>4404</v>
      </c>
      <c r="C1070" s="2" t="s">
        <v>4829</v>
      </c>
      <c r="D1070" s="3" t="s">
        <v>4607</v>
      </c>
      <c r="E1070" s="2" t="s">
        <v>4838</v>
      </c>
      <c r="F1070" s="3" t="s">
        <v>4368</v>
      </c>
      <c r="G1070" s="3" t="s">
        <v>4367</v>
      </c>
      <c r="H1070" s="1" t="s">
        <v>211</v>
      </c>
      <c r="I1070" s="2" t="s">
        <v>212</v>
      </c>
      <c r="J1070" s="3" t="s">
        <v>11</v>
      </c>
      <c r="K1070" s="38">
        <v>2</v>
      </c>
      <c r="L1070" s="39">
        <v>558</v>
      </c>
    </row>
    <row r="1071" spans="1:12" ht="19.95" customHeight="1" x14ac:dyDescent="0.3">
      <c r="A1071" s="6" t="s">
        <v>4403</v>
      </c>
      <c r="B1071" s="7" t="s">
        <v>4404</v>
      </c>
      <c r="C1071" s="6" t="s">
        <v>4829</v>
      </c>
      <c r="D1071" s="7" t="s">
        <v>4607</v>
      </c>
      <c r="E1071" s="6" t="s">
        <v>4838</v>
      </c>
      <c r="F1071" s="7" t="s">
        <v>4368</v>
      </c>
      <c r="G1071" s="7" t="s">
        <v>4367</v>
      </c>
      <c r="H1071" s="5" t="s">
        <v>197</v>
      </c>
      <c r="I1071" s="6" t="s">
        <v>198</v>
      </c>
      <c r="J1071" s="7" t="s">
        <v>11</v>
      </c>
      <c r="K1071" s="36">
        <v>0.7</v>
      </c>
      <c r="L1071" s="37">
        <v>617</v>
      </c>
    </row>
    <row r="1072" spans="1:12" ht="19.95" customHeight="1" x14ac:dyDescent="0.3">
      <c r="A1072" s="2" t="s">
        <v>4403</v>
      </c>
      <c r="B1072" s="3" t="s">
        <v>4404</v>
      </c>
      <c r="C1072" s="2" t="s">
        <v>4829</v>
      </c>
      <c r="D1072" s="3" t="s">
        <v>4607</v>
      </c>
      <c r="E1072" s="2" t="s">
        <v>4838</v>
      </c>
      <c r="F1072" s="3" t="s">
        <v>4368</v>
      </c>
      <c r="G1072" s="3" t="s">
        <v>4367</v>
      </c>
      <c r="H1072" s="1" t="s">
        <v>211</v>
      </c>
      <c r="I1072" s="2" t="s">
        <v>212</v>
      </c>
      <c r="J1072" s="3" t="s">
        <v>11</v>
      </c>
      <c r="K1072" s="38">
        <v>1.29</v>
      </c>
      <c r="L1072" s="39">
        <v>558</v>
      </c>
    </row>
    <row r="1073" spans="1:12" ht="19.95" customHeight="1" x14ac:dyDescent="0.3">
      <c r="A1073" s="6" t="s">
        <v>4403</v>
      </c>
      <c r="B1073" s="7" t="s">
        <v>4404</v>
      </c>
      <c r="C1073" s="6" t="s">
        <v>4829</v>
      </c>
      <c r="D1073" s="7" t="s">
        <v>4706</v>
      </c>
      <c r="E1073" s="6" t="s">
        <v>4840</v>
      </c>
      <c r="F1073" s="7" t="s">
        <v>4368</v>
      </c>
      <c r="G1073" s="7" t="s">
        <v>4367</v>
      </c>
      <c r="H1073" s="5" t="s">
        <v>211</v>
      </c>
      <c r="I1073" s="6" t="s">
        <v>212</v>
      </c>
      <c r="J1073" s="7" t="s">
        <v>11</v>
      </c>
      <c r="K1073" s="36">
        <v>1.1299999999999999</v>
      </c>
      <c r="L1073" s="37">
        <v>558</v>
      </c>
    </row>
    <row r="1074" spans="1:12" ht="19.95" customHeight="1" x14ac:dyDescent="0.3">
      <c r="A1074" s="2" t="s">
        <v>4403</v>
      </c>
      <c r="B1074" s="3" t="s">
        <v>4404</v>
      </c>
      <c r="C1074" s="2" t="s">
        <v>4829</v>
      </c>
      <c r="D1074" s="3" t="s">
        <v>4826</v>
      </c>
      <c r="E1074" s="2" t="s">
        <v>4841</v>
      </c>
      <c r="F1074" s="3" t="s">
        <v>4368</v>
      </c>
      <c r="G1074" s="3" t="s">
        <v>4367</v>
      </c>
      <c r="H1074" s="1" t="s">
        <v>221</v>
      </c>
      <c r="I1074" s="2" t="s">
        <v>222</v>
      </c>
      <c r="J1074" s="3" t="s">
        <v>11</v>
      </c>
      <c r="K1074" s="38">
        <v>0.53</v>
      </c>
      <c r="L1074" s="39">
        <v>738</v>
      </c>
    </row>
    <row r="1075" spans="1:12" ht="19.95" customHeight="1" x14ac:dyDescent="0.3">
      <c r="A1075" s="6" t="s">
        <v>4403</v>
      </c>
      <c r="B1075" s="7" t="s">
        <v>4404</v>
      </c>
      <c r="C1075" s="6" t="s">
        <v>4829</v>
      </c>
      <c r="D1075" s="7" t="s">
        <v>4826</v>
      </c>
      <c r="E1075" s="6" t="s">
        <v>4841</v>
      </c>
      <c r="F1075" s="7" t="s">
        <v>4368</v>
      </c>
      <c r="G1075" s="7" t="s">
        <v>4367</v>
      </c>
      <c r="H1075" s="5" t="s">
        <v>223</v>
      </c>
      <c r="I1075" s="6" t="s">
        <v>224</v>
      </c>
      <c r="J1075" s="7" t="s">
        <v>11</v>
      </c>
      <c r="K1075" s="36">
        <v>0.53</v>
      </c>
      <c r="L1075" s="37">
        <v>679</v>
      </c>
    </row>
    <row r="1076" spans="1:12" ht="19.95" customHeight="1" x14ac:dyDescent="0.3">
      <c r="A1076" s="2" t="s">
        <v>4403</v>
      </c>
      <c r="B1076" s="3" t="s">
        <v>4404</v>
      </c>
      <c r="C1076" s="2" t="s">
        <v>4829</v>
      </c>
      <c r="D1076" s="3" t="s">
        <v>4826</v>
      </c>
      <c r="E1076" s="2" t="s">
        <v>4841</v>
      </c>
      <c r="F1076" s="3" t="s">
        <v>4368</v>
      </c>
      <c r="G1076" s="3" t="s">
        <v>4367</v>
      </c>
      <c r="H1076" s="1" t="s">
        <v>211</v>
      </c>
      <c r="I1076" s="2" t="s">
        <v>212</v>
      </c>
      <c r="J1076" s="3" t="s">
        <v>11</v>
      </c>
      <c r="K1076" s="38">
        <v>2.29</v>
      </c>
      <c r="L1076" s="39">
        <v>558</v>
      </c>
    </row>
    <row r="1077" spans="1:12" ht="19.95" customHeight="1" x14ac:dyDescent="0.3">
      <c r="A1077" s="6" t="s">
        <v>4403</v>
      </c>
      <c r="B1077" s="7" t="s">
        <v>4404</v>
      </c>
      <c r="C1077" s="6" t="s">
        <v>4829</v>
      </c>
      <c r="D1077" s="7" t="s">
        <v>4826</v>
      </c>
      <c r="E1077" s="6" t="s">
        <v>4841</v>
      </c>
      <c r="F1077" s="7" t="s">
        <v>4368</v>
      </c>
      <c r="G1077" s="7" t="s">
        <v>4367</v>
      </c>
      <c r="H1077" s="5" t="s">
        <v>197</v>
      </c>
      <c r="I1077" s="6" t="s">
        <v>198</v>
      </c>
      <c r="J1077" s="7" t="s">
        <v>11</v>
      </c>
      <c r="K1077" s="36">
        <v>0.2</v>
      </c>
      <c r="L1077" s="37">
        <v>617</v>
      </c>
    </row>
    <row r="1078" spans="1:12" ht="19.95" customHeight="1" x14ac:dyDescent="0.3">
      <c r="A1078" s="2" t="s">
        <v>4403</v>
      </c>
      <c r="B1078" s="3" t="s">
        <v>4404</v>
      </c>
      <c r="C1078" s="2" t="s">
        <v>4829</v>
      </c>
      <c r="D1078" s="3" t="s">
        <v>4826</v>
      </c>
      <c r="E1078" s="2" t="s">
        <v>4841</v>
      </c>
      <c r="F1078" s="3" t="s">
        <v>4368</v>
      </c>
      <c r="G1078" s="3" t="s">
        <v>4367</v>
      </c>
      <c r="H1078" s="1" t="s">
        <v>211</v>
      </c>
      <c r="I1078" s="2" t="s">
        <v>212</v>
      </c>
      <c r="J1078" s="3" t="s">
        <v>11</v>
      </c>
      <c r="K1078" s="38">
        <v>1.1299999999999999</v>
      </c>
      <c r="L1078" s="39">
        <v>558</v>
      </c>
    </row>
    <row r="1079" spans="1:12" ht="19.95" customHeight="1" x14ac:dyDescent="0.3">
      <c r="A1079" s="6" t="s">
        <v>4403</v>
      </c>
      <c r="B1079" s="7" t="s">
        <v>4404</v>
      </c>
      <c r="C1079" s="6" t="s">
        <v>4829</v>
      </c>
      <c r="D1079" s="7" t="s">
        <v>4826</v>
      </c>
      <c r="E1079" s="6" t="s">
        <v>4841</v>
      </c>
      <c r="F1079" s="7" t="s">
        <v>4368</v>
      </c>
      <c r="G1079" s="7" t="s">
        <v>4367</v>
      </c>
      <c r="H1079" s="5" t="s">
        <v>221</v>
      </c>
      <c r="I1079" s="6" t="s">
        <v>222</v>
      </c>
      <c r="J1079" s="7" t="s">
        <v>11</v>
      </c>
      <c r="K1079" s="36">
        <v>1.1299999999999999</v>
      </c>
      <c r="L1079" s="37">
        <v>738</v>
      </c>
    </row>
    <row r="1080" spans="1:12" ht="19.95" customHeight="1" x14ac:dyDescent="0.3">
      <c r="A1080" s="2" t="s">
        <v>4403</v>
      </c>
      <c r="B1080" s="3" t="s">
        <v>4404</v>
      </c>
      <c r="C1080" s="2" t="s">
        <v>4829</v>
      </c>
      <c r="D1080" s="3" t="s">
        <v>4826</v>
      </c>
      <c r="E1080" s="2" t="s">
        <v>4841</v>
      </c>
      <c r="F1080" s="3" t="s">
        <v>4368</v>
      </c>
      <c r="G1080" s="3" t="s">
        <v>4367</v>
      </c>
      <c r="H1080" s="1" t="s">
        <v>223</v>
      </c>
      <c r="I1080" s="2" t="s">
        <v>224</v>
      </c>
      <c r="J1080" s="3" t="s">
        <v>11</v>
      </c>
      <c r="K1080" s="38">
        <v>1.1299999999999999</v>
      </c>
      <c r="L1080" s="39">
        <v>679</v>
      </c>
    </row>
    <row r="1081" spans="1:12" ht="19.95" customHeight="1" x14ac:dyDescent="0.3">
      <c r="A1081" s="6" t="s">
        <v>4403</v>
      </c>
      <c r="B1081" s="7" t="s">
        <v>4404</v>
      </c>
      <c r="C1081" s="6" t="s">
        <v>4829</v>
      </c>
      <c r="D1081" s="7" t="s">
        <v>4826</v>
      </c>
      <c r="E1081" s="6" t="s">
        <v>4841</v>
      </c>
      <c r="F1081" s="7" t="s">
        <v>4368</v>
      </c>
      <c r="G1081" s="7" t="s">
        <v>4367</v>
      </c>
      <c r="H1081" s="5" t="s">
        <v>211</v>
      </c>
      <c r="I1081" s="6" t="s">
        <v>212</v>
      </c>
      <c r="J1081" s="7" t="s">
        <v>11</v>
      </c>
      <c r="K1081" s="36">
        <v>4.42</v>
      </c>
      <c r="L1081" s="37">
        <v>558</v>
      </c>
    </row>
    <row r="1082" spans="1:12" ht="19.95" customHeight="1" x14ac:dyDescent="0.3">
      <c r="A1082" s="2" t="s">
        <v>4403</v>
      </c>
      <c r="B1082" s="3" t="s">
        <v>4404</v>
      </c>
      <c r="C1082" s="2" t="s">
        <v>4829</v>
      </c>
      <c r="D1082" s="3" t="s">
        <v>4826</v>
      </c>
      <c r="E1082" s="2" t="s">
        <v>4841</v>
      </c>
      <c r="F1082" s="3" t="s">
        <v>4368</v>
      </c>
      <c r="G1082" s="3" t="s">
        <v>4367</v>
      </c>
      <c r="H1082" s="1" t="s">
        <v>197</v>
      </c>
      <c r="I1082" s="2" t="s">
        <v>198</v>
      </c>
      <c r="J1082" s="3" t="s">
        <v>11</v>
      </c>
      <c r="K1082" s="38">
        <v>0.2</v>
      </c>
      <c r="L1082" s="39">
        <v>617</v>
      </c>
    </row>
    <row r="1083" spans="1:12" ht="19.95" customHeight="1" x14ac:dyDescent="0.3">
      <c r="A1083" s="6" t="s">
        <v>4403</v>
      </c>
      <c r="B1083" s="7" t="s">
        <v>4404</v>
      </c>
      <c r="C1083" s="6" t="s">
        <v>4829</v>
      </c>
      <c r="D1083" s="7" t="s">
        <v>4826</v>
      </c>
      <c r="E1083" s="6" t="s">
        <v>4841</v>
      </c>
      <c r="F1083" s="7" t="s">
        <v>4368</v>
      </c>
      <c r="G1083" s="7" t="s">
        <v>4367</v>
      </c>
      <c r="H1083" s="5" t="s">
        <v>211</v>
      </c>
      <c r="I1083" s="6" t="s">
        <v>212</v>
      </c>
      <c r="J1083" s="7" t="s">
        <v>11</v>
      </c>
      <c r="K1083" s="36">
        <v>1.1299999999999999</v>
      </c>
      <c r="L1083" s="37">
        <v>558</v>
      </c>
    </row>
    <row r="1084" spans="1:12" ht="19.95" customHeight="1" x14ac:dyDescent="0.3">
      <c r="A1084" s="2" t="s">
        <v>4403</v>
      </c>
      <c r="B1084" s="3" t="s">
        <v>4404</v>
      </c>
      <c r="C1084" s="2" t="s">
        <v>4829</v>
      </c>
      <c r="D1084" s="3" t="s">
        <v>4826</v>
      </c>
      <c r="E1084" s="2" t="s">
        <v>4841</v>
      </c>
      <c r="F1084" s="3" t="s">
        <v>4368</v>
      </c>
      <c r="G1084" s="3" t="s">
        <v>4367</v>
      </c>
      <c r="H1084" s="1" t="s">
        <v>221</v>
      </c>
      <c r="I1084" s="2" t="s">
        <v>222</v>
      </c>
      <c r="J1084" s="3" t="s">
        <v>11</v>
      </c>
      <c r="K1084" s="38">
        <v>0.79</v>
      </c>
      <c r="L1084" s="39">
        <v>738</v>
      </c>
    </row>
    <row r="1085" spans="1:12" ht="19.95" customHeight="1" x14ac:dyDescent="0.3">
      <c r="A1085" s="6" t="s">
        <v>4403</v>
      </c>
      <c r="B1085" s="7" t="s">
        <v>4404</v>
      </c>
      <c r="C1085" s="6" t="s">
        <v>4829</v>
      </c>
      <c r="D1085" s="7" t="s">
        <v>4826</v>
      </c>
      <c r="E1085" s="6" t="s">
        <v>4841</v>
      </c>
      <c r="F1085" s="7" t="s">
        <v>4368</v>
      </c>
      <c r="G1085" s="7" t="s">
        <v>4367</v>
      </c>
      <c r="H1085" s="5" t="s">
        <v>223</v>
      </c>
      <c r="I1085" s="6" t="s">
        <v>224</v>
      </c>
      <c r="J1085" s="7" t="s">
        <v>11</v>
      </c>
      <c r="K1085" s="36">
        <v>0.79</v>
      </c>
      <c r="L1085" s="37">
        <v>679</v>
      </c>
    </row>
    <row r="1086" spans="1:12" ht="19.95" customHeight="1" x14ac:dyDescent="0.3">
      <c r="A1086" s="2" t="s">
        <v>4403</v>
      </c>
      <c r="B1086" s="3" t="s">
        <v>4404</v>
      </c>
      <c r="C1086" s="2" t="s">
        <v>4829</v>
      </c>
      <c r="D1086" s="3" t="s">
        <v>4826</v>
      </c>
      <c r="E1086" s="2" t="s">
        <v>4841</v>
      </c>
      <c r="F1086" s="3" t="s">
        <v>4368</v>
      </c>
      <c r="G1086" s="3" t="s">
        <v>4367</v>
      </c>
      <c r="H1086" s="1" t="s">
        <v>211</v>
      </c>
      <c r="I1086" s="2" t="s">
        <v>212</v>
      </c>
      <c r="J1086" s="3" t="s">
        <v>11</v>
      </c>
      <c r="K1086" s="38">
        <v>3.21</v>
      </c>
      <c r="L1086" s="39">
        <v>558</v>
      </c>
    </row>
    <row r="1087" spans="1:12" ht="19.95" customHeight="1" x14ac:dyDescent="0.3">
      <c r="A1087" s="6" t="s">
        <v>4403</v>
      </c>
      <c r="B1087" s="7" t="s">
        <v>4404</v>
      </c>
      <c r="C1087" s="6" t="s">
        <v>4829</v>
      </c>
      <c r="D1087" s="7" t="s">
        <v>4826</v>
      </c>
      <c r="E1087" s="6" t="s">
        <v>4841</v>
      </c>
      <c r="F1087" s="7" t="s">
        <v>4368</v>
      </c>
      <c r="G1087" s="7" t="s">
        <v>4367</v>
      </c>
      <c r="H1087" s="5" t="s">
        <v>197</v>
      </c>
      <c r="I1087" s="6" t="s">
        <v>198</v>
      </c>
      <c r="J1087" s="7" t="s">
        <v>11</v>
      </c>
      <c r="K1087" s="36">
        <v>0.2</v>
      </c>
      <c r="L1087" s="37">
        <v>617</v>
      </c>
    </row>
    <row r="1088" spans="1:12" ht="19.95" customHeight="1" x14ac:dyDescent="0.3">
      <c r="A1088" s="2" t="s">
        <v>4403</v>
      </c>
      <c r="B1088" s="3" t="s">
        <v>4404</v>
      </c>
      <c r="C1088" s="2" t="s">
        <v>4829</v>
      </c>
      <c r="D1088" s="3" t="s">
        <v>4826</v>
      </c>
      <c r="E1088" s="2" t="s">
        <v>4841</v>
      </c>
      <c r="F1088" s="3" t="s">
        <v>4368</v>
      </c>
      <c r="G1088" s="3" t="s">
        <v>4367</v>
      </c>
      <c r="H1088" s="1" t="s">
        <v>211</v>
      </c>
      <c r="I1088" s="2" t="s">
        <v>212</v>
      </c>
      <c r="J1088" s="3" t="s">
        <v>11</v>
      </c>
      <c r="K1088" s="38">
        <v>1.1299999999999999</v>
      </c>
      <c r="L1088" s="39">
        <v>558</v>
      </c>
    </row>
    <row r="1089" spans="1:12" ht="19.95" customHeight="1" x14ac:dyDescent="0.3">
      <c r="A1089" s="6" t="s">
        <v>4403</v>
      </c>
      <c r="B1089" s="7" t="s">
        <v>4404</v>
      </c>
      <c r="C1089" s="6" t="s">
        <v>4829</v>
      </c>
      <c r="D1089" s="7" t="s">
        <v>4826</v>
      </c>
      <c r="E1089" s="6" t="s">
        <v>4841</v>
      </c>
      <c r="F1089" s="7" t="s">
        <v>4368</v>
      </c>
      <c r="G1089" s="7" t="s">
        <v>4367</v>
      </c>
      <c r="H1089" s="5" t="s">
        <v>221</v>
      </c>
      <c r="I1089" s="6" t="s">
        <v>222</v>
      </c>
      <c r="J1089" s="7" t="s">
        <v>11</v>
      </c>
      <c r="K1089" s="36">
        <v>1.5</v>
      </c>
      <c r="L1089" s="37">
        <v>738</v>
      </c>
    </row>
    <row r="1090" spans="1:12" ht="19.95" customHeight="1" x14ac:dyDescent="0.3">
      <c r="A1090" s="2" t="s">
        <v>4403</v>
      </c>
      <c r="B1090" s="3" t="s">
        <v>4404</v>
      </c>
      <c r="C1090" s="2" t="s">
        <v>4829</v>
      </c>
      <c r="D1090" s="3" t="s">
        <v>4826</v>
      </c>
      <c r="E1090" s="2" t="s">
        <v>4841</v>
      </c>
      <c r="F1090" s="3" t="s">
        <v>4368</v>
      </c>
      <c r="G1090" s="3" t="s">
        <v>4367</v>
      </c>
      <c r="H1090" s="1" t="s">
        <v>223</v>
      </c>
      <c r="I1090" s="2" t="s">
        <v>224</v>
      </c>
      <c r="J1090" s="3" t="s">
        <v>11</v>
      </c>
      <c r="K1090" s="38">
        <v>1.5</v>
      </c>
      <c r="L1090" s="39">
        <v>679</v>
      </c>
    </row>
    <row r="1091" spans="1:12" ht="19.95" customHeight="1" x14ac:dyDescent="0.3">
      <c r="A1091" s="6" t="s">
        <v>4403</v>
      </c>
      <c r="B1091" s="7" t="s">
        <v>4404</v>
      </c>
      <c r="C1091" s="6" t="s">
        <v>4829</v>
      </c>
      <c r="D1091" s="7" t="s">
        <v>4826</v>
      </c>
      <c r="E1091" s="6" t="s">
        <v>4841</v>
      </c>
      <c r="F1091" s="7" t="s">
        <v>4368</v>
      </c>
      <c r="G1091" s="7" t="s">
        <v>4367</v>
      </c>
      <c r="H1091" s="5" t="s">
        <v>211</v>
      </c>
      <c r="I1091" s="6" t="s">
        <v>212</v>
      </c>
      <c r="J1091" s="7" t="s">
        <v>11</v>
      </c>
      <c r="K1091" s="36">
        <v>5.33</v>
      </c>
      <c r="L1091" s="37">
        <v>558</v>
      </c>
    </row>
    <row r="1092" spans="1:12" ht="19.95" customHeight="1" x14ac:dyDescent="0.3">
      <c r="A1092" s="2" t="s">
        <v>4403</v>
      </c>
      <c r="B1092" s="3" t="s">
        <v>4404</v>
      </c>
      <c r="C1092" s="2" t="s">
        <v>4829</v>
      </c>
      <c r="D1092" s="3" t="s">
        <v>4826</v>
      </c>
      <c r="E1092" s="2" t="s">
        <v>4841</v>
      </c>
      <c r="F1092" s="3" t="s">
        <v>4368</v>
      </c>
      <c r="G1092" s="3" t="s">
        <v>4367</v>
      </c>
      <c r="H1092" s="1" t="s">
        <v>197</v>
      </c>
      <c r="I1092" s="2" t="s">
        <v>198</v>
      </c>
      <c r="J1092" s="3" t="s">
        <v>11</v>
      </c>
      <c r="K1092" s="38">
        <v>0.2</v>
      </c>
      <c r="L1092" s="39">
        <v>617</v>
      </c>
    </row>
    <row r="1093" spans="1:12" ht="19.95" customHeight="1" x14ac:dyDescent="0.3">
      <c r="A1093" s="6" t="s">
        <v>4403</v>
      </c>
      <c r="B1093" s="7" t="s">
        <v>4404</v>
      </c>
      <c r="C1093" s="6" t="s">
        <v>4829</v>
      </c>
      <c r="D1093" s="7" t="s">
        <v>4826</v>
      </c>
      <c r="E1093" s="6" t="s">
        <v>4841</v>
      </c>
      <c r="F1093" s="7" t="s">
        <v>4368</v>
      </c>
      <c r="G1093" s="7" t="s">
        <v>4367</v>
      </c>
      <c r="H1093" s="5" t="s">
        <v>211</v>
      </c>
      <c r="I1093" s="6" t="s">
        <v>212</v>
      </c>
      <c r="J1093" s="7" t="s">
        <v>11</v>
      </c>
      <c r="K1093" s="36">
        <v>1.1299999999999999</v>
      </c>
      <c r="L1093" s="37">
        <v>558</v>
      </c>
    </row>
    <row r="1094" spans="1:12" ht="19.95" customHeight="1" x14ac:dyDescent="0.3">
      <c r="A1094" s="2" t="s">
        <v>4403</v>
      </c>
      <c r="B1094" s="3" t="s">
        <v>4404</v>
      </c>
      <c r="C1094" s="2" t="s">
        <v>4829</v>
      </c>
      <c r="D1094" s="3" t="s">
        <v>4826</v>
      </c>
      <c r="E1094" s="2" t="s">
        <v>4841</v>
      </c>
      <c r="F1094" s="3" t="s">
        <v>4368</v>
      </c>
      <c r="G1094" s="3" t="s">
        <v>4367</v>
      </c>
      <c r="H1094" s="1" t="s">
        <v>221</v>
      </c>
      <c r="I1094" s="2" t="s">
        <v>222</v>
      </c>
      <c r="J1094" s="3" t="s">
        <v>11</v>
      </c>
      <c r="K1094" s="38">
        <v>0.42</v>
      </c>
      <c r="L1094" s="39">
        <v>738</v>
      </c>
    </row>
    <row r="1095" spans="1:12" ht="19.95" customHeight="1" x14ac:dyDescent="0.3">
      <c r="A1095" s="6" t="s">
        <v>4403</v>
      </c>
      <c r="B1095" s="7" t="s">
        <v>4404</v>
      </c>
      <c r="C1095" s="6" t="s">
        <v>4829</v>
      </c>
      <c r="D1095" s="7" t="s">
        <v>4826</v>
      </c>
      <c r="E1095" s="6" t="s">
        <v>4841</v>
      </c>
      <c r="F1095" s="7" t="s">
        <v>4368</v>
      </c>
      <c r="G1095" s="7" t="s">
        <v>4367</v>
      </c>
      <c r="H1095" s="5" t="s">
        <v>223</v>
      </c>
      <c r="I1095" s="6" t="s">
        <v>224</v>
      </c>
      <c r="J1095" s="7" t="s">
        <v>11</v>
      </c>
      <c r="K1095" s="36">
        <v>0.42</v>
      </c>
      <c r="L1095" s="37">
        <v>679</v>
      </c>
    </row>
    <row r="1096" spans="1:12" ht="19.95" customHeight="1" x14ac:dyDescent="0.3">
      <c r="A1096" s="2" t="s">
        <v>4403</v>
      </c>
      <c r="B1096" s="3" t="s">
        <v>4404</v>
      </c>
      <c r="C1096" s="2" t="s">
        <v>4829</v>
      </c>
      <c r="D1096" s="3" t="s">
        <v>4826</v>
      </c>
      <c r="E1096" s="2" t="s">
        <v>4841</v>
      </c>
      <c r="F1096" s="3" t="s">
        <v>4368</v>
      </c>
      <c r="G1096" s="3" t="s">
        <v>4367</v>
      </c>
      <c r="H1096" s="1" t="s">
        <v>211</v>
      </c>
      <c r="I1096" s="2" t="s">
        <v>212</v>
      </c>
      <c r="J1096" s="3" t="s">
        <v>11</v>
      </c>
      <c r="K1096" s="38">
        <v>1.86</v>
      </c>
      <c r="L1096" s="39">
        <v>558</v>
      </c>
    </row>
    <row r="1097" spans="1:12" ht="19.95" customHeight="1" x14ac:dyDescent="0.3">
      <c r="A1097" s="6" t="s">
        <v>4403</v>
      </c>
      <c r="B1097" s="7" t="s">
        <v>4404</v>
      </c>
      <c r="C1097" s="6" t="s">
        <v>4829</v>
      </c>
      <c r="D1097" s="7" t="s">
        <v>4826</v>
      </c>
      <c r="E1097" s="6" t="s">
        <v>4841</v>
      </c>
      <c r="F1097" s="7" t="s">
        <v>4368</v>
      </c>
      <c r="G1097" s="7" t="s">
        <v>4367</v>
      </c>
      <c r="H1097" s="5" t="s">
        <v>197</v>
      </c>
      <c r="I1097" s="6" t="s">
        <v>198</v>
      </c>
      <c r="J1097" s="7" t="s">
        <v>11</v>
      </c>
      <c r="K1097" s="36">
        <v>0.2</v>
      </c>
      <c r="L1097" s="37">
        <v>617</v>
      </c>
    </row>
    <row r="1098" spans="1:12" ht="19.95" customHeight="1" x14ac:dyDescent="0.3">
      <c r="A1098" s="2" t="s">
        <v>4403</v>
      </c>
      <c r="B1098" s="3" t="s">
        <v>4404</v>
      </c>
      <c r="C1098" s="2" t="s">
        <v>4829</v>
      </c>
      <c r="D1098" s="3" t="s">
        <v>4842</v>
      </c>
      <c r="E1098" s="2" t="s">
        <v>4843</v>
      </c>
      <c r="F1098" s="3" t="s">
        <v>4405</v>
      </c>
      <c r="G1098" s="3" t="s">
        <v>4367</v>
      </c>
      <c r="H1098" s="1" t="s">
        <v>205</v>
      </c>
      <c r="I1098" s="2" t="s">
        <v>206</v>
      </c>
      <c r="J1098" s="3" t="s">
        <v>11</v>
      </c>
      <c r="K1098" s="38">
        <v>28</v>
      </c>
      <c r="L1098" s="39">
        <v>679</v>
      </c>
    </row>
    <row r="1099" spans="1:12" ht="19.95" customHeight="1" x14ac:dyDescent="0.3">
      <c r="A1099" s="6" t="s">
        <v>4403</v>
      </c>
      <c r="B1099" s="7" t="s">
        <v>4404</v>
      </c>
      <c r="C1099" s="6" t="s">
        <v>4829</v>
      </c>
      <c r="D1099" s="7" t="s">
        <v>4842</v>
      </c>
      <c r="E1099" s="6" t="s">
        <v>4843</v>
      </c>
      <c r="F1099" s="7" t="s">
        <v>4405</v>
      </c>
      <c r="G1099" s="7" t="s">
        <v>4367</v>
      </c>
      <c r="H1099" s="5" t="s">
        <v>209</v>
      </c>
      <c r="I1099" s="6" t="s">
        <v>210</v>
      </c>
      <c r="J1099" s="7" t="s">
        <v>11</v>
      </c>
      <c r="K1099" s="36">
        <v>24</v>
      </c>
      <c r="L1099" s="37">
        <v>558</v>
      </c>
    </row>
    <row r="1100" spans="1:12" ht="19.95" customHeight="1" x14ac:dyDescent="0.3">
      <c r="A1100" s="2" t="s">
        <v>4403</v>
      </c>
      <c r="B1100" s="3" t="s">
        <v>4404</v>
      </c>
      <c r="C1100" s="2" t="s">
        <v>4829</v>
      </c>
      <c r="D1100" s="3" t="s">
        <v>4844</v>
      </c>
      <c r="E1100" s="2" t="s">
        <v>4845</v>
      </c>
      <c r="F1100" s="3" t="s">
        <v>4368</v>
      </c>
      <c r="G1100" s="3" t="s">
        <v>4367</v>
      </c>
      <c r="H1100" s="1" t="s">
        <v>221</v>
      </c>
      <c r="I1100" s="2" t="s">
        <v>222</v>
      </c>
      <c r="J1100" s="3" t="s">
        <v>11</v>
      </c>
      <c r="K1100" s="38">
        <v>0.12</v>
      </c>
      <c r="L1100" s="39">
        <v>738</v>
      </c>
    </row>
    <row r="1101" spans="1:12" ht="19.95" customHeight="1" x14ac:dyDescent="0.3">
      <c r="A1101" s="6" t="s">
        <v>4403</v>
      </c>
      <c r="B1101" s="7" t="s">
        <v>4404</v>
      </c>
      <c r="C1101" s="6" t="s">
        <v>4829</v>
      </c>
      <c r="D1101" s="7" t="s">
        <v>4844</v>
      </c>
      <c r="E1101" s="6" t="s">
        <v>4845</v>
      </c>
      <c r="F1101" s="7" t="s">
        <v>4368</v>
      </c>
      <c r="G1101" s="7" t="s">
        <v>4367</v>
      </c>
      <c r="H1101" s="5" t="s">
        <v>223</v>
      </c>
      <c r="I1101" s="6" t="s">
        <v>224</v>
      </c>
      <c r="J1101" s="7" t="s">
        <v>11</v>
      </c>
      <c r="K1101" s="36">
        <v>0.12</v>
      </c>
      <c r="L1101" s="37">
        <v>679</v>
      </c>
    </row>
    <row r="1102" spans="1:12" ht="19.95" customHeight="1" x14ac:dyDescent="0.3">
      <c r="A1102" s="2" t="s">
        <v>4403</v>
      </c>
      <c r="B1102" s="3" t="s">
        <v>4404</v>
      </c>
      <c r="C1102" s="2" t="s">
        <v>4829</v>
      </c>
      <c r="D1102" s="3" t="s">
        <v>4844</v>
      </c>
      <c r="E1102" s="2" t="s">
        <v>4845</v>
      </c>
      <c r="F1102" s="3" t="s">
        <v>4368</v>
      </c>
      <c r="G1102" s="3" t="s">
        <v>4367</v>
      </c>
      <c r="H1102" s="1" t="s">
        <v>209</v>
      </c>
      <c r="I1102" s="2" t="s">
        <v>210</v>
      </c>
      <c r="J1102" s="3" t="s">
        <v>11</v>
      </c>
      <c r="K1102" s="38">
        <v>0.06</v>
      </c>
      <c r="L1102" s="39">
        <v>558</v>
      </c>
    </row>
    <row r="1103" spans="1:12" ht="19.95" customHeight="1" x14ac:dyDescent="0.3">
      <c r="A1103" s="6" t="s">
        <v>4403</v>
      </c>
      <c r="B1103" s="7" t="s">
        <v>4404</v>
      </c>
      <c r="C1103" s="6" t="s">
        <v>4829</v>
      </c>
      <c r="D1103" s="7" t="s">
        <v>4846</v>
      </c>
      <c r="E1103" s="6" t="s">
        <v>4847</v>
      </c>
      <c r="F1103" s="7" t="s">
        <v>4848</v>
      </c>
      <c r="G1103" s="7" t="s">
        <v>4369</v>
      </c>
      <c r="H1103" s="5" t="s">
        <v>84</v>
      </c>
      <c r="I1103" s="6" t="s">
        <v>85</v>
      </c>
      <c r="J1103" s="7" t="s">
        <v>11</v>
      </c>
      <c r="K1103" s="36">
        <v>0.125</v>
      </c>
      <c r="L1103" s="37">
        <v>7500</v>
      </c>
    </row>
    <row r="1104" spans="1:12" ht="19.95" customHeight="1" x14ac:dyDescent="0.3">
      <c r="A1104" s="2" t="s">
        <v>4403</v>
      </c>
      <c r="B1104" s="3" t="s">
        <v>4404</v>
      </c>
      <c r="C1104" s="2" t="s">
        <v>4829</v>
      </c>
      <c r="D1104" s="3" t="s">
        <v>4849</v>
      </c>
      <c r="E1104" s="2" t="s">
        <v>4850</v>
      </c>
      <c r="F1104" s="3" t="s">
        <v>4401</v>
      </c>
      <c r="G1104" s="3" t="s">
        <v>4369</v>
      </c>
      <c r="H1104" s="1" t="s">
        <v>31</v>
      </c>
      <c r="I1104" s="2" t="s">
        <v>4394</v>
      </c>
      <c r="J1104" s="3" t="s">
        <v>11</v>
      </c>
      <c r="K1104" s="38">
        <v>0.375</v>
      </c>
      <c r="L1104" s="39">
        <v>700</v>
      </c>
    </row>
    <row r="1105" spans="1:12" ht="19.95" customHeight="1" x14ac:dyDescent="0.3">
      <c r="A1105" s="6" t="s">
        <v>4403</v>
      </c>
      <c r="B1105" s="7" t="s">
        <v>4404</v>
      </c>
      <c r="C1105" s="6" t="s">
        <v>4829</v>
      </c>
      <c r="D1105" s="7" t="s">
        <v>4849</v>
      </c>
      <c r="E1105" s="6" t="s">
        <v>4850</v>
      </c>
      <c r="F1105" s="7" t="s">
        <v>4401</v>
      </c>
      <c r="G1105" s="7" t="s">
        <v>4367</v>
      </c>
      <c r="H1105" s="5" t="s">
        <v>209</v>
      </c>
      <c r="I1105" s="6" t="s">
        <v>210</v>
      </c>
      <c r="J1105" s="7" t="s">
        <v>11</v>
      </c>
      <c r="K1105" s="36">
        <v>4</v>
      </c>
      <c r="L1105" s="37">
        <v>558</v>
      </c>
    </row>
    <row r="1106" spans="1:12" ht="19.95" customHeight="1" x14ac:dyDescent="0.3">
      <c r="A1106" s="2" t="s">
        <v>4403</v>
      </c>
      <c r="B1106" s="3" t="s">
        <v>4404</v>
      </c>
      <c r="C1106" s="2" t="s">
        <v>4829</v>
      </c>
      <c r="D1106" s="3" t="s">
        <v>4851</v>
      </c>
      <c r="E1106" s="2" t="s">
        <v>4852</v>
      </c>
      <c r="F1106" s="3" t="s">
        <v>4384</v>
      </c>
      <c r="G1106" s="3" t="s">
        <v>4367</v>
      </c>
      <c r="H1106" s="1" t="s">
        <v>221</v>
      </c>
      <c r="I1106" s="2" t="s">
        <v>222</v>
      </c>
      <c r="J1106" s="3" t="s">
        <v>11</v>
      </c>
      <c r="K1106" s="38">
        <v>0.02</v>
      </c>
      <c r="L1106" s="39">
        <v>738</v>
      </c>
    </row>
    <row r="1107" spans="1:12" ht="19.95" customHeight="1" x14ac:dyDescent="0.3">
      <c r="A1107" s="6" t="s">
        <v>4403</v>
      </c>
      <c r="B1107" s="7" t="s">
        <v>4404</v>
      </c>
      <c r="C1107" s="6" t="s">
        <v>4829</v>
      </c>
      <c r="D1107" s="7" t="s">
        <v>4851</v>
      </c>
      <c r="E1107" s="6" t="s">
        <v>4852</v>
      </c>
      <c r="F1107" s="7" t="s">
        <v>4384</v>
      </c>
      <c r="G1107" s="7" t="s">
        <v>4367</v>
      </c>
      <c r="H1107" s="5" t="s">
        <v>223</v>
      </c>
      <c r="I1107" s="6" t="s">
        <v>224</v>
      </c>
      <c r="J1107" s="7" t="s">
        <v>11</v>
      </c>
      <c r="K1107" s="36">
        <v>0.02</v>
      </c>
      <c r="L1107" s="37">
        <v>679</v>
      </c>
    </row>
    <row r="1108" spans="1:12" ht="19.95" customHeight="1" x14ac:dyDescent="0.3">
      <c r="A1108" s="2" t="s">
        <v>4403</v>
      </c>
      <c r="B1108" s="3" t="s">
        <v>4404</v>
      </c>
      <c r="C1108" s="2" t="s">
        <v>4829</v>
      </c>
      <c r="D1108" s="3" t="s">
        <v>4851</v>
      </c>
      <c r="E1108" s="2" t="s">
        <v>4852</v>
      </c>
      <c r="F1108" s="3" t="s">
        <v>4384</v>
      </c>
      <c r="G1108" s="3" t="s">
        <v>4367</v>
      </c>
      <c r="H1108" s="1" t="s">
        <v>209</v>
      </c>
      <c r="I1108" s="2" t="s">
        <v>210</v>
      </c>
      <c r="J1108" s="3" t="s">
        <v>11</v>
      </c>
      <c r="K1108" s="38">
        <v>0.25</v>
      </c>
      <c r="L1108" s="39">
        <v>558</v>
      </c>
    </row>
    <row r="1109" spans="1:12" ht="19.95" customHeight="1" x14ac:dyDescent="0.3">
      <c r="A1109" s="6" t="s">
        <v>4403</v>
      </c>
      <c r="B1109" s="7" t="s">
        <v>4404</v>
      </c>
      <c r="C1109" s="6" t="s">
        <v>4829</v>
      </c>
      <c r="D1109" s="7" t="s">
        <v>4851</v>
      </c>
      <c r="E1109" s="6" t="s">
        <v>4852</v>
      </c>
      <c r="F1109" s="7" t="s">
        <v>4384</v>
      </c>
      <c r="G1109" s="7" t="s">
        <v>4367</v>
      </c>
      <c r="H1109" s="5" t="s">
        <v>211</v>
      </c>
      <c r="I1109" s="6" t="s">
        <v>212</v>
      </c>
      <c r="J1109" s="7" t="s">
        <v>11</v>
      </c>
      <c r="K1109" s="36">
        <v>0.15</v>
      </c>
      <c r="L1109" s="37">
        <v>558</v>
      </c>
    </row>
    <row r="1110" spans="1:12" ht="19.95" customHeight="1" x14ac:dyDescent="0.3">
      <c r="A1110" s="2" t="s">
        <v>4403</v>
      </c>
      <c r="B1110" s="3" t="s">
        <v>4404</v>
      </c>
      <c r="C1110" s="2" t="s">
        <v>4829</v>
      </c>
      <c r="D1110" s="3" t="s">
        <v>4853</v>
      </c>
      <c r="E1110" s="2" t="s">
        <v>4854</v>
      </c>
      <c r="F1110" s="3" t="s">
        <v>4416</v>
      </c>
      <c r="G1110" s="3" t="s">
        <v>4367</v>
      </c>
      <c r="H1110" s="1" t="s">
        <v>221</v>
      </c>
      <c r="I1110" s="2" t="s">
        <v>222</v>
      </c>
      <c r="J1110" s="3" t="s">
        <v>11</v>
      </c>
      <c r="K1110" s="38">
        <v>0.5</v>
      </c>
      <c r="L1110" s="39">
        <v>738</v>
      </c>
    </row>
    <row r="1111" spans="1:12" ht="19.95" customHeight="1" x14ac:dyDescent="0.3">
      <c r="A1111" s="6" t="s">
        <v>4403</v>
      </c>
      <c r="B1111" s="7" t="s">
        <v>4404</v>
      </c>
      <c r="C1111" s="6" t="s">
        <v>4829</v>
      </c>
      <c r="D1111" s="7" t="s">
        <v>4853</v>
      </c>
      <c r="E1111" s="6" t="s">
        <v>4854</v>
      </c>
      <c r="F1111" s="7" t="s">
        <v>4416</v>
      </c>
      <c r="G1111" s="7" t="s">
        <v>4367</v>
      </c>
      <c r="H1111" s="5" t="s">
        <v>209</v>
      </c>
      <c r="I1111" s="6" t="s">
        <v>210</v>
      </c>
      <c r="J1111" s="7" t="s">
        <v>11</v>
      </c>
      <c r="K1111" s="36">
        <v>1</v>
      </c>
      <c r="L1111" s="37">
        <v>558</v>
      </c>
    </row>
    <row r="1112" spans="1:12" ht="19.95" customHeight="1" x14ac:dyDescent="0.3">
      <c r="A1112" s="2" t="s">
        <v>4403</v>
      </c>
      <c r="B1112" s="3" t="s">
        <v>4404</v>
      </c>
      <c r="C1112" s="2" t="s">
        <v>4829</v>
      </c>
      <c r="D1112" s="3" t="s">
        <v>4855</v>
      </c>
      <c r="E1112" s="2" t="s">
        <v>4856</v>
      </c>
      <c r="F1112" s="3" t="s">
        <v>4416</v>
      </c>
      <c r="G1112" s="3" t="s">
        <v>4367</v>
      </c>
      <c r="H1112" s="1" t="s">
        <v>211</v>
      </c>
      <c r="I1112" s="2" t="s">
        <v>212</v>
      </c>
      <c r="J1112" s="3" t="s">
        <v>11</v>
      </c>
      <c r="K1112" s="38">
        <v>1.73</v>
      </c>
      <c r="L1112" s="39">
        <v>558</v>
      </c>
    </row>
    <row r="1113" spans="1:12" ht="19.95" customHeight="1" x14ac:dyDescent="0.3">
      <c r="A1113" s="6" t="s">
        <v>4403</v>
      </c>
      <c r="B1113" s="7" t="s">
        <v>4404</v>
      </c>
      <c r="C1113" s="6" t="s">
        <v>4829</v>
      </c>
      <c r="D1113" s="7" t="s">
        <v>4857</v>
      </c>
      <c r="E1113" s="6" t="s">
        <v>4858</v>
      </c>
      <c r="F1113" s="7" t="s">
        <v>4384</v>
      </c>
      <c r="G1113" s="7" t="s">
        <v>4367</v>
      </c>
      <c r="H1113" s="5" t="s">
        <v>221</v>
      </c>
      <c r="I1113" s="6" t="s">
        <v>4787</v>
      </c>
      <c r="J1113" s="7" t="s">
        <v>11</v>
      </c>
      <c r="K1113" s="36">
        <v>0.36</v>
      </c>
      <c r="L1113" s="37">
        <v>738</v>
      </c>
    </row>
    <row r="1114" spans="1:12" ht="19.95" customHeight="1" x14ac:dyDescent="0.3">
      <c r="A1114" s="2" t="s">
        <v>4403</v>
      </c>
      <c r="B1114" s="3" t="s">
        <v>4404</v>
      </c>
      <c r="C1114" s="2" t="s">
        <v>4829</v>
      </c>
      <c r="D1114" s="3" t="s">
        <v>4857</v>
      </c>
      <c r="E1114" s="2" t="s">
        <v>4858</v>
      </c>
      <c r="F1114" s="3" t="s">
        <v>4384</v>
      </c>
      <c r="G1114" s="3" t="s">
        <v>4367</v>
      </c>
      <c r="H1114" s="1" t="s">
        <v>223</v>
      </c>
      <c r="I1114" s="2" t="s">
        <v>224</v>
      </c>
      <c r="J1114" s="3" t="s">
        <v>11</v>
      </c>
      <c r="K1114" s="38">
        <v>0.36</v>
      </c>
      <c r="L1114" s="39">
        <v>679</v>
      </c>
    </row>
    <row r="1115" spans="1:12" ht="19.95" customHeight="1" x14ac:dyDescent="0.3">
      <c r="A1115" s="6" t="s">
        <v>4403</v>
      </c>
      <c r="B1115" s="7" t="s">
        <v>4404</v>
      </c>
      <c r="C1115" s="6" t="s">
        <v>4829</v>
      </c>
      <c r="D1115" s="7" t="s">
        <v>4857</v>
      </c>
      <c r="E1115" s="6" t="s">
        <v>4858</v>
      </c>
      <c r="F1115" s="7" t="s">
        <v>4384</v>
      </c>
      <c r="G1115" s="7" t="s">
        <v>4367</v>
      </c>
      <c r="H1115" s="5" t="s">
        <v>211</v>
      </c>
      <c r="I1115" s="6" t="s">
        <v>212</v>
      </c>
      <c r="J1115" s="7" t="s">
        <v>11</v>
      </c>
      <c r="K1115" s="36">
        <v>1.37</v>
      </c>
      <c r="L1115" s="37">
        <v>558</v>
      </c>
    </row>
    <row r="1116" spans="1:12" ht="19.95" customHeight="1" x14ac:dyDescent="0.3">
      <c r="A1116" s="2" t="s">
        <v>4403</v>
      </c>
      <c r="B1116" s="3" t="s">
        <v>4404</v>
      </c>
      <c r="C1116" s="2" t="s">
        <v>4829</v>
      </c>
      <c r="D1116" s="3" t="s">
        <v>4857</v>
      </c>
      <c r="E1116" s="2" t="s">
        <v>4858</v>
      </c>
      <c r="F1116" s="3" t="s">
        <v>4384</v>
      </c>
      <c r="G1116" s="3" t="s">
        <v>4367</v>
      </c>
      <c r="H1116" s="1" t="s">
        <v>211</v>
      </c>
      <c r="I1116" s="2" t="s">
        <v>212</v>
      </c>
      <c r="J1116" s="3" t="s">
        <v>11</v>
      </c>
      <c r="K1116" s="38">
        <v>1.1299999999999999</v>
      </c>
      <c r="L1116" s="39">
        <v>558</v>
      </c>
    </row>
    <row r="1117" spans="1:12" ht="19.95" customHeight="1" x14ac:dyDescent="0.3">
      <c r="A1117" s="6" t="s">
        <v>4403</v>
      </c>
      <c r="B1117" s="7" t="s">
        <v>4404</v>
      </c>
      <c r="C1117" s="6" t="s">
        <v>4829</v>
      </c>
      <c r="D1117" s="7" t="s">
        <v>4859</v>
      </c>
      <c r="E1117" s="6" t="s">
        <v>4860</v>
      </c>
      <c r="F1117" s="7" t="s">
        <v>4636</v>
      </c>
      <c r="G1117" s="7" t="s">
        <v>4367</v>
      </c>
      <c r="H1117" s="5" t="s">
        <v>221</v>
      </c>
      <c r="I1117" s="6" t="s">
        <v>222</v>
      </c>
      <c r="J1117" s="7" t="s">
        <v>11</v>
      </c>
      <c r="K1117" s="36">
        <v>0.37</v>
      </c>
      <c r="L1117" s="37">
        <v>738</v>
      </c>
    </row>
    <row r="1118" spans="1:12" ht="19.95" customHeight="1" x14ac:dyDescent="0.3">
      <c r="A1118" s="2" t="s">
        <v>4403</v>
      </c>
      <c r="B1118" s="3" t="s">
        <v>4404</v>
      </c>
      <c r="C1118" s="2" t="s">
        <v>4829</v>
      </c>
      <c r="D1118" s="3" t="s">
        <v>4859</v>
      </c>
      <c r="E1118" s="2" t="s">
        <v>4860</v>
      </c>
      <c r="F1118" s="3" t="s">
        <v>4636</v>
      </c>
      <c r="G1118" s="3" t="s">
        <v>4367</v>
      </c>
      <c r="H1118" s="1" t="s">
        <v>223</v>
      </c>
      <c r="I1118" s="2" t="s">
        <v>224</v>
      </c>
      <c r="J1118" s="3" t="s">
        <v>11</v>
      </c>
      <c r="K1118" s="38">
        <v>0.37</v>
      </c>
      <c r="L1118" s="39">
        <v>679</v>
      </c>
    </row>
    <row r="1119" spans="1:12" ht="19.95" customHeight="1" x14ac:dyDescent="0.3">
      <c r="A1119" s="6" t="s">
        <v>4403</v>
      </c>
      <c r="B1119" s="7" t="s">
        <v>4404</v>
      </c>
      <c r="C1119" s="6" t="s">
        <v>4829</v>
      </c>
      <c r="D1119" s="7" t="s">
        <v>4859</v>
      </c>
      <c r="E1119" s="6" t="s">
        <v>4860</v>
      </c>
      <c r="F1119" s="7" t="s">
        <v>4636</v>
      </c>
      <c r="G1119" s="7" t="s">
        <v>4367</v>
      </c>
      <c r="H1119" s="5" t="s">
        <v>209</v>
      </c>
      <c r="I1119" s="6" t="s">
        <v>210</v>
      </c>
      <c r="J1119" s="7" t="s">
        <v>11</v>
      </c>
      <c r="K1119" s="36">
        <v>0.92</v>
      </c>
      <c r="L1119" s="37">
        <v>558</v>
      </c>
    </row>
    <row r="1120" spans="1:12" ht="19.95" customHeight="1" x14ac:dyDescent="0.3">
      <c r="A1120" s="2" t="s">
        <v>4407</v>
      </c>
      <c r="B1120" s="3" t="s">
        <v>4408</v>
      </c>
      <c r="C1120" s="2" t="s">
        <v>4861</v>
      </c>
      <c r="D1120" s="3" t="s">
        <v>4862</v>
      </c>
      <c r="E1120" s="2" t="s">
        <v>4863</v>
      </c>
      <c r="F1120" s="3" t="s">
        <v>4368</v>
      </c>
      <c r="G1120" s="3" t="s">
        <v>4367</v>
      </c>
      <c r="H1120" s="1" t="s">
        <v>205</v>
      </c>
      <c r="I1120" s="2" t="s">
        <v>206</v>
      </c>
      <c r="J1120" s="3" t="s">
        <v>11</v>
      </c>
      <c r="K1120" s="38">
        <v>28</v>
      </c>
      <c r="L1120" s="39">
        <v>679</v>
      </c>
    </row>
    <row r="1121" spans="1:12" ht="19.95" customHeight="1" x14ac:dyDescent="0.3">
      <c r="A1121" s="6" t="s">
        <v>4407</v>
      </c>
      <c r="B1121" s="7" t="s">
        <v>4408</v>
      </c>
      <c r="C1121" s="6" t="s">
        <v>4861</v>
      </c>
      <c r="D1121" s="7" t="s">
        <v>4862</v>
      </c>
      <c r="E1121" s="6" t="s">
        <v>4863</v>
      </c>
      <c r="F1121" s="7" t="s">
        <v>4368</v>
      </c>
      <c r="G1121" s="7" t="s">
        <v>4367</v>
      </c>
      <c r="H1121" s="5" t="s">
        <v>209</v>
      </c>
      <c r="I1121" s="6" t="s">
        <v>210</v>
      </c>
      <c r="J1121" s="7" t="s">
        <v>11</v>
      </c>
      <c r="K1121" s="36">
        <v>24</v>
      </c>
      <c r="L1121" s="37">
        <v>558</v>
      </c>
    </row>
    <row r="1122" spans="1:12" ht="19.95" customHeight="1" x14ac:dyDescent="0.3">
      <c r="A1122" s="2" t="s">
        <v>4407</v>
      </c>
      <c r="B1122" s="3" t="s">
        <v>4408</v>
      </c>
      <c r="C1122" s="2" t="s">
        <v>4861</v>
      </c>
      <c r="D1122" s="3" t="s">
        <v>4577</v>
      </c>
      <c r="E1122" s="2" t="s">
        <v>4832</v>
      </c>
      <c r="F1122" s="3" t="s">
        <v>4368</v>
      </c>
      <c r="G1122" s="3" t="s">
        <v>4367</v>
      </c>
      <c r="H1122" s="1" t="s">
        <v>225</v>
      </c>
      <c r="I1122" s="2" t="s">
        <v>4410</v>
      </c>
      <c r="J1122" s="3" t="s">
        <v>11</v>
      </c>
      <c r="K1122" s="38">
        <v>1.07</v>
      </c>
      <c r="L1122" s="39">
        <v>679</v>
      </c>
    </row>
    <row r="1123" spans="1:12" ht="19.95" customHeight="1" x14ac:dyDescent="0.3">
      <c r="A1123" s="6" t="s">
        <v>4407</v>
      </c>
      <c r="B1123" s="7" t="s">
        <v>4408</v>
      </c>
      <c r="C1123" s="6" t="s">
        <v>4861</v>
      </c>
      <c r="D1123" s="7" t="s">
        <v>4577</v>
      </c>
      <c r="E1123" s="6" t="s">
        <v>4832</v>
      </c>
      <c r="F1123" s="7" t="s">
        <v>4368</v>
      </c>
      <c r="G1123" s="7" t="s">
        <v>4367</v>
      </c>
      <c r="H1123" s="5" t="s">
        <v>209</v>
      </c>
      <c r="I1123" s="6" t="s">
        <v>210</v>
      </c>
      <c r="J1123" s="7" t="s">
        <v>11</v>
      </c>
      <c r="K1123" s="36">
        <v>1.07</v>
      </c>
      <c r="L1123" s="37">
        <v>558</v>
      </c>
    </row>
    <row r="1124" spans="1:12" ht="19.95" customHeight="1" x14ac:dyDescent="0.3">
      <c r="A1124" s="2" t="s">
        <v>4407</v>
      </c>
      <c r="B1124" s="3" t="s">
        <v>4408</v>
      </c>
      <c r="C1124" s="2" t="s">
        <v>4861</v>
      </c>
      <c r="D1124" s="3" t="s">
        <v>4577</v>
      </c>
      <c r="E1124" s="2" t="s">
        <v>4832</v>
      </c>
      <c r="F1124" s="3" t="s">
        <v>4368</v>
      </c>
      <c r="G1124" s="3" t="s">
        <v>4367</v>
      </c>
      <c r="H1124" s="1" t="s">
        <v>211</v>
      </c>
      <c r="I1124" s="2" t="s">
        <v>212</v>
      </c>
      <c r="J1124" s="3" t="s">
        <v>11</v>
      </c>
      <c r="K1124" s="38">
        <v>0.71</v>
      </c>
      <c r="L1124" s="39">
        <v>558</v>
      </c>
    </row>
    <row r="1125" spans="1:12" ht="19.95" customHeight="1" x14ac:dyDescent="0.3">
      <c r="A1125" s="6" t="s">
        <v>4407</v>
      </c>
      <c r="B1125" s="7" t="s">
        <v>4408</v>
      </c>
      <c r="C1125" s="6" t="s">
        <v>4861</v>
      </c>
      <c r="D1125" s="7" t="s">
        <v>4577</v>
      </c>
      <c r="E1125" s="6" t="s">
        <v>4832</v>
      </c>
      <c r="F1125" s="7" t="s">
        <v>4368</v>
      </c>
      <c r="G1125" s="7" t="s">
        <v>4367</v>
      </c>
      <c r="H1125" s="5" t="s">
        <v>197</v>
      </c>
      <c r="I1125" s="6" t="s">
        <v>198</v>
      </c>
      <c r="J1125" s="7" t="s">
        <v>11</v>
      </c>
      <c r="K1125" s="36">
        <v>0.09</v>
      </c>
      <c r="L1125" s="37">
        <v>617</v>
      </c>
    </row>
    <row r="1126" spans="1:12" ht="19.95" customHeight="1" x14ac:dyDescent="0.3">
      <c r="A1126" s="2" t="s">
        <v>4407</v>
      </c>
      <c r="B1126" s="3" t="s">
        <v>4408</v>
      </c>
      <c r="C1126" s="2" t="s">
        <v>4861</v>
      </c>
      <c r="D1126" s="3" t="s">
        <v>4577</v>
      </c>
      <c r="E1126" s="2" t="s">
        <v>4832</v>
      </c>
      <c r="F1126" s="3" t="s">
        <v>4368</v>
      </c>
      <c r="G1126" s="3" t="s">
        <v>4367</v>
      </c>
      <c r="H1126" s="1" t="s">
        <v>225</v>
      </c>
      <c r="I1126" s="2" t="s">
        <v>4410</v>
      </c>
      <c r="J1126" s="3" t="s">
        <v>11</v>
      </c>
      <c r="K1126" s="38">
        <v>1.34</v>
      </c>
      <c r="L1126" s="39">
        <v>679</v>
      </c>
    </row>
    <row r="1127" spans="1:12" ht="19.95" customHeight="1" x14ac:dyDescent="0.3">
      <c r="A1127" s="6" t="s">
        <v>4407</v>
      </c>
      <c r="B1127" s="7" t="s">
        <v>4408</v>
      </c>
      <c r="C1127" s="6" t="s">
        <v>4861</v>
      </c>
      <c r="D1127" s="7" t="s">
        <v>4577</v>
      </c>
      <c r="E1127" s="6" t="s">
        <v>4832</v>
      </c>
      <c r="F1127" s="7" t="s">
        <v>4368</v>
      </c>
      <c r="G1127" s="7" t="s">
        <v>4367</v>
      </c>
      <c r="H1127" s="5" t="s">
        <v>209</v>
      </c>
      <c r="I1127" s="6" t="s">
        <v>210</v>
      </c>
      <c r="J1127" s="7" t="s">
        <v>11</v>
      </c>
      <c r="K1127" s="36">
        <v>1.45</v>
      </c>
      <c r="L1127" s="37">
        <v>558</v>
      </c>
    </row>
    <row r="1128" spans="1:12" ht="19.95" customHeight="1" x14ac:dyDescent="0.3">
      <c r="A1128" s="2" t="s">
        <v>4407</v>
      </c>
      <c r="B1128" s="3" t="s">
        <v>4408</v>
      </c>
      <c r="C1128" s="2" t="s">
        <v>4861</v>
      </c>
      <c r="D1128" s="3" t="s">
        <v>4577</v>
      </c>
      <c r="E1128" s="2" t="s">
        <v>4832</v>
      </c>
      <c r="F1128" s="3" t="s">
        <v>4368</v>
      </c>
      <c r="G1128" s="3" t="s">
        <v>4367</v>
      </c>
      <c r="H1128" s="1" t="s">
        <v>211</v>
      </c>
      <c r="I1128" s="2" t="s">
        <v>212</v>
      </c>
      <c r="J1128" s="3" t="s">
        <v>11</v>
      </c>
      <c r="K1128" s="38">
        <v>0.71</v>
      </c>
      <c r="L1128" s="39">
        <v>558</v>
      </c>
    </row>
    <row r="1129" spans="1:12" ht="19.95" customHeight="1" x14ac:dyDescent="0.3">
      <c r="A1129" s="6" t="s">
        <v>4407</v>
      </c>
      <c r="B1129" s="7" t="s">
        <v>4408</v>
      </c>
      <c r="C1129" s="6" t="s">
        <v>4861</v>
      </c>
      <c r="D1129" s="7" t="s">
        <v>4577</v>
      </c>
      <c r="E1129" s="6" t="s">
        <v>4832</v>
      </c>
      <c r="F1129" s="7" t="s">
        <v>4368</v>
      </c>
      <c r="G1129" s="7" t="s">
        <v>4367</v>
      </c>
      <c r="H1129" s="5" t="s">
        <v>197</v>
      </c>
      <c r="I1129" s="6" t="s">
        <v>198</v>
      </c>
      <c r="J1129" s="7" t="s">
        <v>11</v>
      </c>
      <c r="K1129" s="36">
        <v>0.09</v>
      </c>
      <c r="L1129" s="37">
        <v>617</v>
      </c>
    </row>
    <row r="1130" spans="1:12" ht="19.95" customHeight="1" x14ac:dyDescent="0.3">
      <c r="A1130" s="2" t="s">
        <v>4407</v>
      </c>
      <c r="B1130" s="3" t="s">
        <v>4408</v>
      </c>
      <c r="C1130" s="2" t="s">
        <v>4861</v>
      </c>
      <c r="D1130" s="3" t="s">
        <v>4577</v>
      </c>
      <c r="E1130" s="2" t="s">
        <v>4832</v>
      </c>
      <c r="F1130" s="3" t="s">
        <v>4368</v>
      </c>
      <c r="G1130" s="3" t="s">
        <v>4367</v>
      </c>
      <c r="H1130" s="1" t="s">
        <v>211</v>
      </c>
      <c r="I1130" s="2" t="s">
        <v>212</v>
      </c>
      <c r="J1130" s="3" t="s">
        <v>11</v>
      </c>
      <c r="K1130" s="38">
        <v>1.1299999999999999</v>
      </c>
      <c r="L1130" s="39">
        <v>558</v>
      </c>
    </row>
    <row r="1131" spans="1:12" ht="19.95" customHeight="1" x14ac:dyDescent="0.3">
      <c r="A1131" s="6" t="s">
        <v>4407</v>
      </c>
      <c r="B1131" s="7" t="s">
        <v>4408</v>
      </c>
      <c r="C1131" s="6" t="s">
        <v>4861</v>
      </c>
      <c r="D1131" s="7" t="s">
        <v>4577</v>
      </c>
      <c r="E1131" s="6" t="s">
        <v>4832</v>
      </c>
      <c r="F1131" s="7" t="s">
        <v>4368</v>
      </c>
      <c r="G1131" s="7" t="s">
        <v>4367</v>
      </c>
      <c r="H1131" s="5" t="s">
        <v>225</v>
      </c>
      <c r="I1131" s="6" t="s">
        <v>4410</v>
      </c>
      <c r="J1131" s="7" t="s">
        <v>11</v>
      </c>
      <c r="K1131" s="36">
        <v>2.12</v>
      </c>
      <c r="L1131" s="37">
        <v>679</v>
      </c>
    </row>
    <row r="1132" spans="1:12" ht="19.95" customHeight="1" x14ac:dyDescent="0.3">
      <c r="A1132" s="2" t="s">
        <v>4407</v>
      </c>
      <c r="B1132" s="3" t="s">
        <v>4408</v>
      </c>
      <c r="C1132" s="2" t="s">
        <v>4861</v>
      </c>
      <c r="D1132" s="3" t="s">
        <v>4577</v>
      </c>
      <c r="E1132" s="2" t="s">
        <v>4832</v>
      </c>
      <c r="F1132" s="3" t="s">
        <v>4368</v>
      </c>
      <c r="G1132" s="3" t="s">
        <v>4367</v>
      </c>
      <c r="H1132" s="1" t="s">
        <v>209</v>
      </c>
      <c r="I1132" s="2" t="s">
        <v>210</v>
      </c>
      <c r="J1132" s="3" t="s">
        <v>11</v>
      </c>
      <c r="K1132" s="38">
        <v>1.24</v>
      </c>
      <c r="L1132" s="39">
        <v>558</v>
      </c>
    </row>
    <row r="1133" spans="1:12" ht="19.95" customHeight="1" x14ac:dyDescent="0.3">
      <c r="A1133" s="6" t="s">
        <v>4407</v>
      </c>
      <c r="B1133" s="7" t="s">
        <v>4408</v>
      </c>
      <c r="C1133" s="6" t="s">
        <v>4861</v>
      </c>
      <c r="D1133" s="7" t="s">
        <v>4577</v>
      </c>
      <c r="E1133" s="6" t="s">
        <v>4832</v>
      </c>
      <c r="F1133" s="7" t="s">
        <v>4368</v>
      </c>
      <c r="G1133" s="7" t="s">
        <v>4367</v>
      </c>
      <c r="H1133" s="5" t="s">
        <v>211</v>
      </c>
      <c r="I1133" s="6" t="s">
        <v>212</v>
      </c>
      <c r="J1133" s="7" t="s">
        <v>11</v>
      </c>
      <c r="K1133" s="36">
        <v>0.71</v>
      </c>
      <c r="L1133" s="37">
        <v>558</v>
      </c>
    </row>
    <row r="1134" spans="1:12" ht="19.95" customHeight="1" x14ac:dyDescent="0.3">
      <c r="A1134" s="2" t="s">
        <v>4407</v>
      </c>
      <c r="B1134" s="3" t="s">
        <v>4408</v>
      </c>
      <c r="C1134" s="2" t="s">
        <v>4861</v>
      </c>
      <c r="D1134" s="3" t="s">
        <v>4577</v>
      </c>
      <c r="E1134" s="2" t="s">
        <v>4832</v>
      </c>
      <c r="F1134" s="3" t="s">
        <v>4368</v>
      </c>
      <c r="G1134" s="3" t="s">
        <v>4367</v>
      </c>
      <c r="H1134" s="1" t="s">
        <v>197</v>
      </c>
      <c r="I1134" s="2" t="s">
        <v>198</v>
      </c>
      <c r="J1134" s="3" t="s">
        <v>11</v>
      </c>
      <c r="K1134" s="38">
        <v>0.09</v>
      </c>
      <c r="L1134" s="39">
        <v>617</v>
      </c>
    </row>
    <row r="1135" spans="1:12" ht="19.95" customHeight="1" x14ac:dyDescent="0.3">
      <c r="A1135" s="6" t="s">
        <v>4407</v>
      </c>
      <c r="B1135" s="7" t="s">
        <v>4408</v>
      </c>
      <c r="C1135" s="6" t="s">
        <v>4861</v>
      </c>
      <c r="D1135" s="7" t="s">
        <v>4577</v>
      </c>
      <c r="E1135" s="6" t="s">
        <v>4832</v>
      </c>
      <c r="F1135" s="7" t="s">
        <v>4368</v>
      </c>
      <c r="G1135" s="7" t="s">
        <v>4367</v>
      </c>
      <c r="H1135" s="5" t="s">
        <v>225</v>
      </c>
      <c r="I1135" s="6" t="s">
        <v>4410</v>
      </c>
      <c r="J1135" s="7" t="s">
        <v>11</v>
      </c>
      <c r="K1135" s="36">
        <v>1.76</v>
      </c>
      <c r="L1135" s="37">
        <v>679</v>
      </c>
    </row>
    <row r="1136" spans="1:12" ht="19.95" customHeight="1" x14ac:dyDescent="0.3">
      <c r="A1136" s="2" t="s">
        <v>4407</v>
      </c>
      <c r="B1136" s="3" t="s">
        <v>4408</v>
      </c>
      <c r="C1136" s="2" t="s">
        <v>4861</v>
      </c>
      <c r="D1136" s="3" t="s">
        <v>4577</v>
      </c>
      <c r="E1136" s="2" t="s">
        <v>4832</v>
      </c>
      <c r="F1136" s="3" t="s">
        <v>4368</v>
      </c>
      <c r="G1136" s="3" t="s">
        <v>4367</v>
      </c>
      <c r="H1136" s="1" t="s">
        <v>209</v>
      </c>
      <c r="I1136" s="2" t="s">
        <v>210</v>
      </c>
      <c r="J1136" s="3" t="s">
        <v>11</v>
      </c>
      <c r="K1136" s="38">
        <v>1.24</v>
      </c>
      <c r="L1136" s="39">
        <v>558</v>
      </c>
    </row>
    <row r="1137" spans="1:12" ht="19.95" customHeight="1" x14ac:dyDescent="0.3">
      <c r="A1137" s="6" t="s">
        <v>4407</v>
      </c>
      <c r="B1137" s="7" t="s">
        <v>4408</v>
      </c>
      <c r="C1137" s="6" t="s">
        <v>4861</v>
      </c>
      <c r="D1137" s="7" t="s">
        <v>4577</v>
      </c>
      <c r="E1137" s="6" t="s">
        <v>4832</v>
      </c>
      <c r="F1137" s="7" t="s">
        <v>4368</v>
      </c>
      <c r="G1137" s="7" t="s">
        <v>4367</v>
      </c>
      <c r="H1137" s="5" t="s">
        <v>211</v>
      </c>
      <c r="I1137" s="6" t="s">
        <v>212</v>
      </c>
      <c r="J1137" s="7" t="s">
        <v>11</v>
      </c>
      <c r="K1137" s="36">
        <v>0.71</v>
      </c>
      <c r="L1137" s="37">
        <v>558</v>
      </c>
    </row>
    <row r="1138" spans="1:12" ht="19.95" customHeight="1" x14ac:dyDescent="0.3">
      <c r="A1138" s="2" t="s">
        <v>4407</v>
      </c>
      <c r="B1138" s="3" t="s">
        <v>4408</v>
      </c>
      <c r="C1138" s="2" t="s">
        <v>4861</v>
      </c>
      <c r="D1138" s="3" t="s">
        <v>4577</v>
      </c>
      <c r="E1138" s="2" t="s">
        <v>4832</v>
      </c>
      <c r="F1138" s="3" t="s">
        <v>4368</v>
      </c>
      <c r="G1138" s="3" t="s">
        <v>4367</v>
      </c>
      <c r="H1138" s="1" t="s">
        <v>197</v>
      </c>
      <c r="I1138" s="2" t="s">
        <v>198</v>
      </c>
      <c r="J1138" s="3" t="s">
        <v>11</v>
      </c>
      <c r="K1138" s="38">
        <v>0.09</v>
      </c>
      <c r="L1138" s="39">
        <v>617</v>
      </c>
    </row>
    <row r="1139" spans="1:12" ht="19.95" customHeight="1" x14ac:dyDescent="0.3">
      <c r="A1139" s="6" t="s">
        <v>4407</v>
      </c>
      <c r="B1139" s="7" t="s">
        <v>4408</v>
      </c>
      <c r="C1139" s="6" t="s">
        <v>4861</v>
      </c>
      <c r="D1139" s="7" t="s">
        <v>4577</v>
      </c>
      <c r="E1139" s="6" t="s">
        <v>4832</v>
      </c>
      <c r="F1139" s="7" t="s">
        <v>4368</v>
      </c>
      <c r="G1139" s="7" t="s">
        <v>4367</v>
      </c>
      <c r="H1139" s="5" t="s">
        <v>225</v>
      </c>
      <c r="I1139" s="6" t="s">
        <v>4410</v>
      </c>
      <c r="J1139" s="7" t="s">
        <v>11</v>
      </c>
      <c r="K1139" s="36">
        <v>2.38</v>
      </c>
      <c r="L1139" s="37">
        <v>679</v>
      </c>
    </row>
    <row r="1140" spans="1:12" ht="19.95" customHeight="1" x14ac:dyDescent="0.3">
      <c r="A1140" s="2" t="s">
        <v>4407</v>
      </c>
      <c r="B1140" s="3" t="s">
        <v>4408</v>
      </c>
      <c r="C1140" s="2" t="s">
        <v>4861</v>
      </c>
      <c r="D1140" s="3" t="s">
        <v>4577</v>
      </c>
      <c r="E1140" s="2" t="s">
        <v>4832</v>
      </c>
      <c r="F1140" s="3" t="s">
        <v>4368</v>
      </c>
      <c r="G1140" s="3" t="s">
        <v>4367</v>
      </c>
      <c r="H1140" s="1" t="s">
        <v>209</v>
      </c>
      <c r="I1140" s="2" t="s">
        <v>210</v>
      </c>
      <c r="J1140" s="3" t="s">
        <v>11</v>
      </c>
      <c r="K1140" s="38">
        <v>1.59</v>
      </c>
      <c r="L1140" s="39">
        <v>558</v>
      </c>
    </row>
    <row r="1141" spans="1:12" ht="19.95" customHeight="1" x14ac:dyDescent="0.3">
      <c r="A1141" s="6" t="s">
        <v>4407</v>
      </c>
      <c r="B1141" s="7" t="s">
        <v>4408</v>
      </c>
      <c r="C1141" s="6" t="s">
        <v>4861</v>
      </c>
      <c r="D1141" s="7" t="s">
        <v>4577</v>
      </c>
      <c r="E1141" s="6" t="s">
        <v>4832</v>
      </c>
      <c r="F1141" s="7" t="s">
        <v>4368</v>
      </c>
      <c r="G1141" s="7" t="s">
        <v>4367</v>
      </c>
      <c r="H1141" s="5" t="s">
        <v>211</v>
      </c>
      <c r="I1141" s="6" t="s">
        <v>212</v>
      </c>
      <c r="J1141" s="7" t="s">
        <v>11</v>
      </c>
      <c r="K1141" s="36">
        <v>0.71</v>
      </c>
      <c r="L1141" s="37">
        <v>558</v>
      </c>
    </row>
    <row r="1142" spans="1:12" ht="19.95" customHeight="1" x14ac:dyDescent="0.3">
      <c r="A1142" s="2" t="s">
        <v>4407</v>
      </c>
      <c r="B1142" s="3" t="s">
        <v>4408</v>
      </c>
      <c r="C1142" s="2" t="s">
        <v>4861</v>
      </c>
      <c r="D1142" s="3" t="s">
        <v>4577</v>
      </c>
      <c r="E1142" s="2" t="s">
        <v>4832</v>
      </c>
      <c r="F1142" s="3" t="s">
        <v>4368</v>
      </c>
      <c r="G1142" s="3" t="s">
        <v>4367</v>
      </c>
      <c r="H1142" s="1" t="s">
        <v>197</v>
      </c>
      <c r="I1142" s="2" t="s">
        <v>198</v>
      </c>
      <c r="J1142" s="3" t="s">
        <v>11</v>
      </c>
      <c r="K1142" s="38">
        <v>0.09</v>
      </c>
      <c r="L1142" s="39">
        <v>617</v>
      </c>
    </row>
    <row r="1143" spans="1:12" ht="19.95" customHeight="1" x14ac:dyDescent="0.3">
      <c r="A1143" s="6" t="s">
        <v>4407</v>
      </c>
      <c r="B1143" s="7" t="s">
        <v>4408</v>
      </c>
      <c r="C1143" s="6" t="s">
        <v>4861</v>
      </c>
      <c r="D1143" s="7" t="s">
        <v>4577</v>
      </c>
      <c r="E1143" s="6" t="s">
        <v>4832</v>
      </c>
      <c r="F1143" s="7" t="s">
        <v>4368</v>
      </c>
      <c r="G1143" s="7" t="s">
        <v>4367</v>
      </c>
      <c r="H1143" s="5" t="s">
        <v>211</v>
      </c>
      <c r="I1143" s="6" t="s">
        <v>212</v>
      </c>
      <c r="J1143" s="7" t="s">
        <v>11</v>
      </c>
      <c r="K1143" s="36">
        <v>1.1299999999999999</v>
      </c>
      <c r="L1143" s="37">
        <v>558</v>
      </c>
    </row>
    <row r="1144" spans="1:12" ht="19.95" customHeight="1" x14ac:dyDescent="0.3">
      <c r="A1144" s="2" t="s">
        <v>4407</v>
      </c>
      <c r="B1144" s="3" t="s">
        <v>4408</v>
      </c>
      <c r="C1144" s="2" t="s">
        <v>4861</v>
      </c>
      <c r="D1144" s="3" t="s">
        <v>4577</v>
      </c>
      <c r="E1144" s="2" t="s">
        <v>4832</v>
      </c>
      <c r="F1144" s="3" t="s">
        <v>4368</v>
      </c>
      <c r="G1144" s="3" t="s">
        <v>4367</v>
      </c>
      <c r="H1144" s="1" t="s">
        <v>225</v>
      </c>
      <c r="I1144" s="2" t="s">
        <v>4410</v>
      </c>
      <c r="J1144" s="3" t="s">
        <v>11</v>
      </c>
      <c r="K1144" s="38">
        <v>2.02</v>
      </c>
      <c r="L1144" s="39">
        <v>679</v>
      </c>
    </row>
    <row r="1145" spans="1:12" ht="19.95" customHeight="1" x14ac:dyDescent="0.3">
      <c r="A1145" s="6" t="s">
        <v>4407</v>
      </c>
      <c r="B1145" s="7" t="s">
        <v>4408</v>
      </c>
      <c r="C1145" s="6" t="s">
        <v>4861</v>
      </c>
      <c r="D1145" s="7" t="s">
        <v>4577</v>
      </c>
      <c r="E1145" s="6" t="s">
        <v>4832</v>
      </c>
      <c r="F1145" s="7" t="s">
        <v>4368</v>
      </c>
      <c r="G1145" s="7" t="s">
        <v>4367</v>
      </c>
      <c r="H1145" s="5" t="s">
        <v>209</v>
      </c>
      <c r="I1145" s="6" t="s">
        <v>210</v>
      </c>
      <c r="J1145" s="7" t="s">
        <v>11</v>
      </c>
      <c r="K1145" s="36">
        <v>1.59</v>
      </c>
      <c r="L1145" s="37">
        <v>558</v>
      </c>
    </row>
    <row r="1146" spans="1:12" ht="19.95" customHeight="1" x14ac:dyDescent="0.3">
      <c r="A1146" s="2" t="s">
        <v>4407</v>
      </c>
      <c r="B1146" s="3" t="s">
        <v>4408</v>
      </c>
      <c r="C1146" s="2" t="s">
        <v>4861</v>
      </c>
      <c r="D1146" s="3" t="s">
        <v>4577</v>
      </c>
      <c r="E1146" s="2" t="s">
        <v>4832</v>
      </c>
      <c r="F1146" s="3" t="s">
        <v>4368</v>
      </c>
      <c r="G1146" s="3" t="s">
        <v>4367</v>
      </c>
      <c r="H1146" s="1" t="s">
        <v>211</v>
      </c>
      <c r="I1146" s="2" t="s">
        <v>212</v>
      </c>
      <c r="J1146" s="3" t="s">
        <v>11</v>
      </c>
      <c r="K1146" s="38">
        <v>0.71</v>
      </c>
      <c r="L1146" s="39">
        <v>558</v>
      </c>
    </row>
    <row r="1147" spans="1:12" ht="19.95" customHeight="1" x14ac:dyDescent="0.3">
      <c r="A1147" s="6" t="s">
        <v>4407</v>
      </c>
      <c r="B1147" s="7" t="s">
        <v>4408</v>
      </c>
      <c r="C1147" s="6" t="s">
        <v>4861</v>
      </c>
      <c r="D1147" s="7" t="s">
        <v>4577</v>
      </c>
      <c r="E1147" s="6" t="s">
        <v>4832</v>
      </c>
      <c r="F1147" s="7" t="s">
        <v>4368</v>
      </c>
      <c r="G1147" s="7" t="s">
        <v>4367</v>
      </c>
      <c r="H1147" s="5" t="s">
        <v>197</v>
      </c>
      <c r="I1147" s="6" t="s">
        <v>198</v>
      </c>
      <c r="J1147" s="7" t="s">
        <v>11</v>
      </c>
      <c r="K1147" s="36">
        <v>0.09</v>
      </c>
      <c r="L1147" s="37">
        <v>617</v>
      </c>
    </row>
    <row r="1148" spans="1:12" ht="19.95" customHeight="1" x14ac:dyDescent="0.3">
      <c r="A1148" s="2" t="s">
        <v>4407</v>
      </c>
      <c r="B1148" s="3" t="s">
        <v>4408</v>
      </c>
      <c r="C1148" s="2" t="s">
        <v>4861</v>
      </c>
      <c r="D1148" s="3" t="s">
        <v>4577</v>
      </c>
      <c r="E1148" s="2" t="s">
        <v>4832</v>
      </c>
      <c r="F1148" s="3" t="s">
        <v>4368</v>
      </c>
      <c r="G1148" s="3" t="s">
        <v>4367</v>
      </c>
      <c r="H1148" s="1" t="s">
        <v>211</v>
      </c>
      <c r="I1148" s="2" t="s">
        <v>212</v>
      </c>
      <c r="J1148" s="3" t="s">
        <v>11</v>
      </c>
      <c r="K1148" s="38">
        <v>1.1299999999999999</v>
      </c>
      <c r="L1148" s="39">
        <v>558</v>
      </c>
    </row>
    <row r="1149" spans="1:12" ht="19.95" customHeight="1" x14ac:dyDescent="0.3">
      <c r="A1149" s="6" t="s">
        <v>4407</v>
      </c>
      <c r="B1149" s="7" t="s">
        <v>4408</v>
      </c>
      <c r="C1149" s="6" t="s">
        <v>4861</v>
      </c>
      <c r="D1149" s="7" t="s">
        <v>4579</v>
      </c>
      <c r="E1149" s="6" t="s">
        <v>4864</v>
      </c>
      <c r="F1149" s="7" t="s">
        <v>4368</v>
      </c>
      <c r="G1149" s="7" t="s">
        <v>4367</v>
      </c>
      <c r="H1149" s="5" t="s">
        <v>225</v>
      </c>
      <c r="I1149" s="6" t="s">
        <v>4410</v>
      </c>
      <c r="J1149" s="7" t="s">
        <v>11</v>
      </c>
      <c r="K1149" s="36">
        <v>1</v>
      </c>
      <c r="L1149" s="37">
        <v>679</v>
      </c>
    </row>
    <row r="1150" spans="1:12" ht="19.95" customHeight="1" x14ac:dyDescent="0.3">
      <c r="A1150" s="2" t="s">
        <v>4407</v>
      </c>
      <c r="B1150" s="3" t="s">
        <v>4408</v>
      </c>
      <c r="C1150" s="2" t="s">
        <v>4861</v>
      </c>
      <c r="D1150" s="3" t="s">
        <v>4579</v>
      </c>
      <c r="E1150" s="2" t="s">
        <v>4864</v>
      </c>
      <c r="F1150" s="3" t="s">
        <v>4368</v>
      </c>
      <c r="G1150" s="3" t="s">
        <v>4367</v>
      </c>
      <c r="H1150" s="1" t="s">
        <v>209</v>
      </c>
      <c r="I1150" s="2" t="s">
        <v>210</v>
      </c>
      <c r="J1150" s="3" t="s">
        <v>11</v>
      </c>
      <c r="K1150" s="38">
        <v>1.5</v>
      </c>
      <c r="L1150" s="39">
        <v>558</v>
      </c>
    </row>
    <row r="1151" spans="1:12" ht="19.95" customHeight="1" x14ac:dyDescent="0.3">
      <c r="A1151" s="6" t="s">
        <v>4407</v>
      </c>
      <c r="B1151" s="7" t="s">
        <v>4408</v>
      </c>
      <c r="C1151" s="6" t="s">
        <v>4861</v>
      </c>
      <c r="D1151" s="7" t="s">
        <v>4579</v>
      </c>
      <c r="E1151" s="6" t="s">
        <v>4864</v>
      </c>
      <c r="F1151" s="7" t="s">
        <v>4368</v>
      </c>
      <c r="G1151" s="7" t="s">
        <v>4367</v>
      </c>
      <c r="H1151" s="5" t="s">
        <v>225</v>
      </c>
      <c r="I1151" s="6" t="s">
        <v>4410</v>
      </c>
      <c r="J1151" s="7" t="s">
        <v>11</v>
      </c>
      <c r="K1151" s="36">
        <v>1</v>
      </c>
      <c r="L1151" s="37">
        <v>679</v>
      </c>
    </row>
    <row r="1152" spans="1:12" ht="19.95" customHeight="1" x14ac:dyDescent="0.3">
      <c r="A1152" s="2" t="s">
        <v>4407</v>
      </c>
      <c r="B1152" s="3" t="s">
        <v>4408</v>
      </c>
      <c r="C1152" s="2" t="s">
        <v>4861</v>
      </c>
      <c r="D1152" s="3" t="s">
        <v>4579</v>
      </c>
      <c r="E1152" s="2" t="s">
        <v>4864</v>
      </c>
      <c r="F1152" s="3" t="s">
        <v>4368</v>
      </c>
      <c r="G1152" s="3" t="s">
        <v>4367</v>
      </c>
      <c r="H1152" s="1" t="s">
        <v>209</v>
      </c>
      <c r="I1152" s="2" t="s">
        <v>210</v>
      </c>
      <c r="J1152" s="3" t="s">
        <v>11</v>
      </c>
      <c r="K1152" s="38">
        <v>1.5</v>
      </c>
      <c r="L1152" s="39">
        <v>558</v>
      </c>
    </row>
    <row r="1153" spans="1:12" ht="19.95" customHeight="1" x14ac:dyDescent="0.3">
      <c r="A1153" s="6" t="s">
        <v>4407</v>
      </c>
      <c r="B1153" s="7" t="s">
        <v>4408</v>
      </c>
      <c r="C1153" s="6" t="s">
        <v>4861</v>
      </c>
      <c r="D1153" s="7" t="s">
        <v>4605</v>
      </c>
      <c r="E1153" s="6" t="s">
        <v>4835</v>
      </c>
      <c r="F1153" s="7" t="s">
        <v>4368</v>
      </c>
      <c r="G1153" s="7" t="s">
        <v>4367</v>
      </c>
      <c r="H1153" s="5" t="s">
        <v>221</v>
      </c>
      <c r="I1153" s="6" t="s">
        <v>222</v>
      </c>
      <c r="J1153" s="7" t="s">
        <v>11</v>
      </c>
      <c r="K1153" s="36">
        <v>7.7</v>
      </c>
      <c r="L1153" s="37">
        <v>738</v>
      </c>
    </row>
    <row r="1154" spans="1:12" ht="19.95" customHeight="1" x14ac:dyDescent="0.3">
      <c r="A1154" s="2" t="s">
        <v>4407</v>
      </c>
      <c r="B1154" s="3" t="s">
        <v>4408</v>
      </c>
      <c r="C1154" s="2" t="s">
        <v>4861</v>
      </c>
      <c r="D1154" s="3" t="s">
        <v>4605</v>
      </c>
      <c r="E1154" s="2" t="s">
        <v>4835</v>
      </c>
      <c r="F1154" s="3" t="s">
        <v>4368</v>
      </c>
      <c r="G1154" s="3" t="s">
        <v>4367</v>
      </c>
      <c r="H1154" s="1" t="s">
        <v>209</v>
      </c>
      <c r="I1154" s="2" t="s">
        <v>210</v>
      </c>
      <c r="J1154" s="3" t="s">
        <v>11</v>
      </c>
      <c r="K1154" s="38">
        <v>7.7</v>
      </c>
      <c r="L1154" s="39">
        <v>558</v>
      </c>
    </row>
    <row r="1155" spans="1:12" ht="19.95" customHeight="1" x14ac:dyDescent="0.3">
      <c r="A1155" s="6" t="s">
        <v>4407</v>
      </c>
      <c r="B1155" s="7" t="s">
        <v>4408</v>
      </c>
      <c r="C1155" s="6" t="s">
        <v>4861</v>
      </c>
      <c r="D1155" s="7" t="s">
        <v>4605</v>
      </c>
      <c r="E1155" s="6" t="s">
        <v>4835</v>
      </c>
      <c r="F1155" s="7" t="s">
        <v>4368</v>
      </c>
      <c r="G1155" s="7" t="s">
        <v>4367</v>
      </c>
      <c r="H1155" s="5" t="s">
        <v>221</v>
      </c>
      <c r="I1155" s="6" t="s">
        <v>222</v>
      </c>
      <c r="J1155" s="7" t="s">
        <v>11</v>
      </c>
      <c r="K1155" s="36">
        <v>7.7</v>
      </c>
      <c r="L1155" s="37">
        <v>738</v>
      </c>
    </row>
    <row r="1156" spans="1:12" ht="19.95" customHeight="1" x14ac:dyDescent="0.3">
      <c r="A1156" s="2" t="s">
        <v>4407</v>
      </c>
      <c r="B1156" s="3" t="s">
        <v>4408</v>
      </c>
      <c r="C1156" s="2" t="s">
        <v>4861</v>
      </c>
      <c r="D1156" s="3" t="s">
        <v>4605</v>
      </c>
      <c r="E1156" s="2" t="s">
        <v>4835</v>
      </c>
      <c r="F1156" s="3" t="s">
        <v>4368</v>
      </c>
      <c r="G1156" s="3" t="s">
        <v>4367</v>
      </c>
      <c r="H1156" s="1" t="s">
        <v>209</v>
      </c>
      <c r="I1156" s="2" t="s">
        <v>210</v>
      </c>
      <c r="J1156" s="3" t="s">
        <v>11</v>
      </c>
      <c r="K1156" s="38">
        <v>7.7</v>
      </c>
      <c r="L1156" s="39">
        <v>558</v>
      </c>
    </row>
    <row r="1157" spans="1:12" ht="19.95" customHeight="1" x14ac:dyDescent="0.3">
      <c r="A1157" s="6" t="s">
        <v>4407</v>
      </c>
      <c r="B1157" s="7" t="s">
        <v>4408</v>
      </c>
      <c r="C1157" s="6" t="s">
        <v>4861</v>
      </c>
      <c r="D1157" s="7" t="s">
        <v>4865</v>
      </c>
      <c r="E1157" s="6" t="s">
        <v>4866</v>
      </c>
      <c r="F1157" s="7" t="s">
        <v>4384</v>
      </c>
      <c r="G1157" s="7" t="s">
        <v>4367</v>
      </c>
      <c r="H1157" s="5" t="s">
        <v>225</v>
      </c>
      <c r="I1157" s="6" t="s">
        <v>4410</v>
      </c>
      <c r="J1157" s="7" t="s">
        <v>11</v>
      </c>
      <c r="K1157" s="36">
        <v>0.67</v>
      </c>
      <c r="L1157" s="37">
        <v>679</v>
      </c>
    </row>
    <row r="1158" spans="1:12" ht="19.95" customHeight="1" x14ac:dyDescent="0.3">
      <c r="A1158" s="2" t="s">
        <v>4407</v>
      </c>
      <c r="B1158" s="3" t="s">
        <v>4408</v>
      </c>
      <c r="C1158" s="2" t="s">
        <v>4861</v>
      </c>
      <c r="D1158" s="3" t="s">
        <v>4865</v>
      </c>
      <c r="E1158" s="2" t="s">
        <v>4866</v>
      </c>
      <c r="F1158" s="3" t="s">
        <v>4384</v>
      </c>
      <c r="G1158" s="3" t="s">
        <v>4367</v>
      </c>
      <c r="H1158" s="1" t="s">
        <v>211</v>
      </c>
      <c r="I1158" s="2" t="s">
        <v>212</v>
      </c>
      <c r="J1158" s="3" t="s">
        <v>11</v>
      </c>
      <c r="K1158" s="38">
        <v>0.27</v>
      </c>
      <c r="L1158" s="39">
        <v>558</v>
      </c>
    </row>
    <row r="1159" spans="1:12" ht="19.95" customHeight="1" x14ac:dyDescent="0.3">
      <c r="A1159" s="6" t="s">
        <v>4407</v>
      </c>
      <c r="B1159" s="7" t="s">
        <v>4408</v>
      </c>
      <c r="C1159" s="6" t="s">
        <v>4861</v>
      </c>
      <c r="D1159" s="7" t="s">
        <v>4867</v>
      </c>
      <c r="E1159" s="6" t="s">
        <v>4868</v>
      </c>
      <c r="F1159" s="7" t="s">
        <v>4384</v>
      </c>
      <c r="G1159" s="7" t="s">
        <v>4367</v>
      </c>
      <c r="H1159" s="5" t="s">
        <v>225</v>
      </c>
      <c r="I1159" s="6" t="s">
        <v>4410</v>
      </c>
      <c r="J1159" s="7" t="s">
        <v>11</v>
      </c>
      <c r="K1159" s="36">
        <v>1.67</v>
      </c>
      <c r="L1159" s="37">
        <v>679</v>
      </c>
    </row>
    <row r="1160" spans="1:12" ht="19.95" customHeight="1" x14ac:dyDescent="0.3">
      <c r="A1160" s="2" t="s">
        <v>4407</v>
      </c>
      <c r="B1160" s="3" t="s">
        <v>4408</v>
      </c>
      <c r="C1160" s="2" t="s">
        <v>4861</v>
      </c>
      <c r="D1160" s="3" t="s">
        <v>4867</v>
      </c>
      <c r="E1160" s="2" t="s">
        <v>4868</v>
      </c>
      <c r="F1160" s="3" t="s">
        <v>4384</v>
      </c>
      <c r="G1160" s="3" t="s">
        <v>4367</v>
      </c>
      <c r="H1160" s="1" t="s">
        <v>211</v>
      </c>
      <c r="I1160" s="2" t="s">
        <v>212</v>
      </c>
      <c r="J1160" s="3" t="s">
        <v>11</v>
      </c>
      <c r="K1160" s="38">
        <v>0.35</v>
      </c>
      <c r="L1160" s="39">
        <v>558</v>
      </c>
    </row>
    <row r="1161" spans="1:12" ht="19.95" customHeight="1" x14ac:dyDescent="0.3">
      <c r="A1161" s="6" t="s">
        <v>4407</v>
      </c>
      <c r="B1161" s="7" t="s">
        <v>4408</v>
      </c>
      <c r="C1161" s="6" t="s">
        <v>4861</v>
      </c>
      <c r="D1161" s="7" t="s">
        <v>4869</v>
      </c>
      <c r="E1161" s="6" t="s">
        <v>4870</v>
      </c>
      <c r="F1161" s="7" t="s">
        <v>4871</v>
      </c>
      <c r="G1161" s="7" t="s">
        <v>4367</v>
      </c>
      <c r="H1161" s="5" t="s">
        <v>225</v>
      </c>
      <c r="I1161" s="6" t="s">
        <v>4410</v>
      </c>
      <c r="J1161" s="7" t="s">
        <v>11</v>
      </c>
      <c r="K1161" s="36">
        <v>0.33</v>
      </c>
      <c r="L1161" s="37">
        <v>679</v>
      </c>
    </row>
    <row r="1162" spans="1:12" ht="19.95" customHeight="1" x14ac:dyDescent="0.3">
      <c r="A1162" s="2" t="s">
        <v>4407</v>
      </c>
      <c r="B1162" s="3" t="s">
        <v>4408</v>
      </c>
      <c r="C1162" s="2" t="s">
        <v>4861</v>
      </c>
      <c r="D1162" s="3" t="s">
        <v>4869</v>
      </c>
      <c r="E1162" s="2" t="s">
        <v>4870</v>
      </c>
      <c r="F1162" s="3" t="s">
        <v>4871</v>
      </c>
      <c r="G1162" s="3" t="s">
        <v>4367</v>
      </c>
      <c r="H1162" s="1" t="s">
        <v>211</v>
      </c>
      <c r="I1162" s="2" t="s">
        <v>212</v>
      </c>
      <c r="J1162" s="3" t="s">
        <v>11</v>
      </c>
      <c r="K1162" s="38">
        <v>0.53</v>
      </c>
      <c r="L1162" s="39">
        <v>558</v>
      </c>
    </row>
    <row r="1163" spans="1:12" ht="19.95" customHeight="1" x14ac:dyDescent="0.3">
      <c r="A1163" s="6" t="s">
        <v>4407</v>
      </c>
      <c r="B1163" s="7" t="s">
        <v>4408</v>
      </c>
      <c r="C1163" s="6" t="s">
        <v>4861</v>
      </c>
      <c r="D1163" s="7" t="s">
        <v>4872</v>
      </c>
      <c r="E1163" s="6" t="s">
        <v>4873</v>
      </c>
      <c r="F1163" s="7" t="s">
        <v>1003</v>
      </c>
      <c r="G1163" s="7" t="s">
        <v>4367</v>
      </c>
      <c r="H1163" s="5" t="s">
        <v>211</v>
      </c>
      <c r="I1163" s="6" t="s">
        <v>212</v>
      </c>
      <c r="J1163" s="7" t="s">
        <v>11</v>
      </c>
      <c r="K1163" s="36">
        <v>1.4999999999999999E-2</v>
      </c>
      <c r="L1163" s="37">
        <v>558</v>
      </c>
    </row>
    <row r="1164" spans="1:12" ht="19.95" customHeight="1" x14ac:dyDescent="0.3">
      <c r="A1164" s="2" t="s">
        <v>4407</v>
      </c>
      <c r="B1164" s="3" t="s">
        <v>4408</v>
      </c>
      <c r="C1164" s="2" t="s">
        <v>4861</v>
      </c>
      <c r="D1164" s="3" t="s">
        <v>4872</v>
      </c>
      <c r="E1164" s="2" t="s">
        <v>4873</v>
      </c>
      <c r="F1164" s="3" t="s">
        <v>1003</v>
      </c>
      <c r="G1164" s="3" t="s">
        <v>4367</v>
      </c>
      <c r="H1164" s="1" t="s">
        <v>225</v>
      </c>
      <c r="I1164" s="2" t="s">
        <v>4410</v>
      </c>
      <c r="J1164" s="3" t="s">
        <v>11</v>
      </c>
      <c r="K1164" s="38">
        <v>8.7999999999999995E-2</v>
      </c>
      <c r="L1164" s="39">
        <v>679</v>
      </c>
    </row>
    <row r="1165" spans="1:12" ht="19.95" customHeight="1" x14ac:dyDescent="0.3">
      <c r="A1165" s="6" t="s">
        <v>4407</v>
      </c>
      <c r="B1165" s="7" t="s">
        <v>4408</v>
      </c>
      <c r="C1165" s="6" t="s">
        <v>4861</v>
      </c>
      <c r="D1165" s="7" t="s">
        <v>4872</v>
      </c>
      <c r="E1165" s="6" t="s">
        <v>4873</v>
      </c>
      <c r="F1165" s="7" t="s">
        <v>1003</v>
      </c>
      <c r="G1165" s="7" t="s">
        <v>4367</v>
      </c>
      <c r="H1165" s="5" t="s">
        <v>199</v>
      </c>
      <c r="I1165" s="6" t="s">
        <v>200</v>
      </c>
      <c r="J1165" s="7" t="s">
        <v>11</v>
      </c>
      <c r="K1165" s="36">
        <v>6.0000000000000001E-3</v>
      </c>
      <c r="L1165" s="37">
        <v>738</v>
      </c>
    </row>
    <row r="1166" spans="1:12" ht="19.95" customHeight="1" x14ac:dyDescent="0.3">
      <c r="A1166" s="2" t="s">
        <v>4407</v>
      </c>
      <c r="B1166" s="3" t="s">
        <v>4408</v>
      </c>
      <c r="C1166" s="2" t="s">
        <v>4861</v>
      </c>
      <c r="D1166" s="3" t="s">
        <v>4872</v>
      </c>
      <c r="E1166" s="2" t="s">
        <v>4873</v>
      </c>
      <c r="F1166" s="3" t="s">
        <v>1003</v>
      </c>
      <c r="G1166" s="3" t="s">
        <v>4367</v>
      </c>
      <c r="H1166" s="1" t="s">
        <v>209</v>
      </c>
      <c r="I1166" s="2" t="s">
        <v>210</v>
      </c>
      <c r="J1166" s="3" t="s">
        <v>11</v>
      </c>
      <c r="K1166" s="38">
        <v>4.3999999999999997E-2</v>
      </c>
      <c r="L1166" s="39">
        <v>558</v>
      </c>
    </row>
    <row r="1167" spans="1:12" ht="19.95" customHeight="1" x14ac:dyDescent="0.3">
      <c r="A1167" s="6" t="s">
        <v>4407</v>
      </c>
      <c r="B1167" s="7" t="s">
        <v>4408</v>
      </c>
      <c r="C1167" s="6" t="s">
        <v>4861</v>
      </c>
      <c r="D1167" s="7" t="s">
        <v>4872</v>
      </c>
      <c r="E1167" s="6" t="s">
        <v>4873</v>
      </c>
      <c r="F1167" s="7" t="s">
        <v>1003</v>
      </c>
      <c r="G1167" s="7" t="s">
        <v>4367</v>
      </c>
      <c r="H1167" s="5" t="s">
        <v>211</v>
      </c>
      <c r="I1167" s="6" t="s">
        <v>212</v>
      </c>
      <c r="J1167" s="7" t="s">
        <v>11</v>
      </c>
      <c r="K1167" s="36">
        <v>2.1999999999999999E-2</v>
      </c>
      <c r="L1167" s="37">
        <v>558</v>
      </c>
    </row>
    <row r="1168" spans="1:12" ht="19.95" customHeight="1" x14ac:dyDescent="0.3">
      <c r="A1168" s="2" t="s">
        <v>4407</v>
      </c>
      <c r="B1168" s="3" t="s">
        <v>4408</v>
      </c>
      <c r="C1168" s="2" t="s">
        <v>4861</v>
      </c>
      <c r="D1168" s="3" t="s">
        <v>4872</v>
      </c>
      <c r="E1168" s="2" t="s">
        <v>4873</v>
      </c>
      <c r="F1168" s="3" t="s">
        <v>1003</v>
      </c>
      <c r="G1168" s="3" t="s">
        <v>4367</v>
      </c>
      <c r="H1168" s="1" t="s">
        <v>194</v>
      </c>
      <c r="I1168" s="2" t="s">
        <v>196</v>
      </c>
      <c r="J1168" s="3" t="s">
        <v>11</v>
      </c>
      <c r="K1168" s="38">
        <v>4.3999999999999997E-2</v>
      </c>
      <c r="L1168" s="39">
        <v>617</v>
      </c>
    </row>
    <row r="1169" spans="1:12" ht="19.95" customHeight="1" x14ac:dyDescent="0.3">
      <c r="A1169" s="6" t="s">
        <v>4407</v>
      </c>
      <c r="B1169" s="7" t="s">
        <v>4408</v>
      </c>
      <c r="C1169" s="6" t="s">
        <v>4861</v>
      </c>
      <c r="D1169" s="7" t="s">
        <v>4872</v>
      </c>
      <c r="E1169" s="6" t="s">
        <v>4873</v>
      </c>
      <c r="F1169" s="7" t="s">
        <v>1003</v>
      </c>
      <c r="G1169" s="7" t="s">
        <v>4367</v>
      </c>
      <c r="H1169" s="5" t="s">
        <v>225</v>
      </c>
      <c r="I1169" s="6" t="s">
        <v>4410</v>
      </c>
      <c r="J1169" s="7" t="s">
        <v>11</v>
      </c>
      <c r="K1169" s="36">
        <v>4.3999999999999997E-2</v>
      </c>
      <c r="L1169" s="37">
        <v>679</v>
      </c>
    </row>
    <row r="1170" spans="1:12" ht="19.95" customHeight="1" x14ac:dyDescent="0.3">
      <c r="A1170" s="2" t="s">
        <v>4407</v>
      </c>
      <c r="B1170" s="3" t="s">
        <v>4408</v>
      </c>
      <c r="C1170" s="2" t="s">
        <v>4861</v>
      </c>
      <c r="D1170" s="3" t="s">
        <v>4872</v>
      </c>
      <c r="E1170" s="2" t="s">
        <v>4873</v>
      </c>
      <c r="F1170" s="3" t="s">
        <v>1003</v>
      </c>
      <c r="G1170" s="3" t="s">
        <v>4367</v>
      </c>
      <c r="H1170" s="1" t="s">
        <v>199</v>
      </c>
      <c r="I1170" s="2" t="s">
        <v>200</v>
      </c>
      <c r="J1170" s="3" t="s">
        <v>11</v>
      </c>
      <c r="K1170" s="38">
        <v>6.0000000000000001E-3</v>
      </c>
      <c r="L1170" s="39">
        <v>738</v>
      </c>
    </row>
    <row r="1171" spans="1:12" ht="19.95" customHeight="1" x14ac:dyDescent="0.3">
      <c r="A1171" s="6" t="s">
        <v>4407</v>
      </c>
      <c r="B1171" s="7" t="s">
        <v>4408</v>
      </c>
      <c r="C1171" s="6" t="s">
        <v>4861</v>
      </c>
      <c r="D1171" s="7" t="s">
        <v>4872</v>
      </c>
      <c r="E1171" s="6" t="s">
        <v>4873</v>
      </c>
      <c r="F1171" s="7" t="s">
        <v>1003</v>
      </c>
      <c r="G1171" s="7" t="s">
        <v>4367</v>
      </c>
      <c r="H1171" s="5" t="s">
        <v>209</v>
      </c>
      <c r="I1171" s="6" t="s">
        <v>210</v>
      </c>
      <c r="J1171" s="7" t="s">
        <v>11</v>
      </c>
      <c r="K1171" s="36">
        <v>2.1999999999999999E-2</v>
      </c>
      <c r="L1171" s="37">
        <v>558</v>
      </c>
    </row>
    <row r="1172" spans="1:12" ht="19.95" customHeight="1" x14ac:dyDescent="0.3">
      <c r="A1172" s="2" t="s">
        <v>4407</v>
      </c>
      <c r="B1172" s="3" t="s">
        <v>4408</v>
      </c>
      <c r="C1172" s="2" t="s">
        <v>4861</v>
      </c>
      <c r="D1172" s="3" t="s">
        <v>4872</v>
      </c>
      <c r="E1172" s="2" t="s">
        <v>4873</v>
      </c>
      <c r="F1172" s="3" t="s">
        <v>1003</v>
      </c>
      <c r="G1172" s="3" t="s">
        <v>4367</v>
      </c>
      <c r="H1172" s="1" t="s">
        <v>211</v>
      </c>
      <c r="I1172" s="2" t="s">
        <v>212</v>
      </c>
      <c r="J1172" s="3" t="s">
        <v>11</v>
      </c>
      <c r="K1172" s="38">
        <v>2.1999999999999999E-2</v>
      </c>
      <c r="L1172" s="39">
        <v>558</v>
      </c>
    </row>
    <row r="1173" spans="1:12" ht="19.95" customHeight="1" x14ac:dyDescent="0.3">
      <c r="A1173" s="6" t="s">
        <v>4407</v>
      </c>
      <c r="B1173" s="7" t="s">
        <v>4408</v>
      </c>
      <c r="C1173" s="6" t="s">
        <v>4861</v>
      </c>
      <c r="D1173" s="7" t="s">
        <v>4872</v>
      </c>
      <c r="E1173" s="6" t="s">
        <v>4873</v>
      </c>
      <c r="F1173" s="7" t="s">
        <v>1003</v>
      </c>
      <c r="G1173" s="7" t="s">
        <v>4367</v>
      </c>
      <c r="H1173" s="5" t="s">
        <v>194</v>
      </c>
      <c r="I1173" s="6" t="s">
        <v>196</v>
      </c>
      <c r="J1173" s="7" t="s">
        <v>11</v>
      </c>
      <c r="K1173" s="36">
        <v>2.1999999999999999E-2</v>
      </c>
      <c r="L1173" s="37">
        <v>617</v>
      </c>
    </row>
    <row r="1174" spans="1:12" ht="19.95" customHeight="1" x14ac:dyDescent="0.3">
      <c r="A1174" s="2" t="s">
        <v>4407</v>
      </c>
      <c r="B1174" s="3" t="s">
        <v>4408</v>
      </c>
      <c r="C1174" s="2" t="s">
        <v>4861</v>
      </c>
      <c r="D1174" s="3" t="s">
        <v>4872</v>
      </c>
      <c r="E1174" s="2" t="s">
        <v>4873</v>
      </c>
      <c r="F1174" s="3" t="s">
        <v>1003</v>
      </c>
      <c r="G1174" s="3" t="s">
        <v>4367</v>
      </c>
      <c r="H1174" s="1" t="s">
        <v>197</v>
      </c>
      <c r="I1174" s="2" t="s">
        <v>198</v>
      </c>
      <c r="J1174" s="3" t="s">
        <v>11</v>
      </c>
      <c r="K1174" s="38">
        <v>2.1999999999999999E-2</v>
      </c>
      <c r="L1174" s="39">
        <v>617</v>
      </c>
    </row>
    <row r="1175" spans="1:12" ht="19.95" customHeight="1" x14ac:dyDescent="0.3">
      <c r="A1175" s="6" t="s">
        <v>4407</v>
      </c>
      <c r="B1175" s="7" t="s">
        <v>4408</v>
      </c>
      <c r="C1175" s="6" t="s">
        <v>4861</v>
      </c>
      <c r="D1175" s="7" t="s">
        <v>4872</v>
      </c>
      <c r="E1175" s="6" t="s">
        <v>4873</v>
      </c>
      <c r="F1175" s="7" t="s">
        <v>1003</v>
      </c>
      <c r="G1175" s="7" t="s">
        <v>4367</v>
      </c>
      <c r="H1175" s="5" t="s">
        <v>211</v>
      </c>
      <c r="I1175" s="6" t="s">
        <v>212</v>
      </c>
      <c r="J1175" s="7" t="s">
        <v>11</v>
      </c>
      <c r="K1175" s="36">
        <v>1.4999999999999999E-2</v>
      </c>
      <c r="L1175" s="37">
        <v>558</v>
      </c>
    </row>
    <row r="1176" spans="1:12" ht="19.95" customHeight="1" x14ac:dyDescent="0.3">
      <c r="A1176" s="2" t="s">
        <v>4407</v>
      </c>
      <c r="B1176" s="3" t="s">
        <v>4408</v>
      </c>
      <c r="C1176" s="2" t="s">
        <v>4861</v>
      </c>
      <c r="D1176" s="3" t="s">
        <v>4872</v>
      </c>
      <c r="E1176" s="2" t="s">
        <v>4873</v>
      </c>
      <c r="F1176" s="3" t="s">
        <v>1003</v>
      </c>
      <c r="G1176" s="3" t="s">
        <v>4367</v>
      </c>
      <c r="H1176" s="1" t="s">
        <v>225</v>
      </c>
      <c r="I1176" s="2" t="s">
        <v>4410</v>
      </c>
      <c r="J1176" s="3" t="s">
        <v>11</v>
      </c>
      <c r="K1176" s="38">
        <v>8.7999999999999995E-2</v>
      </c>
      <c r="L1176" s="39">
        <v>679</v>
      </c>
    </row>
    <row r="1177" spans="1:12" ht="19.95" customHeight="1" x14ac:dyDescent="0.3">
      <c r="A1177" s="6" t="s">
        <v>4407</v>
      </c>
      <c r="B1177" s="7" t="s">
        <v>4408</v>
      </c>
      <c r="C1177" s="6" t="s">
        <v>4861</v>
      </c>
      <c r="D1177" s="7" t="s">
        <v>4872</v>
      </c>
      <c r="E1177" s="6" t="s">
        <v>4873</v>
      </c>
      <c r="F1177" s="7" t="s">
        <v>1003</v>
      </c>
      <c r="G1177" s="7" t="s">
        <v>4367</v>
      </c>
      <c r="H1177" s="5" t="s">
        <v>199</v>
      </c>
      <c r="I1177" s="6" t="s">
        <v>200</v>
      </c>
      <c r="J1177" s="7" t="s">
        <v>11</v>
      </c>
      <c r="K1177" s="36">
        <v>6.0000000000000001E-3</v>
      </c>
      <c r="L1177" s="37">
        <v>738</v>
      </c>
    </row>
    <row r="1178" spans="1:12" ht="19.95" customHeight="1" x14ac:dyDescent="0.3">
      <c r="A1178" s="2" t="s">
        <v>4407</v>
      </c>
      <c r="B1178" s="3" t="s">
        <v>4408</v>
      </c>
      <c r="C1178" s="2" t="s">
        <v>4861</v>
      </c>
      <c r="D1178" s="3" t="s">
        <v>4872</v>
      </c>
      <c r="E1178" s="2" t="s">
        <v>4873</v>
      </c>
      <c r="F1178" s="3" t="s">
        <v>1003</v>
      </c>
      <c r="G1178" s="3" t="s">
        <v>4367</v>
      </c>
      <c r="H1178" s="1" t="s">
        <v>209</v>
      </c>
      <c r="I1178" s="2" t="s">
        <v>210</v>
      </c>
      <c r="J1178" s="3" t="s">
        <v>11</v>
      </c>
      <c r="K1178" s="38">
        <v>4.3999999999999997E-2</v>
      </c>
      <c r="L1178" s="39">
        <v>558</v>
      </c>
    </row>
    <row r="1179" spans="1:12" ht="19.95" customHeight="1" x14ac:dyDescent="0.3">
      <c r="A1179" s="6" t="s">
        <v>4407</v>
      </c>
      <c r="B1179" s="7" t="s">
        <v>4408</v>
      </c>
      <c r="C1179" s="6" t="s">
        <v>4861</v>
      </c>
      <c r="D1179" s="7" t="s">
        <v>4872</v>
      </c>
      <c r="E1179" s="6" t="s">
        <v>4873</v>
      </c>
      <c r="F1179" s="7" t="s">
        <v>1003</v>
      </c>
      <c r="G1179" s="7" t="s">
        <v>4367</v>
      </c>
      <c r="H1179" s="5" t="s">
        <v>211</v>
      </c>
      <c r="I1179" s="6" t="s">
        <v>212</v>
      </c>
      <c r="J1179" s="7" t="s">
        <v>11</v>
      </c>
      <c r="K1179" s="36">
        <v>2.1999999999999999E-2</v>
      </c>
      <c r="L1179" s="37">
        <v>558</v>
      </c>
    </row>
    <row r="1180" spans="1:12" ht="19.95" customHeight="1" x14ac:dyDescent="0.3">
      <c r="A1180" s="2" t="s">
        <v>4407</v>
      </c>
      <c r="B1180" s="3" t="s">
        <v>4408</v>
      </c>
      <c r="C1180" s="2" t="s">
        <v>4861</v>
      </c>
      <c r="D1180" s="3" t="s">
        <v>4872</v>
      </c>
      <c r="E1180" s="2" t="s">
        <v>4873</v>
      </c>
      <c r="F1180" s="3" t="s">
        <v>1003</v>
      </c>
      <c r="G1180" s="3" t="s">
        <v>4367</v>
      </c>
      <c r="H1180" s="1" t="s">
        <v>194</v>
      </c>
      <c r="I1180" s="2" t="s">
        <v>196</v>
      </c>
      <c r="J1180" s="3" t="s">
        <v>11</v>
      </c>
      <c r="K1180" s="38">
        <v>4.3999999999999997E-2</v>
      </c>
      <c r="L1180" s="39">
        <v>617</v>
      </c>
    </row>
    <row r="1181" spans="1:12" ht="19.95" customHeight="1" x14ac:dyDescent="0.3">
      <c r="A1181" s="6" t="s">
        <v>4407</v>
      </c>
      <c r="B1181" s="7" t="s">
        <v>4408</v>
      </c>
      <c r="C1181" s="6" t="s">
        <v>4861</v>
      </c>
      <c r="D1181" s="7" t="s">
        <v>4872</v>
      </c>
      <c r="E1181" s="6" t="s">
        <v>4873</v>
      </c>
      <c r="F1181" s="7" t="s">
        <v>1003</v>
      </c>
      <c r="G1181" s="7" t="s">
        <v>4367</v>
      </c>
      <c r="H1181" s="5" t="s">
        <v>225</v>
      </c>
      <c r="I1181" s="6" t="s">
        <v>4410</v>
      </c>
      <c r="J1181" s="7" t="s">
        <v>11</v>
      </c>
      <c r="K1181" s="36">
        <v>4.3999999999999997E-2</v>
      </c>
      <c r="L1181" s="37">
        <v>679</v>
      </c>
    </row>
    <row r="1182" spans="1:12" ht="19.95" customHeight="1" x14ac:dyDescent="0.3">
      <c r="A1182" s="2" t="s">
        <v>4407</v>
      </c>
      <c r="B1182" s="3" t="s">
        <v>4408</v>
      </c>
      <c r="C1182" s="2" t="s">
        <v>4861</v>
      </c>
      <c r="D1182" s="3" t="s">
        <v>4872</v>
      </c>
      <c r="E1182" s="2" t="s">
        <v>4873</v>
      </c>
      <c r="F1182" s="3" t="s">
        <v>1003</v>
      </c>
      <c r="G1182" s="3" t="s">
        <v>4367</v>
      </c>
      <c r="H1182" s="1" t="s">
        <v>199</v>
      </c>
      <c r="I1182" s="2" t="s">
        <v>200</v>
      </c>
      <c r="J1182" s="3" t="s">
        <v>11</v>
      </c>
      <c r="K1182" s="38">
        <v>6.0000000000000001E-3</v>
      </c>
      <c r="L1182" s="39">
        <v>738</v>
      </c>
    </row>
    <row r="1183" spans="1:12" ht="19.95" customHeight="1" x14ac:dyDescent="0.3">
      <c r="A1183" s="6" t="s">
        <v>4407</v>
      </c>
      <c r="B1183" s="7" t="s">
        <v>4408</v>
      </c>
      <c r="C1183" s="6" t="s">
        <v>4861</v>
      </c>
      <c r="D1183" s="7" t="s">
        <v>4872</v>
      </c>
      <c r="E1183" s="6" t="s">
        <v>4873</v>
      </c>
      <c r="F1183" s="7" t="s">
        <v>1003</v>
      </c>
      <c r="G1183" s="7" t="s">
        <v>4367</v>
      </c>
      <c r="H1183" s="5" t="s">
        <v>209</v>
      </c>
      <c r="I1183" s="6" t="s">
        <v>210</v>
      </c>
      <c r="J1183" s="7" t="s">
        <v>11</v>
      </c>
      <c r="K1183" s="36">
        <v>2.1999999999999999E-2</v>
      </c>
      <c r="L1183" s="37">
        <v>558</v>
      </c>
    </row>
    <row r="1184" spans="1:12" ht="19.95" customHeight="1" x14ac:dyDescent="0.3">
      <c r="A1184" s="2" t="s">
        <v>4407</v>
      </c>
      <c r="B1184" s="3" t="s">
        <v>4408</v>
      </c>
      <c r="C1184" s="2" t="s">
        <v>4861</v>
      </c>
      <c r="D1184" s="3" t="s">
        <v>4872</v>
      </c>
      <c r="E1184" s="2" t="s">
        <v>4873</v>
      </c>
      <c r="F1184" s="3" t="s">
        <v>1003</v>
      </c>
      <c r="G1184" s="3" t="s">
        <v>4367</v>
      </c>
      <c r="H1184" s="1" t="s">
        <v>211</v>
      </c>
      <c r="I1184" s="2" t="s">
        <v>212</v>
      </c>
      <c r="J1184" s="3" t="s">
        <v>11</v>
      </c>
      <c r="K1184" s="38">
        <v>2.1999999999999999E-2</v>
      </c>
      <c r="L1184" s="39">
        <v>558</v>
      </c>
    </row>
    <row r="1185" spans="1:12" ht="19.95" customHeight="1" x14ac:dyDescent="0.3">
      <c r="A1185" s="6" t="s">
        <v>4407</v>
      </c>
      <c r="B1185" s="7" t="s">
        <v>4408</v>
      </c>
      <c r="C1185" s="6" t="s">
        <v>4861</v>
      </c>
      <c r="D1185" s="7" t="s">
        <v>4872</v>
      </c>
      <c r="E1185" s="6" t="s">
        <v>4873</v>
      </c>
      <c r="F1185" s="7" t="s">
        <v>1003</v>
      </c>
      <c r="G1185" s="7" t="s">
        <v>4367</v>
      </c>
      <c r="H1185" s="5" t="s">
        <v>194</v>
      </c>
      <c r="I1185" s="6" t="s">
        <v>196</v>
      </c>
      <c r="J1185" s="7" t="s">
        <v>11</v>
      </c>
      <c r="K1185" s="36">
        <v>2.1999999999999999E-2</v>
      </c>
      <c r="L1185" s="37">
        <v>617</v>
      </c>
    </row>
    <row r="1186" spans="1:12" ht="19.95" customHeight="1" x14ac:dyDescent="0.3">
      <c r="A1186" s="2" t="s">
        <v>4407</v>
      </c>
      <c r="B1186" s="3" t="s">
        <v>4408</v>
      </c>
      <c r="C1186" s="2" t="s">
        <v>4861</v>
      </c>
      <c r="D1186" s="3" t="s">
        <v>4872</v>
      </c>
      <c r="E1186" s="2" t="s">
        <v>4873</v>
      </c>
      <c r="F1186" s="3" t="s">
        <v>1003</v>
      </c>
      <c r="G1186" s="3" t="s">
        <v>4367</v>
      </c>
      <c r="H1186" s="1" t="s">
        <v>197</v>
      </c>
      <c r="I1186" s="2" t="s">
        <v>198</v>
      </c>
      <c r="J1186" s="3" t="s">
        <v>11</v>
      </c>
      <c r="K1186" s="38">
        <v>2.1999999999999999E-2</v>
      </c>
      <c r="L1186" s="39">
        <v>617</v>
      </c>
    </row>
    <row r="1187" spans="1:12" ht="19.95" customHeight="1" x14ac:dyDescent="0.3">
      <c r="A1187" s="6" t="s">
        <v>4407</v>
      </c>
      <c r="B1187" s="7" t="s">
        <v>4408</v>
      </c>
      <c r="C1187" s="6" t="s">
        <v>4861</v>
      </c>
      <c r="D1187" s="7" t="s">
        <v>4874</v>
      </c>
      <c r="E1187" s="6" t="s">
        <v>4875</v>
      </c>
      <c r="F1187" s="7" t="s">
        <v>1003</v>
      </c>
      <c r="G1187" s="7" t="s">
        <v>4367</v>
      </c>
      <c r="H1187" s="5" t="s">
        <v>211</v>
      </c>
      <c r="I1187" s="6" t="s">
        <v>212</v>
      </c>
      <c r="J1187" s="7" t="s">
        <v>11</v>
      </c>
      <c r="K1187" s="36">
        <v>1.4999999999999999E-2</v>
      </c>
      <c r="L1187" s="37">
        <v>558</v>
      </c>
    </row>
    <row r="1188" spans="1:12" ht="19.95" customHeight="1" x14ac:dyDescent="0.3">
      <c r="A1188" s="2" t="s">
        <v>4407</v>
      </c>
      <c r="B1188" s="3" t="s">
        <v>4408</v>
      </c>
      <c r="C1188" s="2" t="s">
        <v>4861</v>
      </c>
      <c r="D1188" s="3" t="s">
        <v>4874</v>
      </c>
      <c r="E1188" s="2" t="s">
        <v>4875</v>
      </c>
      <c r="F1188" s="3" t="s">
        <v>1003</v>
      </c>
      <c r="G1188" s="3" t="s">
        <v>4367</v>
      </c>
      <c r="H1188" s="1" t="s">
        <v>225</v>
      </c>
      <c r="I1188" s="2" t="s">
        <v>4410</v>
      </c>
      <c r="J1188" s="3" t="s">
        <v>11</v>
      </c>
      <c r="K1188" s="38">
        <v>0.17599999999999999</v>
      </c>
      <c r="L1188" s="39">
        <v>679</v>
      </c>
    </row>
    <row r="1189" spans="1:12" ht="19.95" customHeight="1" x14ac:dyDescent="0.3">
      <c r="A1189" s="6" t="s">
        <v>4407</v>
      </c>
      <c r="B1189" s="7" t="s">
        <v>4408</v>
      </c>
      <c r="C1189" s="6" t="s">
        <v>4861</v>
      </c>
      <c r="D1189" s="7" t="s">
        <v>4874</v>
      </c>
      <c r="E1189" s="6" t="s">
        <v>4875</v>
      </c>
      <c r="F1189" s="7" t="s">
        <v>1003</v>
      </c>
      <c r="G1189" s="7" t="s">
        <v>4367</v>
      </c>
      <c r="H1189" s="5" t="s">
        <v>199</v>
      </c>
      <c r="I1189" s="6" t="s">
        <v>200</v>
      </c>
      <c r="J1189" s="7" t="s">
        <v>11</v>
      </c>
      <c r="K1189" s="36">
        <v>1.2E-2</v>
      </c>
      <c r="L1189" s="37">
        <v>738</v>
      </c>
    </row>
    <row r="1190" spans="1:12" ht="19.95" customHeight="1" x14ac:dyDescent="0.3">
      <c r="A1190" s="2" t="s">
        <v>4407</v>
      </c>
      <c r="B1190" s="3" t="s">
        <v>4408</v>
      </c>
      <c r="C1190" s="2" t="s">
        <v>4861</v>
      </c>
      <c r="D1190" s="3" t="s">
        <v>4874</v>
      </c>
      <c r="E1190" s="2" t="s">
        <v>4875</v>
      </c>
      <c r="F1190" s="3" t="s">
        <v>1003</v>
      </c>
      <c r="G1190" s="3" t="s">
        <v>4367</v>
      </c>
      <c r="H1190" s="1" t="s">
        <v>209</v>
      </c>
      <c r="I1190" s="2" t="s">
        <v>210</v>
      </c>
      <c r="J1190" s="3" t="s">
        <v>11</v>
      </c>
      <c r="K1190" s="38">
        <v>8.7999999999999995E-2</v>
      </c>
      <c r="L1190" s="39">
        <v>558</v>
      </c>
    </row>
    <row r="1191" spans="1:12" ht="19.95" customHeight="1" x14ac:dyDescent="0.3">
      <c r="A1191" s="6" t="s">
        <v>4407</v>
      </c>
      <c r="B1191" s="7" t="s">
        <v>4408</v>
      </c>
      <c r="C1191" s="6" t="s">
        <v>4861</v>
      </c>
      <c r="D1191" s="7" t="s">
        <v>4874</v>
      </c>
      <c r="E1191" s="6" t="s">
        <v>4875</v>
      </c>
      <c r="F1191" s="7" t="s">
        <v>1003</v>
      </c>
      <c r="G1191" s="7" t="s">
        <v>4367</v>
      </c>
      <c r="H1191" s="5" t="s">
        <v>211</v>
      </c>
      <c r="I1191" s="6" t="s">
        <v>212</v>
      </c>
      <c r="J1191" s="7" t="s">
        <v>11</v>
      </c>
      <c r="K1191" s="36">
        <v>4.3999999999999997E-2</v>
      </c>
      <c r="L1191" s="37">
        <v>558</v>
      </c>
    </row>
    <row r="1192" spans="1:12" ht="19.95" customHeight="1" x14ac:dyDescent="0.3">
      <c r="A1192" s="2" t="s">
        <v>4407</v>
      </c>
      <c r="B1192" s="3" t="s">
        <v>4408</v>
      </c>
      <c r="C1192" s="2" t="s">
        <v>4861</v>
      </c>
      <c r="D1192" s="3" t="s">
        <v>4874</v>
      </c>
      <c r="E1192" s="2" t="s">
        <v>4875</v>
      </c>
      <c r="F1192" s="3" t="s">
        <v>1003</v>
      </c>
      <c r="G1192" s="3" t="s">
        <v>4367</v>
      </c>
      <c r="H1192" s="1" t="s">
        <v>194</v>
      </c>
      <c r="I1192" s="2" t="s">
        <v>196</v>
      </c>
      <c r="J1192" s="3" t="s">
        <v>11</v>
      </c>
      <c r="K1192" s="38">
        <v>8.7999999999999995E-2</v>
      </c>
      <c r="L1192" s="39">
        <v>617</v>
      </c>
    </row>
    <row r="1193" spans="1:12" ht="19.95" customHeight="1" x14ac:dyDescent="0.3">
      <c r="A1193" s="6" t="s">
        <v>4407</v>
      </c>
      <c r="B1193" s="7" t="s">
        <v>4408</v>
      </c>
      <c r="C1193" s="6" t="s">
        <v>4861</v>
      </c>
      <c r="D1193" s="7" t="s">
        <v>4874</v>
      </c>
      <c r="E1193" s="6" t="s">
        <v>4875</v>
      </c>
      <c r="F1193" s="7" t="s">
        <v>1003</v>
      </c>
      <c r="G1193" s="7" t="s">
        <v>4367</v>
      </c>
      <c r="H1193" s="5" t="s">
        <v>225</v>
      </c>
      <c r="I1193" s="6" t="s">
        <v>4410</v>
      </c>
      <c r="J1193" s="7" t="s">
        <v>11</v>
      </c>
      <c r="K1193" s="36">
        <v>4.3999999999999997E-2</v>
      </c>
      <c r="L1193" s="37">
        <v>679</v>
      </c>
    </row>
    <row r="1194" spans="1:12" ht="19.95" customHeight="1" x14ac:dyDescent="0.3">
      <c r="A1194" s="2" t="s">
        <v>4407</v>
      </c>
      <c r="B1194" s="3" t="s">
        <v>4408</v>
      </c>
      <c r="C1194" s="2" t="s">
        <v>4861</v>
      </c>
      <c r="D1194" s="3" t="s">
        <v>4874</v>
      </c>
      <c r="E1194" s="2" t="s">
        <v>4875</v>
      </c>
      <c r="F1194" s="3" t="s">
        <v>1003</v>
      </c>
      <c r="G1194" s="3" t="s">
        <v>4367</v>
      </c>
      <c r="H1194" s="1" t="s">
        <v>199</v>
      </c>
      <c r="I1194" s="2" t="s">
        <v>200</v>
      </c>
      <c r="J1194" s="3" t="s">
        <v>11</v>
      </c>
      <c r="K1194" s="38">
        <v>6.0000000000000001E-3</v>
      </c>
      <c r="L1194" s="39">
        <v>738</v>
      </c>
    </row>
    <row r="1195" spans="1:12" ht="19.95" customHeight="1" x14ac:dyDescent="0.3">
      <c r="A1195" s="6" t="s">
        <v>4407</v>
      </c>
      <c r="B1195" s="7" t="s">
        <v>4408</v>
      </c>
      <c r="C1195" s="6" t="s">
        <v>4861</v>
      </c>
      <c r="D1195" s="7" t="s">
        <v>4874</v>
      </c>
      <c r="E1195" s="6" t="s">
        <v>4875</v>
      </c>
      <c r="F1195" s="7" t="s">
        <v>1003</v>
      </c>
      <c r="G1195" s="7" t="s">
        <v>4367</v>
      </c>
      <c r="H1195" s="5" t="s">
        <v>209</v>
      </c>
      <c r="I1195" s="6" t="s">
        <v>210</v>
      </c>
      <c r="J1195" s="7" t="s">
        <v>11</v>
      </c>
      <c r="K1195" s="36">
        <v>2.1999999999999999E-2</v>
      </c>
      <c r="L1195" s="37">
        <v>558</v>
      </c>
    </row>
    <row r="1196" spans="1:12" ht="19.95" customHeight="1" x14ac:dyDescent="0.3">
      <c r="A1196" s="2" t="s">
        <v>4407</v>
      </c>
      <c r="B1196" s="3" t="s">
        <v>4408</v>
      </c>
      <c r="C1196" s="2" t="s">
        <v>4861</v>
      </c>
      <c r="D1196" s="3" t="s">
        <v>4874</v>
      </c>
      <c r="E1196" s="2" t="s">
        <v>4875</v>
      </c>
      <c r="F1196" s="3" t="s">
        <v>1003</v>
      </c>
      <c r="G1196" s="3" t="s">
        <v>4367</v>
      </c>
      <c r="H1196" s="1" t="s">
        <v>211</v>
      </c>
      <c r="I1196" s="2" t="s">
        <v>212</v>
      </c>
      <c r="J1196" s="3" t="s">
        <v>11</v>
      </c>
      <c r="K1196" s="38">
        <v>2.1999999999999999E-2</v>
      </c>
      <c r="L1196" s="39">
        <v>558</v>
      </c>
    </row>
    <row r="1197" spans="1:12" ht="19.95" customHeight="1" x14ac:dyDescent="0.3">
      <c r="A1197" s="6" t="s">
        <v>4407</v>
      </c>
      <c r="B1197" s="7" t="s">
        <v>4408</v>
      </c>
      <c r="C1197" s="6" t="s">
        <v>4861</v>
      </c>
      <c r="D1197" s="7" t="s">
        <v>4874</v>
      </c>
      <c r="E1197" s="6" t="s">
        <v>4875</v>
      </c>
      <c r="F1197" s="7" t="s">
        <v>1003</v>
      </c>
      <c r="G1197" s="7" t="s">
        <v>4367</v>
      </c>
      <c r="H1197" s="5" t="s">
        <v>194</v>
      </c>
      <c r="I1197" s="6" t="s">
        <v>196</v>
      </c>
      <c r="J1197" s="7" t="s">
        <v>11</v>
      </c>
      <c r="K1197" s="36">
        <v>2.1999999999999999E-2</v>
      </c>
      <c r="L1197" s="37">
        <v>617</v>
      </c>
    </row>
    <row r="1198" spans="1:12" ht="19.95" customHeight="1" x14ac:dyDescent="0.3">
      <c r="A1198" s="2" t="s">
        <v>4407</v>
      </c>
      <c r="B1198" s="3" t="s">
        <v>4408</v>
      </c>
      <c r="C1198" s="2" t="s">
        <v>4861</v>
      </c>
      <c r="D1198" s="3" t="s">
        <v>4874</v>
      </c>
      <c r="E1198" s="2" t="s">
        <v>4875</v>
      </c>
      <c r="F1198" s="3" t="s">
        <v>1003</v>
      </c>
      <c r="G1198" s="3" t="s">
        <v>4367</v>
      </c>
      <c r="H1198" s="1" t="s">
        <v>197</v>
      </c>
      <c r="I1198" s="2" t="s">
        <v>198</v>
      </c>
      <c r="J1198" s="3" t="s">
        <v>11</v>
      </c>
      <c r="K1198" s="38">
        <v>2.1999999999999999E-2</v>
      </c>
      <c r="L1198" s="39">
        <v>617</v>
      </c>
    </row>
    <row r="1199" spans="1:12" ht="19.95" customHeight="1" x14ac:dyDescent="0.3">
      <c r="A1199" s="6" t="s">
        <v>4407</v>
      </c>
      <c r="B1199" s="7" t="s">
        <v>4408</v>
      </c>
      <c r="C1199" s="6" t="s">
        <v>4861</v>
      </c>
      <c r="D1199" s="7" t="s">
        <v>4874</v>
      </c>
      <c r="E1199" s="6" t="s">
        <v>4875</v>
      </c>
      <c r="F1199" s="7" t="s">
        <v>4409</v>
      </c>
      <c r="G1199" s="7" t="s">
        <v>4367</v>
      </c>
      <c r="H1199" s="5" t="s">
        <v>211</v>
      </c>
      <c r="I1199" s="6" t="s">
        <v>212</v>
      </c>
      <c r="J1199" s="7" t="s">
        <v>11</v>
      </c>
      <c r="K1199" s="36">
        <v>1.4999999999999999E-2</v>
      </c>
      <c r="L1199" s="37">
        <v>558</v>
      </c>
    </row>
    <row r="1200" spans="1:12" ht="19.95" customHeight="1" x14ac:dyDescent="0.3">
      <c r="A1200" s="2" t="s">
        <v>4407</v>
      </c>
      <c r="B1200" s="3" t="s">
        <v>4408</v>
      </c>
      <c r="C1200" s="2" t="s">
        <v>4861</v>
      </c>
      <c r="D1200" s="3" t="s">
        <v>4874</v>
      </c>
      <c r="E1200" s="2" t="s">
        <v>4875</v>
      </c>
      <c r="F1200" s="3" t="s">
        <v>4409</v>
      </c>
      <c r="G1200" s="3" t="s">
        <v>4367</v>
      </c>
      <c r="H1200" s="1" t="s">
        <v>225</v>
      </c>
      <c r="I1200" s="2" t="s">
        <v>4410</v>
      </c>
      <c r="J1200" s="3" t="s">
        <v>11</v>
      </c>
      <c r="K1200" s="38">
        <v>0.17599999999999999</v>
      </c>
      <c r="L1200" s="39">
        <v>679</v>
      </c>
    </row>
    <row r="1201" spans="1:12" ht="19.95" customHeight="1" x14ac:dyDescent="0.3">
      <c r="A1201" s="6" t="s">
        <v>4407</v>
      </c>
      <c r="B1201" s="7" t="s">
        <v>4408</v>
      </c>
      <c r="C1201" s="6" t="s">
        <v>4861</v>
      </c>
      <c r="D1201" s="7" t="s">
        <v>4874</v>
      </c>
      <c r="E1201" s="6" t="s">
        <v>4875</v>
      </c>
      <c r="F1201" s="7" t="s">
        <v>4409</v>
      </c>
      <c r="G1201" s="7" t="s">
        <v>4367</v>
      </c>
      <c r="H1201" s="5" t="s">
        <v>199</v>
      </c>
      <c r="I1201" s="6" t="s">
        <v>200</v>
      </c>
      <c r="J1201" s="7" t="s">
        <v>11</v>
      </c>
      <c r="K1201" s="36">
        <v>1.2E-2</v>
      </c>
      <c r="L1201" s="37">
        <v>738</v>
      </c>
    </row>
    <row r="1202" spans="1:12" ht="19.95" customHeight="1" x14ac:dyDescent="0.3">
      <c r="A1202" s="2" t="s">
        <v>4407</v>
      </c>
      <c r="B1202" s="3" t="s">
        <v>4408</v>
      </c>
      <c r="C1202" s="2" t="s">
        <v>4861</v>
      </c>
      <c r="D1202" s="3" t="s">
        <v>4874</v>
      </c>
      <c r="E1202" s="2" t="s">
        <v>4875</v>
      </c>
      <c r="F1202" s="3" t="s">
        <v>4409</v>
      </c>
      <c r="G1202" s="3" t="s">
        <v>4367</v>
      </c>
      <c r="H1202" s="1" t="s">
        <v>209</v>
      </c>
      <c r="I1202" s="2" t="s">
        <v>210</v>
      </c>
      <c r="J1202" s="3" t="s">
        <v>11</v>
      </c>
      <c r="K1202" s="38">
        <v>8.7999999999999995E-2</v>
      </c>
      <c r="L1202" s="39">
        <v>558</v>
      </c>
    </row>
    <row r="1203" spans="1:12" ht="19.95" customHeight="1" x14ac:dyDescent="0.3">
      <c r="A1203" s="6" t="s">
        <v>4407</v>
      </c>
      <c r="B1203" s="7" t="s">
        <v>4408</v>
      </c>
      <c r="C1203" s="6" t="s">
        <v>4861</v>
      </c>
      <c r="D1203" s="7" t="s">
        <v>4874</v>
      </c>
      <c r="E1203" s="6" t="s">
        <v>4875</v>
      </c>
      <c r="F1203" s="7" t="s">
        <v>4409</v>
      </c>
      <c r="G1203" s="7" t="s">
        <v>4367</v>
      </c>
      <c r="H1203" s="5" t="s">
        <v>211</v>
      </c>
      <c r="I1203" s="6" t="s">
        <v>212</v>
      </c>
      <c r="J1203" s="7" t="s">
        <v>11</v>
      </c>
      <c r="K1203" s="36">
        <v>4.3999999999999997E-2</v>
      </c>
      <c r="L1203" s="37">
        <v>558</v>
      </c>
    </row>
    <row r="1204" spans="1:12" ht="19.95" customHeight="1" x14ac:dyDescent="0.3">
      <c r="A1204" s="2" t="s">
        <v>4407</v>
      </c>
      <c r="B1204" s="3" t="s">
        <v>4408</v>
      </c>
      <c r="C1204" s="2" t="s">
        <v>4861</v>
      </c>
      <c r="D1204" s="3" t="s">
        <v>4874</v>
      </c>
      <c r="E1204" s="2" t="s">
        <v>4875</v>
      </c>
      <c r="F1204" s="3" t="s">
        <v>4409</v>
      </c>
      <c r="G1204" s="3" t="s">
        <v>4367</v>
      </c>
      <c r="H1204" s="1" t="s">
        <v>194</v>
      </c>
      <c r="I1204" s="2" t="s">
        <v>196</v>
      </c>
      <c r="J1204" s="3" t="s">
        <v>11</v>
      </c>
      <c r="K1204" s="38">
        <v>8.7999999999999995E-2</v>
      </c>
      <c r="L1204" s="39">
        <v>617</v>
      </c>
    </row>
    <row r="1205" spans="1:12" ht="19.95" customHeight="1" x14ac:dyDescent="0.3">
      <c r="A1205" s="6" t="s">
        <v>4407</v>
      </c>
      <c r="B1205" s="7" t="s">
        <v>4408</v>
      </c>
      <c r="C1205" s="6" t="s">
        <v>4861</v>
      </c>
      <c r="D1205" s="7" t="s">
        <v>4874</v>
      </c>
      <c r="E1205" s="6" t="s">
        <v>4875</v>
      </c>
      <c r="F1205" s="7" t="s">
        <v>4409</v>
      </c>
      <c r="G1205" s="7" t="s">
        <v>4367</v>
      </c>
      <c r="H1205" s="5" t="s">
        <v>225</v>
      </c>
      <c r="I1205" s="6" t="s">
        <v>4410</v>
      </c>
      <c r="J1205" s="7" t="s">
        <v>11</v>
      </c>
      <c r="K1205" s="36">
        <v>4.3999999999999997E-2</v>
      </c>
      <c r="L1205" s="37">
        <v>679</v>
      </c>
    </row>
    <row r="1206" spans="1:12" ht="19.95" customHeight="1" x14ac:dyDescent="0.3">
      <c r="A1206" s="2" t="s">
        <v>4407</v>
      </c>
      <c r="B1206" s="3" t="s">
        <v>4408</v>
      </c>
      <c r="C1206" s="2" t="s">
        <v>4861</v>
      </c>
      <c r="D1206" s="3" t="s">
        <v>4874</v>
      </c>
      <c r="E1206" s="2" t="s">
        <v>4875</v>
      </c>
      <c r="F1206" s="3" t="s">
        <v>4409</v>
      </c>
      <c r="G1206" s="3" t="s">
        <v>4367</v>
      </c>
      <c r="H1206" s="1" t="s">
        <v>199</v>
      </c>
      <c r="I1206" s="2" t="s">
        <v>200</v>
      </c>
      <c r="J1206" s="3" t="s">
        <v>11</v>
      </c>
      <c r="K1206" s="38">
        <v>6.0000000000000001E-3</v>
      </c>
      <c r="L1206" s="39">
        <v>738</v>
      </c>
    </row>
    <row r="1207" spans="1:12" ht="19.95" customHeight="1" x14ac:dyDescent="0.3">
      <c r="A1207" s="6" t="s">
        <v>4407</v>
      </c>
      <c r="B1207" s="7" t="s">
        <v>4408</v>
      </c>
      <c r="C1207" s="6" t="s">
        <v>4861</v>
      </c>
      <c r="D1207" s="7" t="s">
        <v>4874</v>
      </c>
      <c r="E1207" s="6" t="s">
        <v>4875</v>
      </c>
      <c r="F1207" s="7" t="s">
        <v>4409</v>
      </c>
      <c r="G1207" s="7" t="s">
        <v>4367</v>
      </c>
      <c r="H1207" s="5" t="s">
        <v>209</v>
      </c>
      <c r="I1207" s="6" t="s">
        <v>210</v>
      </c>
      <c r="J1207" s="7" t="s">
        <v>11</v>
      </c>
      <c r="K1207" s="36">
        <v>2.1999999999999999E-2</v>
      </c>
      <c r="L1207" s="37">
        <v>558</v>
      </c>
    </row>
    <row r="1208" spans="1:12" ht="19.95" customHeight="1" x14ac:dyDescent="0.3">
      <c r="A1208" s="2" t="s">
        <v>4407</v>
      </c>
      <c r="B1208" s="3" t="s">
        <v>4408</v>
      </c>
      <c r="C1208" s="2" t="s">
        <v>4861</v>
      </c>
      <c r="D1208" s="3" t="s">
        <v>4874</v>
      </c>
      <c r="E1208" s="2" t="s">
        <v>4875</v>
      </c>
      <c r="F1208" s="3" t="s">
        <v>4409</v>
      </c>
      <c r="G1208" s="3" t="s">
        <v>4367</v>
      </c>
      <c r="H1208" s="1" t="s">
        <v>211</v>
      </c>
      <c r="I1208" s="2" t="s">
        <v>212</v>
      </c>
      <c r="J1208" s="3" t="s">
        <v>11</v>
      </c>
      <c r="K1208" s="38">
        <v>2.1999999999999999E-2</v>
      </c>
      <c r="L1208" s="39">
        <v>558</v>
      </c>
    </row>
    <row r="1209" spans="1:12" ht="19.95" customHeight="1" x14ac:dyDescent="0.3">
      <c r="A1209" s="6" t="s">
        <v>4407</v>
      </c>
      <c r="B1209" s="7" t="s">
        <v>4408</v>
      </c>
      <c r="C1209" s="6" t="s">
        <v>4861</v>
      </c>
      <c r="D1209" s="7" t="s">
        <v>4874</v>
      </c>
      <c r="E1209" s="6" t="s">
        <v>4875</v>
      </c>
      <c r="F1209" s="7" t="s">
        <v>4409</v>
      </c>
      <c r="G1209" s="7" t="s">
        <v>4367</v>
      </c>
      <c r="H1209" s="5" t="s">
        <v>194</v>
      </c>
      <c r="I1209" s="6" t="s">
        <v>196</v>
      </c>
      <c r="J1209" s="7" t="s">
        <v>11</v>
      </c>
      <c r="K1209" s="36">
        <v>2.1999999999999999E-2</v>
      </c>
      <c r="L1209" s="37">
        <v>617</v>
      </c>
    </row>
    <row r="1210" spans="1:12" ht="19.95" customHeight="1" x14ac:dyDescent="0.3">
      <c r="A1210" s="2" t="s">
        <v>4407</v>
      </c>
      <c r="B1210" s="3" t="s">
        <v>4408</v>
      </c>
      <c r="C1210" s="2" t="s">
        <v>4861</v>
      </c>
      <c r="D1210" s="3" t="s">
        <v>4874</v>
      </c>
      <c r="E1210" s="2" t="s">
        <v>4875</v>
      </c>
      <c r="F1210" s="3" t="s">
        <v>4409</v>
      </c>
      <c r="G1210" s="3" t="s">
        <v>4367</v>
      </c>
      <c r="H1210" s="1" t="s">
        <v>197</v>
      </c>
      <c r="I1210" s="2" t="s">
        <v>198</v>
      </c>
      <c r="J1210" s="3" t="s">
        <v>11</v>
      </c>
      <c r="K1210" s="38">
        <v>2.1999999999999999E-2</v>
      </c>
      <c r="L1210" s="39">
        <v>617</v>
      </c>
    </row>
    <row r="1211" spans="1:12" ht="19.95" customHeight="1" x14ac:dyDescent="0.3">
      <c r="A1211" s="6" t="s">
        <v>4407</v>
      </c>
      <c r="B1211" s="7" t="s">
        <v>4408</v>
      </c>
      <c r="C1211" s="6" t="s">
        <v>4861</v>
      </c>
      <c r="D1211" s="7" t="s">
        <v>4876</v>
      </c>
      <c r="E1211" s="6" t="s">
        <v>4873</v>
      </c>
      <c r="F1211" s="7" t="s">
        <v>4409</v>
      </c>
      <c r="G1211" s="7" t="s">
        <v>4367</v>
      </c>
      <c r="H1211" s="5" t="s">
        <v>225</v>
      </c>
      <c r="I1211" s="6" t="s">
        <v>4410</v>
      </c>
      <c r="J1211" s="7" t="s">
        <v>11</v>
      </c>
      <c r="K1211" s="36">
        <v>8.7999999999999995E-2</v>
      </c>
      <c r="L1211" s="37">
        <v>679</v>
      </c>
    </row>
    <row r="1212" spans="1:12" ht="19.95" customHeight="1" x14ac:dyDescent="0.3">
      <c r="A1212" s="2" t="s">
        <v>4407</v>
      </c>
      <c r="B1212" s="3" t="s">
        <v>4408</v>
      </c>
      <c r="C1212" s="2" t="s">
        <v>4861</v>
      </c>
      <c r="D1212" s="3" t="s">
        <v>4876</v>
      </c>
      <c r="E1212" s="2" t="s">
        <v>4873</v>
      </c>
      <c r="F1212" s="3" t="s">
        <v>4409</v>
      </c>
      <c r="G1212" s="3" t="s">
        <v>4367</v>
      </c>
      <c r="H1212" s="1" t="s">
        <v>199</v>
      </c>
      <c r="I1212" s="2" t="s">
        <v>200</v>
      </c>
      <c r="J1212" s="3" t="s">
        <v>11</v>
      </c>
      <c r="K1212" s="38">
        <v>6.0000000000000001E-3</v>
      </c>
      <c r="L1212" s="39">
        <v>738</v>
      </c>
    </row>
    <row r="1213" spans="1:12" ht="19.95" customHeight="1" x14ac:dyDescent="0.3">
      <c r="A1213" s="6" t="s">
        <v>4407</v>
      </c>
      <c r="B1213" s="7" t="s">
        <v>4408</v>
      </c>
      <c r="C1213" s="6" t="s">
        <v>4861</v>
      </c>
      <c r="D1213" s="7" t="s">
        <v>4876</v>
      </c>
      <c r="E1213" s="6" t="s">
        <v>4873</v>
      </c>
      <c r="F1213" s="7" t="s">
        <v>4409</v>
      </c>
      <c r="G1213" s="7" t="s">
        <v>4367</v>
      </c>
      <c r="H1213" s="5" t="s">
        <v>209</v>
      </c>
      <c r="I1213" s="6" t="s">
        <v>210</v>
      </c>
      <c r="J1213" s="7" t="s">
        <v>11</v>
      </c>
      <c r="K1213" s="36">
        <v>4.3999999999999997E-2</v>
      </c>
      <c r="L1213" s="37">
        <v>558</v>
      </c>
    </row>
    <row r="1214" spans="1:12" ht="19.95" customHeight="1" x14ac:dyDescent="0.3">
      <c r="A1214" s="2" t="s">
        <v>4407</v>
      </c>
      <c r="B1214" s="3" t="s">
        <v>4408</v>
      </c>
      <c r="C1214" s="2" t="s">
        <v>4861</v>
      </c>
      <c r="D1214" s="3" t="s">
        <v>4876</v>
      </c>
      <c r="E1214" s="2" t="s">
        <v>4873</v>
      </c>
      <c r="F1214" s="3" t="s">
        <v>4409</v>
      </c>
      <c r="G1214" s="3" t="s">
        <v>4367</v>
      </c>
      <c r="H1214" s="1" t="s">
        <v>211</v>
      </c>
      <c r="I1214" s="2" t="s">
        <v>212</v>
      </c>
      <c r="J1214" s="3" t="s">
        <v>11</v>
      </c>
      <c r="K1214" s="38">
        <v>2.1999999999999999E-2</v>
      </c>
      <c r="L1214" s="39">
        <v>558</v>
      </c>
    </row>
    <row r="1215" spans="1:12" ht="19.95" customHeight="1" x14ac:dyDescent="0.3">
      <c r="A1215" s="6" t="s">
        <v>4407</v>
      </c>
      <c r="B1215" s="7" t="s">
        <v>4408</v>
      </c>
      <c r="C1215" s="6" t="s">
        <v>4861</v>
      </c>
      <c r="D1215" s="7" t="s">
        <v>4876</v>
      </c>
      <c r="E1215" s="6" t="s">
        <v>4873</v>
      </c>
      <c r="F1215" s="7" t="s">
        <v>4409</v>
      </c>
      <c r="G1215" s="7" t="s">
        <v>4367</v>
      </c>
      <c r="H1215" s="5" t="s">
        <v>194</v>
      </c>
      <c r="I1215" s="6" t="s">
        <v>196</v>
      </c>
      <c r="J1215" s="7" t="s">
        <v>11</v>
      </c>
      <c r="K1215" s="36">
        <v>4.3999999999999997E-2</v>
      </c>
      <c r="L1215" s="37">
        <v>617</v>
      </c>
    </row>
    <row r="1216" spans="1:12" ht="19.95" customHeight="1" x14ac:dyDescent="0.3">
      <c r="A1216" s="2" t="s">
        <v>4407</v>
      </c>
      <c r="B1216" s="3" t="s">
        <v>4408</v>
      </c>
      <c r="C1216" s="2" t="s">
        <v>4861</v>
      </c>
      <c r="D1216" s="3" t="s">
        <v>4876</v>
      </c>
      <c r="E1216" s="2" t="s">
        <v>4873</v>
      </c>
      <c r="F1216" s="3" t="s">
        <v>4409</v>
      </c>
      <c r="G1216" s="3" t="s">
        <v>4367</v>
      </c>
      <c r="H1216" s="1" t="s">
        <v>225</v>
      </c>
      <c r="I1216" s="2" t="s">
        <v>4410</v>
      </c>
      <c r="J1216" s="3" t="s">
        <v>11</v>
      </c>
      <c r="K1216" s="38">
        <v>4.3999999999999997E-2</v>
      </c>
      <c r="L1216" s="39">
        <v>679</v>
      </c>
    </row>
    <row r="1217" spans="1:12" ht="19.95" customHeight="1" x14ac:dyDescent="0.3">
      <c r="A1217" s="6" t="s">
        <v>4407</v>
      </c>
      <c r="B1217" s="7" t="s">
        <v>4408</v>
      </c>
      <c r="C1217" s="6" t="s">
        <v>4861</v>
      </c>
      <c r="D1217" s="7" t="s">
        <v>4876</v>
      </c>
      <c r="E1217" s="6" t="s">
        <v>4873</v>
      </c>
      <c r="F1217" s="7" t="s">
        <v>4409</v>
      </c>
      <c r="G1217" s="7" t="s">
        <v>4367</v>
      </c>
      <c r="H1217" s="5" t="s">
        <v>199</v>
      </c>
      <c r="I1217" s="6" t="s">
        <v>200</v>
      </c>
      <c r="J1217" s="7" t="s">
        <v>11</v>
      </c>
      <c r="K1217" s="36">
        <v>6.0000000000000001E-3</v>
      </c>
      <c r="L1217" s="37">
        <v>738</v>
      </c>
    </row>
    <row r="1218" spans="1:12" ht="19.95" customHeight="1" x14ac:dyDescent="0.3">
      <c r="A1218" s="2" t="s">
        <v>4407</v>
      </c>
      <c r="B1218" s="3" t="s">
        <v>4408</v>
      </c>
      <c r="C1218" s="2" t="s">
        <v>4861</v>
      </c>
      <c r="D1218" s="3" t="s">
        <v>4876</v>
      </c>
      <c r="E1218" s="2" t="s">
        <v>4873</v>
      </c>
      <c r="F1218" s="3" t="s">
        <v>4409</v>
      </c>
      <c r="G1218" s="3" t="s">
        <v>4367</v>
      </c>
      <c r="H1218" s="1" t="s">
        <v>209</v>
      </c>
      <c r="I1218" s="2" t="s">
        <v>210</v>
      </c>
      <c r="J1218" s="3" t="s">
        <v>11</v>
      </c>
      <c r="K1218" s="38">
        <v>2.1999999999999999E-2</v>
      </c>
      <c r="L1218" s="39">
        <v>558</v>
      </c>
    </row>
    <row r="1219" spans="1:12" ht="19.95" customHeight="1" x14ac:dyDescent="0.3">
      <c r="A1219" s="6" t="s">
        <v>4407</v>
      </c>
      <c r="B1219" s="7" t="s">
        <v>4408</v>
      </c>
      <c r="C1219" s="6" t="s">
        <v>4861</v>
      </c>
      <c r="D1219" s="7" t="s">
        <v>4876</v>
      </c>
      <c r="E1219" s="6" t="s">
        <v>4873</v>
      </c>
      <c r="F1219" s="7" t="s">
        <v>4409</v>
      </c>
      <c r="G1219" s="7" t="s">
        <v>4367</v>
      </c>
      <c r="H1219" s="5" t="s">
        <v>211</v>
      </c>
      <c r="I1219" s="6" t="s">
        <v>212</v>
      </c>
      <c r="J1219" s="7" t="s">
        <v>11</v>
      </c>
      <c r="K1219" s="36">
        <v>2.1999999999999999E-2</v>
      </c>
      <c r="L1219" s="37">
        <v>558</v>
      </c>
    </row>
    <row r="1220" spans="1:12" ht="19.95" customHeight="1" x14ac:dyDescent="0.3">
      <c r="A1220" s="2" t="s">
        <v>4407</v>
      </c>
      <c r="B1220" s="3" t="s">
        <v>4408</v>
      </c>
      <c r="C1220" s="2" t="s">
        <v>4861</v>
      </c>
      <c r="D1220" s="3" t="s">
        <v>4876</v>
      </c>
      <c r="E1220" s="2" t="s">
        <v>4873</v>
      </c>
      <c r="F1220" s="3" t="s">
        <v>4409</v>
      </c>
      <c r="G1220" s="3" t="s">
        <v>4367</v>
      </c>
      <c r="H1220" s="1" t="s">
        <v>194</v>
      </c>
      <c r="I1220" s="2" t="s">
        <v>196</v>
      </c>
      <c r="J1220" s="3" t="s">
        <v>11</v>
      </c>
      <c r="K1220" s="38">
        <v>2.1999999999999999E-2</v>
      </c>
      <c r="L1220" s="39">
        <v>617</v>
      </c>
    </row>
    <row r="1221" spans="1:12" ht="19.95" customHeight="1" x14ac:dyDescent="0.3">
      <c r="A1221" s="6" t="s">
        <v>4407</v>
      </c>
      <c r="B1221" s="7" t="s">
        <v>4408</v>
      </c>
      <c r="C1221" s="6" t="s">
        <v>4861</v>
      </c>
      <c r="D1221" s="7" t="s">
        <v>4876</v>
      </c>
      <c r="E1221" s="6" t="s">
        <v>4873</v>
      </c>
      <c r="F1221" s="7" t="s">
        <v>4409</v>
      </c>
      <c r="G1221" s="7" t="s">
        <v>4367</v>
      </c>
      <c r="H1221" s="5" t="s">
        <v>197</v>
      </c>
      <c r="I1221" s="6" t="s">
        <v>198</v>
      </c>
      <c r="J1221" s="7" t="s">
        <v>11</v>
      </c>
      <c r="K1221" s="36">
        <v>2.1999999999999999E-2</v>
      </c>
      <c r="L1221" s="37">
        <v>617</v>
      </c>
    </row>
    <row r="1222" spans="1:12" ht="19.95" customHeight="1" x14ac:dyDescent="0.3">
      <c r="A1222" s="2" t="s">
        <v>4407</v>
      </c>
      <c r="B1222" s="3" t="s">
        <v>4408</v>
      </c>
      <c r="C1222" s="2" t="s">
        <v>4861</v>
      </c>
      <c r="D1222" s="3" t="s">
        <v>4876</v>
      </c>
      <c r="E1222" s="2" t="s">
        <v>4873</v>
      </c>
      <c r="F1222" s="3" t="s">
        <v>4409</v>
      </c>
      <c r="G1222" s="3" t="s">
        <v>4367</v>
      </c>
      <c r="H1222" s="1" t="s">
        <v>211</v>
      </c>
      <c r="I1222" s="2" t="s">
        <v>212</v>
      </c>
      <c r="J1222" s="3" t="s">
        <v>11</v>
      </c>
      <c r="K1222" s="38">
        <v>1.4999999999999999E-2</v>
      </c>
      <c r="L1222" s="39">
        <v>558</v>
      </c>
    </row>
    <row r="1223" spans="1:12" ht="19.95" customHeight="1" x14ac:dyDescent="0.3">
      <c r="A1223" s="6" t="s">
        <v>4407</v>
      </c>
      <c r="B1223" s="7" t="s">
        <v>4408</v>
      </c>
      <c r="C1223" s="6" t="s">
        <v>4861</v>
      </c>
      <c r="D1223" s="7" t="s">
        <v>4876</v>
      </c>
      <c r="E1223" s="6" t="s">
        <v>4873</v>
      </c>
      <c r="F1223" s="7" t="s">
        <v>4409</v>
      </c>
      <c r="G1223" s="7" t="s">
        <v>4367</v>
      </c>
      <c r="H1223" s="5" t="s">
        <v>225</v>
      </c>
      <c r="I1223" s="6" t="s">
        <v>4410</v>
      </c>
      <c r="J1223" s="7" t="s">
        <v>11</v>
      </c>
      <c r="K1223" s="36">
        <v>8.7999999999999995E-2</v>
      </c>
      <c r="L1223" s="37">
        <v>679</v>
      </c>
    </row>
    <row r="1224" spans="1:12" ht="19.95" customHeight="1" x14ac:dyDescent="0.3">
      <c r="A1224" s="2" t="s">
        <v>4407</v>
      </c>
      <c r="B1224" s="3" t="s">
        <v>4408</v>
      </c>
      <c r="C1224" s="2" t="s">
        <v>4861</v>
      </c>
      <c r="D1224" s="3" t="s">
        <v>4876</v>
      </c>
      <c r="E1224" s="2" t="s">
        <v>4873</v>
      </c>
      <c r="F1224" s="3" t="s">
        <v>4409</v>
      </c>
      <c r="G1224" s="3" t="s">
        <v>4367</v>
      </c>
      <c r="H1224" s="1" t="s">
        <v>199</v>
      </c>
      <c r="I1224" s="2" t="s">
        <v>200</v>
      </c>
      <c r="J1224" s="3" t="s">
        <v>11</v>
      </c>
      <c r="K1224" s="38">
        <v>6.0000000000000001E-3</v>
      </c>
      <c r="L1224" s="39">
        <v>738</v>
      </c>
    </row>
    <row r="1225" spans="1:12" ht="19.95" customHeight="1" x14ac:dyDescent="0.3">
      <c r="A1225" s="6" t="s">
        <v>4407</v>
      </c>
      <c r="B1225" s="7" t="s">
        <v>4408</v>
      </c>
      <c r="C1225" s="6" t="s">
        <v>4861</v>
      </c>
      <c r="D1225" s="7" t="s">
        <v>4876</v>
      </c>
      <c r="E1225" s="6" t="s">
        <v>4873</v>
      </c>
      <c r="F1225" s="7" t="s">
        <v>4409</v>
      </c>
      <c r="G1225" s="7" t="s">
        <v>4367</v>
      </c>
      <c r="H1225" s="5" t="s">
        <v>209</v>
      </c>
      <c r="I1225" s="6" t="s">
        <v>210</v>
      </c>
      <c r="J1225" s="7" t="s">
        <v>11</v>
      </c>
      <c r="K1225" s="36">
        <v>4.3999999999999997E-2</v>
      </c>
      <c r="L1225" s="37">
        <v>558</v>
      </c>
    </row>
    <row r="1226" spans="1:12" ht="19.95" customHeight="1" x14ac:dyDescent="0.3">
      <c r="A1226" s="2" t="s">
        <v>4407</v>
      </c>
      <c r="B1226" s="3" t="s">
        <v>4408</v>
      </c>
      <c r="C1226" s="2" t="s">
        <v>4861</v>
      </c>
      <c r="D1226" s="3" t="s">
        <v>4876</v>
      </c>
      <c r="E1226" s="2" t="s">
        <v>4873</v>
      </c>
      <c r="F1226" s="3" t="s">
        <v>4409</v>
      </c>
      <c r="G1226" s="3" t="s">
        <v>4367</v>
      </c>
      <c r="H1226" s="1" t="s">
        <v>211</v>
      </c>
      <c r="I1226" s="2" t="s">
        <v>212</v>
      </c>
      <c r="J1226" s="3" t="s">
        <v>11</v>
      </c>
      <c r="K1226" s="38">
        <v>2.1999999999999999E-2</v>
      </c>
      <c r="L1226" s="39">
        <v>558</v>
      </c>
    </row>
    <row r="1227" spans="1:12" ht="19.95" customHeight="1" x14ac:dyDescent="0.3">
      <c r="A1227" s="6" t="s">
        <v>4407</v>
      </c>
      <c r="B1227" s="7" t="s">
        <v>4408</v>
      </c>
      <c r="C1227" s="6" t="s">
        <v>4861</v>
      </c>
      <c r="D1227" s="7" t="s">
        <v>4876</v>
      </c>
      <c r="E1227" s="6" t="s">
        <v>4873</v>
      </c>
      <c r="F1227" s="7" t="s">
        <v>4409</v>
      </c>
      <c r="G1227" s="7" t="s">
        <v>4367</v>
      </c>
      <c r="H1227" s="5" t="s">
        <v>194</v>
      </c>
      <c r="I1227" s="6" t="s">
        <v>196</v>
      </c>
      <c r="J1227" s="7" t="s">
        <v>11</v>
      </c>
      <c r="K1227" s="36">
        <v>4.3999999999999997E-2</v>
      </c>
      <c r="L1227" s="37">
        <v>617</v>
      </c>
    </row>
    <row r="1228" spans="1:12" ht="19.95" customHeight="1" x14ac:dyDescent="0.3">
      <c r="A1228" s="2" t="s">
        <v>4407</v>
      </c>
      <c r="B1228" s="3" t="s">
        <v>4408</v>
      </c>
      <c r="C1228" s="2" t="s">
        <v>4861</v>
      </c>
      <c r="D1228" s="3" t="s">
        <v>4876</v>
      </c>
      <c r="E1228" s="2" t="s">
        <v>4873</v>
      </c>
      <c r="F1228" s="3" t="s">
        <v>4409</v>
      </c>
      <c r="G1228" s="3" t="s">
        <v>4367</v>
      </c>
      <c r="H1228" s="1" t="s">
        <v>225</v>
      </c>
      <c r="I1228" s="2" t="s">
        <v>4410</v>
      </c>
      <c r="J1228" s="3" t="s">
        <v>11</v>
      </c>
      <c r="K1228" s="38">
        <v>4.3999999999999997E-2</v>
      </c>
      <c r="L1228" s="39">
        <v>679</v>
      </c>
    </row>
    <row r="1229" spans="1:12" ht="19.95" customHeight="1" x14ac:dyDescent="0.3">
      <c r="A1229" s="6" t="s">
        <v>4407</v>
      </c>
      <c r="B1229" s="7" t="s">
        <v>4408</v>
      </c>
      <c r="C1229" s="6" t="s">
        <v>4861</v>
      </c>
      <c r="D1229" s="7" t="s">
        <v>4876</v>
      </c>
      <c r="E1229" s="6" t="s">
        <v>4873</v>
      </c>
      <c r="F1229" s="7" t="s">
        <v>4409</v>
      </c>
      <c r="G1229" s="7" t="s">
        <v>4367</v>
      </c>
      <c r="H1229" s="5" t="s">
        <v>199</v>
      </c>
      <c r="I1229" s="6" t="s">
        <v>200</v>
      </c>
      <c r="J1229" s="7" t="s">
        <v>11</v>
      </c>
      <c r="K1229" s="36">
        <v>6.0000000000000001E-3</v>
      </c>
      <c r="L1229" s="37">
        <v>738</v>
      </c>
    </row>
    <row r="1230" spans="1:12" ht="19.95" customHeight="1" x14ac:dyDescent="0.3">
      <c r="A1230" s="2" t="s">
        <v>4407</v>
      </c>
      <c r="B1230" s="3" t="s">
        <v>4408</v>
      </c>
      <c r="C1230" s="2" t="s">
        <v>4861</v>
      </c>
      <c r="D1230" s="3" t="s">
        <v>4876</v>
      </c>
      <c r="E1230" s="2" t="s">
        <v>4873</v>
      </c>
      <c r="F1230" s="3" t="s">
        <v>4409</v>
      </c>
      <c r="G1230" s="3" t="s">
        <v>4367</v>
      </c>
      <c r="H1230" s="1" t="s">
        <v>209</v>
      </c>
      <c r="I1230" s="2" t="s">
        <v>210</v>
      </c>
      <c r="J1230" s="3" t="s">
        <v>11</v>
      </c>
      <c r="K1230" s="38">
        <v>2.1999999999999999E-2</v>
      </c>
      <c r="L1230" s="39">
        <v>558</v>
      </c>
    </row>
    <row r="1231" spans="1:12" ht="19.95" customHeight="1" x14ac:dyDescent="0.3">
      <c r="A1231" s="6" t="s">
        <v>4407</v>
      </c>
      <c r="B1231" s="7" t="s">
        <v>4408</v>
      </c>
      <c r="C1231" s="6" t="s">
        <v>4861</v>
      </c>
      <c r="D1231" s="7" t="s">
        <v>4876</v>
      </c>
      <c r="E1231" s="6" t="s">
        <v>4873</v>
      </c>
      <c r="F1231" s="7" t="s">
        <v>4409</v>
      </c>
      <c r="G1231" s="7" t="s">
        <v>4367</v>
      </c>
      <c r="H1231" s="5" t="s">
        <v>211</v>
      </c>
      <c r="I1231" s="6" t="s">
        <v>212</v>
      </c>
      <c r="J1231" s="7" t="s">
        <v>11</v>
      </c>
      <c r="K1231" s="36">
        <v>2.1999999999999999E-2</v>
      </c>
      <c r="L1231" s="37">
        <v>558</v>
      </c>
    </row>
    <row r="1232" spans="1:12" ht="19.95" customHeight="1" x14ac:dyDescent="0.3">
      <c r="A1232" s="2" t="s">
        <v>4407</v>
      </c>
      <c r="B1232" s="3" t="s">
        <v>4408</v>
      </c>
      <c r="C1232" s="2" t="s">
        <v>4861</v>
      </c>
      <c r="D1232" s="3" t="s">
        <v>4876</v>
      </c>
      <c r="E1232" s="2" t="s">
        <v>4873</v>
      </c>
      <c r="F1232" s="3" t="s">
        <v>4409</v>
      </c>
      <c r="G1232" s="3" t="s">
        <v>4367</v>
      </c>
      <c r="H1232" s="1" t="s">
        <v>194</v>
      </c>
      <c r="I1232" s="2" t="s">
        <v>196</v>
      </c>
      <c r="J1232" s="3" t="s">
        <v>11</v>
      </c>
      <c r="K1232" s="38">
        <v>2.1999999999999999E-2</v>
      </c>
      <c r="L1232" s="39">
        <v>617</v>
      </c>
    </row>
    <row r="1233" spans="1:12" ht="19.95" customHeight="1" x14ac:dyDescent="0.3">
      <c r="A1233" s="6" t="s">
        <v>4407</v>
      </c>
      <c r="B1233" s="7" t="s">
        <v>4408</v>
      </c>
      <c r="C1233" s="6" t="s">
        <v>4861</v>
      </c>
      <c r="D1233" s="7" t="s">
        <v>4876</v>
      </c>
      <c r="E1233" s="6" t="s">
        <v>4873</v>
      </c>
      <c r="F1233" s="7" t="s">
        <v>4409</v>
      </c>
      <c r="G1233" s="7" t="s">
        <v>4367</v>
      </c>
      <c r="H1233" s="5" t="s">
        <v>197</v>
      </c>
      <c r="I1233" s="6" t="s">
        <v>198</v>
      </c>
      <c r="J1233" s="7" t="s">
        <v>11</v>
      </c>
      <c r="K1233" s="36">
        <v>2.1999999999999999E-2</v>
      </c>
      <c r="L1233" s="37">
        <v>617</v>
      </c>
    </row>
    <row r="1234" spans="1:12" ht="19.95" customHeight="1" x14ac:dyDescent="0.3">
      <c r="A1234" s="2" t="s">
        <v>4407</v>
      </c>
      <c r="B1234" s="3" t="s">
        <v>4408</v>
      </c>
      <c r="C1234" s="2" t="s">
        <v>4861</v>
      </c>
      <c r="D1234" s="3" t="s">
        <v>4876</v>
      </c>
      <c r="E1234" s="2" t="s">
        <v>4873</v>
      </c>
      <c r="F1234" s="3" t="s">
        <v>4409</v>
      </c>
      <c r="G1234" s="3" t="s">
        <v>4367</v>
      </c>
      <c r="H1234" s="1" t="s">
        <v>211</v>
      </c>
      <c r="I1234" s="2" t="s">
        <v>212</v>
      </c>
      <c r="J1234" s="3" t="s">
        <v>11</v>
      </c>
      <c r="K1234" s="38">
        <v>1.4999999999999999E-2</v>
      </c>
      <c r="L1234" s="39">
        <v>558</v>
      </c>
    </row>
    <row r="1235" spans="1:12" ht="19.95" customHeight="1" x14ac:dyDescent="0.3">
      <c r="A1235" s="6" t="s">
        <v>4407</v>
      </c>
      <c r="B1235" s="7" t="s">
        <v>4408</v>
      </c>
      <c r="C1235" s="6" t="s">
        <v>4861</v>
      </c>
      <c r="D1235" s="7" t="s">
        <v>4877</v>
      </c>
      <c r="E1235" s="6" t="s">
        <v>4875</v>
      </c>
      <c r="F1235" s="7" t="s">
        <v>4409</v>
      </c>
      <c r="G1235" s="7" t="s">
        <v>4367</v>
      </c>
      <c r="H1235" s="5" t="s">
        <v>225</v>
      </c>
      <c r="I1235" s="6" t="s">
        <v>4410</v>
      </c>
      <c r="J1235" s="7" t="s">
        <v>11</v>
      </c>
      <c r="K1235" s="36">
        <v>0.17599999999999999</v>
      </c>
      <c r="L1235" s="37">
        <v>679</v>
      </c>
    </row>
    <row r="1236" spans="1:12" ht="19.95" customHeight="1" x14ac:dyDescent="0.3">
      <c r="A1236" s="2" t="s">
        <v>4407</v>
      </c>
      <c r="B1236" s="3" t="s">
        <v>4408</v>
      </c>
      <c r="C1236" s="2" t="s">
        <v>4861</v>
      </c>
      <c r="D1236" s="3" t="s">
        <v>4877</v>
      </c>
      <c r="E1236" s="2" t="s">
        <v>4875</v>
      </c>
      <c r="F1236" s="3" t="s">
        <v>4409</v>
      </c>
      <c r="G1236" s="3" t="s">
        <v>4367</v>
      </c>
      <c r="H1236" s="1" t="s">
        <v>199</v>
      </c>
      <c r="I1236" s="2" t="s">
        <v>200</v>
      </c>
      <c r="J1236" s="3" t="s">
        <v>11</v>
      </c>
      <c r="K1236" s="38">
        <v>1.2E-2</v>
      </c>
      <c r="L1236" s="39">
        <v>738</v>
      </c>
    </row>
    <row r="1237" spans="1:12" ht="19.95" customHeight="1" x14ac:dyDescent="0.3">
      <c r="A1237" s="6" t="s">
        <v>4407</v>
      </c>
      <c r="B1237" s="7" t="s">
        <v>4408</v>
      </c>
      <c r="C1237" s="6" t="s">
        <v>4861</v>
      </c>
      <c r="D1237" s="7" t="s">
        <v>4877</v>
      </c>
      <c r="E1237" s="6" t="s">
        <v>4875</v>
      </c>
      <c r="F1237" s="7" t="s">
        <v>4409</v>
      </c>
      <c r="G1237" s="7" t="s">
        <v>4367</v>
      </c>
      <c r="H1237" s="5" t="s">
        <v>209</v>
      </c>
      <c r="I1237" s="6" t="s">
        <v>210</v>
      </c>
      <c r="J1237" s="7" t="s">
        <v>11</v>
      </c>
      <c r="K1237" s="36">
        <v>8.7999999999999995E-2</v>
      </c>
      <c r="L1237" s="37">
        <v>558</v>
      </c>
    </row>
    <row r="1238" spans="1:12" ht="19.95" customHeight="1" x14ac:dyDescent="0.3">
      <c r="A1238" s="2" t="s">
        <v>4407</v>
      </c>
      <c r="B1238" s="3" t="s">
        <v>4408</v>
      </c>
      <c r="C1238" s="2" t="s">
        <v>4861</v>
      </c>
      <c r="D1238" s="3" t="s">
        <v>4877</v>
      </c>
      <c r="E1238" s="2" t="s">
        <v>4875</v>
      </c>
      <c r="F1238" s="3" t="s">
        <v>4409</v>
      </c>
      <c r="G1238" s="3" t="s">
        <v>4367</v>
      </c>
      <c r="H1238" s="1" t="s">
        <v>211</v>
      </c>
      <c r="I1238" s="2" t="s">
        <v>212</v>
      </c>
      <c r="J1238" s="3" t="s">
        <v>11</v>
      </c>
      <c r="K1238" s="38">
        <v>4.3999999999999997E-2</v>
      </c>
      <c r="L1238" s="39">
        <v>558</v>
      </c>
    </row>
    <row r="1239" spans="1:12" ht="19.95" customHeight="1" x14ac:dyDescent="0.3">
      <c r="A1239" s="6" t="s">
        <v>4407</v>
      </c>
      <c r="B1239" s="7" t="s">
        <v>4408</v>
      </c>
      <c r="C1239" s="6" t="s">
        <v>4861</v>
      </c>
      <c r="D1239" s="7" t="s">
        <v>4877</v>
      </c>
      <c r="E1239" s="6" t="s">
        <v>4875</v>
      </c>
      <c r="F1239" s="7" t="s">
        <v>4409</v>
      </c>
      <c r="G1239" s="7" t="s">
        <v>4367</v>
      </c>
      <c r="H1239" s="5" t="s">
        <v>194</v>
      </c>
      <c r="I1239" s="6" t="s">
        <v>196</v>
      </c>
      <c r="J1239" s="7" t="s">
        <v>11</v>
      </c>
      <c r="K1239" s="36">
        <v>8.7999999999999995E-2</v>
      </c>
      <c r="L1239" s="37">
        <v>617</v>
      </c>
    </row>
    <row r="1240" spans="1:12" ht="19.95" customHeight="1" x14ac:dyDescent="0.3">
      <c r="A1240" s="2" t="s">
        <v>4407</v>
      </c>
      <c r="B1240" s="3" t="s">
        <v>4408</v>
      </c>
      <c r="C1240" s="2" t="s">
        <v>4861</v>
      </c>
      <c r="D1240" s="3" t="s">
        <v>4877</v>
      </c>
      <c r="E1240" s="2" t="s">
        <v>4875</v>
      </c>
      <c r="F1240" s="3" t="s">
        <v>4409</v>
      </c>
      <c r="G1240" s="3" t="s">
        <v>4367</v>
      </c>
      <c r="H1240" s="1" t="s">
        <v>225</v>
      </c>
      <c r="I1240" s="2" t="s">
        <v>4410</v>
      </c>
      <c r="J1240" s="3" t="s">
        <v>11</v>
      </c>
      <c r="K1240" s="38">
        <v>4.3999999999999997E-2</v>
      </c>
      <c r="L1240" s="39">
        <v>679</v>
      </c>
    </row>
    <row r="1241" spans="1:12" ht="19.95" customHeight="1" x14ac:dyDescent="0.3">
      <c r="A1241" s="6" t="s">
        <v>4407</v>
      </c>
      <c r="B1241" s="7" t="s">
        <v>4408</v>
      </c>
      <c r="C1241" s="6" t="s">
        <v>4861</v>
      </c>
      <c r="D1241" s="7" t="s">
        <v>4877</v>
      </c>
      <c r="E1241" s="6" t="s">
        <v>4875</v>
      </c>
      <c r="F1241" s="7" t="s">
        <v>4409</v>
      </c>
      <c r="G1241" s="7" t="s">
        <v>4367</v>
      </c>
      <c r="H1241" s="5" t="s">
        <v>199</v>
      </c>
      <c r="I1241" s="6" t="s">
        <v>200</v>
      </c>
      <c r="J1241" s="7" t="s">
        <v>11</v>
      </c>
      <c r="K1241" s="36">
        <v>6.0000000000000001E-3</v>
      </c>
      <c r="L1241" s="37">
        <v>738</v>
      </c>
    </row>
    <row r="1242" spans="1:12" ht="19.95" customHeight="1" x14ac:dyDescent="0.3">
      <c r="A1242" s="2" t="s">
        <v>4407</v>
      </c>
      <c r="B1242" s="3" t="s">
        <v>4408</v>
      </c>
      <c r="C1242" s="2" t="s">
        <v>4861</v>
      </c>
      <c r="D1242" s="3" t="s">
        <v>4877</v>
      </c>
      <c r="E1242" s="2" t="s">
        <v>4875</v>
      </c>
      <c r="F1242" s="3" t="s">
        <v>4409</v>
      </c>
      <c r="G1242" s="3" t="s">
        <v>4367</v>
      </c>
      <c r="H1242" s="1" t="s">
        <v>209</v>
      </c>
      <c r="I1242" s="2" t="s">
        <v>210</v>
      </c>
      <c r="J1242" s="3" t="s">
        <v>11</v>
      </c>
      <c r="K1242" s="38">
        <v>2.1999999999999999E-2</v>
      </c>
      <c r="L1242" s="39">
        <v>558</v>
      </c>
    </row>
    <row r="1243" spans="1:12" ht="19.95" customHeight="1" x14ac:dyDescent="0.3">
      <c r="A1243" s="6" t="s">
        <v>4407</v>
      </c>
      <c r="B1243" s="7" t="s">
        <v>4408</v>
      </c>
      <c r="C1243" s="6" t="s">
        <v>4861</v>
      </c>
      <c r="D1243" s="7" t="s">
        <v>4877</v>
      </c>
      <c r="E1243" s="6" t="s">
        <v>4875</v>
      </c>
      <c r="F1243" s="7" t="s">
        <v>4409</v>
      </c>
      <c r="G1243" s="7" t="s">
        <v>4367</v>
      </c>
      <c r="H1243" s="5" t="s">
        <v>211</v>
      </c>
      <c r="I1243" s="6" t="s">
        <v>212</v>
      </c>
      <c r="J1243" s="7" t="s">
        <v>11</v>
      </c>
      <c r="K1243" s="36">
        <v>2.1999999999999999E-2</v>
      </c>
      <c r="L1243" s="37">
        <v>558</v>
      </c>
    </row>
    <row r="1244" spans="1:12" ht="19.95" customHeight="1" x14ac:dyDescent="0.3">
      <c r="A1244" s="2" t="s">
        <v>4407</v>
      </c>
      <c r="B1244" s="3" t="s">
        <v>4408</v>
      </c>
      <c r="C1244" s="2" t="s">
        <v>4861</v>
      </c>
      <c r="D1244" s="3" t="s">
        <v>4877</v>
      </c>
      <c r="E1244" s="2" t="s">
        <v>4875</v>
      </c>
      <c r="F1244" s="3" t="s">
        <v>4409</v>
      </c>
      <c r="G1244" s="3" t="s">
        <v>4367</v>
      </c>
      <c r="H1244" s="1" t="s">
        <v>194</v>
      </c>
      <c r="I1244" s="2" t="s">
        <v>196</v>
      </c>
      <c r="J1244" s="3" t="s">
        <v>11</v>
      </c>
      <c r="K1244" s="38">
        <v>2.1999999999999999E-2</v>
      </c>
      <c r="L1244" s="39">
        <v>617</v>
      </c>
    </row>
    <row r="1245" spans="1:12" ht="19.95" customHeight="1" x14ac:dyDescent="0.3">
      <c r="A1245" s="6" t="s">
        <v>4407</v>
      </c>
      <c r="B1245" s="7" t="s">
        <v>4408</v>
      </c>
      <c r="C1245" s="6" t="s">
        <v>4861</v>
      </c>
      <c r="D1245" s="7" t="s">
        <v>4877</v>
      </c>
      <c r="E1245" s="6" t="s">
        <v>4875</v>
      </c>
      <c r="F1245" s="7" t="s">
        <v>4409</v>
      </c>
      <c r="G1245" s="7" t="s">
        <v>4367</v>
      </c>
      <c r="H1245" s="5" t="s">
        <v>197</v>
      </c>
      <c r="I1245" s="6" t="s">
        <v>198</v>
      </c>
      <c r="J1245" s="7" t="s">
        <v>11</v>
      </c>
      <c r="K1245" s="36">
        <v>2.1999999999999999E-2</v>
      </c>
      <c r="L1245" s="37">
        <v>617</v>
      </c>
    </row>
    <row r="1246" spans="1:12" ht="19.95" customHeight="1" x14ac:dyDescent="0.3">
      <c r="A1246" s="2" t="s">
        <v>4407</v>
      </c>
      <c r="B1246" s="3" t="s">
        <v>4408</v>
      </c>
      <c r="C1246" s="2" t="s">
        <v>4861</v>
      </c>
      <c r="D1246" s="3" t="s">
        <v>4877</v>
      </c>
      <c r="E1246" s="2" t="s">
        <v>4875</v>
      </c>
      <c r="F1246" s="3" t="s">
        <v>4409</v>
      </c>
      <c r="G1246" s="3" t="s">
        <v>4367</v>
      </c>
      <c r="H1246" s="1" t="s">
        <v>211</v>
      </c>
      <c r="I1246" s="2" t="s">
        <v>212</v>
      </c>
      <c r="J1246" s="3" t="s">
        <v>11</v>
      </c>
      <c r="K1246" s="38">
        <v>1.4999999999999999E-2</v>
      </c>
      <c r="L1246" s="39">
        <v>558</v>
      </c>
    </row>
    <row r="1247" spans="1:12" ht="19.95" customHeight="1" x14ac:dyDescent="0.3">
      <c r="A1247" s="6" t="s">
        <v>4407</v>
      </c>
      <c r="B1247" s="7" t="s">
        <v>4408</v>
      </c>
      <c r="C1247" s="6" t="s">
        <v>4861</v>
      </c>
      <c r="D1247" s="7" t="s">
        <v>4877</v>
      </c>
      <c r="E1247" s="6" t="s">
        <v>4875</v>
      </c>
      <c r="F1247" s="7" t="s">
        <v>4409</v>
      </c>
      <c r="G1247" s="7" t="s">
        <v>4367</v>
      </c>
      <c r="H1247" s="5" t="s">
        <v>225</v>
      </c>
      <c r="I1247" s="6" t="s">
        <v>4410</v>
      </c>
      <c r="J1247" s="7" t="s">
        <v>11</v>
      </c>
      <c r="K1247" s="36">
        <v>0.17599999999999999</v>
      </c>
      <c r="L1247" s="37">
        <v>679</v>
      </c>
    </row>
    <row r="1248" spans="1:12" ht="19.95" customHeight="1" x14ac:dyDescent="0.3">
      <c r="A1248" s="2" t="s">
        <v>4407</v>
      </c>
      <c r="B1248" s="3" t="s">
        <v>4408</v>
      </c>
      <c r="C1248" s="2" t="s">
        <v>4861</v>
      </c>
      <c r="D1248" s="3" t="s">
        <v>4877</v>
      </c>
      <c r="E1248" s="2" t="s">
        <v>4875</v>
      </c>
      <c r="F1248" s="3" t="s">
        <v>4409</v>
      </c>
      <c r="G1248" s="3" t="s">
        <v>4367</v>
      </c>
      <c r="H1248" s="1" t="s">
        <v>199</v>
      </c>
      <c r="I1248" s="2" t="s">
        <v>200</v>
      </c>
      <c r="J1248" s="3" t="s">
        <v>11</v>
      </c>
      <c r="K1248" s="38">
        <v>1.2E-2</v>
      </c>
      <c r="L1248" s="39">
        <v>738</v>
      </c>
    </row>
    <row r="1249" spans="1:12" ht="19.95" customHeight="1" x14ac:dyDescent="0.3">
      <c r="A1249" s="6" t="s">
        <v>4407</v>
      </c>
      <c r="B1249" s="7" t="s">
        <v>4408</v>
      </c>
      <c r="C1249" s="6" t="s">
        <v>4861</v>
      </c>
      <c r="D1249" s="7" t="s">
        <v>4877</v>
      </c>
      <c r="E1249" s="6" t="s">
        <v>4875</v>
      </c>
      <c r="F1249" s="7" t="s">
        <v>4409</v>
      </c>
      <c r="G1249" s="7" t="s">
        <v>4367</v>
      </c>
      <c r="H1249" s="5" t="s">
        <v>209</v>
      </c>
      <c r="I1249" s="6" t="s">
        <v>210</v>
      </c>
      <c r="J1249" s="7" t="s">
        <v>11</v>
      </c>
      <c r="K1249" s="36">
        <v>8.7999999999999995E-2</v>
      </c>
      <c r="L1249" s="37">
        <v>558</v>
      </c>
    </row>
    <row r="1250" spans="1:12" ht="19.95" customHeight="1" x14ac:dyDescent="0.3">
      <c r="A1250" s="2" t="s">
        <v>4407</v>
      </c>
      <c r="B1250" s="3" t="s">
        <v>4408</v>
      </c>
      <c r="C1250" s="2" t="s">
        <v>4861</v>
      </c>
      <c r="D1250" s="3" t="s">
        <v>4877</v>
      </c>
      <c r="E1250" s="2" t="s">
        <v>4875</v>
      </c>
      <c r="F1250" s="3" t="s">
        <v>4409</v>
      </c>
      <c r="G1250" s="3" t="s">
        <v>4367</v>
      </c>
      <c r="H1250" s="1" t="s">
        <v>211</v>
      </c>
      <c r="I1250" s="2" t="s">
        <v>212</v>
      </c>
      <c r="J1250" s="3" t="s">
        <v>11</v>
      </c>
      <c r="K1250" s="38">
        <v>4.3999999999999997E-2</v>
      </c>
      <c r="L1250" s="39">
        <v>558</v>
      </c>
    </row>
    <row r="1251" spans="1:12" ht="19.95" customHeight="1" x14ac:dyDescent="0.3">
      <c r="A1251" s="6" t="s">
        <v>4407</v>
      </c>
      <c r="B1251" s="7" t="s">
        <v>4408</v>
      </c>
      <c r="C1251" s="6" t="s">
        <v>4861</v>
      </c>
      <c r="D1251" s="7" t="s">
        <v>4877</v>
      </c>
      <c r="E1251" s="6" t="s">
        <v>4875</v>
      </c>
      <c r="F1251" s="7" t="s">
        <v>4409</v>
      </c>
      <c r="G1251" s="7" t="s">
        <v>4367</v>
      </c>
      <c r="H1251" s="5" t="s">
        <v>194</v>
      </c>
      <c r="I1251" s="6" t="s">
        <v>196</v>
      </c>
      <c r="J1251" s="7" t="s">
        <v>11</v>
      </c>
      <c r="K1251" s="36">
        <v>8.7999999999999995E-2</v>
      </c>
      <c r="L1251" s="37">
        <v>617</v>
      </c>
    </row>
    <row r="1252" spans="1:12" ht="19.95" customHeight="1" x14ac:dyDescent="0.3">
      <c r="A1252" s="2" t="s">
        <v>4407</v>
      </c>
      <c r="B1252" s="3" t="s">
        <v>4408</v>
      </c>
      <c r="C1252" s="2" t="s">
        <v>4861</v>
      </c>
      <c r="D1252" s="3" t="s">
        <v>4877</v>
      </c>
      <c r="E1252" s="2" t="s">
        <v>4875</v>
      </c>
      <c r="F1252" s="3" t="s">
        <v>4409</v>
      </c>
      <c r="G1252" s="3" t="s">
        <v>4367</v>
      </c>
      <c r="H1252" s="1" t="s">
        <v>225</v>
      </c>
      <c r="I1252" s="2" t="s">
        <v>4410</v>
      </c>
      <c r="J1252" s="3" t="s">
        <v>11</v>
      </c>
      <c r="K1252" s="38">
        <v>4.3999999999999997E-2</v>
      </c>
      <c r="L1252" s="39">
        <v>679</v>
      </c>
    </row>
    <row r="1253" spans="1:12" ht="19.95" customHeight="1" x14ac:dyDescent="0.3">
      <c r="A1253" s="6" t="s">
        <v>4407</v>
      </c>
      <c r="B1253" s="7" t="s">
        <v>4408</v>
      </c>
      <c r="C1253" s="6" t="s">
        <v>4861</v>
      </c>
      <c r="D1253" s="7" t="s">
        <v>4877</v>
      </c>
      <c r="E1253" s="6" t="s">
        <v>4875</v>
      </c>
      <c r="F1253" s="7" t="s">
        <v>4409</v>
      </c>
      <c r="G1253" s="7" t="s">
        <v>4367</v>
      </c>
      <c r="H1253" s="5" t="s">
        <v>199</v>
      </c>
      <c r="I1253" s="6" t="s">
        <v>200</v>
      </c>
      <c r="J1253" s="7" t="s">
        <v>11</v>
      </c>
      <c r="K1253" s="36">
        <v>6.0000000000000001E-3</v>
      </c>
      <c r="L1253" s="37">
        <v>738</v>
      </c>
    </row>
    <row r="1254" spans="1:12" ht="19.95" customHeight="1" x14ac:dyDescent="0.3">
      <c r="A1254" s="2" t="s">
        <v>4407</v>
      </c>
      <c r="B1254" s="3" t="s">
        <v>4408</v>
      </c>
      <c r="C1254" s="2" t="s">
        <v>4861</v>
      </c>
      <c r="D1254" s="3" t="s">
        <v>4877</v>
      </c>
      <c r="E1254" s="2" t="s">
        <v>4875</v>
      </c>
      <c r="F1254" s="3" t="s">
        <v>4409</v>
      </c>
      <c r="G1254" s="3" t="s">
        <v>4367</v>
      </c>
      <c r="H1254" s="1" t="s">
        <v>209</v>
      </c>
      <c r="I1254" s="2" t="s">
        <v>210</v>
      </c>
      <c r="J1254" s="3" t="s">
        <v>11</v>
      </c>
      <c r="K1254" s="38">
        <v>2.1999999999999999E-2</v>
      </c>
      <c r="L1254" s="39">
        <v>558</v>
      </c>
    </row>
    <row r="1255" spans="1:12" ht="19.95" customHeight="1" x14ac:dyDescent="0.3">
      <c r="A1255" s="6" t="s">
        <v>4407</v>
      </c>
      <c r="B1255" s="7" t="s">
        <v>4408</v>
      </c>
      <c r="C1255" s="6" t="s">
        <v>4861</v>
      </c>
      <c r="D1255" s="7" t="s">
        <v>4877</v>
      </c>
      <c r="E1255" s="6" t="s">
        <v>4875</v>
      </c>
      <c r="F1255" s="7" t="s">
        <v>4409</v>
      </c>
      <c r="G1255" s="7" t="s">
        <v>4367</v>
      </c>
      <c r="H1255" s="5" t="s">
        <v>211</v>
      </c>
      <c r="I1255" s="6" t="s">
        <v>212</v>
      </c>
      <c r="J1255" s="7" t="s">
        <v>11</v>
      </c>
      <c r="K1255" s="36">
        <v>2.1999999999999999E-2</v>
      </c>
      <c r="L1255" s="37">
        <v>558</v>
      </c>
    </row>
    <row r="1256" spans="1:12" ht="19.95" customHeight="1" x14ac:dyDescent="0.3">
      <c r="A1256" s="2" t="s">
        <v>4407</v>
      </c>
      <c r="B1256" s="3" t="s">
        <v>4408</v>
      </c>
      <c r="C1256" s="2" t="s">
        <v>4861</v>
      </c>
      <c r="D1256" s="3" t="s">
        <v>4877</v>
      </c>
      <c r="E1256" s="2" t="s">
        <v>4875</v>
      </c>
      <c r="F1256" s="3" t="s">
        <v>4409</v>
      </c>
      <c r="G1256" s="3" t="s">
        <v>4367</v>
      </c>
      <c r="H1256" s="1" t="s">
        <v>194</v>
      </c>
      <c r="I1256" s="2" t="s">
        <v>196</v>
      </c>
      <c r="J1256" s="3" t="s">
        <v>11</v>
      </c>
      <c r="K1256" s="38">
        <v>2.1999999999999999E-2</v>
      </c>
      <c r="L1256" s="39">
        <v>617</v>
      </c>
    </row>
    <row r="1257" spans="1:12" ht="19.95" customHeight="1" x14ac:dyDescent="0.3">
      <c r="A1257" s="6" t="s">
        <v>4407</v>
      </c>
      <c r="B1257" s="7" t="s">
        <v>4408</v>
      </c>
      <c r="C1257" s="6" t="s">
        <v>4861</v>
      </c>
      <c r="D1257" s="7" t="s">
        <v>4877</v>
      </c>
      <c r="E1257" s="6" t="s">
        <v>4875</v>
      </c>
      <c r="F1257" s="7" t="s">
        <v>4409</v>
      </c>
      <c r="G1257" s="7" t="s">
        <v>4367</v>
      </c>
      <c r="H1257" s="5" t="s">
        <v>197</v>
      </c>
      <c r="I1257" s="6" t="s">
        <v>198</v>
      </c>
      <c r="J1257" s="7" t="s">
        <v>11</v>
      </c>
      <c r="K1257" s="36">
        <v>2.1999999999999999E-2</v>
      </c>
      <c r="L1257" s="37">
        <v>617</v>
      </c>
    </row>
    <row r="1258" spans="1:12" ht="19.95" customHeight="1" x14ac:dyDescent="0.3">
      <c r="A1258" s="2" t="s">
        <v>4407</v>
      </c>
      <c r="B1258" s="3" t="s">
        <v>4408</v>
      </c>
      <c r="C1258" s="2" t="s">
        <v>4861</v>
      </c>
      <c r="D1258" s="3" t="s">
        <v>4877</v>
      </c>
      <c r="E1258" s="2" t="s">
        <v>4875</v>
      </c>
      <c r="F1258" s="3" t="s">
        <v>4409</v>
      </c>
      <c r="G1258" s="3" t="s">
        <v>4367</v>
      </c>
      <c r="H1258" s="1" t="s">
        <v>211</v>
      </c>
      <c r="I1258" s="2" t="s">
        <v>212</v>
      </c>
      <c r="J1258" s="3" t="s">
        <v>11</v>
      </c>
      <c r="K1258" s="38">
        <v>1.4999999999999999E-2</v>
      </c>
      <c r="L1258" s="39">
        <v>558</v>
      </c>
    </row>
    <row r="1259" spans="1:12" ht="19.95" customHeight="1" x14ac:dyDescent="0.3">
      <c r="A1259" s="6" t="s">
        <v>4407</v>
      </c>
      <c r="B1259" s="7" t="s">
        <v>4408</v>
      </c>
      <c r="C1259" s="6" t="s">
        <v>4861</v>
      </c>
      <c r="D1259" s="7" t="s">
        <v>4878</v>
      </c>
      <c r="E1259" s="6" t="s">
        <v>4873</v>
      </c>
      <c r="F1259" s="7" t="s">
        <v>4409</v>
      </c>
      <c r="G1259" s="7" t="s">
        <v>4367</v>
      </c>
      <c r="H1259" s="5" t="s">
        <v>225</v>
      </c>
      <c r="I1259" s="6" t="s">
        <v>4410</v>
      </c>
      <c r="J1259" s="7" t="s">
        <v>11</v>
      </c>
      <c r="K1259" s="36">
        <v>0.17599999999999999</v>
      </c>
      <c r="L1259" s="37">
        <v>679</v>
      </c>
    </row>
    <row r="1260" spans="1:12" ht="19.95" customHeight="1" x14ac:dyDescent="0.3">
      <c r="A1260" s="2" t="s">
        <v>4407</v>
      </c>
      <c r="B1260" s="3" t="s">
        <v>4408</v>
      </c>
      <c r="C1260" s="2" t="s">
        <v>4861</v>
      </c>
      <c r="D1260" s="3" t="s">
        <v>4878</v>
      </c>
      <c r="E1260" s="2" t="s">
        <v>4873</v>
      </c>
      <c r="F1260" s="3" t="s">
        <v>4409</v>
      </c>
      <c r="G1260" s="3" t="s">
        <v>4367</v>
      </c>
      <c r="H1260" s="1" t="s">
        <v>199</v>
      </c>
      <c r="I1260" s="2" t="s">
        <v>200</v>
      </c>
      <c r="J1260" s="3" t="s">
        <v>11</v>
      </c>
      <c r="K1260" s="38">
        <v>6.0000000000000001E-3</v>
      </c>
      <c r="L1260" s="39">
        <v>738</v>
      </c>
    </row>
    <row r="1261" spans="1:12" ht="19.95" customHeight="1" x14ac:dyDescent="0.3">
      <c r="A1261" s="6" t="s">
        <v>4407</v>
      </c>
      <c r="B1261" s="7" t="s">
        <v>4408</v>
      </c>
      <c r="C1261" s="6" t="s">
        <v>4861</v>
      </c>
      <c r="D1261" s="7" t="s">
        <v>4878</v>
      </c>
      <c r="E1261" s="6" t="s">
        <v>4873</v>
      </c>
      <c r="F1261" s="7" t="s">
        <v>4409</v>
      </c>
      <c r="G1261" s="7" t="s">
        <v>4367</v>
      </c>
      <c r="H1261" s="5" t="s">
        <v>227</v>
      </c>
      <c r="I1261" s="6" t="s">
        <v>228</v>
      </c>
      <c r="J1261" s="7" t="s">
        <v>11</v>
      </c>
      <c r="K1261" s="36">
        <v>0.17599999999999999</v>
      </c>
      <c r="L1261" s="37">
        <v>738</v>
      </c>
    </row>
    <row r="1262" spans="1:12" ht="19.95" customHeight="1" x14ac:dyDescent="0.3">
      <c r="A1262" s="2" t="s">
        <v>4407</v>
      </c>
      <c r="B1262" s="3" t="s">
        <v>4408</v>
      </c>
      <c r="C1262" s="2" t="s">
        <v>4861</v>
      </c>
      <c r="D1262" s="3" t="s">
        <v>4878</v>
      </c>
      <c r="E1262" s="2" t="s">
        <v>4873</v>
      </c>
      <c r="F1262" s="3" t="s">
        <v>4409</v>
      </c>
      <c r="G1262" s="3" t="s">
        <v>4367</v>
      </c>
      <c r="H1262" s="1" t="s">
        <v>209</v>
      </c>
      <c r="I1262" s="2" t="s">
        <v>210</v>
      </c>
      <c r="J1262" s="3" t="s">
        <v>11</v>
      </c>
      <c r="K1262" s="38">
        <v>4.3999999999999997E-2</v>
      </c>
      <c r="L1262" s="39">
        <v>558</v>
      </c>
    </row>
    <row r="1263" spans="1:12" ht="19.95" customHeight="1" x14ac:dyDescent="0.3">
      <c r="A1263" s="6" t="s">
        <v>4407</v>
      </c>
      <c r="B1263" s="7" t="s">
        <v>4408</v>
      </c>
      <c r="C1263" s="6" t="s">
        <v>4861</v>
      </c>
      <c r="D1263" s="7" t="s">
        <v>4878</v>
      </c>
      <c r="E1263" s="6" t="s">
        <v>4873</v>
      </c>
      <c r="F1263" s="7" t="s">
        <v>4409</v>
      </c>
      <c r="G1263" s="7" t="s">
        <v>4367</v>
      </c>
      <c r="H1263" s="5" t="s">
        <v>211</v>
      </c>
      <c r="I1263" s="6" t="s">
        <v>212</v>
      </c>
      <c r="J1263" s="7" t="s">
        <v>11</v>
      </c>
      <c r="K1263" s="36">
        <v>2.1999999999999999E-2</v>
      </c>
      <c r="L1263" s="37">
        <v>558</v>
      </c>
    </row>
    <row r="1264" spans="1:12" ht="19.95" customHeight="1" x14ac:dyDescent="0.3">
      <c r="A1264" s="2" t="s">
        <v>4407</v>
      </c>
      <c r="B1264" s="3" t="s">
        <v>4408</v>
      </c>
      <c r="C1264" s="2" t="s">
        <v>4861</v>
      </c>
      <c r="D1264" s="3" t="s">
        <v>4878</v>
      </c>
      <c r="E1264" s="2" t="s">
        <v>4873</v>
      </c>
      <c r="F1264" s="3" t="s">
        <v>4409</v>
      </c>
      <c r="G1264" s="3" t="s">
        <v>4367</v>
      </c>
      <c r="H1264" s="1" t="s">
        <v>194</v>
      </c>
      <c r="I1264" s="2" t="s">
        <v>196</v>
      </c>
      <c r="J1264" s="3" t="s">
        <v>11</v>
      </c>
      <c r="K1264" s="38">
        <v>4.3999999999999997E-2</v>
      </c>
      <c r="L1264" s="39">
        <v>617</v>
      </c>
    </row>
    <row r="1265" spans="1:12" ht="19.95" customHeight="1" x14ac:dyDescent="0.3">
      <c r="A1265" s="6" t="s">
        <v>4407</v>
      </c>
      <c r="B1265" s="7" t="s">
        <v>4408</v>
      </c>
      <c r="C1265" s="6" t="s">
        <v>4861</v>
      </c>
      <c r="D1265" s="7" t="s">
        <v>4878</v>
      </c>
      <c r="E1265" s="6" t="s">
        <v>4873</v>
      </c>
      <c r="F1265" s="7" t="s">
        <v>4409</v>
      </c>
      <c r="G1265" s="7" t="s">
        <v>4367</v>
      </c>
      <c r="H1265" s="5" t="s">
        <v>225</v>
      </c>
      <c r="I1265" s="6" t="s">
        <v>4410</v>
      </c>
      <c r="J1265" s="7" t="s">
        <v>11</v>
      </c>
      <c r="K1265" s="36">
        <v>4.3999999999999997E-2</v>
      </c>
      <c r="L1265" s="37">
        <v>679</v>
      </c>
    </row>
    <row r="1266" spans="1:12" ht="19.95" customHeight="1" x14ac:dyDescent="0.3">
      <c r="A1266" s="2" t="s">
        <v>4407</v>
      </c>
      <c r="B1266" s="3" t="s">
        <v>4408</v>
      </c>
      <c r="C1266" s="2" t="s">
        <v>4861</v>
      </c>
      <c r="D1266" s="3" t="s">
        <v>4878</v>
      </c>
      <c r="E1266" s="2" t="s">
        <v>4873</v>
      </c>
      <c r="F1266" s="3" t="s">
        <v>4409</v>
      </c>
      <c r="G1266" s="3" t="s">
        <v>4367</v>
      </c>
      <c r="H1266" s="1" t="s">
        <v>199</v>
      </c>
      <c r="I1266" s="2" t="s">
        <v>200</v>
      </c>
      <c r="J1266" s="3" t="s">
        <v>11</v>
      </c>
      <c r="K1266" s="38">
        <v>6.0000000000000001E-3</v>
      </c>
      <c r="L1266" s="39">
        <v>738</v>
      </c>
    </row>
    <row r="1267" spans="1:12" ht="19.95" customHeight="1" x14ac:dyDescent="0.3">
      <c r="A1267" s="6" t="s">
        <v>4407</v>
      </c>
      <c r="B1267" s="7" t="s">
        <v>4408</v>
      </c>
      <c r="C1267" s="6" t="s">
        <v>4861</v>
      </c>
      <c r="D1267" s="7" t="s">
        <v>4878</v>
      </c>
      <c r="E1267" s="6" t="s">
        <v>4873</v>
      </c>
      <c r="F1267" s="7" t="s">
        <v>4409</v>
      </c>
      <c r="G1267" s="7" t="s">
        <v>4367</v>
      </c>
      <c r="H1267" s="5" t="s">
        <v>209</v>
      </c>
      <c r="I1267" s="6" t="s">
        <v>210</v>
      </c>
      <c r="J1267" s="7" t="s">
        <v>11</v>
      </c>
      <c r="K1267" s="36">
        <v>2.1999999999999999E-2</v>
      </c>
      <c r="L1267" s="37">
        <v>558</v>
      </c>
    </row>
    <row r="1268" spans="1:12" ht="19.95" customHeight="1" x14ac:dyDescent="0.3">
      <c r="A1268" s="2" t="s">
        <v>4407</v>
      </c>
      <c r="B1268" s="3" t="s">
        <v>4408</v>
      </c>
      <c r="C1268" s="2" t="s">
        <v>4861</v>
      </c>
      <c r="D1268" s="3" t="s">
        <v>4878</v>
      </c>
      <c r="E1268" s="2" t="s">
        <v>4873</v>
      </c>
      <c r="F1268" s="3" t="s">
        <v>4409</v>
      </c>
      <c r="G1268" s="3" t="s">
        <v>4367</v>
      </c>
      <c r="H1268" s="1" t="s">
        <v>211</v>
      </c>
      <c r="I1268" s="2" t="s">
        <v>212</v>
      </c>
      <c r="J1268" s="3" t="s">
        <v>11</v>
      </c>
      <c r="K1268" s="38">
        <v>2.1999999999999999E-2</v>
      </c>
      <c r="L1268" s="39">
        <v>558</v>
      </c>
    </row>
    <row r="1269" spans="1:12" ht="19.95" customHeight="1" x14ac:dyDescent="0.3">
      <c r="A1269" s="6" t="s">
        <v>4407</v>
      </c>
      <c r="B1269" s="7" t="s">
        <v>4408</v>
      </c>
      <c r="C1269" s="6" t="s">
        <v>4861</v>
      </c>
      <c r="D1269" s="7" t="s">
        <v>4878</v>
      </c>
      <c r="E1269" s="6" t="s">
        <v>4873</v>
      </c>
      <c r="F1269" s="7" t="s">
        <v>4409</v>
      </c>
      <c r="G1269" s="7" t="s">
        <v>4367</v>
      </c>
      <c r="H1269" s="5" t="s">
        <v>194</v>
      </c>
      <c r="I1269" s="6" t="s">
        <v>196</v>
      </c>
      <c r="J1269" s="7" t="s">
        <v>11</v>
      </c>
      <c r="K1269" s="36">
        <v>2.1999999999999999E-2</v>
      </c>
      <c r="L1269" s="37">
        <v>617</v>
      </c>
    </row>
    <row r="1270" spans="1:12" ht="19.95" customHeight="1" x14ac:dyDescent="0.3">
      <c r="A1270" s="2" t="s">
        <v>4407</v>
      </c>
      <c r="B1270" s="3" t="s">
        <v>4408</v>
      </c>
      <c r="C1270" s="2" t="s">
        <v>4861</v>
      </c>
      <c r="D1270" s="3" t="s">
        <v>4878</v>
      </c>
      <c r="E1270" s="2" t="s">
        <v>4873</v>
      </c>
      <c r="F1270" s="3" t="s">
        <v>4409</v>
      </c>
      <c r="G1270" s="3" t="s">
        <v>4367</v>
      </c>
      <c r="H1270" s="1" t="s">
        <v>197</v>
      </c>
      <c r="I1270" s="2" t="s">
        <v>198</v>
      </c>
      <c r="J1270" s="3" t="s">
        <v>11</v>
      </c>
      <c r="K1270" s="38">
        <v>2.1999999999999999E-2</v>
      </c>
      <c r="L1270" s="39">
        <v>617</v>
      </c>
    </row>
    <row r="1271" spans="1:12" ht="19.95" customHeight="1" x14ac:dyDescent="0.3">
      <c r="A1271" s="6" t="s">
        <v>4407</v>
      </c>
      <c r="B1271" s="7" t="s">
        <v>4408</v>
      </c>
      <c r="C1271" s="6" t="s">
        <v>4861</v>
      </c>
      <c r="D1271" s="7" t="s">
        <v>4878</v>
      </c>
      <c r="E1271" s="6" t="s">
        <v>4873</v>
      </c>
      <c r="F1271" s="7" t="s">
        <v>4409</v>
      </c>
      <c r="G1271" s="7" t="s">
        <v>4367</v>
      </c>
      <c r="H1271" s="5" t="s">
        <v>211</v>
      </c>
      <c r="I1271" s="6" t="s">
        <v>212</v>
      </c>
      <c r="J1271" s="7" t="s">
        <v>11</v>
      </c>
      <c r="K1271" s="36">
        <v>1.4999999999999999E-2</v>
      </c>
      <c r="L1271" s="37">
        <v>558</v>
      </c>
    </row>
    <row r="1272" spans="1:12" ht="19.95" customHeight="1" x14ac:dyDescent="0.3">
      <c r="A1272" s="2" t="s">
        <v>4407</v>
      </c>
      <c r="B1272" s="3" t="s">
        <v>4408</v>
      </c>
      <c r="C1272" s="2" t="s">
        <v>4861</v>
      </c>
      <c r="D1272" s="3" t="s">
        <v>4878</v>
      </c>
      <c r="E1272" s="2" t="s">
        <v>4873</v>
      </c>
      <c r="F1272" s="3" t="s">
        <v>4409</v>
      </c>
      <c r="G1272" s="3" t="s">
        <v>4367</v>
      </c>
      <c r="H1272" s="1" t="s">
        <v>225</v>
      </c>
      <c r="I1272" s="2" t="s">
        <v>4410</v>
      </c>
      <c r="J1272" s="3" t="s">
        <v>11</v>
      </c>
      <c r="K1272" s="38">
        <v>0.17599999999999999</v>
      </c>
      <c r="L1272" s="39">
        <v>679</v>
      </c>
    </row>
    <row r="1273" spans="1:12" ht="19.95" customHeight="1" x14ac:dyDescent="0.3">
      <c r="A1273" s="6" t="s">
        <v>4407</v>
      </c>
      <c r="B1273" s="7" t="s">
        <v>4408</v>
      </c>
      <c r="C1273" s="6" t="s">
        <v>4861</v>
      </c>
      <c r="D1273" s="7" t="s">
        <v>4878</v>
      </c>
      <c r="E1273" s="6" t="s">
        <v>4873</v>
      </c>
      <c r="F1273" s="7" t="s">
        <v>4409</v>
      </c>
      <c r="G1273" s="7" t="s">
        <v>4367</v>
      </c>
      <c r="H1273" s="5" t="s">
        <v>199</v>
      </c>
      <c r="I1273" s="6" t="s">
        <v>200</v>
      </c>
      <c r="J1273" s="7" t="s">
        <v>11</v>
      </c>
      <c r="K1273" s="36">
        <v>6.0000000000000001E-3</v>
      </c>
      <c r="L1273" s="37">
        <v>738</v>
      </c>
    </row>
    <row r="1274" spans="1:12" ht="19.95" customHeight="1" x14ac:dyDescent="0.3">
      <c r="A1274" s="2" t="s">
        <v>4407</v>
      </c>
      <c r="B1274" s="3" t="s">
        <v>4408</v>
      </c>
      <c r="C1274" s="2" t="s">
        <v>4861</v>
      </c>
      <c r="D1274" s="3" t="s">
        <v>4878</v>
      </c>
      <c r="E1274" s="2" t="s">
        <v>4873</v>
      </c>
      <c r="F1274" s="3" t="s">
        <v>4409</v>
      </c>
      <c r="G1274" s="3" t="s">
        <v>4367</v>
      </c>
      <c r="H1274" s="1" t="s">
        <v>227</v>
      </c>
      <c r="I1274" s="2" t="s">
        <v>228</v>
      </c>
      <c r="J1274" s="3" t="s">
        <v>11</v>
      </c>
      <c r="K1274" s="38">
        <v>0.17599999999999999</v>
      </c>
      <c r="L1274" s="39">
        <v>738</v>
      </c>
    </row>
    <row r="1275" spans="1:12" ht="19.95" customHeight="1" x14ac:dyDescent="0.3">
      <c r="A1275" s="6" t="s">
        <v>4407</v>
      </c>
      <c r="B1275" s="7" t="s">
        <v>4408</v>
      </c>
      <c r="C1275" s="6" t="s">
        <v>4861</v>
      </c>
      <c r="D1275" s="7" t="s">
        <v>4878</v>
      </c>
      <c r="E1275" s="6" t="s">
        <v>4873</v>
      </c>
      <c r="F1275" s="7" t="s">
        <v>4409</v>
      </c>
      <c r="G1275" s="7" t="s">
        <v>4367</v>
      </c>
      <c r="H1275" s="5" t="s">
        <v>209</v>
      </c>
      <c r="I1275" s="6" t="s">
        <v>210</v>
      </c>
      <c r="J1275" s="7" t="s">
        <v>11</v>
      </c>
      <c r="K1275" s="36">
        <v>4.3999999999999997E-2</v>
      </c>
      <c r="L1275" s="37">
        <v>558</v>
      </c>
    </row>
    <row r="1276" spans="1:12" ht="19.95" customHeight="1" x14ac:dyDescent="0.3">
      <c r="A1276" s="2" t="s">
        <v>4407</v>
      </c>
      <c r="B1276" s="3" t="s">
        <v>4408</v>
      </c>
      <c r="C1276" s="2" t="s">
        <v>4861</v>
      </c>
      <c r="D1276" s="3" t="s">
        <v>4878</v>
      </c>
      <c r="E1276" s="2" t="s">
        <v>4873</v>
      </c>
      <c r="F1276" s="3" t="s">
        <v>4409</v>
      </c>
      <c r="G1276" s="3" t="s">
        <v>4367</v>
      </c>
      <c r="H1276" s="1" t="s">
        <v>211</v>
      </c>
      <c r="I1276" s="2" t="s">
        <v>212</v>
      </c>
      <c r="J1276" s="3" t="s">
        <v>11</v>
      </c>
      <c r="K1276" s="38">
        <v>2.1999999999999999E-2</v>
      </c>
      <c r="L1276" s="39">
        <v>558</v>
      </c>
    </row>
    <row r="1277" spans="1:12" ht="19.95" customHeight="1" x14ac:dyDescent="0.3">
      <c r="A1277" s="6" t="s">
        <v>4407</v>
      </c>
      <c r="B1277" s="7" t="s">
        <v>4408</v>
      </c>
      <c r="C1277" s="6" t="s">
        <v>4861</v>
      </c>
      <c r="D1277" s="7" t="s">
        <v>4878</v>
      </c>
      <c r="E1277" s="6" t="s">
        <v>4873</v>
      </c>
      <c r="F1277" s="7" t="s">
        <v>4409</v>
      </c>
      <c r="G1277" s="7" t="s">
        <v>4367</v>
      </c>
      <c r="H1277" s="5" t="s">
        <v>194</v>
      </c>
      <c r="I1277" s="6" t="s">
        <v>196</v>
      </c>
      <c r="J1277" s="7" t="s">
        <v>11</v>
      </c>
      <c r="K1277" s="36">
        <v>4.3999999999999997E-2</v>
      </c>
      <c r="L1277" s="37">
        <v>617</v>
      </c>
    </row>
    <row r="1278" spans="1:12" ht="19.95" customHeight="1" x14ac:dyDescent="0.3">
      <c r="A1278" s="2" t="s">
        <v>4407</v>
      </c>
      <c r="B1278" s="3" t="s">
        <v>4408</v>
      </c>
      <c r="C1278" s="2" t="s">
        <v>4861</v>
      </c>
      <c r="D1278" s="3" t="s">
        <v>4878</v>
      </c>
      <c r="E1278" s="2" t="s">
        <v>4873</v>
      </c>
      <c r="F1278" s="3" t="s">
        <v>4409</v>
      </c>
      <c r="G1278" s="3" t="s">
        <v>4367</v>
      </c>
      <c r="H1278" s="1" t="s">
        <v>225</v>
      </c>
      <c r="I1278" s="2" t="s">
        <v>4410</v>
      </c>
      <c r="J1278" s="3" t="s">
        <v>11</v>
      </c>
      <c r="K1278" s="38">
        <v>4.3999999999999997E-2</v>
      </c>
      <c r="L1278" s="39">
        <v>679</v>
      </c>
    </row>
    <row r="1279" spans="1:12" ht="19.95" customHeight="1" x14ac:dyDescent="0.3">
      <c r="A1279" s="6" t="s">
        <v>4407</v>
      </c>
      <c r="B1279" s="7" t="s">
        <v>4408</v>
      </c>
      <c r="C1279" s="6" t="s">
        <v>4861</v>
      </c>
      <c r="D1279" s="7" t="s">
        <v>4878</v>
      </c>
      <c r="E1279" s="6" t="s">
        <v>4873</v>
      </c>
      <c r="F1279" s="7" t="s">
        <v>4409</v>
      </c>
      <c r="G1279" s="7" t="s">
        <v>4367</v>
      </c>
      <c r="H1279" s="5" t="s">
        <v>199</v>
      </c>
      <c r="I1279" s="6" t="s">
        <v>200</v>
      </c>
      <c r="J1279" s="7" t="s">
        <v>11</v>
      </c>
      <c r="K1279" s="36">
        <v>6.0000000000000001E-3</v>
      </c>
      <c r="L1279" s="37">
        <v>738</v>
      </c>
    </row>
    <row r="1280" spans="1:12" ht="19.95" customHeight="1" x14ac:dyDescent="0.3">
      <c r="A1280" s="2" t="s">
        <v>4407</v>
      </c>
      <c r="B1280" s="3" t="s">
        <v>4408</v>
      </c>
      <c r="C1280" s="2" t="s">
        <v>4861</v>
      </c>
      <c r="D1280" s="3" t="s">
        <v>4878</v>
      </c>
      <c r="E1280" s="2" t="s">
        <v>4873</v>
      </c>
      <c r="F1280" s="3" t="s">
        <v>4409</v>
      </c>
      <c r="G1280" s="3" t="s">
        <v>4367</v>
      </c>
      <c r="H1280" s="1" t="s">
        <v>209</v>
      </c>
      <c r="I1280" s="2" t="s">
        <v>210</v>
      </c>
      <c r="J1280" s="3" t="s">
        <v>11</v>
      </c>
      <c r="K1280" s="38">
        <v>2.1999999999999999E-2</v>
      </c>
      <c r="L1280" s="39">
        <v>558</v>
      </c>
    </row>
    <row r="1281" spans="1:12" ht="19.95" customHeight="1" x14ac:dyDescent="0.3">
      <c r="A1281" s="6" t="s">
        <v>4407</v>
      </c>
      <c r="B1281" s="7" t="s">
        <v>4408</v>
      </c>
      <c r="C1281" s="6" t="s">
        <v>4861</v>
      </c>
      <c r="D1281" s="7" t="s">
        <v>4878</v>
      </c>
      <c r="E1281" s="6" t="s">
        <v>4873</v>
      </c>
      <c r="F1281" s="7" t="s">
        <v>4409</v>
      </c>
      <c r="G1281" s="7" t="s">
        <v>4367</v>
      </c>
      <c r="H1281" s="5" t="s">
        <v>211</v>
      </c>
      <c r="I1281" s="6" t="s">
        <v>212</v>
      </c>
      <c r="J1281" s="7" t="s">
        <v>11</v>
      </c>
      <c r="K1281" s="36">
        <v>2.1999999999999999E-2</v>
      </c>
      <c r="L1281" s="37">
        <v>558</v>
      </c>
    </row>
    <row r="1282" spans="1:12" ht="19.95" customHeight="1" x14ac:dyDescent="0.3">
      <c r="A1282" s="2" t="s">
        <v>4407</v>
      </c>
      <c r="B1282" s="3" t="s">
        <v>4408</v>
      </c>
      <c r="C1282" s="2" t="s">
        <v>4861</v>
      </c>
      <c r="D1282" s="3" t="s">
        <v>4878</v>
      </c>
      <c r="E1282" s="2" t="s">
        <v>4873</v>
      </c>
      <c r="F1282" s="3" t="s">
        <v>4409</v>
      </c>
      <c r="G1282" s="3" t="s">
        <v>4367</v>
      </c>
      <c r="H1282" s="1" t="s">
        <v>194</v>
      </c>
      <c r="I1282" s="2" t="s">
        <v>196</v>
      </c>
      <c r="J1282" s="3" t="s">
        <v>11</v>
      </c>
      <c r="K1282" s="38">
        <v>2.1999999999999999E-2</v>
      </c>
      <c r="L1282" s="39">
        <v>617</v>
      </c>
    </row>
    <row r="1283" spans="1:12" ht="19.95" customHeight="1" x14ac:dyDescent="0.3">
      <c r="A1283" s="6" t="s">
        <v>4407</v>
      </c>
      <c r="B1283" s="7" t="s">
        <v>4408</v>
      </c>
      <c r="C1283" s="6" t="s">
        <v>4861</v>
      </c>
      <c r="D1283" s="7" t="s">
        <v>4878</v>
      </c>
      <c r="E1283" s="6" t="s">
        <v>4873</v>
      </c>
      <c r="F1283" s="7" t="s">
        <v>4409</v>
      </c>
      <c r="G1283" s="7" t="s">
        <v>4367</v>
      </c>
      <c r="H1283" s="5" t="s">
        <v>197</v>
      </c>
      <c r="I1283" s="6" t="s">
        <v>198</v>
      </c>
      <c r="J1283" s="7" t="s">
        <v>11</v>
      </c>
      <c r="K1283" s="36">
        <v>2.1999999999999999E-2</v>
      </c>
      <c r="L1283" s="37">
        <v>617</v>
      </c>
    </row>
    <row r="1284" spans="1:12" ht="19.95" customHeight="1" x14ac:dyDescent="0.3">
      <c r="A1284" s="2" t="s">
        <v>4407</v>
      </c>
      <c r="B1284" s="3" t="s">
        <v>4408</v>
      </c>
      <c r="C1284" s="2" t="s">
        <v>4861</v>
      </c>
      <c r="D1284" s="3" t="s">
        <v>4878</v>
      </c>
      <c r="E1284" s="2" t="s">
        <v>4873</v>
      </c>
      <c r="F1284" s="3" t="s">
        <v>4409</v>
      </c>
      <c r="G1284" s="3" t="s">
        <v>4367</v>
      </c>
      <c r="H1284" s="1" t="s">
        <v>211</v>
      </c>
      <c r="I1284" s="2" t="s">
        <v>212</v>
      </c>
      <c r="J1284" s="3" t="s">
        <v>11</v>
      </c>
      <c r="K1284" s="38">
        <v>1.4999999999999999E-2</v>
      </c>
      <c r="L1284" s="39">
        <v>558</v>
      </c>
    </row>
    <row r="1285" spans="1:12" ht="19.95" customHeight="1" x14ac:dyDescent="0.3">
      <c r="A1285" s="6" t="s">
        <v>4407</v>
      </c>
      <c r="B1285" s="7" t="s">
        <v>4408</v>
      </c>
      <c r="C1285" s="6" t="s">
        <v>4861</v>
      </c>
      <c r="D1285" s="7" t="s">
        <v>4879</v>
      </c>
      <c r="E1285" s="6" t="s">
        <v>4875</v>
      </c>
      <c r="F1285" s="7" t="s">
        <v>1003</v>
      </c>
      <c r="G1285" s="7" t="s">
        <v>4367</v>
      </c>
      <c r="H1285" s="5" t="s">
        <v>225</v>
      </c>
      <c r="I1285" s="6" t="s">
        <v>4410</v>
      </c>
      <c r="J1285" s="7" t="s">
        <v>11</v>
      </c>
      <c r="K1285" s="36">
        <v>0.35199999999999998</v>
      </c>
      <c r="L1285" s="37">
        <v>679</v>
      </c>
    </row>
    <row r="1286" spans="1:12" ht="19.95" customHeight="1" x14ac:dyDescent="0.3">
      <c r="A1286" s="2" t="s">
        <v>4407</v>
      </c>
      <c r="B1286" s="3" t="s">
        <v>4408</v>
      </c>
      <c r="C1286" s="2" t="s">
        <v>4861</v>
      </c>
      <c r="D1286" s="3" t="s">
        <v>4879</v>
      </c>
      <c r="E1286" s="2" t="s">
        <v>4875</v>
      </c>
      <c r="F1286" s="3" t="s">
        <v>1003</v>
      </c>
      <c r="G1286" s="3" t="s">
        <v>4367</v>
      </c>
      <c r="H1286" s="1" t="s">
        <v>199</v>
      </c>
      <c r="I1286" s="2" t="s">
        <v>200</v>
      </c>
      <c r="J1286" s="3" t="s">
        <v>11</v>
      </c>
      <c r="K1286" s="38">
        <v>1.2E-2</v>
      </c>
      <c r="L1286" s="39">
        <v>738</v>
      </c>
    </row>
    <row r="1287" spans="1:12" ht="19.95" customHeight="1" x14ac:dyDescent="0.3">
      <c r="A1287" s="6" t="s">
        <v>4407</v>
      </c>
      <c r="B1287" s="7" t="s">
        <v>4408</v>
      </c>
      <c r="C1287" s="6" t="s">
        <v>4861</v>
      </c>
      <c r="D1287" s="7" t="s">
        <v>4879</v>
      </c>
      <c r="E1287" s="6" t="s">
        <v>4875</v>
      </c>
      <c r="F1287" s="7" t="s">
        <v>1003</v>
      </c>
      <c r="G1287" s="7" t="s">
        <v>4367</v>
      </c>
      <c r="H1287" s="5" t="s">
        <v>227</v>
      </c>
      <c r="I1287" s="6" t="s">
        <v>228</v>
      </c>
      <c r="J1287" s="7" t="s">
        <v>11</v>
      </c>
      <c r="K1287" s="36">
        <v>0.35199999999999998</v>
      </c>
      <c r="L1287" s="37">
        <v>738</v>
      </c>
    </row>
    <row r="1288" spans="1:12" ht="19.95" customHeight="1" x14ac:dyDescent="0.3">
      <c r="A1288" s="2" t="s">
        <v>4407</v>
      </c>
      <c r="B1288" s="3" t="s">
        <v>4408</v>
      </c>
      <c r="C1288" s="2" t="s">
        <v>4861</v>
      </c>
      <c r="D1288" s="3" t="s">
        <v>4879</v>
      </c>
      <c r="E1288" s="2" t="s">
        <v>4875</v>
      </c>
      <c r="F1288" s="3" t="s">
        <v>1003</v>
      </c>
      <c r="G1288" s="3" t="s">
        <v>4367</v>
      </c>
      <c r="H1288" s="1" t="s">
        <v>209</v>
      </c>
      <c r="I1288" s="2" t="s">
        <v>210</v>
      </c>
      <c r="J1288" s="3" t="s">
        <v>11</v>
      </c>
      <c r="K1288" s="38">
        <v>8.7999999999999995E-2</v>
      </c>
      <c r="L1288" s="39">
        <v>558</v>
      </c>
    </row>
    <row r="1289" spans="1:12" ht="19.95" customHeight="1" x14ac:dyDescent="0.3">
      <c r="A1289" s="6" t="s">
        <v>4407</v>
      </c>
      <c r="B1289" s="7" t="s">
        <v>4408</v>
      </c>
      <c r="C1289" s="6" t="s">
        <v>4861</v>
      </c>
      <c r="D1289" s="7" t="s">
        <v>4879</v>
      </c>
      <c r="E1289" s="6" t="s">
        <v>4875</v>
      </c>
      <c r="F1289" s="7" t="s">
        <v>1003</v>
      </c>
      <c r="G1289" s="7" t="s">
        <v>4367</v>
      </c>
      <c r="H1289" s="5" t="s">
        <v>211</v>
      </c>
      <c r="I1289" s="6" t="s">
        <v>212</v>
      </c>
      <c r="J1289" s="7" t="s">
        <v>11</v>
      </c>
      <c r="K1289" s="36">
        <v>4.3999999999999997E-2</v>
      </c>
      <c r="L1289" s="37">
        <v>558</v>
      </c>
    </row>
    <row r="1290" spans="1:12" ht="19.95" customHeight="1" x14ac:dyDescent="0.3">
      <c r="A1290" s="2" t="s">
        <v>4407</v>
      </c>
      <c r="B1290" s="3" t="s">
        <v>4408</v>
      </c>
      <c r="C1290" s="2" t="s">
        <v>4861</v>
      </c>
      <c r="D1290" s="3" t="s">
        <v>4879</v>
      </c>
      <c r="E1290" s="2" t="s">
        <v>4875</v>
      </c>
      <c r="F1290" s="3" t="s">
        <v>1003</v>
      </c>
      <c r="G1290" s="3" t="s">
        <v>4367</v>
      </c>
      <c r="H1290" s="1" t="s">
        <v>194</v>
      </c>
      <c r="I1290" s="2" t="s">
        <v>196</v>
      </c>
      <c r="J1290" s="3" t="s">
        <v>11</v>
      </c>
      <c r="K1290" s="38">
        <v>8.7999999999999995E-2</v>
      </c>
      <c r="L1290" s="39">
        <v>617</v>
      </c>
    </row>
    <row r="1291" spans="1:12" ht="19.95" customHeight="1" x14ac:dyDescent="0.3">
      <c r="A1291" s="6" t="s">
        <v>4407</v>
      </c>
      <c r="B1291" s="7" t="s">
        <v>4408</v>
      </c>
      <c r="C1291" s="6" t="s">
        <v>4861</v>
      </c>
      <c r="D1291" s="7" t="s">
        <v>4879</v>
      </c>
      <c r="E1291" s="6" t="s">
        <v>4875</v>
      </c>
      <c r="F1291" s="7" t="s">
        <v>1003</v>
      </c>
      <c r="G1291" s="7" t="s">
        <v>4367</v>
      </c>
      <c r="H1291" s="5" t="s">
        <v>225</v>
      </c>
      <c r="I1291" s="6" t="s">
        <v>4410</v>
      </c>
      <c r="J1291" s="7" t="s">
        <v>11</v>
      </c>
      <c r="K1291" s="36">
        <v>4.3999999999999997E-2</v>
      </c>
      <c r="L1291" s="37">
        <v>679</v>
      </c>
    </row>
    <row r="1292" spans="1:12" ht="19.95" customHeight="1" x14ac:dyDescent="0.3">
      <c r="A1292" s="2" t="s">
        <v>4407</v>
      </c>
      <c r="B1292" s="3" t="s">
        <v>4408</v>
      </c>
      <c r="C1292" s="2" t="s">
        <v>4861</v>
      </c>
      <c r="D1292" s="3" t="s">
        <v>4879</v>
      </c>
      <c r="E1292" s="2" t="s">
        <v>4875</v>
      </c>
      <c r="F1292" s="3" t="s">
        <v>1003</v>
      </c>
      <c r="G1292" s="3" t="s">
        <v>4367</v>
      </c>
      <c r="H1292" s="1" t="s">
        <v>199</v>
      </c>
      <c r="I1292" s="2" t="s">
        <v>200</v>
      </c>
      <c r="J1292" s="3" t="s">
        <v>11</v>
      </c>
      <c r="K1292" s="38">
        <v>6.0000000000000001E-3</v>
      </c>
      <c r="L1292" s="39">
        <v>738</v>
      </c>
    </row>
    <row r="1293" spans="1:12" ht="19.95" customHeight="1" x14ac:dyDescent="0.3">
      <c r="A1293" s="6" t="s">
        <v>4407</v>
      </c>
      <c r="B1293" s="7" t="s">
        <v>4408</v>
      </c>
      <c r="C1293" s="6" t="s">
        <v>4861</v>
      </c>
      <c r="D1293" s="7" t="s">
        <v>4879</v>
      </c>
      <c r="E1293" s="6" t="s">
        <v>4875</v>
      </c>
      <c r="F1293" s="7" t="s">
        <v>1003</v>
      </c>
      <c r="G1293" s="7" t="s">
        <v>4367</v>
      </c>
      <c r="H1293" s="5" t="s">
        <v>209</v>
      </c>
      <c r="I1293" s="6" t="s">
        <v>210</v>
      </c>
      <c r="J1293" s="7" t="s">
        <v>11</v>
      </c>
      <c r="K1293" s="36">
        <v>2.1999999999999999E-2</v>
      </c>
      <c r="L1293" s="37">
        <v>558</v>
      </c>
    </row>
    <row r="1294" spans="1:12" ht="19.95" customHeight="1" x14ac:dyDescent="0.3">
      <c r="A1294" s="2" t="s">
        <v>4407</v>
      </c>
      <c r="B1294" s="3" t="s">
        <v>4408</v>
      </c>
      <c r="C1294" s="2" t="s">
        <v>4861</v>
      </c>
      <c r="D1294" s="3" t="s">
        <v>4879</v>
      </c>
      <c r="E1294" s="2" t="s">
        <v>4875</v>
      </c>
      <c r="F1294" s="3" t="s">
        <v>1003</v>
      </c>
      <c r="G1294" s="3" t="s">
        <v>4367</v>
      </c>
      <c r="H1294" s="1" t="s">
        <v>211</v>
      </c>
      <c r="I1294" s="2" t="s">
        <v>212</v>
      </c>
      <c r="J1294" s="3" t="s">
        <v>11</v>
      </c>
      <c r="K1294" s="38">
        <v>2.1999999999999999E-2</v>
      </c>
      <c r="L1294" s="39">
        <v>558</v>
      </c>
    </row>
    <row r="1295" spans="1:12" ht="19.95" customHeight="1" x14ac:dyDescent="0.3">
      <c r="A1295" s="6" t="s">
        <v>4407</v>
      </c>
      <c r="B1295" s="7" t="s">
        <v>4408</v>
      </c>
      <c r="C1295" s="6" t="s">
        <v>4861</v>
      </c>
      <c r="D1295" s="7" t="s">
        <v>4879</v>
      </c>
      <c r="E1295" s="6" t="s">
        <v>4875</v>
      </c>
      <c r="F1295" s="7" t="s">
        <v>1003</v>
      </c>
      <c r="G1295" s="7" t="s">
        <v>4367</v>
      </c>
      <c r="H1295" s="5" t="s">
        <v>194</v>
      </c>
      <c r="I1295" s="6" t="s">
        <v>196</v>
      </c>
      <c r="J1295" s="7" t="s">
        <v>11</v>
      </c>
      <c r="K1295" s="36">
        <v>2.1999999999999999E-2</v>
      </c>
      <c r="L1295" s="37">
        <v>617</v>
      </c>
    </row>
    <row r="1296" spans="1:12" ht="19.95" customHeight="1" x14ac:dyDescent="0.3">
      <c r="A1296" s="2" t="s">
        <v>4407</v>
      </c>
      <c r="B1296" s="3" t="s">
        <v>4408</v>
      </c>
      <c r="C1296" s="2" t="s">
        <v>4861</v>
      </c>
      <c r="D1296" s="3" t="s">
        <v>4879</v>
      </c>
      <c r="E1296" s="2" t="s">
        <v>4875</v>
      </c>
      <c r="F1296" s="3" t="s">
        <v>1003</v>
      </c>
      <c r="G1296" s="3" t="s">
        <v>4367</v>
      </c>
      <c r="H1296" s="1" t="s">
        <v>197</v>
      </c>
      <c r="I1296" s="2" t="s">
        <v>198</v>
      </c>
      <c r="J1296" s="3" t="s">
        <v>11</v>
      </c>
      <c r="K1296" s="38">
        <v>2.1999999999999999E-2</v>
      </c>
      <c r="L1296" s="39">
        <v>617</v>
      </c>
    </row>
    <row r="1297" spans="1:12" ht="19.95" customHeight="1" x14ac:dyDescent="0.3">
      <c r="A1297" s="6" t="s">
        <v>4407</v>
      </c>
      <c r="B1297" s="7" t="s">
        <v>4408</v>
      </c>
      <c r="C1297" s="6" t="s">
        <v>4861</v>
      </c>
      <c r="D1297" s="7" t="s">
        <v>4879</v>
      </c>
      <c r="E1297" s="6" t="s">
        <v>4875</v>
      </c>
      <c r="F1297" s="7" t="s">
        <v>1003</v>
      </c>
      <c r="G1297" s="7" t="s">
        <v>4367</v>
      </c>
      <c r="H1297" s="5" t="s">
        <v>211</v>
      </c>
      <c r="I1297" s="6" t="s">
        <v>212</v>
      </c>
      <c r="J1297" s="7" t="s">
        <v>11</v>
      </c>
      <c r="K1297" s="36">
        <v>1.4999999999999999E-2</v>
      </c>
      <c r="L1297" s="37">
        <v>558</v>
      </c>
    </row>
    <row r="1298" spans="1:12" ht="19.95" customHeight="1" x14ac:dyDescent="0.3">
      <c r="A1298" s="2" t="s">
        <v>4407</v>
      </c>
      <c r="B1298" s="3" t="s">
        <v>4408</v>
      </c>
      <c r="C1298" s="2" t="s">
        <v>4861</v>
      </c>
      <c r="D1298" s="3" t="s">
        <v>4879</v>
      </c>
      <c r="E1298" s="2" t="s">
        <v>4875</v>
      </c>
      <c r="F1298" s="3" t="s">
        <v>4409</v>
      </c>
      <c r="G1298" s="3" t="s">
        <v>4367</v>
      </c>
      <c r="H1298" s="1" t="s">
        <v>225</v>
      </c>
      <c r="I1298" s="2" t="s">
        <v>4410</v>
      </c>
      <c r="J1298" s="3" t="s">
        <v>11</v>
      </c>
      <c r="K1298" s="38">
        <v>0.35199999999999998</v>
      </c>
      <c r="L1298" s="39">
        <v>679</v>
      </c>
    </row>
    <row r="1299" spans="1:12" ht="19.95" customHeight="1" x14ac:dyDescent="0.3">
      <c r="A1299" s="6" t="s">
        <v>4407</v>
      </c>
      <c r="B1299" s="7" t="s">
        <v>4408</v>
      </c>
      <c r="C1299" s="6" t="s">
        <v>4861</v>
      </c>
      <c r="D1299" s="7" t="s">
        <v>4879</v>
      </c>
      <c r="E1299" s="6" t="s">
        <v>4875</v>
      </c>
      <c r="F1299" s="7" t="s">
        <v>4409</v>
      </c>
      <c r="G1299" s="7" t="s">
        <v>4367</v>
      </c>
      <c r="H1299" s="5" t="s">
        <v>199</v>
      </c>
      <c r="I1299" s="6" t="s">
        <v>200</v>
      </c>
      <c r="J1299" s="7" t="s">
        <v>11</v>
      </c>
      <c r="K1299" s="36">
        <v>1.2E-2</v>
      </c>
      <c r="L1299" s="37">
        <v>738</v>
      </c>
    </row>
    <row r="1300" spans="1:12" ht="19.95" customHeight="1" x14ac:dyDescent="0.3">
      <c r="A1300" s="2" t="s">
        <v>4407</v>
      </c>
      <c r="B1300" s="3" t="s">
        <v>4408</v>
      </c>
      <c r="C1300" s="2" t="s">
        <v>4861</v>
      </c>
      <c r="D1300" s="3" t="s">
        <v>4879</v>
      </c>
      <c r="E1300" s="2" t="s">
        <v>4875</v>
      </c>
      <c r="F1300" s="3" t="s">
        <v>4409</v>
      </c>
      <c r="G1300" s="3" t="s">
        <v>4367</v>
      </c>
      <c r="H1300" s="1" t="s">
        <v>227</v>
      </c>
      <c r="I1300" s="2" t="s">
        <v>228</v>
      </c>
      <c r="J1300" s="3" t="s">
        <v>11</v>
      </c>
      <c r="K1300" s="38">
        <v>0.35199999999999998</v>
      </c>
      <c r="L1300" s="39">
        <v>738</v>
      </c>
    </row>
    <row r="1301" spans="1:12" ht="19.95" customHeight="1" x14ac:dyDescent="0.3">
      <c r="A1301" s="6" t="s">
        <v>4407</v>
      </c>
      <c r="B1301" s="7" t="s">
        <v>4408</v>
      </c>
      <c r="C1301" s="6" t="s">
        <v>4861</v>
      </c>
      <c r="D1301" s="7" t="s">
        <v>4879</v>
      </c>
      <c r="E1301" s="6" t="s">
        <v>4875</v>
      </c>
      <c r="F1301" s="7" t="s">
        <v>4409</v>
      </c>
      <c r="G1301" s="7" t="s">
        <v>4367</v>
      </c>
      <c r="H1301" s="5" t="s">
        <v>209</v>
      </c>
      <c r="I1301" s="6" t="s">
        <v>210</v>
      </c>
      <c r="J1301" s="7" t="s">
        <v>11</v>
      </c>
      <c r="K1301" s="36">
        <v>8.7999999999999995E-2</v>
      </c>
      <c r="L1301" s="37">
        <v>558</v>
      </c>
    </row>
    <row r="1302" spans="1:12" ht="19.95" customHeight="1" x14ac:dyDescent="0.3">
      <c r="A1302" s="2" t="s">
        <v>4407</v>
      </c>
      <c r="B1302" s="3" t="s">
        <v>4408</v>
      </c>
      <c r="C1302" s="2" t="s">
        <v>4861</v>
      </c>
      <c r="D1302" s="3" t="s">
        <v>4879</v>
      </c>
      <c r="E1302" s="2" t="s">
        <v>4875</v>
      </c>
      <c r="F1302" s="3" t="s">
        <v>4409</v>
      </c>
      <c r="G1302" s="3" t="s">
        <v>4367</v>
      </c>
      <c r="H1302" s="1" t="s">
        <v>211</v>
      </c>
      <c r="I1302" s="2" t="s">
        <v>212</v>
      </c>
      <c r="J1302" s="3" t="s">
        <v>11</v>
      </c>
      <c r="K1302" s="38">
        <v>4.3999999999999997E-2</v>
      </c>
      <c r="L1302" s="39">
        <v>558</v>
      </c>
    </row>
    <row r="1303" spans="1:12" ht="19.95" customHeight="1" x14ac:dyDescent="0.3">
      <c r="A1303" s="6" t="s">
        <v>4407</v>
      </c>
      <c r="B1303" s="7" t="s">
        <v>4408</v>
      </c>
      <c r="C1303" s="6" t="s">
        <v>4861</v>
      </c>
      <c r="D1303" s="7" t="s">
        <v>4879</v>
      </c>
      <c r="E1303" s="6" t="s">
        <v>4875</v>
      </c>
      <c r="F1303" s="7" t="s">
        <v>4409</v>
      </c>
      <c r="G1303" s="7" t="s">
        <v>4367</v>
      </c>
      <c r="H1303" s="5" t="s">
        <v>194</v>
      </c>
      <c r="I1303" s="6" t="s">
        <v>196</v>
      </c>
      <c r="J1303" s="7" t="s">
        <v>11</v>
      </c>
      <c r="K1303" s="36">
        <v>8.7999999999999995E-2</v>
      </c>
      <c r="L1303" s="37">
        <v>617</v>
      </c>
    </row>
    <row r="1304" spans="1:12" ht="19.95" customHeight="1" x14ac:dyDescent="0.3">
      <c r="A1304" s="2" t="s">
        <v>4407</v>
      </c>
      <c r="B1304" s="3" t="s">
        <v>4408</v>
      </c>
      <c r="C1304" s="2" t="s">
        <v>4861</v>
      </c>
      <c r="D1304" s="3" t="s">
        <v>4879</v>
      </c>
      <c r="E1304" s="2" t="s">
        <v>4875</v>
      </c>
      <c r="F1304" s="3" t="s">
        <v>4409</v>
      </c>
      <c r="G1304" s="3" t="s">
        <v>4367</v>
      </c>
      <c r="H1304" s="1" t="s">
        <v>225</v>
      </c>
      <c r="I1304" s="2" t="s">
        <v>4410</v>
      </c>
      <c r="J1304" s="3" t="s">
        <v>11</v>
      </c>
      <c r="K1304" s="38">
        <v>4.3999999999999997E-2</v>
      </c>
      <c r="L1304" s="39">
        <v>679</v>
      </c>
    </row>
    <row r="1305" spans="1:12" ht="19.95" customHeight="1" x14ac:dyDescent="0.3">
      <c r="A1305" s="6" t="s">
        <v>4407</v>
      </c>
      <c r="B1305" s="7" t="s">
        <v>4408</v>
      </c>
      <c r="C1305" s="6" t="s">
        <v>4861</v>
      </c>
      <c r="D1305" s="7" t="s">
        <v>4879</v>
      </c>
      <c r="E1305" s="6" t="s">
        <v>4875</v>
      </c>
      <c r="F1305" s="7" t="s">
        <v>4409</v>
      </c>
      <c r="G1305" s="7" t="s">
        <v>4367</v>
      </c>
      <c r="H1305" s="5" t="s">
        <v>199</v>
      </c>
      <c r="I1305" s="6" t="s">
        <v>200</v>
      </c>
      <c r="J1305" s="7" t="s">
        <v>11</v>
      </c>
      <c r="K1305" s="36">
        <v>6.0000000000000001E-3</v>
      </c>
      <c r="L1305" s="37">
        <v>738</v>
      </c>
    </row>
    <row r="1306" spans="1:12" ht="19.95" customHeight="1" x14ac:dyDescent="0.3">
      <c r="A1306" s="2" t="s">
        <v>4407</v>
      </c>
      <c r="B1306" s="3" t="s">
        <v>4408</v>
      </c>
      <c r="C1306" s="2" t="s">
        <v>4861</v>
      </c>
      <c r="D1306" s="3" t="s">
        <v>4879</v>
      </c>
      <c r="E1306" s="2" t="s">
        <v>4875</v>
      </c>
      <c r="F1306" s="3" t="s">
        <v>4409</v>
      </c>
      <c r="G1306" s="3" t="s">
        <v>4367</v>
      </c>
      <c r="H1306" s="1" t="s">
        <v>209</v>
      </c>
      <c r="I1306" s="2" t="s">
        <v>210</v>
      </c>
      <c r="J1306" s="3" t="s">
        <v>11</v>
      </c>
      <c r="K1306" s="38">
        <v>2.1999999999999999E-2</v>
      </c>
      <c r="L1306" s="39">
        <v>558</v>
      </c>
    </row>
    <row r="1307" spans="1:12" ht="19.95" customHeight="1" x14ac:dyDescent="0.3">
      <c r="A1307" s="6" t="s">
        <v>4407</v>
      </c>
      <c r="B1307" s="7" t="s">
        <v>4408</v>
      </c>
      <c r="C1307" s="6" t="s">
        <v>4861</v>
      </c>
      <c r="D1307" s="7" t="s">
        <v>4879</v>
      </c>
      <c r="E1307" s="6" t="s">
        <v>4875</v>
      </c>
      <c r="F1307" s="7" t="s">
        <v>4409</v>
      </c>
      <c r="G1307" s="7" t="s">
        <v>4367</v>
      </c>
      <c r="H1307" s="5" t="s">
        <v>211</v>
      </c>
      <c r="I1307" s="6" t="s">
        <v>212</v>
      </c>
      <c r="J1307" s="7" t="s">
        <v>11</v>
      </c>
      <c r="K1307" s="36">
        <v>2.1999999999999999E-2</v>
      </c>
      <c r="L1307" s="37">
        <v>558</v>
      </c>
    </row>
    <row r="1308" spans="1:12" ht="19.95" customHeight="1" x14ac:dyDescent="0.3">
      <c r="A1308" s="2" t="s">
        <v>4407</v>
      </c>
      <c r="B1308" s="3" t="s">
        <v>4408</v>
      </c>
      <c r="C1308" s="2" t="s">
        <v>4861</v>
      </c>
      <c r="D1308" s="3" t="s">
        <v>4879</v>
      </c>
      <c r="E1308" s="2" t="s">
        <v>4875</v>
      </c>
      <c r="F1308" s="3" t="s">
        <v>4409</v>
      </c>
      <c r="G1308" s="3" t="s">
        <v>4367</v>
      </c>
      <c r="H1308" s="1" t="s">
        <v>194</v>
      </c>
      <c r="I1308" s="2" t="s">
        <v>196</v>
      </c>
      <c r="J1308" s="3" t="s">
        <v>11</v>
      </c>
      <c r="K1308" s="38">
        <v>2.1999999999999999E-2</v>
      </c>
      <c r="L1308" s="39">
        <v>617</v>
      </c>
    </row>
    <row r="1309" spans="1:12" ht="19.95" customHeight="1" x14ac:dyDescent="0.3">
      <c r="A1309" s="6" t="s">
        <v>4407</v>
      </c>
      <c r="B1309" s="7" t="s">
        <v>4408</v>
      </c>
      <c r="C1309" s="6" t="s">
        <v>4861</v>
      </c>
      <c r="D1309" s="7" t="s">
        <v>4879</v>
      </c>
      <c r="E1309" s="6" t="s">
        <v>4875</v>
      </c>
      <c r="F1309" s="7" t="s">
        <v>4409</v>
      </c>
      <c r="G1309" s="7" t="s">
        <v>4367</v>
      </c>
      <c r="H1309" s="5" t="s">
        <v>197</v>
      </c>
      <c r="I1309" s="6" t="s">
        <v>198</v>
      </c>
      <c r="J1309" s="7" t="s">
        <v>11</v>
      </c>
      <c r="K1309" s="36">
        <v>2.1999999999999999E-2</v>
      </c>
      <c r="L1309" s="37">
        <v>617</v>
      </c>
    </row>
    <row r="1310" spans="1:12" ht="19.95" customHeight="1" x14ac:dyDescent="0.3">
      <c r="A1310" s="2" t="s">
        <v>4407</v>
      </c>
      <c r="B1310" s="3" t="s">
        <v>4408</v>
      </c>
      <c r="C1310" s="2" t="s">
        <v>4861</v>
      </c>
      <c r="D1310" s="3" t="s">
        <v>4879</v>
      </c>
      <c r="E1310" s="2" t="s">
        <v>4875</v>
      </c>
      <c r="F1310" s="3" t="s">
        <v>4409</v>
      </c>
      <c r="G1310" s="3" t="s">
        <v>4367</v>
      </c>
      <c r="H1310" s="1" t="s">
        <v>211</v>
      </c>
      <c r="I1310" s="2" t="s">
        <v>212</v>
      </c>
      <c r="J1310" s="3" t="s">
        <v>11</v>
      </c>
      <c r="K1310" s="38">
        <v>1.4999999999999999E-2</v>
      </c>
      <c r="L1310" s="39">
        <v>558</v>
      </c>
    </row>
    <row r="1311" spans="1:12" ht="19.95" customHeight="1" x14ac:dyDescent="0.3">
      <c r="A1311" s="6" t="s">
        <v>4407</v>
      </c>
      <c r="B1311" s="7" t="s">
        <v>4408</v>
      </c>
      <c r="C1311" s="6" t="s">
        <v>4861</v>
      </c>
      <c r="D1311" s="7" t="s">
        <v>4880</v>
      </c>
      <c r="E1311" s="6" t="s">
        <v>4873</v>
      </c>
      <c r="F1311" s="7" t="s">
        <v>4409</v>
      </c>
      <c r="G1311" s="7" t="s">
        <v>4367</v>
      </c>
      <c r="H1311" s="5" t="s">
        <v>225</v>
      </c>
      <c r="I1311" s="6" t="s">
        <v>4410</v>
      </c>
      <c r="J1311" s="7" t="s">
        <v>11</v>
      </c>
      <c r="K1311" s="36">
        <v>5.8999999999999997E-2</v>
      </c>
      <c r="L1311" s="37">
        <v>679</v>
      </c>
    </row>
    <row r="1312" spans="1:12" ht="19.95" customHeight="1" x14ac:dyDescent="0.3">
      <c r="A1312" s="2" t="s">
        <v>4407</v>
      </c>
      <c r="B1312" s="3" t="s">
        <v>4408</v>
      </c>
      <c r="C1312" s="2" t="s">
        <v>4861</v>
      </c>
      <c r="D1312" s="3" t="s">
        <v>4880</v>
      </c>
      <c r="E1312" s="2" t="s">
        <v>4873</v>
      </c>
      <c r="F1312" s="3" t="s">
        <v>4409</v>
      </c>
      <c r="G1312" s="3" t="s">
        <v>4367</v>
      </c>
      <c r="H1312" s="1" t="s">
        <v>199</v>
      </c>
      <c r="I1312" s="2" t="s">
        <v>200</v>
      </c>
      <c r="J1312" s="3" t="s">
        <v>11</v>
      </c>
      <c r="K1312" s="38">
        <v>6.0000000000000001E-3</v>
      </c>
      <c r="L1312" s="39">
        <v>738</v>
      </c>
    </row>
    <row r="1313" spans="1:12" ht="19.95" customHeight="1" x14ac:dyDescent="0.3">
      <c r="A1313" s="6" t="s">
        <v>4407</v>
      </c>
      <c r="B1313" s="7" t="s">
        <v>4408</v>
      </c>
      <c r="C1313" s="6" t="s">
        <v>4861</v>
      </c>
      <c r="D1313" s="7" t="s">
        <v>4880</v>
      </c>
      <c r="E1313" s="6" t="s">
        <v>4873</v>
      </c>
      <c r="F1313" s="7" t="s">
        <v>4409</v>
      </c>
      <c r="G1313" s="7" t="s">
        <v>4367</v>
      </c>
      <c r="H1313" s="5" t="s">
        <v>209</v>
      </c>
      <c r="I1313" s="6" t="s">
        <v>210</v>
      </c>
      <c r="J1313" s="7" t="s">
        <v>11</v>
      </c>
      <c r="K1313" s="36">
        <v>4.3999999999999997E-2</v>
      </c>
      <c r="L1313" s="37">
        <v>558</v>
      </c>
    </row>
    <row r="1314" spans="1:12" ht="19.95" customHeight="1" x14ac:dyDescent="0.3">
      <c r="A1314" s="2" t="s">
        <v>4407</v>
      </c>
      <c r="B1314" s="3" t="s">
        <v>4408</v>
      </c>
      <c r="C1314" s="2" t="s">
        <v>4861</v>
      </c>
      <c r="D1314" s="3" t="s">
        <v>4880</v>
      </c>
      <c r="E1314" s="2" t="s">
        <v>4873</v>
      </c>
      <c r="F1314" s="3" t="s">
        <v>4409</v>
      </c>
      <c r="G1314" s="3" t="s">
        <v>4367</v>
      </c>
      <c r="H1314" s="1" t="s">
        <v>211</v>
      </c>
      <c r="I1314" s="2" t="s">
        <v>212</v>
      </c>
      <c r="J1314" s="3" t="s">
        <v>11</v>
      </c>
      <c r="K1314" s="38">
        <v>2.1999999999999999E-2</v>
      </c>
      <c r="L1314" s="39">
        <v>558</v>
      </c>
    </row>
    <row r="1315" spans="1:12" ht="19.95" customHeight="1" x14ac:dyDescent="0.3">
      <c r="A1315" s="6" t="s">
        <v>4407</v>
      </c>
      <c r="B1315" s="7" t="s">
        <v>4408</v>
      </c>
      <c r="C1315" s="6" t="s">
        <v>4861</v>
      </c>
      <c r="D1315" s="7" t="s">
        <v>4880</v>
      </c>
      <c r="E1315" s="6" t="s">
        <v>4873</v>
      </c>
      <c r="F1315" s="7" t="s">
        <v>4409</v>
      </c>
      <c r="G1315" s="7" t="s">
        <v>4367</v>
      </c>
      <c r="H1315" s="5" t="s">
        <v>194</v>
      </c>
      <c r="I1315" s="6" t="s">
        <v>196</v>
      </c>
      <c r="J1315" s="7" t="s">
        <v>11</v>
      </c>
      <c r="K1315" s="36">
        <v>4.3999999999999997E-2</v>
      </c>
      <c r="L1315" s="37">
        <v>617</v>
      </c>
    </row>
    <row r="1316" spans="1:12" ht="19.95" customHeight="1" x14ac:dyDescent="0.3">
      <c r="A1316" s="2" t="s">
        <v>4407</v>
      </c>
      <c r="B1316" s="3" t="s">
        <v>4408</v>
      </c>
      <c r="C1316" s="2" t="s">
        <v>4861</v>
      </c>
      <c r="D1316" s="3" t="s">
        <v>4880</v>
      </c>
      <c r="E1316" s="2" t="s">
        <v>4873</v>
      </c>
      <c r="F1316" s="3" t="s">
        <v>4409</v>
      </c>
      <c r="G1316" s="3" t="s">
        <v>4367</v>
      </c>
      <c r="H1316" s="1" t="s">
        <v>225</v>
      </c>
      <c r="I1316" s="2" t="s">
        <v>4410</v>
      </c>
      <c r="J1316" s="3" t="s">
        <v>11</v>
      </c>
      <c r="K1316" s="38">
        <v>4.3999999999999997E-2</v>
      </c>
      <c r="L1316" s="39">
        <v>679</v>
      </c>
    </row>
    <row r="1317" spans="1:12" ht="19.95" customHeight="1" x14ac:dyDescent="0.3">
      <c r="A1317" s="6" t="s">
        <v>4407</v>
      </c>
      <c r="B1317" s="7" t="s">
        <v>4408</v>
      </c>
      <c r="C1317" s="6" t="s">
        <v>4861</v>
      </c>
      <c r="D1317" s="7" t="s">
        <v>4880</v>
      </c>
      <c r="E1317" s="6" t="s">
        <v>4873</v>
      </c>
      <c r="F1317" s="7" t="s">
        <v>4409</v>
      </c>
      <c r="G1317" s="7" t="s">
        <v>4367</v>
      </c>
      <c r="H1317" s="5" t="s">
        <v>199</v>
      </c>
      <c r="I1317" s="6" t="s">
        <v>200</v>
      </c>
      <c r="J1317" s="7" t="s">
        <v>11</v>
      </c>
      <c r="K1317" s="36">
        <v>6.0000000000000001E-3</v>
      </c>
      <c r="L1317" s="37">
        <v>738</v>
      </c>
    </row>
    <row r="1318" spans="1:12" ht="19.95" customHeight="1" x14ac:dyDescent="0.3">
      <c r="A1318" s="2" t="s">
        <v>4407</v>
      </c>
      <c r="B1318" s="3" t="s">
        <v>4408</v>
      </c>
      <c r="C1318" s="2" t="s">
        <v>4861</v>
      </c>
      <c r="D1318" s="3" t="s">
        <v>4880</v>
      </c>
      <c r="E1318" s="2" t="s">
        <v>4873</v>
      </c>
      <c r="F1318" s="3" t="s">
        <v>4409</v>
      </c>
      <c r="G1318" s="3" t="s">
        <v>4367</v>
      </c>
      <c r="H1318" s="1" t="s">
        <v>209</v>
      </c>
      <c r="I1318" s="2" t="s">
        <v>210</v>
      </c>
      <c r="J1318" s="3" t="s">
        <v>11</v>
      </c>
      <c r="K1318" s="38">
        <v>2.1999999999999999E-2</v>
      </c>
      <c r="L1318" s="39">
        <v>558</v>
      </c>
    </row>
    <row r="1319" spans="1:12" ht="19.95" customHeight="1" x14ac:dyDescent="0.3">
      <c r="A1319" s="6" t="s">
        <v>4407</v>
      </c>
      <c r="B1319" s="7" t="s">
        <v>4408</v>
      </c>
      <c r="C1319" s="6" t="s">
        <v>4861</v>
      </c>
      <c r="D1319" s="7" t="s">
        <v>4880</v>
      </c>
      <c r="E1319" s="6" t="s">
        <v>4873</v>
      </c>
      <c r="F1319" s="7" t="s">
        <v>4409</v>
      </c>
      <c r="G1319" s="7" t="s">
        <v>4367</v>
      </c>
      <c r="H1319" s="5" t="s">
        <v>211</v>
      </c>
      <c r="I1319" s="6" t="s">
        <v>212</v>
      </c>
      <c r="J1319" s="7" t="s">
        <v>11</v>
      </c>
      <c r="K1319" s="36">
        <v>2.1999999999999999E-2</v>
      </c>
      <c r="L1319" s="37">
        <v>558</v>
      </c>
    </row>
    <row r="1320" spans="1:12" ht="19.95" customHeight="1" x14ac:dyDescent="0.3">
      <c r="A1320" s="2" t="s">
        <v>4407</v>
      </c>
      <c r="B1320" s="3" t="s">
        <v>4408</v>
      </c>
      <c r="C1320" s="2" t="s">
        <v>4861</v>
      </c>
      <c r="D1320" s="3" t="s">
        <v>4880</v>
      </c>
      <c r="E1320" s="2" t="s">
        <v>4873</v>
      </c>
      <c r="F1320" s="3" t="s">
        <v>4409</v>
      </c>
      <c r="G1320" s="3" t="s">
        <v>4367</v>
      </c>
      <c r="H1320" s="1" t="s">
        <v>194</v>
      </c>
      <c r="I1320" s="2" t="s">
        <v>196</v>
      </c>
      <c r="J1320" s="3" t="s">
        <v>11</v>
      </c>
      <c r="K1320" s="38">
        <v>2.1999999999999999E-2</v>
      </c>
      <c r="L1320" s="39">
        <v>617</v>
      </c>
    </row>
    <row r="1321" spans="1:12" ht="19.95" customHeight="1" x14ac:dyDescent="0.3">
      <c r="A1321" s="6" t="s">
        <v>4407</v>
      </c>
      <c r="B1321" s="7" t="s">
        <v>4408</v>
      </c>
      <c r="C1321" s="6" t="s">
        <v>4861</v>
      </c>
      <c r="D1321" s="7" t="s">
        <v>4880</v>
      </c>
      <c r="E1321" s="6" t="s">
        <v>4873</v>
      </c>
      <c r="F1321" s="7" t="s">
        <v>4409</v>
      </c>
      <c r="G1321" s="7" t="s">
        <v>4367</v>
      </c>
      <c r="H1321" s="5" t="s">
        <v>197</v>
      </c>
      <c r="I1321" s="6" t="s">
        <v>198</v>
      </c>
      <c r="J1321" s="7" t="s">
        <v>11</v>
      </c>
      <c r="K1321" s="36">
        <v>2.1999999999999999E-2</v>
      </c>
      <c r="L1321" s="37">
        <v>617</v>
      </c>
    </row>
    <row r="1322" spans="1:12" ht="19.95" customHeight="1" x14ac:dyDescent="0.3">
      <c r="A1322" s="2" t="s">
        <v>4407</v>
      </c>
      <c r="B1322" s="3" t="s">
        <v>4408</v>
      </c>
      <c r="C1322" s="2" t="s">
        <v>4861</v>
      </c>
      <c r="D1322" s="3" t="s">
        <v>4880</v>
      </c>
      <c r="E1322" s="2" t="s">
        <v>4873</v>
      </c>
      <c r="F1322" s="3" t="s">
        <v>4409</v>
      </c>
      <c r="G1322" s="3" t="s">
        <v>4367</v>
      </c>
      <c r="H1322" s="1" t="s">
        <v>211</v>
      </c>
      <c r="I1322" s="2" t="s">
        <v>212</v>
      </c>
      <c r="J1322" s="3" t="s">
        <v>11</v>
      </c>
      <c r="K1322" s="38">
        <v>1.4999999999999999E-2</v>
      </c>
      <c r="L1322" s="39">
        <v>558</v>
      </c>
    </row>
    <row r="1323" spans="1:12" ht="19.95" customHeight="1" x14ac:dyDescent="0.3">
      <c r="A1323" s="6" t="s">
        <v>4407</v>
      </c>
      <c r="B1323" s="7" t="s">
        <v>4408</v>
      </c>
      <c r="C1323" s="6" t="s">
        <v>4861</v>
      </c>
      <c r="D1323" s="7" t="s">
        <v>4880</v>
      </c>
      <c r="E1323" s="6" t="s">
        <v>4873</v>
      </c>
      <c r="F1323" s="7" t="s">
        <v>4409</v>
      </c>
      <c r="G1323" s="7" t="s">
        <v>4367</v>
      </c>
      <c r="H1323" s="5" t="s">
        <v>225</v>
      </c>
      <c r="I1323" s="6" t="s">
        <v>4410</v>
      </c>
      <c r="J1323" s="7" t="s">
        <v>11</v>
      </c>
      <c r="K1323" s="36">
        <v>5.8999999999999997E-2</v>
      </c>
      <c r="L1323" s="37">
        <v>679</v>
      </c>
    </row>
    <row r="1324" spans="1:12" ht="19.95" customHeight="1" x14ac:dyDescent="0.3">
      <c r="A1324" s="2" t="s">
        <v>4407</v>
      </c>
      <c r="B1324" s="3" t="s">
        <v>4408</v>
      </c>
      <c r="C1324" s="2" t="s">
        <v>4861</v>
      </c>
      <c r="D1324" s="3" t="s">
        <v>4880</v>
      </c>
      <c r="E1324" s="2" t="s">
        <v>4873</v>
      </c>
      <c r="F1324" s="3" t="s">
        <v>4409</v>
      </c>
      <c r="G1324" s="3" t="s">
        <v>4367</v>
      </c>
      <c r="H1324" s="1" t="s">
        <v>199</v>
      </c>
      <c r="I1324" s="2" t="s">
        <v>200</v>
      </c>
      <c r="J1324" s="3" t="s">
        <v>11</v>
      </c>
      <c r="K1324" s="38">
        <v>6.0000000000000001E-3</v>
      </c>
      <c r="L1324" s="39">
        <v>738</v>
      </c>
    </row>
    <row r="1325" spans="1:12" ht="19.95" customHeight="1" x14ac:dyDescent="0.3">
      <c r="A1325" s="6" t="s">
        <v>4407</v>
      </c>
      <c r="B1325" s="7" t="s">
        <v>4408</v>
      </c>
      <c r="C1325" s="6" t="s">
        <v>4861</v>
      </c>
      <c r="D1325" s="7" t="s">
        <v>4880</v>
      </c>
      <c r="E1325" s="6" t="s">
        <v>4873</v>
      </c>
      <c r="F1325" s="7" t="s">
        <v>4409</v>
      </c>
      <c r="G1325" s="7" t="s">
        <v>4367</v>
      </c>
      <c r="H1325" s="5" t="s">
        <v>209</v>
      </c>
      <c r="I1325" s="6" t="s">
        <v>210</v>
      </c>
      <c r="J1325" s="7" t="s">
        <v>11</v>
      </c>
      <c r="K1325" s="36">
        <v>4.3999999999999997E-2</v>
      </c>
      <c r="L1325" s="37">
        <v>558</v>
      </c>
    </row>
    <row r="1326" spans="1:12" ht="19.95" customHeight="1" x14ac:dyDescent="0.3">
      <c r="A1326" s="2" t="s">
        <v>4407</v>
      </c>
      <c r="B1326" s="3" t="s">
        <v>4408</v>
      </c>
      <c r="C1326" s="2" t="s">
        <v>4861</v>
      </c>
      <c r="D1326" s="3" t="s">
        <v>4880</v>
      </c>
      <c r="E1326" s="2" t="s">
        <v>4873</v>
      </c>
      <c r="F1326" s="3" t="s">
        <v>4409</v>
      </c>
      <c r="G1326" s="3" t="s">
        <v>4367</v>
      </c>
      <c r="H1326" s="1" t="s">
        <v>211</v>
      </c>
      <c r="I1326" s="2" t="s">
        <v>212</v>
      </c>
      <c r="J1326" s="3" t="s">
        <v>11</v>
      </c>
      <c r="K1326" s="38">
        <v>2.1999999999999999E-2</v>
      </c>
      <c r="L1326" s="39">
        <v>558</v>
      </c>
    </row>
    <row r="1327" spans="1:12" ht="19.95" customHeight="1" x14ac:dyDescent="0.3">
      <c r="A1327" s="6" t="s">
        <v>4407</v>
      </c>
      <c r="B1327" s="7" t="s">
        <v>4408</v>
      </c>
      <c r="C1327" s="6" t="s">
        <v>4861</v>
      </c>
      <c r="D1327" s="7" t="s">
        <v>4880</v>
      </c>
      <c r="E1327" s="6" t="s">
        <v>4873</v>
      </c>
      <c r="F1327" s="7" t="s">
        <v>4409</v>
      </c>
      <c r="G1327" s="7" t="s">
        <v>4367</v>
      </c>
      <c r="H1327" s="5" t="s">
        <v>194</v>
      </c>
      <c r="I1327" s="6" t="s">
        <v>196</v>
      </c>
      <c r="J1327" s="7" t="s">
        <v>11</v>
      </c>
      <c r="K1327" s="36">
        <v>4.3999999999999997E-2</v>
      </c>
      <c r="L1327" s="37">
        <v>617</v>
      </c>
    </row>
    <row r="1328" spans="1:12" ht="19.95" customHeight="1" x14ac:dyDescent="0.3">
      <c r="A1328" s="2" t="s">
        <v>4407</v>
      </c>
      <c r="B1328" s="3" t="s">
        <v>4408</v>
      </c>
      <c r="C1328" s="2" t="s">
        <v>4861</v>
      </c>
      <c r="D1328" s="3" t="s">
        <v>4880</v>
      </c>
      <c r="E1328" s="2" t="s">
        <v>4873</v>
      </c>
      <c r="F1328" s="3" t="s">
        <v>4409</v>
      </c>
      <c r="G1328" s="3" t="s">
        <v>4367</v>
      </c>
      <c r="H1328" s="1" t="s">
        <v>225</v>
      </c>
      <c r="I1328" s="2" t="s">
        <v>4410</v>
      </c>
      <c r="J1328" s="3" t="s">
        <v>11</v>
      </c>
      <c r="K1328" s="38">
        <v>4.3999999999999997E-2</v>
      </c>
      <c r="L1328" s="39">
        <v>679</v>
      </c>
    </row>
    <row r="1329" spans="1:12" ht="19.95" customHeight="1" x14ac:dyDescent="0.3">
      <c r="A1329" s="6" t="s">
        <v>4407</v>
      </c>
      <c r="B1329" s="7" t="s">
        <v>4408</v>
      </c>
      <c r="C1329" s="6" t="s">
        <v>4861</v>
      </c>
      <c r="D1329" s="7" t="s">
        <v>4880</v>
      </c>
      <c r="E1329" s="6" t="s">
        <v>4873</v>
      </c>
      <c r="F1329" s="7" t="s">
        <v>4409</v>
      </c>
      <c r="G1329" s="7" t="s">
        <v>4367</v>
      </c>
      <c r="H1329" s="5" t="s">
        <v>199</v>
      </c>
      <c r="I1329" s="6" t="s">
        <v>200</v>
      </c>
      <c r="J1329" s="7" t="s">
        <v>11</v>
      </c>
      <c r="K1329" s="36">
        <v>6.0000000000000001E-3</v>
      </c>
      <c r="L1329" s="37">
        <v>738</v>
      </c>
    </row>
    <row r="1330" spans="1:12" ht="19.95" customHeight="1" x14ac:dyDescent="0.3">
      <c r="A1330" s="2" t="s">
        <v>4407</v>
      </c>
      <c r="B1330" s="3" t="s">
        <v>4408</v>
      </c>
      <c r="C1330" s="2" t="s">
        <v>4861</v>
      </c>
      <c r="D1330" s="3" t="s">
        <v>4880</v>
      </c>
      <c r="E1330" s="2" t="s">
        <v>4873</v>
      </c>
      <c r="F1330" s="3" t="s">
        <v>4409</v>
      </c>
      <c r="G1330" s="3" t="s">
        <v>4367</v>
      </c>
      <c r="H1330" s="1" t="s">
        <v>209</v>
      </c>
      <c r="I1330" s="2" t="s">
        <v>210</v>
      </c>
      <c r="J1330" s="3" t="s">
        <v>11</v>
      </c>
      <c r="K1330" s="38">
        <v>2.1999999999999999E-2</v>
      </c>
      <c r="L1330" s="39">
        <v>558</v>
      </c>
    </row>
    <row r="1331" spans="1:12" ht="19.95" customHeight="1" x14ac:dyDescent="0.3">
      <c r="A1331" s="6" t="s">
        <v>4407</v>
      </c>
      <c r="B1331" s="7" t="s">
        <v>4408</v>
      </c>
      <c r="C1331" s="6" t="s">
        <v>4861</v>
      </c>
      <c r="D1331" s="7" t="s">
        <v>4880</v>
      </c>
      <c r="E1331" s="6" t="s">
        <v>4873</v>
      </c>
      <c r="F1331" s="7" t="s">
        <v>4409</v>
      </c>
      <c r="G1331" s="7" t="s">
        <v>4367</v>
      </c>
      <c r="H1331" s="5" t="s">
        <v>211</v>
      </c>
      <c r="I1331" s="6" t="s">
        <v>212</v>
      </c>
      <c r="J1331" s="7" t="s">
        <v>11</v>
      </c>
      <c r="K1331" s="36">
        <v>2.1999999999999999E-2</v>
      </c>
      <c r="L1331" s="37">
        <v>558</v>
      </c>
    </row>
    <row r="1332" spans="1:12" ht="19.95" customHeight="1" x14ac:dyDescent="0.3">
      <c r="A1332" s="2" t="s">
        <v>4407</v>
      </c>
      <c r="B1332" s="3" t="s">
        <v>4408</v>
      </c>
      <c r="C1332" s="2" t="s">
        <v>4861</v>
      </c>
      <c r="D1332" s="3" t="s">
        <v>4880</v>
      </c>
      <c r="E1332" s="2" t="s">
        <v>4873</v>
      </c>
      <c r="F1332" s="3" t="s">
        <v>4409</v>
      </c>
      <c r="G1332" s="3" t="s">
        <v>4367</v>
      </c>
      <c r="H1332" s="1" t="s">
        <v>194</v>
      </c>
      <c r="I1332" s="2" t="s">
        <v>196</v>
      </c>
      <c r="J1332" s="3" t="s">
        <v>11</v>
      </c>
      <c r="K1332" s="38">
        <v>2.1999999999999999E-2</v>
      </c>
      <c r="L1332" s="39">
        <v>617</v>
      </c>
    </row>
    <row r="1333" spans="1:12" ht="19.95" customHeight="1" x14ac:dyDescent="0.3">
      <c r="A1333" s="6" t="s">
        <v>4407</v>
      </c>
      <c r="B1333" s="7" t="s">
        <v>4408</v>
      </c>
      <c r="C1333" s="6" t="s">
        <v>4861</v>
      </c>
      <c r="D1333" s="7" t="s">
        <v>4880</v>
      </c>
      <c r="E1333" s="6" t="s">
        <v>4873</v>
      </c>
      <c r="F1333" s="7" t="s">
        <v>4409</v>
      </c>
      <c r="G1333" s="7" t="s">
        <v>4367</v>
      </c>
      <c r="H1333" s="5" t="s">
        <v>197</v>
      </c>
      <c r="I1333" s="6" t="s">
        <v>198</v>
      </c>
      <c r="J1333" s="7" t="s">
        <v>11</v>
      </c>
      <c r="K1333" s="36">
        <v>2.1999999999999999E-2</v>
      </c>
      <c r="L1333" s="37">
        <v>617</v>
      </c>
    </row>
    <row r="1334" spans="1:12" ht="19.95" customHeight="1" x14ac:dyDescent="0.3">
      <c r="A1334" s="2" t="s">
        <v>4407</v>
      </c>
      <c r="B1334" s="3" t="s">
        <v>4408</v>
      </c>
      <c r="C1334" s="2" t="s">
        <v>4861</v>
      </c>
      <c r="D1334" s="3" t="s">
        <v>4880</v>
      </c>
      <c r="E1334" s="2" t="s">
        <v>4873</v>
      </c>
      <c r="F1334" s="3" t="s">
        <v>4409</v>
      </c>
      <c r="G1334" s="3" t="s">
        <v>4367</v>
      </c>
      <c r="H1334" s="1" t="s">
        <v>211</v>
      </c>
      <c r="I1334" s="2" t="s">
        <v>212</v>
      </c>
      <c r="J1334" s="3" t="s">
        <v>11</v>
      </c>
      <c r="K1334" s="38">
        <v>1.4999999999999999E-2</v>
      </c>
      <c r="L1334" s="39">
        <v>558</v>
      </c>
    </row>
    <row r="1335" spans="1:12" ht="19.95" customHeight="1" x14ac:dyDescent="0.3">
      <c r="A1335" s="6" t="s">
        <v>4407</v>
      </c>
      <c r="B1335" s="7" t="s">
        <v>4408</v>
      </c>
      <c r="C1335" s="6" t="s">
        <v>4861</v>
      </c>
      <c r="D1335" s="7" t="s">
        <v>4881</v>
      </c>
      <c r="E1335" s="6" t="s">
        <v>4882</v>
      </c>
      <c r="F1335" s="7" t="s">
        <v>4409</v>
      </c>
      <c r="G1335" s="7" t="s">
        <v>4367</v>
      </c>
      <c r="H1335" s="5" t="s">
        <v>211</v>
      </c>
      <c r="I1335" s="6" t="s">
        <v>212</v>
      </c>
      <c r="J1335" s="7" t="s">
        <v>11</v>
      </c>
      <c r="K1335" s="36">
        <v>1.4999999999999999E-2</v>
      </c>
      <c r="L1335" s="37">
        <v>558</v>
      </c>
    </row>
    <row r="1336" spans="1:12" ht="19.95" customHeight="1" x14ac:dyDescent="0.3">
      <c r="A1336" s="2" t="s">
        <v>4407</v>
      </c>
      <c r="B1336" s="3" t="s">
        <v>4408</v>
      </c>
      <c r="C1336" s="2" t="s">
        <v>4861</v>
      </c>
      <c r="D1336" s="3" t="s">
        <v>4881</v>
      </c>
      <c r="E1336" s="2" t="s">
        <v>4882</v>
      </c>
      <c r="F1336" s="3" t="s">
        <v>4409</v>
      </c>
      <c r="G1336" s="3" t="s">
        <v>4367</v>
      </c>
      <c r="H1336" s="1" t="s">
        <v>225</v>
      </c>
      <c r="I1336" s="2" t="s">
        <v>4410</v>
      </c>
      <c r="J1336" s="3" t="s">
        <v>11</v>
      </c>
      <c r="K1336" s="38">
        <v>0.11799999999999999</v>
      </c>
      <c r="L1336" s="39">
        <v>679</v>
      </c>
    </row>
    <row r="1337" spans="1:12" ht="19.95" customHeight="1" x14ac:dyDescent="0.3">
      <c r="A1337" s="6" t="s">
        <v>4407</v>
      </c>
      <c r="B1337" s="7" t="s">
        <v>4408</v>
      </c>
      <c r="C1337" s="6" t="s">
        <v>4861</v>
      </c>
      <c r="D1337" s="7" t="s">
        <v>4881</v>
      </c>
      <c r="E1337" s="6" t="s">
        <v>4882</v>
      </c>
      <c r="F1337" s="7" t="s">
        <v>4409</v>
      </c>
      <c r="G1337" s="7" t="s">
        <v>4367</v>
      </c>
      <c r="H1337" s="5" t="s">
        <v>199</v>
      </c>
      <c r="I1337" s="6" t="s">
        <v>200</v>
      </c>
      <c r="J1337" s="7" t="s">
        <v>11</v>
      </c>
      <c r="K1337" s="36">
        <v>1.2E-2</v>
      </c>
      <c r="L1337" s="37">
        <v>738</v>
      </c>
    </row>
    <row r="1338" spans="1:12" ht="19.95" customHeight="1" x14ac:dyDescent="0.3">
      <c r="A1338" s="2" t="s">
        <v>4407</v>
      </c>
      <c r="B1338" s="3" t="s">
        <v>4408</v>
      </c>
      <c r="C1338" s="2" t="s">
        <v>4861</v>
      </c>
      <c r="D1338" s="3" t="s">
        <v>4881</v>
      </c>
      <c r="E1338" s="2" t="s">
        <v>4882</v>
      </c>
      <c r="F1338" s="3" t="s">
        <v>4409</v>
      </c>
      <c r="G1338" s="3" t="s">
        <v>4367</v>
      </c>
      <c r="H1338" s="1" t="s">
        <v>209</v>
      </c>
      <c r="I1338" s="2" t="s">
        <v>210</v>
      </c>
      <c r="J1338" s="3" t="s">
        <v>11</v>
      </c>
      <c r="K1338" s="38">
        <v>8.7999999999999995E-2</v>
      </c>
      <c r="L1338" s="39">
        <v>558</v>
      </c>
    </row>
    <row r="1339" spans="1:12" ht="19.95" customHeight="1" x14ac:dyDescent="0.3">
      <c r="A1339" s="6" t="s">
        <v>4407</v>
      </c>
      <c r="B1339" s="7" t="s">
        <v>4408</v>
      </c>
      <c r="C1339" s="6" t="s">
        <v>4861</v>
      </c>
      <c r="D1339" s="7" t="s">
        <v>4881</v>
      </c>
      <c r="E1339" s="6" t="s">
        <v>4882</v>
      </c>
      <c r="F1339" s="7" t="s">
        <v>4409</v>
      </c>
      <c r="G1339" s="7" t="s">
        <v>4367</v>
      </c>
      <c r="H1339" s="5" t="s">
        <v>211</v>
      </c>
      <c r="I1339" s="6" t="s">
        <v>212</v>
      </c>
      <c r="J1339" s="7" t="s">
        <v>11</v>
      </c>
      <c r="K1339" s="36">
        <v>4.3999999999999997E-2</v>
      </c>
      <c r="L1339" s="37">
        <v>558</v>
      </c>
    </row>
    <row r="1340" spans="1:12" ht="19.95" customHeight="1" x14ac:dyDescent="0.3">
      <c r="A1340" s="2" t="s">
        <v>4407</v>
      </c>
      <c r="B1340" s="3" t="s">
        <v>4408</v>
      </c>
      <c r="C1340" s="2" t="s">
        <v>4861</v>
      </c>
      <c r="D1340" s="3" t="s">
        <v>4881</v>
      </c>
      <c r="E1340" s="2" t="s">
        <v>4882</v>
      </c>
      <c r="F1340" s="3" t="s">
        <v>4409</v>
      </c>
      <c r="G1340" s="3" t="s">
        <v>4367</v>
      </c>
      <c r="H1340" s="1" t="s">
        <v>194</v>
      </c>
      <c r="I1340" s="2" t="s">
        <v>196</v>
      </c>
      <c r="J1340" s="3" t="s">
        <v>11</v>
      </c>
      <c r="K1340" s="38">
        <v>8.7999999999999995E-2</v>
      </c>
      <c r="L1340" s="39">
        <v>617</v>
      </c>
    </row>
    <row r="1341" spans="1:12" ht="19.95" customHeight="1" x14ac:dyDescent="0.3">
      <c r="A1341" s="6" t="s">
        <v>4407</v>
      </c>
      <c r="B1341" s="7" t="s">
        <v>4408</v>
      </c>
      <c r="C1341" s="6" t="s">
        <v>4861</v>
      </c>
      <c r="D1341" s="7" t="s">
        <v>4881</v>
      </c>
      <c r="E1341" s="6" t="s">
        <v>4882</v>
      </c>
      <c r="F1341" s="7" t="s">
        <v>4409</v>
      </c>
      <c r="G1341" s="7" t="s">
        <v>4367</v>
      </c>
      <c r="H1341" s="5" t="s">
        <v>225</v>
      </c>
      <c r="I1341" s="6" t="s">
        <v>4410</v>
      </c>
      <c r="J1341" s="7" t="s">
        <v>11</v>
      </c>
      <c r="K1341" s="36">
        <v>4.3999999999999997E-2</v>
      </c>
      <c r="L1341" s="37">
        <v>679</v>
      </c>
    </row>
    <row r="1342" spans="1:12" ht="19.95" customHeight="1" x14ac:dyDescent="0.3">
      <c r="A1342" s="2" t="s">
        <v>4407</v>
      </c>
      <c r="B1342" s="3" t="s">
        <v>4408</v>
      </c>
      <c r="C1342" s="2" t="s">
        <v>4861</v>
      </c>
      <c r="D1342" s="3" t="s">
        <v>4881</v>
      </c>
      <c r="E1342" s="2" t="s">
        <v>4882</v>
      </c>
      <c r="F1342" s="3" t="s">
        <v>4409</v>
      </c>
      <c r="G1342" s="3" t="s">
        <v>4367</v>
      </c>
      <c r="H1342" s="1" t="s">
        <v>199</v>
      </c>
      <c r="I1342" s="2" t="s">
        <v>200</v>
      </c>
      <c r="J1342" s="3" t="s">
        <v>11</v>
      </c>
      <c r="K1342" s="38">
        <v>6.0000000000000001E-3</v>
      </c>
      <c r="L1342" s="39">
        <v>738</v>
      </c>
    </row>
    <row r="1343" spans="1:12" ht="19.95" customHeight="1" x14ac:dyDescent="0.3">
      <c r="A1343" s="6" t="s">
        <v>4407</v>
      </c>
      <c r="B1343" s="7" t="s">
        <v>4408</v>
      </c>
      <c r="C1343" s="6" t="s">
        <v>4861</v>
      </c>
      <c r="D1343" s="7" t="s">
        <v>4881</v>
      </c>
      <c r="E1343" s="6" t="s">
        <v>4882</v>
      </c>
      <c r="F1343" s="7" t="s">
        <v>4409</v>
      </c>
      <c r="G1343" s="7" t="s">
        <v>4367</v>
      </c>
      <c r="H1343" s="5" t="s">
        <v>209</v>
      </c>
      <c r="I1343" s="6" t="s">
        <v>210</v>
      </c>
      <c r="J1343" s="7" t="s">
        <v>11</v>
      </c>
      <c r="K1343" s="36">
        <v>2.1999999999999999E-2</v>
      </c>
      <c r="L1343" s="37">
        <v>558</v>
      </c>
    </row>
    <row r="1344" spans="1:12" ht="19.95" customHeight="1" x14ac:dyDescent="0.3">
      <c r="A1344" s="2" t="s">
        <v>4407</v>
      </c>
      <c r="B1344" s="3" t="s">
        <v>4408</v>
      </c>
      <c r="C1344" s="2" t="s">
        <v>4861</v>
      </c>
      <c r="D1344" s="3" t="s">
        <v>4881</v>
      </c>
      <c r="E1344" s="2" t="s">
        <v>4882</v>
      </c>
      <c r="F1344" s="3" t="s">
        <v>4409</v>
      </c>
      <c r="G1344" s="3" t="s">
        <v>4367</v>
      </c>
      <c r="H1344" s="1" t="s">
        <v>211</v>
      </c>
      <c r="I1344" s="2" t="s">
        <v>212</v>
      </c>
      <c r="J1344" s="3" t="s">
        <v>11</v>
      </c>
      <c r="K1344" s="38">
        <v>2.1999999999999999E-2</v>
      </c>
      <c r="L1344" s="39">
        <v>558</v>
      </c>
    </row>
    <row r="1345" spans="1:12" ht="19.95" customHeight="1" x14ac:dyDescent="0.3">
      <c r="A1345" s="6" t="s">
        <v>4407</v>
      </c>
      <c r="B1345" s="7" t="s">
        <v>4408</v>
      </c>
      <c r="C1345" s="6" t="s">
        <v>4861</v>
      </c>
      <c r="D1345" s="7" t="s">
        <v>4881</v>
      </c>
      <c r="E1345" s="6" t="s">
        <v>4882</v>
      </c>
      <c r="F1345" s="7" t="s">
        <v>4409</v>
      </c>
      <c r="G1345" s="7" t="s">
        <v>4367</v>
      </c>
      <c r="H1345" s="5" t="s">
        <v>194</v>
      </c>
      <c r="I1345" s="6" t="s">
        <v>196</v>
      </c>
      <c r="J1345" s="7" t="s">
        <v>11</v>
      </c>
      <c r="K1345" s="36">
        <v>2.1999999999999999E-2</v>
      </c>
      <c r="L1345" s="37">
        <v>617</v>
      </c>
    </row>
    <row r="1346" spans="1:12" ht="19.95" customHeight="1" x14ac:dyDescent="0.3">
      <c r="A1346" s="2" t="s">
        <v>4407</v>
      </c>
      <c r="B1346" s="3" t="s">
        <v>4408</v>
      </c>
      <c r="C1346" s="2" t="s">
        <v>4861</v>
      </c>
      <c r="D1346" s="3" t="s">
        <v>4881</v>
      </c>
      <c r="E1346" s="2" t="s">
        <v>4882</v>
      </c>
      <c r="F1346" s="3" t="s">
        <v>4409</v>
      </c>
      <c r="G1346" s="3" t="s">
        <v>4367</v>
      </c>
      <c r="H1346" s="1" t="s">
        <v>197</v>
      </c>
      <c r="I1346" s="2" t="s">
        <v>198</v>
      </c>
      <c r="J1346" s="3" t="s">
        <v>11</v>
      </c>
      <c r="K1346" s="38">
        <v>2.1999999999999999E-2</v>
      </c>
      <c r="L1346" s="39">
        <v>617</v>
      </c>
    </row>
    <row r="1347" spans="1:12" ht="19.95" customHeight="1" x14ac:dyDescent="0.3">
      <c r="A1347" s="6" t="s">
        <v>4407</v>
      </c>
      <c r="B1347" s="7" t="s">
        <v>4408</v>
      </c>
      <c r="C1347" s="6" t="s">
        <v>4861</v>
      </c>
      <c r="D1347" s="7" t="s">
        <v>4881</v>
      </c>
      <c r="E1347" s="6" t="s">
        <v>4882</v>
      </c>
      <c r="F1347" s="7" t="s">
        <v>4409</v>
      </c>
      <c r="G1347" s="7" t="s">
        <v>4367</v>
      </c>
      <c r="H1347" s="5" t="s">
        <v>211</v>
      </c>
      <c r="I1347" s="6" t="s">
        <v>212</v>
      </c>
      <c r="J1347" s="7" t="s">
        <v>11</v>
      </c>
      <c r="K1347" s="36">
        <v>1.4999999999999999E-2</v>
      </c>
      <c r="L1347" s="37">
        <v>558</v>
      </c>
    </row>
    <row r="1348" spans="1:12" ht="19.95" customHeight="1" x14ac:dyDescent="0.3">
      <c r="A1348" s="2" t="s">
        <v>4407</v>
      </c>
      <c r="B1348" s="3" t="s">
        <v>4408</v>
      </c>
      <c r="C1348" s="2" t="s">
        <v>4861</v>
      </c>
      <c r="D1348" s="3" t="s">
        <v>4881</v>
      </c>
      <c r="E1348" s="2" t="s">
        <v>4882</v>
      </c>
      <c r="F1348" s="3" t="s">
        <v>4409</v>
      </c>
      <c r="G1348" s="3" t="s">
        <v>4367</v>
      </c>
      <c r="H1348" s="1" t="s">
        <v>225</v>
      </c>
      <c r="I1348" s="2" t="s">
        <v>4410</v>
      </c>
      <c r="J1348" s="3" t="s">
        <v>11</v>
      </c>
      <c r="K1348" s="38">
        <v>0.11799999999999999</v>
      </c>
      <c r="L1348" s="39">
        <v>679</v>
      </c>
    </row>
    <row r="1349" spans="1:12" ht="19.95" customHeight="1" x14ac:dyDescent="0.3">
      <c r="A1349" s="6" t="s">
        <v>4407</v>
      </c>
      <c r="B1349" s="7" t="s">
        <v>4408</v>
      </c>
      <c r="C1349" s="6" t="s">
        <v>4861</v>
      </c>
      <c r="D1349" s="7" t="s">
        <v>4881</v>
      </c>
      <c r="E1349" s="6" t="s">
        <v>4882</v>
      </c>
      <c r="F1349" s="7" t="s">
        <v>4409</v>
      </c>
      <c r="G1349" s="7" t="s">
        <v>4367</v>
      </c>
      <c r="H1349" s="5" t="s">
        <v>199</v>
      </c>
      <c r="I1349" s="6" t="s">
        <v>200</v>
      </c>
      <c r="J1349" s="7" t="s">
        <v>11</v>
      </c>
      <c r="K1349" s="36">
        <v>1.2E-2</v>
      </c>
      <c r="L1349" s="37">
        <v>738</v>
      </c>
    </row>
    <row r="1350" spans="1:12" ht="19.95" customHeight="1" x14ac:dyDescent="0.3">
      <c r="A1350" s="2" t="s">
        <v>4407</v>
      </c>
      <c r="B1350" s="3" t="s">
        <v>4408</v>
      </c>
      <c r="C1350" s="2" t="s">
        <v>4861</v>
      </c>
      <c r="D1350" s="3" t="s">
        <v>4881</v>
      </c>
      <c r="E1350" s="2" t="s">
        <v>4882</v>
      </c>
      <c r="F1350" s="3" t="s">
        <v>4409</v>
      </c>
      <c r="G1350" s="3" t="s">
        <v>4367</v>
      </c>
      <c r="H1350" s="1" t="s">
        <v>209</v>
      </c>
      <c r="I1350" s="2" t="s">
        <v>210</v>
      </c>
      <c r="J1350" s="3" t="s">
        <v>11</v>
      </c>
      <c r="K1350" s="38">
        <v>8.7999999999999995E-2</v>
      </c>
      <c r="L1350" s="39">
        <v>558</v>
      </c>
    </row>
    <row r="1351" spans="1:12" ht="19.95" customHeight="1" x14ac:dyDescent="0.3">
      <c r="A1351" s="6" t="s">
        <v>4407</v>
      </c>
      <c r="B1351" s="7" t="s">
        <v>4408</v>
      </c>
      <c r="C1351" s="6" t="s">
        <v>4861</v>
      </c>
      <c r="D1351" s="7" t="s">
        <v>4881</v>
      </c>
      <c r="E1351" s="6" t="s">
        <v>4882</v>
      </c>
      <c r="F1351" s="7" t="s">
        <v>4409</v>
      </c>
      <c r="G1351" s="7" t="s">
        <v>4367</v>
      </c>
      <c r="H1351" s="5" t="s">
        <v>211</v>
      </c>
      <c r="I1351" s="6" t="s">
        <v>212</v>
      </c>
      <c r="J1351" s="7" t="s">
        <v>11</v>
      </c>
      <c r="K1351" s="36">
        <v>4.3999999999999997E-2</v>
      </c>
      <c r="L1351" s="37">
        <v>558</v>
      </c>
    </row>
    <row r="1352" spans="1:12" ht="19.95" customHeight="1" x14ac:dyDescent="0.3">
      <c r="A1352" s="2" t="s">
        <v>4407</v>
      </c>
      <c r="B1352" s="3" t="s">
        <v>4408</v>
      </c>
      <c r="C1352" s="2" t="s">
        <v>4861</v>
      </c>
      <c r="D1352" s="3" t="s">
        <v>4881</v>
      </c>
      <c r="E1352" s="2" t="s">
        <v>4882</v>
      </c>
      <c r="F1352" s="3" t="s">
        <v>4409</v>
      </c>
      <c r="G1352" s="3" t="s">
        <v>4367</v>
      </c>
      <c r="H1352" s="1" t="s">
        <v>194</v>
      </c>
      <c r="I1352" s="2" t="s">
        <v>196</v>
      </c>
      <c r="J1352" s="3" t="s">
        <v>11</v>
      </c>
      <c r="K1352" s="38">
        <v>8.7999999999999995E-2</v>
      </c>
      <c r="L1352" s="39">
        <v>617</v>
      </c>
    </row>
    <row r="1353" spans="1:12" ht="19.95" customHeight="1" x14ac:dyDescent="0.3">
      <c r="A1353" s="6" t="s">
        <v>4407</v>
      </c>
      <c r="B1353" s="7" t="s">
        <v>4408</v>
      </c>
      <c r="C1353" s="6" t="s">
        <v>4861</v>
      </c>
      <c r="D1353" s="7" t="s">
        <v>4881</v>
      </c>
      <c r="E1353" s="6" t="s">
        <v>4882</v>
      </c>
      <c r="F1353" s="7" t="s">
        <v>4409</v>
      </c>
      <c r="G1353" s="7" t="s">
        <v>4367</v>
      </c>
      <c r="H1353" s="5" t="s">
        <v>225</v>
      </c>
      <c r="I1353" s="6" t="s">
        <v>226</v>
      </c>
      <c r="J1353" s="7" t="s">
        <v>11</v>
      </c>
      <c r="K1353" s="36">
        <v>4.3999999999999997E-2</v>
      </c>
      <c r="L1353" s="37">
        <v>679</v>
      </c>
    </row>
    <row r="1354" spans="1:12" ht="19.95" customHeight="1" x14ac:dyDescent="0.3">
      <c r="A1354" s="2" t="s">
        <v>4407</v>
      </c>
      <c r="B1354" s="3" t="s">
        <v>4408</v>
      </c>
      <c r="C1354" s="2" t="s">
        <v>4861</v>
      </c>
      <c r="D1354" s="3" t="s">
        <v>4881</v>
      </c>
      <c r="E1354" s="2" t="s">
        <v>4882</v>
      </c>
      <c r="F1354" s="3" t="s">
        <v>4409</v>
      </c>
      <c r="G1354" s="3" t="s">
        <v>4367</v>
      </c>
      <c r="H1354" s="1" t="s">
        <v>199</v>
      </c>
      <c r="I1354" s="2" t="s">
        <v>200</v>
      </c>
      <c r="J1354" s="3" t="s">
        <v>11</v>
      </c>
      <c r="K1354" s="38">
        <v>6.0000000000000001E-3</v>
      </c>
      <c r="L1354" s="39">
        <v>738</v>
      </c>
    </row>
    <row r="1355" spans="1:12" ht="19.95" customHeight="1" x14ac:dyDescent="0.3">
      <c r="A1355" s="6" t="s">
        <v>4407</v>
      </c>
      <c r="B1355" s="7" t="s">
        <v>4408</v>
      </c>
      <c r="C1355" s="6" t="s">
        <v>4861</v>
      </c>
      <c r="D1355" s="7" t="s">
        <v>4881</v>
      </c>
      <c r="E1355" s="6" t="s">
        <v>4882</v>
      </c>
      <c r="F1355" s="7" t="s">
        <v>4409</v>
      </c>
      <c r="G1355" s="7" t="s">
        <v>4367</v>
      </c>
      <c r="H1355" s="5" t="s">
        <v>209</v>
      </c>
      <c r="I1355" s="6" t="s">
        <v>210</v>
      </c>
      <c r="J1355" s="7" t="s">
        <v>11</v>
      </c>
      <c r="K1355" s="36">
        <v>2.1999999999999999E-2</v>
      </c>
      <c r="L1355" s="37">
        <v>558</v>
      </c>
    </row>
    <row r="1356" spans="1:12" ht="19.95" customHeight="1" x14ac:dyDescent="0.3">
      <c r="A1356" s="2" t="s">
        <v>4407</v>
      </c>
      <c r="B1356" s="3" t="s">
        <v>4408</v>
      </c>
      <c r="C1356" s="2" t="s">
        <v>4861</v>
      </c>
      <c r="D1356" s="3" t="s">
        <v>4881</v>
      </c>
      <c r="E1356" s="2" t="s">
        <v>4882</v>
      </c>
      <c r="F1356" s="3" t="s">
        <v>4409</v>
      </c>
      <c r="G1356" s="3" t="s">
        <v>4367</v>
      </c>
      <c r="H1356" s="1" t="s">
        <v>211</v>
      </c>
      <c r="I1356" s="2" t="s">
        <v>212</v>
      </c>
      <c r="J1356" s="3" t="s">
        <v>11</v>
      </c>
      <c r="K1356" s="38">
        <v>2.1999999999999999E-2</v>
      </c>
      <c r="L1356" s="39">
        <v>558</v>
      </c>
    </row>
    <row r="1357" spans="1:12" ht="19.95" customHeight="1" x14ac:dyDescent="0.3">
      <c r="A1357" s="6" t="s">
        <v>4407</v>
      </c>
      <c r="B1357" s="7" t="s">
        <v>4408</v>
      </c>
      <c r="C1357" s="6" t="s">
        <v>4861</v>
      </c>
      <c r="D1357" s="7" t="s">
        <v>4881</v>
      </c>
      <c r="E1357" s="6" t="s">
        <v>4882</v>
      </c>
      <c r="F1357" s="7" t="s">
        <v>4409</v>
      </c>
      <c r="G1357" s="7" t="s">
        <v>4367</v>
      </c>
      <c r="H1357" s="5" t="s">
        <v>194</v>
      </c>
      <c r="I1357" s="6" t="s">
        <v>196</v>
      </c>
      <c r="J1357" s="7" t="s">
        <v>11</v>
      </c>
      <c r="K1357" s="36">
        <v>2.1999999999999999E-2</v>
      </c>
      <c r="L1357" s="37">
        <v>617</v>
      </c>
    </row>
    <row r="1358" spans="1:12" ht="19.95" customHeight="1" x14ac:dyDescent="0.3">
      <c r="A1358" s="2" t="s">
        <v>4407</v>
      </c>
      <c r="B1358" s="3" t="s">
        <v>4408</v>
      </c>
      <c r="C1358" s="2" t="s">
        <v>4861</v>
      </c>
      <c r="D1358" s="3" t="s">
        <v>4881</v>
      </c>
      <c r="E1358" s="2" t="s">
        <v>4882</v>
      </c>
      <c r="F1358" s="3" t="s">
        <v>4409</v>
      </c>
      <c r="G1358" s="3" t="s">
        <v>4367</v>
      </c>
      <c r="H1358" s="1" t="s">
        <v>197</v>
      </c>
      <c r="I1358" s="2" t="s">
        <v>198</v>
      </c>
      <c r="J1358" s="3" t="s">
        <v>11</v>
      </c>
      <c r="K1358" s="38">
        <v>2.1999999999999999E-2</v>
      </c>
      <c r="L1358" s="39">
        <v>617</v>
      </c>
    </row>
    <row r="1359" spans="1:12" ht="19.95" customHeight="1" x14ac:dyDescent="0.3">
      <c r="A1359" s="6" t="s">
        <v>4407</v>
      </c>
      <c r="B1359" s="7" t="s">
        <v>4408</v>
      </c>
      <c r="C1359" s="6" t="s">
        <v>4861</v>
      </c>
      <c r="D1359" s="7" t="s">
        <v>4883</v>
      </c>
      <c r="E1359" s="6" t="s">
        <v>4884</v>
      </c>
      <c r="F1359" s="7" t="s">
        <v>4409</v>
      </c>
      <c r="G1359" s="7" t="s">
        <v>4367</v>
      </c>
      <c r="H1359" s="5" t="s">
        <v>209</v>
      </c>
      <c r="I1359" s="6" t="s">
        <v>210</v>
      </c>
      <c r="J1359" s="7" t="s">
        <v>11</v>
      </c>
      <c r="K1359" s="36">
        <v>0.02</v>
      </c>
      <c r="L1359" s="37">
        <v>558</v>
      </c>
    </row>
    <row r="1360" spans="1:12" ht="19.95" customHeight="1" x14ac:dyDescent="0.3">
      <c r="A1360" s="2" t="s">
        <v>4407</v>
      </c>
      <c r="B1360" s="3" t="s">
        <v>4408</v>
      </c>
      <c r="C1360" s="2" t="s">
        <v>4861</v>
      </c>
      <c r="D1360" s="3" t="s">
        <v>4885</v>
      </c>
      <c r="E1360" s="2" t="s">
        <v>4886</v>
      </c>
      <c r="F1360" s="3" t="s">
        <v>4409</v>
      </c>
      <c r="G1360" s="3" t="s">
        <v>4367</v>
      </c>
      <c r="H1360" s="1" t="s">
        <v>225</v>
      </c>
      <c r="I1360" s="2" t="s">
        <v>4410</v>
      </c>
      <c r="J1360" s="3" t="s">
        <v>11</v>
      </c>
      <c r="K1360" s="38">
        <v>0.29099999999999998</v>
      </c>
      <c r="L1360" s="39">
        <v>679</v>
      </c>
    </row>
    <row r="1361" spans="1:12" ht="19.95" customHeight="1" x14ac:dyDescent="0.3">
      <c r="A1361" s="6" t="s">
        <v>4407</v>
      </c>
      <c r="B1361" s="7" t="s">
        <v>4408</v>
      </c>
      <c r="C1361" s="6" t="s">
        <v>4861</v>
      </c>
      <c r="D1361" s="7" t="s">
        <v>4885</v>
      </c>
      <c r="E1361" s="6" t="s">
        <v>4886</v>
      </c>
      <c r="F1361" s="7" t="s">
        <v>4409</v>
      </c>
      <c r="G1361" s="7" t="s">
        <v>4367</v>
      </c>
      <c r="H1361" s="5" t="s">
        <v>199</v>
      </c>
      <c r="I1361" s="6" t="s">
        <v>200</v>
      </c>
      <c r="J1361" s="7" t="s">
        <v>11</v>
      </c>
      <c r="K1361" s="36">
        <v>6.0000000000000001E-3</v>
      </c>
      <c r="L1361" s="37">
        <v>738</v>
      </c>
    </row>
    <row r="1362" spans="1:12" ht="19.95" customHeight="1" x14ac:dyDescent="0.3">
      <c r="A1362" s="2" t="s">
        <v>4407</v>
      </c>
      <c r="B1362" s="3" t="s">
        <v>4408</v>
      </c>
      <c r="C1362" s="2" t="s">
        <v>4861</v>
      </c>
      <c r="D1362" s="3" t="s">
        <v>4885</v>
      </c>
      <c r="E1362" s="2" t="s">
        <v>4886</v>
      </c>
      <c r="F1362" s="3" t="s">
        <v>4409</v>
      </c>
      <c r="G1362" s="3" t="s">
        <v>4367</v>
      </c>
      <c r="H1362" s="1" t="s">
        <v>209</v>
      </c>
      <c r="I1362" s="2" t="s">
        <v>210</v>
      </c>
      <c r="J1362" s="3" t="s">
        <v>11</v>
      </c>
      <c r="K1362" s="38">
        <v>4.3999999999999997E-2</v>
      </c>
      <c r="L1362" s="39">
        <v>558</v>
      </c>
    </row>
    <row r="1363" spans="1:12" ht="19.95" customHeight="1" x14ac:dyDescent="0.3">
      <c r="A1363" s="6" t="s">
        <v>4407</v>
      </c>
      <c r="B1363" s="7" t="s">
        <v>4408</v>
      </c>
      <c r="C1363" s="6" t="s">
        <v>4861</v>
      </c>
      <c r="D1363" s="7" t="s">
        <v>4885</v>
      </c>
      <c r="E1363" s="6" t="s">
        <v>4886</v>
      </c>
      <c r="F1363" s="7" t="s">
        <v>4409</v>
      </c>
      <c r="G1363" s="7" t="s">
        <v>4367</v>
      </c>
      <c r="H1363" s="5" t="s">
        <v>211</v>
      </c>
      <c r="I1363" s="6" t="s">
        <v>212</v>
      </c>
      <c r="J1363" s="7" t="s">
        <v>11</v>
      </c>
      <c r="K1363" s="36">
        <v>2.1999999999999999E-2</v>
      </c>
      <c r="L1363" s="37">
        <v>558</v>
      </c>
    </row>
    <row r="1364" spans="1:12" ht="19.95" customHeight="1" x14ac:dyDescent="0.3">
      <c r="A1364" s="2" t="s">
        <v>4407</v>
      </c>
      <c r="B1364" s="3" t="s">
        <v>4408</v>
      </c>
      <c r="C1364" s="2" t="s">
        <v>4861</v>
      </c>
      <c r="D1364" s="3" t="s">
        <v>4885</v>
      </c>
      <c r="E1364" s="2" t="s">
        <v>4886</v>
      </c>
      <c r="F1364" s="3" t="s">
        <v>4409</v>
      </c>
      <c r="G1364" s="3" t="s">
        <v>4367</v>
      </c>
      <c r="H1364" s="1" t="s">
        <v>194</v>
      </c>
      <c r="I1364" s="2" t="s">
        <v>196</v>
      </c>
      <c r="J1364" s="3" t="s">
        <v>11</v>
      </c>
      <c r="K1364" s="38">
        <v>4.3999999999999997E-2</v>
      </c>
      <c r="L1364" s="39">
        <v>617</v>
      </c>
    </row>
    <row r="1365" spans="1:12" ht="19.95" customHeight="1" x14ac:dyDescent="0.3">
      <c r="A1365" s="6" t="s">
        <v>4407</v>
      </c>
      <c r="B1365" s="7" t="s">
        <v>4408</v>
      </c>
      <c r="C1365" s="6" t="s">
        <v>4861</v>
      </c>
      <c r="D1365" s="7" t="s">
        <v>4885</v>
      </c>
      <c r="E1365" s="6" t="s">
        <v>4886</v>
      </c>
      <c r="F1365" s="7" t="s">
        <v>4409</v>
      </c>
      <c r="G1365" s="7" t="s">
        <v>4367</v>
      </c>
      <c r="H1365" s="5" t="s">
        <v>225</v>
      </c>
      <c r="I1365" s="6" t="s">
        <v>226</v>
      </c>
      <c r="J1365" s="7" t="s">
        <v>11</v>
      </c>
      <c r="K1365" s="36">
        <v>4.3999999999999997E-2</v>
      </c>
      <c r="L1365" s="37">
        <v>679</v>
      </c>
    </row>
    <row r="1366" spans="1:12" ht="19.95" customHeight="1" x14ac:dyDescent="0.3">
      <c r="A1366" s="2" t="s">
        <v>4407</v>
      </c>
      <c r="B1366" s="3" t="s">
        <v>4408</v>
      </c>
      <c r="C1366" s="2" t="s">
        <v>4861</v>
      </c>
      <c r="D1366" s="3" t="s">
        <v>4885</v>
      </c>
      <c r="E1366" s="2" t="s">
        <v>4886</v>
      </c>
      <c r="F1366" s="3" t="s">
        <v>4409</v>
      </c>
      <c r="G1366" s="3" t="s">
        <v>4367</v>
      </c>
      <c r="H1366" s="1" t="s">
        <v>199</v>
      </c>
      <c r="I1366" s="2" t="s">
        <v>200</v>
      </c>
      <c r="J1366" s="3" t="s">
        <v>11</v>
      </c>
      <c r="K1366" s="38">
        <v>6.0000000000000001E-3</v>
      </c>
      <c r="L1366" s="39">
        <v>738</v>
      </c>
    </row>
    <row r="1367" spans="1:12" ht="19.95" customHeight="1" x14ac:dyDescent="0.3">
      <c r="A1367" s="6" t="s">
        <v>4407</v>
      </c>
      <c r="B1367" s="7" t="s">
        <v>4408</v>
      </c>
      <c r="C1367" s="6" t="s">
        <v>4861</v>
      </c>
      <c r="D1367" s="7" t="s">
        <v>4885</v>
      </c>
      <c r="E1367" s="6" t="s">
        <v>4886</v>
      </c>
      <c r="F1367" s="7" t="s">
        <v>4409</v>
      </c>
      <c r="G1367" s="7" t="s">
        <v>4367</v>
      </c>
      <c r="H1367" s="5" t="s">
        <v>209</v>
      </c>
      <c r="I1367" s="6" t="s">
        <v>210</v>
      </c>
      <c r="J1367" s="7" t="s">
        <v>11</v>
      </c>
      <c r="K1367" s="36">
        <v>2.1999999999999999E-2</v>
      </c>
      <c r="L1367" s="37">
        <v>558</v>
      </c>
    </row>
    <row r="1368" spans="1:12" ht="19.95" customHeight="1" x14ac:dyDescent="0.3">
      <c r="A1368" s="2" t="s">
        <v>4407</v>
      </c>
      <c r="B1368" s="3" t="s">
        <v>4408</v>
      </c>
      <c r="C1368" s="2" t="s">
        <v>4861</v>
      </c>
      <c r="D1368" s="3" t="s">
        <v>4885</v>
      </c>
      <c r="E1368" s="2" t="s">
        <v>4886</v>
      </c>
      <c r="F1368" s="3" t="s">
        <v>4409</v>
      </c>
      <c r="G1368" s="3" t="s">
        <v>4367</v>
      </c>
      <c r="H1368" s="1" t="s">
        <v>211</v>
      </c>
      <c r="I1368" s="2" t="s">
        <v>212</v>
      </c>
      <c r="J1368" s="3" t="s">
        <v>11</v>
      </c>
      <c r="K1368" s="38">
        <v>2.1999999999999999E-2</v>
      </c>
      <c r="L1368" s="39">
        <v>558</v>
      </c>
    </row>
    <row r="1369" spans="1:12" ht="19.95" customHeight="1" x14ac:dyDescent="0.3">
      <c r="A1369" s="6" t="s">
        <v>4407</v>
      </c>
      <c r="B1369" s="7" t="s">
        <v>4408</v>
      </c>
      <c r="C1369" s="6" t="s">
        <v>4861</v>
      </c>
      <c r="D1369" s="7" t="s">
        <v>4885</v>
      </c>
      <c r="E1369" s="6" t="s">
        <v>4886</v>
      </c>
      <c r="F1369" s="7" t="s">
        <v>4409</v>
      </c>
      <c r="G1369" s="7" t="s">
        <v>4367</v>
      </c>
      <c r="H1369" s="5" t="s">
        <v>194</v>
      </c>
      <c r="I1369" s="6" t="s">
        <v>196</v>
      </c>
      <c r="J1369" s="7" t="s">
        <v>11</v>
      </c>
      <c r="K1369" s="36">
        <v>2.1999999999999999E-2</v>
      </c>
      <c r="L1369" s="37">
        <v>617</v>
      </c>
    </row>
    <row r="1370" spans="1:12" ht="19.95" customHeight="1" x14ac:dyDescent="0.3">
      <c r="A1370" s="2" t="s">
        <v>4407</v>
      </c>
      <c r="B1370" s="3" t="s">
        <v>4408</v>
      </c>
      <c r="C1370" s="2" t="s">
        <v>4861</v>
      </c>
      <c r="D1370" s="3" t="s">
        <v>4885</v>
      </c>
      <c r="E1370" s="2" t="s">
        <v>4886</v>
      </c>
      <c r="F1370" s="3" t="s">
        <v>4409</v>
      </c>
      <c r="G1370" s="3" t="s">
        <v>4367</v>
      </c>
      <c r="H1370" s="1" t="s">
        <v>197</v>
      </c>
      <c r="I1370" s="2" t="s">
        <v>198</v>
      </c>
      <c r="J1370" s="3" t="s">
        <v>11</v>
      </c>
      <c r="K1370" s="38">
        <v>2.1999999999999999E-2</v>
      </c>
      <c r="L1370" s="39">
        <v>617</v>
      </c>
    </row>
    <row r="1371" spans="1:12" ht="19.95" customHeight="1" x14ac:dyDescent="0.3">
      <c r="A1371" s="6" t="s">
        <v>4407</v>
      </c>
      <c r="B1371" s="7" t="s">
        <v>4408</v>
      </c>
      <c r="C1371" s="6" t="s">
        <v>4861</v>
      </c>
      <c r="D1371" s="7" t="s">
        <v>4885</v>
      </c>
      <c r="E1371" s="6" t="s">
        <v>4886</v>
      </c>
      <c r="F1371" s="7" t="s">
        <v>4409</v>
      </c>
      <c r="G1371" s="7" t="s">
        <v>4367</v>
      </c>
      <c r="H1371" s="5" t="s">
        <v>211</v>
      </c>
      <c r="I1371" s="6" t="s">
        <v>212</v>
      </c>
      <c r="J1371" s="7" t="s">
        <v>11</v>
      </c>
      <c r="K1371" s="36">
        <v>1.4999999999999999E-2</v>
      </c>
      <c r="L1371" s="37">
        <v>558</v>
      </c>
    </row>
    <row r="1372" spans="1:12" ht="19.95" customHeight="1" x14ac:dyDescent="0.3">
      <c r="A1372" s="2" t="s">
        <v>4407</v>
      </c>
      <c r="B1372" s="3" t="s">
        <v>4408</v>
      </c>
      <c r="C1372" s="2" t="s">
        <v>4861</v>
      </c>
      <c r="D1372" s="3" t="s">
        <v>4887</v>
      </c>
      <c r="E1372" s="2" t="s">
        <v>4888</v>
      </c>
      <c r="F1372" s="3" t="s">
        <v>4409</v>
      </c>
      <c r="G1372" s="3" t="s">
        <v>4367</v>
      </c>
      <c r="H1372" s="1" t="s">
        <v>225</v>
      </c>
      <c r="I1372" s="2" t="s">
        <v>4410</v>
      </c>
      <c r="J1372" s="3" t="s">
        <v>11</v>
      </c>
      <c r="K1372" s="38">
        <v>0.29099999999999998</v>
      </c>
      <c r="L1372" s="39">
        <v>679</v>
      </c>
    </row>
    <row r="1373" spans="1:12" ht="19.95" customHeight="1" x14ac:dyDescent="0.3">
      <c r="A1373" s="6" t="s">
        <v>4407</v>
      </c>
      <c r="B1373" s="7" t="s">
        <v>4408</v>
      </c>
      <c r="C1373" s="6" t="s">
        <v>4861</v>
      </c>
      <c r="D1373" s="7" t="s">
        <v>4887</v>
      </c>
      <c r="E1373" s="6" t="s">
        <v>4888</v>
      </c>
      <c r="F1373" s="7" t="s">
        <v>4409</v>
      </c>
      <c r="G1373" s="7" t="s">
        <v>4367</v>
      </c>
      <c r="H1373" s="5" t="s">
        <v>199</v>
      </c>
      <c r="I1373" s="6" t="s">
        <v>200</v>
      </c>
      <c r="J1373" s="7" t="s">
        <v>11</v>
      </c>
      <c r="K1373" s="36">
        <v>6.0000000000000001E-3</v>
      </c>
      <c r="L1373" s="37">
        <v>738</v>
      </c>
    </row>
    <row r="1374" spans="1:12" ht="19.95" customHeight="1" x14ac:dyDescent="0.3">
      <c r="A1374" s="2" t="s">
        <v>4407</v>
      </c>
      <c r="B1374" s="3" t="s">
        <v>4408</v>
      </c>
      <c r="C1374" s="2" t="s">
        <v>4861</v>
      </c>
      <c r="D1374" s="3" t="s">
        <v>4887</v>
      </c>
      <c r="E1374" s="2" t="s">
        <v>4888</v>
      </c>
      <c r="F1374" s="3" t="s">
        <v>4409</v>
      </c>
      <c r="G1374" s="3" t="s">
        <v>4367</v>
      </c>
      <c r="H1374" s="1" t="s">
        <v>209</v>
      </c>
      <c r="I1374" s="2" t="s">
        <v>210</v>
      </c>
      <c r="J1374" s="3" t="s">
        <v>11</v>
      </c>
      <c r="K1374" s="38">
        <v>4.3999999999999997E-2</v>
      </c>
      <c r="L1374" s="39">
        <v>558</v>
      </c>
    </row>
    <row r="1375" spans="1:12" ht="19.95" customHeight="1" x14ac:dyDescent="0.3">
      <c r="A1375" s="6" t="s">
        <v>4407</v>
      </c>
      <c r="B1375" s="7" t="s">
        <v>4408</v>
      </c>
      <c r="C1375" s="6" t="s">
        <v>4861</v>
      </c>
      <c r="D1375" s="7" t="s">
        <v>4887</v>
      </c>
      <c r="E1375" s="6" t="s">
        <v>4888</v>
      </c>
      <c r="F1375" s="7" t="s">
        <v>4409</v>
      </c>
      <c r="G1375" s="7" t="s">
        <v>4367</v>
      </c>
      <c r="H1375" s="5" t="s">
        <v>211</v>
      </c>
      <c r="I1375" s="6" t="s">
        <v>212</v>
      </c>
      <c r="J1375" s="7" t="s">
        <v>11</v>
      </c>
      <c r="K1375" s="36">
        <v>2.1999999999999999E-2</v>
      </c>
      <c r="L1375" s="37">
        <v>558</v>
      </c>
    </row>
    <row r="1376" spans="1:12" ht="19.95" customHeight="1" x14ac:dyDescent="0.3">
      <c r="A1376" s="2" t="s">
        <v>4407</v>
      </c>
      <c r="B1376" s="3" t="s">
        <v>4408</v>
      </c>
      <c r="C1376" s="2" t="s">
        <v>4861</v>
      </c>
      <c r="D1376" s="3" t="s">
        <v>4887</v>
      </c>
      <c r="E1376" s="2" t="s">
        <v>4888</v>
      </c>
      <c r="F1376" s="3" t="s">
        <v>4409</v>
      </c>
      <c r="G1376" s="3" t="s">
        <v>4367</v>
      </c>
      <c r="H1376" s="1" t="s">
        <v>194</v>
      </c>
      <c r="I1376" s="2" t="s">
        <v>196</v>
      </c>
      <c r="J1376" s="3" t="s">
        <v>11</v>
      </c>
      <c r="K1376" s="38">
        <v>4.3999999999999997E-2</v>
      </c>
      <c r="L1376" s="39">
        <v>617</v>
      </c>
    </row>
    <row r="1377" spans="1:12" ht="19.95" customHeight="1" x14ac:dyDescent="0.3">
      <c r="A1377" s="6" t="s">
        <v>4407</v>
      </c>
      <c r="B1377" s="7" t="s">
        <v>4408</v>
      </c>
      <c r="C1377" s="6" t="s">
        <v>4861</v>
      </c>
      <c r="D1377" s="7" t="s">
        <v>4887</v>
      </c>
      <c r="E1377" s="6" t="s">
        <v>4888</v>
      </c>
      <c r="F1377" s="7" t="s">
        <v>4409</v>
      </c>
      <c r="G1377" s="7" t="s">
        <v>4367</v>
      </c>
      <c r="H1377" s="5" t="s">
        <v>225</v>
      </c>
      <c r="I1377" s="6" t="s">
        <v>4410</v>
      </c>
      <c r="J1377" s="7" t="s">
        <v>11</v>
      </c>
      <c r="K1377" s="36">
        <v>4.3999999999999997E-2</v>
      </c>
      <c r="L1377" s="37">
        <v>679</v>
      </c>
    </row>
    <row r="1378" spans="1:12" ht="19.95" customHeight="1" x14ac:dyDescent="0.3">
      <c r="A1378" s="2" t="s">
        <v>4407</v>
      </c>
      <c r="B1378" s="3" t="s">
        <v>4408</v>
      </c>
      <c r="C1378" s="2" t="s">
        <v>4861</v>
      </c>
      <c r="D1378" s="3" t="s">
        <v>4887</v>
      </c>
      <c r="E1378" s="2" t="s">
        <v>4888</v>
      </c>
      <c r="F1378" s="3" t="s">
        <v>4409</v>
      </c>
      <c r="G1378" s="3" t="s">
        <v>4367</v>
      </c>
      <c r="H1378" s="1" t="s">
        <v>199</v>
      </c>
      <c r="I1378" s="2" t="s">
        <v>200</v>
      </c>
      <c r="J1378" s="3" t="s">
        <v>11</v>
      </c>
      <c r="K1378" s="38">
        <v>6.0000000000000001E-3</v>
      </c>
      <c r="L1378" s="39">
        <v>738</v>
      </c>
    </row>
    <row r="1379" spans="1:12" ht="19.95" customHeight="1" x14ac:dyDescent="0.3">
      <c r="A1379" s="6" t="s">
        <v>4407</v>
      </c>
      <c r="B1379" s="7" t="s">
        <v>4408</v>
      </c>
      <c r="C1379" s="6" t="s">
        <v>4861</v>
      </c>
      <c r="D1379" s="7" t="s">
        <v>4887</v>
      </c>
      <c r="E1379" s="6" t="s">
        <v>4888</v>
      </c>
      <c r="F1379" s="7" t="s">
        <v>4409</v>
      </c>
      <c r="G1379" s="7" t="s">
        <v>4367</v>
      </c>
      <c r="H1379" s="5" t="s">
        <v>209</v>
      </c>
      <c r="I1379" s="6" t="s">
        <v>210</v>
      </c>
      <c r="J1379" s="7" t="s">
        <v>11</v>
      </c>
      <c r="K1379" s="36">
        <v>2.1999999999999999E-2</v>
      </c>
      <c r="L1379" s="37">
        <v>558</v>
      </c>
    </row>
    <row r="1380" spans="1:12" ht="19.95" customHeight="1" x14ac:dyDescent="0.3">
      <c r="A1380" s="2" t="s">
        <v>4407</v>
      </c>
      <c r="B1380" s="3" t="s">
        <v>4408</v>
      </c>
      <c r="C1380" s="2" t="s">
        <v>4861</v>
      </c>
      <c r="D1380" s="3" t="s">
        <v>4887</v>
      </c>
      <c r="E1380" s="2" t="s">
        <v>4888</v>
      </c>
      <c r="F1380" s="3" t="s">
        <v>4409</v>
      </c>
      <c r="G1380" s="3" t="s">
        <v>4367</v>
      </c>
      <c r="H1380" s="1" t="s">
        <v>211</v>
      </c>
      <c r="I1380" s="2" t="s">
        <v>212</v>
      </c>
      <c r="J1380" s="3" t="s">
        <v>11</v>
      </c>
      <c r="K1380" s="38">
        <v>2.1999999999999999E-2</v>
      </c>
      <c r="L1380" s="39">
        <v>558</v>
      </c>
    </row>
    <row r="1381" spans="1:12" ht="19.95" customHeight="1" x14ac:dyDescent="0.3">
      <c r="A1381" s="6" t="s">
        <v>4407</v>
      </c>
      <c r="B1381" s="7" t="s">
        <v>4408</v>
      </c>
      <c r="C1381" s="6" t="s">
        <v>4861</v>
      </c>
      <c r="D1381" s="7" t="s">
        <v>4887</v>
      </c>
      <c r="E1381" s="6" t="s">
        <v>4888</v>
      </c>
      <c r="F1381" s="7" t="s">
        <v>4409</v>
      </c>
      <c r="G1381" s="7" t="s">
        <v>4367</v>
      </c>
      <c r="H1381" s="5" t="s">
        <v>194</v>
      </c>
      <c r="I1381" s="6" t="s">
        <v>196</v>
      </c>
      <c r="J1381" s="7" t="s">
        <v>11</v>
      </c>
      <c r="K1381" s="36">
        <v>2.1999999999999999E-2</v>
      </c>
      <c r="L1381" s="37">
        <v>617</v>
      </c>
    </row>
    <row r="1382" spans="1:12" ht="19.95" customHeight="1" x14ac:dyDescent="0.3">
      <c r="A1382" s="2" t="s">
        <v>4407</v>
      </c>
      <c r="B1382" s="3" t="s">
        <v>4408</v>
      </c>
      <c r="C1382" s="2" t="s">
        <v>4861</v>
      </c>
      <c r="D1382" s="3" t="s">
        <v>4887</v>
      </c>
      <c r="E1382" s="2" t="s">
        <v>4888</v>
      </c>
      <c r="F1382" s="3" t="s">
        <v>4409</v>
      </c>
      <c r="G1382" s="3" t="s">
        <v>4367</v>
      </c>
      <c r="H1382" s="1" t="s">
        <v>197</v>
      </c>
      <c r="I1382" s="2" t="s">
        <v>198</v>
      </c>
      <c r="J1382" s="3" t="s">
        <v>11</v>
      </c>
      <c r="K1382" s="38">
        <v>2.1999999999999999E-2</v>
      </c>
      <c r="L1382" s="39">
        <v>617</v>
      </c>
    </row>
    <row r="1383" spans="1:12" ht="19.95" customHeight="1" x14ac:dyDescent="0.3">
      <c r="A1383" s="6" t="s">
        <v>4407</v>
      </c>
      <c r="B1383" s="7" t="s">
        <v>4408</v>
      </c>
      <c r="C1383" s="6" t="s">
        <v>4861</v>
      </c>
      <c r="D1383" s="7" t="s">
        <v>4887</v>
      </c>
      <c r="E1383" s="6" t="s">
        <v>4888</v>
      </c>
      <c r="F1383" s="7" t="s">
        <v>4409</v>
      </c>
      <c r="G1383" s="7" t="s">
        <v>4367</v>
      </c>
      <c r="H1383" s="5" t="s">
        <v>211</v>
      </c>
      <c r="I1383" s="6" t="s">
        <v>212</v>
      </c>
      <c r="J1383" s="7" t="s">
        <v>11</v>
      </c>
      <c r="K1383" s="36">
        <v>1.4999999999999999E-2</v>
      </c>
      <c r="L1383" s="37">
        <v>558</v>
      </c>
    </row>
    <row r="1384" spans="1:12" ht="19.95" customHeight="1" x14ac:dyDescent="0.3">
      <c r="A1384" s="2" t="s">
        <v>4407</v>
      </c>
      <c r="B1384" s="3" t="s">
        <v>4408</v>
      </c>
      <c r="C1384" s="2" t="s">
        <v>4861</v>
      </c>
      <c r="D1384" s="3" t="s">
        <v>4889</v>
      </c>
      <c r="E1384" s="2" t="s">
        <v>4890</v>
      </c>
      <c r="F1384" s="3" t="s">
        <v>4891</v>
      </c>
      <c r="G1384" s="3" t="s">
        <v>4367</v>
      </c>
      <c r="H1384" s="1" t="s">
        <v>225</v>
      </c>
      <c r="I1384" s="2" t="s">
        <v>4410</v>
      </c>
      <c r="J1384" s="3" t="s">
        <v>11</v>
      </c>
      <c r="K1384" s="38">
        <v>0.5</v>
      </c>
      <c r="L1384" s="39">
        <v>679</v>
      </c>
    </row>
    <row r="1385" spans="1:12" ht="19.95" customHeight="1" x14ac:dyDescent="0.3">
      <c r="A1385" s="6" t="s">
        <v>4407</v>
      </c>
      <c r="B1385" s="7" t="s">
        <v>4408</v>
      </c>
      <c r="C1385" s="6" t="s">
        <v>4861</v>
      </c>
      <c r="D1385" s="7" t="s">
        <v>4889</v>
      </c>
      <c r="E1385" s="6" t="s">
        <v>4890</v>
      </c>
      <c r="F1385" s="7" t="s">
        <v>4891</v>
      </c>
      <c r="G1385" s="7" t="s">
        <v>4367</v>
      </c>
      <c r="H1385" s="5" t="s">
        <v>209</v>
      </c>
      <c r="I1385" s="6" t="s">
        <v>210</v>
      </c>
      <c r="J1385" s="7" t="s">
        <v>11</v>
      </c>
      <c r="K1385" s="36">
        <v>0.75</v>
      </c>
      <c r="L1385" s="37">
        <v>558</v>
      </c>
    </row>
    <row r="1386" spans="1:12" ht="19.95" customHeight="1" x14ac:dyDescent="0.3">
      <c r="A1386" s="2" t="s">
        <v>4407</v>
      </c>
      <c r="B1386" s="3" t="s">
        <v>4408</v>
      </c>
      <c r="C1386" s="2" t="s">
        <v>4861</v>
      </c>
      <c r="D1386" s="3" t="s">
        <v>4892</v>
      </c>
      <c r="E1386" s="2" t="s">
        <v>4893</v>
      </c>
      <c r="F1386" s="3" t="s">
        <v>4894</v>
      </c>
      <c r="G1386" s="3" t="s">
        <v>4367</v>
      </c>
      <c r="H1386" s="1" t="s">
        <v>225</v>
      </c>
      <c r="I1386" s="2" t="s">
        <v>4410</v>
      </c>
      <c r="J1386" s="3" t="s">
        <v>11</v>
      </c>
      <c r="K1386" s="38">
        <v>0.5</v>
      </c>
      <c r="L1386" s="39">
        <v>679</v>
      </c>
    </row>
    <row r="1387" spans="1:12" ht="19.95" customHeight="1" x14ac:dyDescent="0.3">
      <c r="A1387" s="6" t="s">
        <v>4407</v>
      </c>
      <c r="B1387" s="7" t="s">
        <v>4408</v>
      </c>
      <c r="C1387" s="6" t="s">
        <v>4861</v>
      </c>
      <c r="D1387" s="7" t="s">
        <v>4895</v>
      </c>
      <c r="E1387" s="6" t="s">
        <v>4896</v>
      </c>
      <c r="F1387" s="7" t="s">
        <v>4894</v>
      </c>
      <c r="G1387" s="7" t="s">
        <v>4367</v>
      </c>
      <c r="H1387" s="5" t="s">
        <v>225</v>
      </c>
      <c r="I1387" s="6" t="s">
        <v>4410</v>
      </c>
      <c r="J1387" s="7" t="s">
        <v>11</v>
      </c>
      <c r="K1387" s="36">
        <v>0.5</v>
      </c>
      <c r="L1387" s="37">
        <v>679</v>
      </c>
    </row>
    <row r="1388" spans="1:12" ht="19.95" customHeight="1" x14ac:dyDescent="0.3">
      <c r="A1388" s="2" t="s">
        <v>4407</v>
      </c>
      <c r="B1388" s="3" t="s">
        <v>4408</v>
      </c>
      <c r="C1388" s="2" t="s">
        <v>4861</v>
      </c>
      <c r="D1388" s="3" t="s">
        <v>4897</v>
      </c>
      <c r="E1388" s="2" t="s">
        <v>4898</v>
      </c>
      <c r="F1388" s="3" t="s">
        <v>4899</v>
      </c>
      <c r="G1388" s="3" t="s">
        <v>4367</v>
      </c>
      <c r="H1388" s="1" t="s">
        <v>225</v>
      </c>
      <c r="I1388" s="2" t="s">
        <v>4410</v>
      </c>
      <c r="J1388" s="3" t="s">
        <v>11</v>
      </c>
      <c r="K1388" s="38">
        <v>0.45</v>
      </c>
      <c r="L1388" s="39">
        <v>679</v>
      </c>
    </row>
    <row r="1389" spans="1:12" ht="19.95" customHeight="1" x14ac:dyDescent="0.3">
      <c r="A1389" s="6" t="s">
        <v>4407</v>
      </c>
      <c r="B1389" s="7" t="s">
        <v>4408</v>
      </c>
      <c r="C1389" s="6" t="s">
        <v>4861</v>
      </c>
      <c r="D1389" s="7" t="s">
        <v>4897</v>
      </c>
      <c r="E1389" s="6" t="s">
        <v>4898</v>
      </c>
      <c r="F1389" s="7" t="s">
        <v>4899</v>
      </c>
      <c r="G1389" s="7" t="s">
        <v>4367</v>
      </c>
      <c r="H1389" s="5" t="s">
        <v>225</v>
      </c>
      <c r="I1389" s="6" t="s">
        <v>4410</v>
      </c>
      <c r="J1389" s="7" t="s">
        <v>11</v>
      </c>
      <c r="K1389" s="36">
        <v>0.6</v>
      </c>
      <c r="L1389" s="37">
        <v>679</v>
      </c>
    </row>
    <row r="1390" spans="1:12" ht="19.95" customHeight="1" x14ac:dyDescent="0.3">
      <c r="A1390" s="2" t="s">
        <v>4407</v>
      </c>
      <c r="B1390" s="3" t="s">
        <v>4408</v>
      </c>
      <c r="C1390" s="2" t="s">
        <v>4861</v>
      </c>
      <c r="D1390" s="3" t="s">
        <v>4897</v>
      </c>
      <c r="E1390" s="2" t="s">
        <v>4898</v>
      </c>
      <c r="F1390" s="3" t="s">
        <v>4899</v>
      </c>
      <c r="G1390" s="3" t="s">
        <v>4367</v>
      </c>
      <c r="H1390" s="1" t="s">
        <v>209</v>
      </c>
      <c r="I1390" s="2" t="s">
        <v>210</v>
      </c>
      <c r="J1390" s="3" t="s">
        <v>11</v>
      </c>
      <c r="K1390" s="38">
        <v>0.8</v>
      </c>
      <c r="L1390" s="39">
        <v>558</v>
      </c>
    </row>
    <row r="1391" spans="1:12" ht="19.95" customHeight="1" x14ac:dyDescent="0.3">
      <c r="A1391" s="6" t="s">
        <v>4407</v>
      </c>
      <c r="B1391" s="7" t="s">
        <v>4408</v>
      </c>
      <c r="C1391" s="6" t="s">
        <v>4861</v>
      </c>
      <c r="D1391" s="7" t="s">
        <v>4900</v>
      </c>
      <c r="E1391" s="6" t="s">
        <v>4901</v>
      </c>
      <c r="F1391" s="7" t="s">
        <v>4899</v>
      </c>
      <c r="G1391" s="7" t="s">
        <v>4367</v>
      </c>
      <c r="H1391" s="5" t="s">
        <v>225</v>
      </c>
      <c r="I1391" s="6" t="s">
        <v>4410</v>
      </c>
      <c r="J1391" s="7" t="s">
        <v>11</v>
      </c>
      <c r="K1391" s="36">
        <v>0.45</v>
      </c>
      <c r="L1391" s="37">
        <v>679</v>
      </c>
    </row>
    <row r="1392" spans="1:12" ht="19.95" customHeight="1" x14ac:dyDescent="0.3">
      <c r="A1392" s="2" t="s">
        <v>4407</v>
      </c>
      <c r="B1392" s="3" t="s">
        <v>4408</v>
      </c>
      <c r="C1392" s="2" t="s">
        <v>4861</v>
      </c>
      <c r="D1392" s="3" t="s">
        <v>4900</v>
      </c>
      <c r="E1392" s="2" t="s">
        <v>4901</v>
      </c>
      <c r="F1392" s="3" t="s">
        <v>4899</v>
      </c>
      <c r="G1392" s="3" t="s">
        <v>4367</v>
      </c>
      <c r="H1392" s="1" t="s">
        <v>225</v>
      </c>
      <c r="I1392" s="2" t="s">
        <v>4410</v>
      </c>
      <c r="J1392" s="3" t="s">
        <v>11</v>
      </c>
      <c r="K1392" s="38">
        <v>0.6</v>
      </c>
      <c r="L1392" s="39">
        <v>679</v>
      </c>
    </row>
    <row r="1393" spans="1:12" ht="19.95" customHeight="1" x14ac:dyDescent="0.3">
      <c r="A1393" s="6" t="s">
        <v>4407</v>
      </c>
      <c r="B1393" s="7" t="s">
        <v>4408</v>
      </c>
      <c r="C1393" s="6" t="s">
        <v>4861</v>
      </c>
      <c r="D1393" s="7" t="s">
        <v>4900</v>
      </c>
      <c r="E1393" s="6" t="s">
        <v>4901</v>
      </c>
      <c r="F1393" s="7" t="s">
        <v>4899</v>
      </c>
      <c r="G1393" s="7" t="s">
        <v>4367</v>
      </c>
      <c r="H1393" s="5" t="s">
        <v>209</v>
      </c>
      <c r="I1393" s="6" t="s">
        <v>210</v>
      </c>
      <c r="J1393" s="7" t="s">
        <v>11</v>
      </c>
      <c r="K1393" s="36">
        <v>0.8</v>
      </c>
      <c r="L1393" s="37">
        <v>558</v>
      </c>
    </row>
    <row r="1394" spans="1:12" ht="19.95" customHeight="1" x14ac:dyDescent="0.3">
      <c r="A1394" s="2" t="s">
        <v>4407</v>
      </c>
      <c r="B1394" s="3" t="s">
        <v>4408</v>
      </c>
      <c r="C1394" s="2" t="s">
        <v>4861</v>
      </c>
      <c r="D1394" s="3" t="s">
        <v>4902</v>
      </c>
      <c r="E1394" s="2" t="s">
        <v>4903</v>
      </c>
      <c r="F1394" s="3" t="s">
        <v>4368</v>
      </c>
      <c r="G1394" s="3" t="s">
        <v>4367</v>
      </c>
      <c r="H1394" s="1" t="s">
        <v>225</v>
      </c>
      <c r="I1394" s="2" t="s">
        <v>4410</v>
      </c>
      <c r="J1394" s="3" t="s">
        <v>11</v>
      </c>
      <c r="K1394" s="38">
        <v>0.86</v>
      </c>
      <c r="L1394" s="39">
        <v>679</v>
      </c>
    </row>
    <row r="1395" spans="1:12" ht="19.95" customHeight="1" x14ac:dyDescent="0.3">
      <c r="A1395" s="6" t="s">
        <v>4407</v>
      </c>
      <c r="B1395" s="7" t="s">
        <v>4408</v>
      </c>
      <c r="C1395" s="6" t="s">
        <v>4861</v>
      </c>
      <c r="D1395" s="7" t="s">
        <v>4902</v>
      </c>
      <c r="E1395" s="6" t="s">
        <v>4903</v>
      </c>
      <c r="F1395" s="7" t="s">
        <v>4368</v>
      </c>
      <c r="G1395" s="7" t="s">
        <v>4367</v>
      </c>
      <c r="H1395" s="5" t="s">
        <v>209</v>
      </c>
      <c r="I1395" s="6" t="s">
        <v>210</v>
      </c>
      <c r="J1395" s="7" t="s">
        <v>11</v>
      </c>
      <c r="K1395" s="36">
        <v>0.5</v>
      </c>
      <c r="L1395" s="37">
        <v>558</v>
      </c>
    </row>
    <row r="1396" spans="1:12" ht="19.95" customHeight="1" x14ac:dyDescent="0.3">
      <c r="A1396" s="2" t="s">
        <v>4407</v>
      </c>
      <c r="B1396" s="3" t="s">
        <v>4408</v>
      </c>
      <c r="C1396" s="2" t="s">
        <v>4861</v>
      </c>
      <c r="D1396" s="3" t="s">
        <v>4904</v>
      </c>
      <c r="E1396" s="2" t="s">
        <v>4905</v>
      </c>
      <c r="F1396" s="3" t="s">
        <v>4906</v>
      </c>
      <c r="G1396" s="3" t="s">
        <v>4367</v>
      </c>
      <c r="H1396" s="1" t="s">
        <v>225</v>
      </c>
      <c r="I1396" s="2" t="s">
        <v>4410</v>
      </c>
      <c r="J1396" s="3" t="s">
        <v>11</v>
      </c>
      <c r="K1396" s="38">
        <v>1.7926</v>
      </c>
      <c r="L1396" s="39">
        <v>679</v>
      </c>
    </row>
    <row r="1397" spans="1:12" ht="19.95" customHeight="1" x14ac:dyDescent="0.3">
      <c r="A1397" s="6" t="s">
        <v>4407</v>
      </c>
      <c r="B1397" s="7" t="s">
        <v>4408</v>
      </c>
      <c r="C1397" s="6" t="s">
        <v>4861</v>
      </c>
      <c r="D1397" s="7" t="s">
        <v>4904</v>
      </c>
      <c r="E1397" s="6" t="s">
        <v>4905</v>
      </c>
      <c r="F1397" s="7" t="s">
        <v>4906</v>
      </c>
      <c r="G1397" s="7" t="s">
        <v>4367</v>
      </c>
      <c r="H1397" s="5" t="s">
        <v>199</v>
      </c>
      <c r="I1397" s="6" t="s">
        <v>200</v>
      </c>
      <c r="J1397" s="7" t="s">
        <v>11</v>
      </c>
      <c r="K1397" s="36">
        <v>3.6999999999999998E-2</v>
      </c>
      <c r="L1397" s="37">
        <v>738</v>
      </c>
    </row>
    <row r="1398" spans="1:12" ht="19.95" customHeight="1" x14ac:dyDescent="0.3">
      <c r="A1398" s="2" t="s">
        <v>4407</v>
      </c>
      <c r="B1398" s="3" t="s">
        <v>4408</v>
      </c>
      <c r="C1398" s="2" t="s">
        <v>4861</v>
      </c>
      <c r="D1398" s="3" t="s">
        <v>4904</v>
      </c>
      <c r="E1398" s="2" t="s">
        <v>4905</v>
      </c>
      <c r="F1398" s="3" t="s">
        <v>4906</v>
      </c>
      <c r="G1398" s="3" t="s">
        <v>4367</v>
      </c>
      <c r="H1398" s="1" t="s">
        <v>209</v>
      </c>
      <c r="I1398" s="2" t="s">
        <v>210</v>
      </c>
      <c r="J1398" s="3" t="s">
        <v>11</v>
      </c>
      <c r="K1398" s="38">
        <v>0.27100000000000002</v>
      </c>
      <c r="L1398" s="39">
        <v>558</v>
      </c>
    </row>
    <row r="1399" spans="1:12" ht="19.95" customHeight="1" x14ac:dyDescent="0.3">
      <c r="A1399" s="6" t="s">
        <v>4407</v>
      </c>
      <c r="B1399" s="7" t="s">
        <v>4408</v>
      </c>
      <c r="C1399" s="6" t="s">
        <v>4861</v>
      </c>
      <c r="D1399" s="7" t="s">
        <v>4904</v>
      </c>
      <c r="E1399" s="6" t="s">
        <v>4905</v>
      </c>
      <c r="F1399" s="7" t="s">
        <v>4906</v>
      </c>
      <c r="G1399" s="7" t="s">
        <v>4367</v>
      </c>
      <c r="H1399" s="5" t="s">
        <v>211</v>
      </c>
      <c r="I1399" s="6" t="s">
        <v>212</v>
      </c>
      <c r="J1399" s="7" t="s">
        <v>11</v>
      </c>
      <c r="K1399" s="36">
        <v>0.13550000000000001</v>
      </c>
      <c r="L1399" s="37">
        <v>558</v>
      </c>
    </row>
    <row r="1400" spans="1:12" ht="19.95" customHeight="1" x14ac:dyDescent="0.3">
      <c r="A1400" s="2" t="s">
        <v>4407</v>
      </c>
      <c r="B1400" s="3" t="s">
        <v>4408</v>
      </c>
      <c r="C1400" s="2" t="s">
        <v>4861</v>
      </c>
      <c r="D1400" s="3" t="s">
        <v>4904</v>
      </c>
      <c r="E1400" s="2" t="s">
        <v>4905</v>
      </c>
      <c r="F1400" s="3" t="s">
        <v>4906</v>
      </c>
      <c r="G1400" s="3" t="s">
        <v>4367</v>
      </c>
      <c r="H1400" s="1" t="s">
        <v>194</v>
      </c>
      <c r="I1400" s="2" t="s">
        <v>196</v>
      </c>
      <c r="J1400" s="3" t="s">
        <v>11</v>
      </c>
      <c r="K1400" s="38">
        <v>0.27100000000000002</v>
      </c>
      <c r="L1400" s="39">
        <v>617</v>
      </c>
    </row>
    <row r="1401" spans="1:12" ht="19.95" customHeight="1" x14ac:dyDescent="0.3">
      <c r="A1401" s="6" t="s">
        <v>4407</v>
      </c>
      <c r="B1401" s="7" t="s">
        <v>4408</v>
      </c>
      <c r="C1401" s="6" t="s">
        <v>4861</v>
      </c>
      <c r="D1401" s="7" t="s">
        <v>4904</v>
      </c>
      <c r="E1401" s="6" t="s">
        <v>4905</v>
      </c>
      <c r="F1401" s="7" t="s">
        <v>4906</v>
      </c>
      <c r="G1401" s="7" t="s">
        <v>4367</v>
      </c>
      <c r="H1401" s="5" t="s">
        <v>225</v>
      </c>
      <c r="I1401" s="6" t="s">
        <v>4410</v>
      </c>
      <c r="J1401" s="7" t="s">
        <v>11</v>
      </c>
      <c r="K1401" s="36">
        <v>0.24640000000000001</v>
      </c>
      <c r="L1401" s="37">
        <v>679</v>
      </c>
    </row>
    <row r="1402" spans="1:12" ht="19.95" customHeight="1" x14ac:dyDescent="0.3">
      <c r="A1402" s="2" t="s">
        <v>4407</v>
      </c>
      <c r="B1402" s="3" t="s">
        <v>4408</v>
      </c>
      <c r="C1402" s="2" t="s">
        <v>4861</v>
      </c>
      <c r="D1402" s="3" t="s">
        <v>4904</v>
      </c>
      <c r="E1402" s="2" t="s">
        <v>4905</v>
      </c>
      <c r="F1402" s="3" t="s">
        <v>4906</v>
      </c>
      <c r="G1402" s="3" t="s">
        <v>4367</v>
      </c>
      <c r="H1402" s="1" t="s">
        <v>199</v>
      </c>
      <c r="I1402" s="2" t="s">
        <v>200</v>
      </c>
      <c r="J1402" s="3" t="s">
        <v>11</v>
      </c>
      <c r="K1402" s="38">
        <v>3.3599999999999998E-2</v>
      </c>
      <c r="L1402" s="39">
        <v>738</v>
      </c>
    </row>
    <row r="1403" spans="1:12" ht="19.95" customHeight="1" x14ac:dyDescent="0.3">
      <c r="A1403" s="6" t="s">
        <v>4407</v>
      </c>
      <c r="B1403" s="7" t="s">
        <v>4408</v>
      </c>
      <c r="C1403" s="6" t="s">
        <v>4861</v>
      </c>
      <c r="D1403" s="7" t="s">
        <v>4904</v>
      </c>
      <c r="E1403" s="6" t="s">
        <v>4905</v>
      </c>
      <c r="F1403" s="7" t="s">
        <v>4906</v>
      </c>
      <c r="G1403" s="7" t="s">
        <v>4367</v>
      </c>
      <c r="H1403" s="5" t="s">
        <v>209</v>
      </c>
      <c r="I1403" s="6" t="s">
        <v>210</v>
      </c>
      <c r="J1403" s="7" t="s">
        <v>11</v>
      </c>
      <c r="K1403" s="36">
        <v>0.1232</v>
      </c>
      <c r="L1403" s="37">
        <v>558</v>
      </c>
    </row>
    <row r="1404" spans="1:12" ht="19.95" customHeight="1" x14ac:dyDescent="0.3">
      <c r="A1404" s="2" t="s">
        <v>4407</v>
      </c>
      <c r="B1404" s="3" t="s">
        <v>4408</v>
      </c>
      <c r="C1404" s="2" t="s">
        <v>4861</v>
      </c>
      <c r="D1404" s="3" t="s">
        <v>4904</v>
      </c>
      <c r="E1404" s="2" t="s">
        <v>4905</v>
      </c>
      <c r="F1404" s="3" t="s">
        <v>4906</v>
      </c>
      <c r="G1404" s="3" t="s">
        <v>4367</v>
      </c>
      <c r="H1404" s="1" t="s">
        <v>211</v>
      </c>
      <c r="I1404" s="2" t="s">
        <v>212</v>
      </c>
      <c r="J1404" s="3" t="s">
        <v>11</v>
      </c>
      <c r="K1404" s="38">
        <v>0.1232</v>
      </c>
      <c r="L1404" s="39">
        <v>558</v>
      </c>
    </row>
    <row r="1405" spans="1:12" ht="19.95" customHeight="1" x14ac:dyDescent="0.3">
      <c r="A1405" s="6" t="s">
        <v>4407</v>
      </c>
      <c r="B1405" s="7" t="s">
        <v>4408</v>
      </c>
      <c r="C1405" s="6" t="s">
        <v>4861</v>
      </c>
      <c r="D1405" s="7" t="s">
        <v>4904</v>
      </c>
      <c r="E1405" s="6" t="s">
        <v>4905</v>
      </c>
      <c r="F1405" s="7" t="s">
        <v>4906</v>
      </c>
      <c r="G1405" s="7" t="s">
        <v>4367</v>
      </c>
      <c r="H1405" s="5" t="s">
        <v>194</v>
      </c>
      <c r="I1405" s="6" t="s">
        <v>196</v>
      </c>
      <c r="J1405" s="7" t="s">
        <v>11</v>
      </c>
      <c r="K1405" s="36">
        <v>0.1232</v>
      </c>
      <c r="L1405" s="37">
        <v>617</v>
      </c>
    </row>
    <row r="1406" spans="1:12" ht="19.95" customHeight="1" x14ac:dyDescent="0.3">
      <c r="A1406" s="2" t="s">
        <v>4407</v>
      </c>
      <c r="B1406" s="3" t="s">
        <v>4408</v>
      </c>
      <c r="C1406" s="2" t="s">
        <v>4861</v>
      </c>
      <c r="D1406" s="3" t="s">
        <v>4904</v>
      </c>
      <c r="E1406" s="2" t="s">
        <v>4905</v>
      </c>
      <c r="F1406" s="3" t="s">
        <v>4906</v>
      </c>
      <c r="G1406" s="3" t="s">
        <v>4367</v>
      </c>
      <c r="H1406" s="1" t="s">
        <v>197</v>
      </c>
      <c r="I1406" s="2" t="s">
        <v>198</v>
      </c>
      <c r="J1406" s="3" t="s">
        <v>11</v>
      </c>
      <c r="K1406" s="38">
        <v>0.1232</v>
      </c>
      <c r="L1406" s="39">
        <v>617</v>
      </c>
    </row>
    <row r="1407" spans="1:12" ht="19.95" customHeight="1" x14ac:dyDescent="0.3">
      <c r="A1407" s="6" t="s">
        <v>4407</v>
      </c>
      <c r="B1407" s="7" t="s">
        <v>4408</v>
      </c>
      <c r="C1407" s="6" t="s">
        <v>4861</v>
      </c>
      <c r="D1407" s="7" t="s">
        <v>4904</v>
      </c>
      <c r="E1407" s="6" t="s">
        <v>4905</v>
      </c>
      <c r="F1407" s="7" t="s">
        <v>4906</v>
      </c>
      <c r="G1407" s="7" t="s">
        <v>4367</v>
      </c>
      <c r="H1407" s="5" t="s">
        <v>227</v>
      </c>
      <c r="I1407" s="6" t="s">
        <v>228</v>
      </c>
      <c r="J1407" s="7" t="s">
        <v>11</v>
      </c>
      <c r="K1407" s="36">
        <v>0.95</v>
      </c>
      <c r="L1407" s="37">
        <v>738</v>
      </c>
    </row>
    <row r="1408" spans="1:12" ht="19.95" customHeight="1" x14ac:dyDescent="0.3">
      <c r="A1408" s="2" t="s">
        <v>4407</v>
      </c>
      <c r="B1408" s="3" t="s">
        <v>4408</v>
      </c>
      <c r="C1408" s="2" t="s">
        <v>4861</v>
      </c>
      <c r="D1408" s="3" t="s">
        <v>4907</v>
      </c>
      <c r="E1408" s="2" t="s">
        <v>4908</v>
      </c>
      <c r="F1408" s="3" t="s">
        <v>4909</v>
      </c>
      <c r="G1408" s="3" t="s">
        <v>4367</v>
      </c>
      <c r="H1408" s="1" t="s">
        <v>225</v>
      </c>
      <c r="I1408" s="2" t="s">
        <v>4410</v>
      </c>
      <c r="J1408" s="3" t="s">
        <v>11</v>
      </c>
      <c r="K1408" s="38">
        <v>7.0000000000000007E-2</v>
      </c>
      <c r="L1408" s="39">
        <v>679</v>
      </c>
    </row>
    <row r="1409" spans="1:12" ht="19.95" customHeight="1" x14ac:dyDescent="0.3">
      <c r="A1409" s="6" t="s">
        <v>4407</v>
      </c>
      <c r="B1409" s="7" t="s">
        <v>4408</v>
      </c>
      <c r="C1409" s="6" t="s">
        <v>4861</v>
      </c>
      <c r="D1409" s="7" t="s">
        <v>4907</v>
      </c>
      <c r="E1409" s="6" t="s">
        <v>4908</v>
      </c>
      <c r="F1409" s="7" t="s">
        <v>4909</v>
      </c>
      <c r="G1409" s="7" t="s">
        <v>4367</v>
      </c>
      <c r="H1409" s="5" t="s">
        <v>209</v>
      </c>
      <c r="I1409" s="6" t="s">
        <v>210</v>
      </c>
      <c r="J1409" s="7" t="s">
        <v>11</v>
      </c>
      <c r="K1409" s="36">
        <v>7.0000000000000007E-2</v>
      </c>
      <c r="L1409" s="37">
        <v>558</v>
      </c>
    </row>
    <row r="1410" spans="1:12" ht="19.95" customHeight="1" x14ac:dyDescent="0.3">
      <c r="A1410" s="2" t="s">
        <v>4407</v>
      </c>
      <c r="B1410" s="3" t="s">
        <v>4408</v>
      </c>
      <c r="C1410" s="2" t="s">
        <v>4861</v>
      </c>
      <c r="D1410" s="3" t="s">
        <v>4910</v>
      </c>
      <c r="E1410" s="2" t="s">
        <v>4911</v>
      </c>
      <c r="F1410" s="3" t="s">
        <v>4912</v>
      </c>
      <c r="G1410" s="3" t="s">
        <v>4367</v>
      </c>
      <c r="H1410" s="1" t="s">
        <v>225</v>
      </c>
      <c r="I1410" s="2" t="s">
        <v>4410</v>
      </c>
      <c r="J1410" s="3" t="s">
        <v>11</v>
      </c>
      <c r="K1410" s="38">
        <v>7.0000000000000007E-2</v>
      </c>
      <c r="L1410" s="39">
        <v>679</v>
      </c>
    </row>
    <row r="1411" spans="1:12" ht="19.95" customHeight="1" x14ac:dyDescent="0.3">
      <c r="A1411" s="6" t="s">
        <v>4407</v>
      </c>
      <c r="B1411" s="7" t="s">
        <v>4408</v>
      </c>
      <c r="C1411" s="6" t="s">
        <v>4861</v>
      </c>
      <c r="D1411" s="7" t="s">
        <v>4910</v>
      </c>
      <c r="E1411" s="6" t="s">
        <v>4911</v>
      </c>
      <c r="F1411" s="7" t="s">
        <v>4912</v>
      </c>
      <c r="G1411" s="7" t="s">
        <v>4367</v>
      </c>
      <c r="H1411" s="5" t="s">
        <v>209</v>
      </c>
      <c r="I1411" s="6" t="s">
        <v>210</v>
      </c>
      <c r="J1411" s="7" t="s">
        <v>11</v>
      </c>
      <c r="K1411" s="36">
        <v>7.0000000000000007E-2</v>
      </c>
      <c r="L1411" s="37">
        <v>558</v>
      </c>
    </row>
    <row r="1412" spans="1:12" ht="19.95" customHeight="1" x14ac:dyDescent="0.3">
      <c r="A1412" s="2" t="s">
        <v>4407</v>
      </c>
      <c r="B1412" s="3" t="s">
        <v>4408</v>
      </c>
      <c r="C1412" s="2" t="s">
        <v>4861</v>
      </c>
      <c r="D1412" s="3" t="s">
        <v>4913</v>
      </c>
      <c r="E1412" s="2" t="s">
        <v>4914</v>
      </c>
      <c r="F1412" s="3" t="s">
        <v>4413</v>
      </c>
      <c r="G1412" s="3" t="s">
        <v>4367</v>
      </c>
      <c r="H1412" s="1" t="s">
        <v>225</v>
      </c>
      <c r="I1412" s="2" t="s">
        <v>4410</v>
      </c>
      <c r="J1412" s="3" t="s">
        <v>11</v>
      </c>
      <c r="K1412" s="38">
        <v>7.62</v>
      </c>
      <c r="L1412" s="39">
        <v>679</v>
      </c>
    </row>
    <row r="1413" spans="1:12" ht="19.95" customHeight="1" x14ac:dyDescent="0.3">
      <c r="A1413" s="6" t="s">
        <v>4407</v>
      </c>
      <c r="B1413" s="7" t="s">
        <v>4408</v>
      </c>
      <c r="C1413" s="6" t="s">
        <v>4861</v>
      </c>
      <c r="D1413" s="7" t="s">
        <v>4913</v>
      </c>
      <c r="E1413" s="6" t="s">
        <v>4914</v>
      </c>
      <c r="F1413" s="7" t="s">
        <v>4413</v>
      </c>
      <c r="G1413" s="7" t="s">
        <v>4367</v>
      </c>
      <c r="H1413" s="5" t="s">
        <v>209</v>
      </c>
      <c r="I1413" s="6" t="s">
        <v>210</v>
      </c>
      <c r="J1413" s="7" t="s">
        <v>11</v>
      </c>
      <c r="K1413" s="36">
        <v>5.07</v>
      </c>
      <c r="L1413" s="37">
        <v>558</v>
      </c>
    </row>
    <row r="1414" spans="1:12" ht="19.95" customHeight="1" x14ac:dyDescent="0.3">
      <c r="A1414" s="2" t="s">
        <v>4407</v>
      </c>
      <c r="B1414" s="3" t="s">
        <v>4408</v>
      </c>
      <c r="C1414" s="2" t="s">
        <v>4861</v>
      </c>
      <c r="D1414" s="3" t="s">
        <v>4915</v>
      </c>
      <c r="E1414" s="2" t="s">
        <v>4916</v>
      </c>
      <c r="F1414" s="3" t="s">
        <v>4413</v>
      </c>
      <c r="G1414" s="3" t="s">
        <v>4367</v>
      </c>
      <c r="H1414" s="1" t="s">
        <v>225</v>
      </c>
      <c r="I1414" s="2" t="s">
        <v>4410</v>
      </c>
      <c r="J1414" s="3" t="s">
        <v>11</v>
      </c>
      <c r="K1414" s="38">
        <v>7.62</v>
      </c>
      <c r="L1414" s="39">
        <v>679</v>
      </c>
    </row>
    <row r="1415" spans="1:12" ht="19.95" customHeight="1" x14ac:dyDescent="0.3">
      <c r="A1415" s="6" t="s">
        <v>4407</v>
      </c>
      <c r="B1415" s="7" t="s">
        <v>4408</v>
      </c>
      <c r="C1415" s="6" t="s">
        <v>4861</v>
      </c>
      <c r="D1415" s="7" t="s">
        <v>4915</v>
      </c>
      <c r="E1415" s="6" t="s">
        <v>4916</v>
      </c>
      <c r="F1415" s="7" t="s">
        <v>4413</v>
      </c>
      <c r="G1415" s="7" t="s">
        <v>4367</v>
      </c>
      <c r="H1415" s="5" t="s">
        <v>209</v>
      </c>
      <c r="I1415" s="6" t="s">
        <v>210</v>
      </c>
      <c r="J1415" s="7" t="s">
        <v>11</v>
      </c>
      <c r="K1415" s="36">
        <v>5.07</v>
      </c>
      <c r="L1415" s="37">
        <v>558</v>
      </c>
    </row>
    <row r="1416" spans="1:12" ht="19.95" customHeight="1" x14ac:dyDescent="0.3">
      <c r="A1416" s="2" t="s">
        <v>4407</v>
      </c>
      <c r="B1416" s="3" t="s">
        <v>4408</v>
      </c>
      <c r="C1416" s="2" t="s">
        <v>4861</v>
      </c>
      <c r="D1416" s="3" t="s">
        <v>4917</v>
      </c>
      <c r="E1416" s="2" t="s">
        <v>4918</v>
      </c>
      <c r="F1416" s="3" t="s">
        <v>4401</v>
      </c>
      <c r="G1416" s="3" t="s">
        <v>4369</v>
      </c>
      <c r="H1416" s="1" t="s">
        <v>31</v>
      </c>
      <c r="I1416" s="2" t="s">
        <v>4394</v>
      </c>
      <c r="J1416" s="3" t="s">
        <v>11</v>
      </c>
      <c r="K1416" s="38">
        <v>0.375</v>
      </c>
      <c r="L1416" s="39">
        <v>700</v>
      </c>
    </row>
    <row r="1417" spans="1:12" ht="19.95" customHeight="1" x14ac:dyDescent="0.3">
      <c r="A1417" s="6" t="s">
        <v>4407</v>
      </c>
      <c r="B1417" s="7" t="s">
        <v>4408</v>
      </c>
      <c r="C1417" s="6" t="s">
        <v>4861</v>
      </c>
      <c r="D1417" s="7" t="s">
        <v>4917</v>
      </c>
      <c r="E1417" s="6" t="s">
        <v>4918</v>
      </c>
      <c r="F1417" s="7" t="s">
        <v>4401</v>
      </c>
      <c r="G1417" s="7" t="s">
        <v>4367</v>
      </c>
      <c r="H1417" s="5" t="s">
        <v>209</v>
      </c>
      <c r="I1417" s="6" t="s">
        <v>210</v>
      </c>
      <c r="J1417" s="7" t="s">
        <v>11</v>
      </c>
      <c r="K1417" s="36">
        <v>4</v>
      </c>
      <c r="L1417" s="37">
        <v>558</v>
      </c>
    </row>
    <row r="1418" spans="1:12" ht="19.95" customHeight="1" x14ac:dyDescent="0.3">
      <c r="A1418" s="2" t="s">
        <v>4407</v>
      </c>
      <c r="B1418" s="3" t="s">
        <v>4408</v>
      </c>
      <c r="C1418" s="2" t="s">
        <v>4861</v>
      </c>
      <c r="D1418" s="3" t="s">
        <v>4919</v>
      </c>
      <c r="E1418" s="2" t="s">
        <v>4920</v>
      </c>
      <c r="F1418" s="3" t="s">
        <v>4384</v>
      </c>
      <c r="G1418" s="3" t="s">
        <v>4367</v>
      </c>
      <c r="H1418" s="1" t="s">
        <v>221</v>
      </c>
      <c r="I1418" s="2" t="s">
        <v>222</v>
      </c>
      <c r="J1418" s="3" t="s">
        <v>11</v>
      </c>
      <c r="K1418" s="38">
        <v>0.02</v>
      </c>
      <c r="L1418" s="39">
        <v>738</v>
      </c>
    </row>
    <row r="1419" spans="1:12" ht="19.95" customHeight="1" x14ac:dyDescent="0.3">
      <c r="A1419" s="6" t="s">
        <v>4407</v>
      </c>
      <c r="B1419" s="7" t="s">
        <v>4408</v>
      </c>
      <c r="C1419" s="6" t="s">
        <v>4861</v>
      </c>
      <c r="D1419" s="7" t="s">
        <v>4919</v>
      </c>
      <c r="E1419" s="6" t="s">
        <v>4920</v>
      </c>
      <c r="F1419" s="7" t="s">
        <v>4384</v>
      </c>
      <c r="G1419" s="7" t="s">
        <v>4367</v>
      </c>
      <c r="H1419" s="5" t="s">
        <v>223</v>
      </c>
      <c r="I1419" s="6" t="s">
        <v>224</v>
      </c>
      <c r="J1419" s="7" t="s">
        <v>11</v>
      </c>
      <c r="K1419" s="36">
        <v>0.02</v>
      </c>
      <c r="L1419" s="37">
        <v>679</v>
      </c>
    </row>
    <row r="1420" spans="1:12" ht="19.95" customHeight="1" x14ac:dyDescent="0.3">
      <c r="A1420" s="2" t="s">
        <v>4407</v>
      </c>
      <c r="B1420" s="3" t="s">
        <v>4408</v>
      </c>
      <c r="C1420" s="2" t="s">
        <v>4861</v>
      </c>
      <c r="D1420" s="3" t="s">
        <v>4919</v>
      </c>
      <c r="E1420" s="2" t="s">
        <v>4920</v>
      </c>
      <c r="F1420" s="3" t="s">
        <v>4384</v>
      </c>
      <c r="G1420" s="3" t="s">
        <v>4367</v>
      </c>
      <c r="H1420" s="1" t="s">
        <v>209</v>
      </c>
      <c r="I1420" s="2" t="s">
        <v>210</v>
      </c>
      <c r="J1420" s="3" t="s">
        <v>11</v>
      </c>
      <c r="K1420" s="38">
        <v>0.25</v>
      </c>
      <c r="L1420" s="39">
        <v>558</v>
      </c>
    </row>
    <row r="1421" spans="1:12" ht="19.95" customHeight="1" x14ac:dyDescent="0.3">
      <c r="A1421" s="6" t="s">
        <v>4407</v>
      </c>
      <c r="B1421" s="7" t="s">
        <v>4408</v>
      </c>
      <c r="C1421" s="6" t="s">
        <v>4861</v>
      </c>
      <c r="D1421" s="7" t="s">
        <v>4919</v>
      </c>
      <c r="E1421" s="6" t="s">
        <v>4920</v>
      </c>
      <c r="F1421" s="7" t="s">
        <v>4384</v>
      </c>
      <c r="G1421" s="7" t="s">
        <v>4367</v>
      </c>
      <c r="H1421" s="5" t="s">
        <v>211</v>
      </c>
      <c r="I1421" s="6" t="s">
        <v>212</v>
      </c>
      <c r="J1421" s="7" t="s">
        <v>11</v>
      </c>
      <c r="K1421" s="36">
        <v>0.15</v>
      </c>
      <c r="L1421" s="37">
        <v>558</v>
      </c>
    </row>
    <row r="1422" spans="1:12" ht="19.95" customHeight="1" x14ac:dyDescent="0.3">
      <c r="A1422" s="2" t="s">
        <v>4407</v>
      </c>
      <c r="B1422" s="3" t="s">
        <v>4408</v>
      </c>
      <c r="C1422" s="2" t="s">
        <v>4861</v>
      </c>
      <c r="D1422" s="3" t="s">
        <v>4921</v>
      </c>
      <c r="E1422" s="2" t="s">
        <v>4866</v>
      </c>
      <c r="F1422" s="3" t="s">
        <v>4384</v>
      </c>
      <c r="G1422" s="3" t="s">
        <v>4367</v>
      </c>
      <c r="H1422" s="1" t="s">
        <v>225</v>
      </c>
      <c r="I1422" s="2" t="s">
        <v>4410</v>
      </c>
      <c r="J1422" s="3" t="s">
        <v>11</v>
      </c>
      <c r="K1422" s="38">
        <v>0.57999999999999996</v>
      </c>
      <c r="L1422" s="39">
        <v>679</v>
      </c>
    </row>
    <row r="1423" spans="1:12" ht="19.95" customHeight="1" x14ac:dyDescent="0.3">
      <c r="A1423" s="6" t="s">
        <v>4407</v>
      </c>
      <c r="B1423" s="7" t="s">
        <v>4408</v>
      </c>
      <c r="C1423" s="6" t="s">
        <v>4861</v>
      </c>
      <c r="D1423" s="7" t="s">
        <v>4921</v>
      </c>
      <c r="E1423" s="6" t="s">
        <v>4866</v>
      </c>
      <c r="F1423" s="7" t="s">
        <v>4384</v>
      </c>
      <c r="G1423" s="7" t="s">
        <v>4367</v>
      </c>
      <c r="H1423" s="5" t="s">
        <v>211</v>
      </c>
      <c r="I1423" s="6" t="s">
        <v>212</v>
      </c>
      <c r="J1423" s="7" t="s">
        <v>11</v>
      </c>
      <c r="K1423" s="36">
        <v>0.27</v>
      </c>
      <c r="L1423" s="37">
        <v>558</v>
      </c>
    </row>
    <row r="1424" spans="1:12" ht="19.95" customHeight="1" x14ac:dyDescent="0.3">
      <c r="A1424" s="2" t="s">
        <v>4407</v>
      </c>
      <c r="B1424" s="3" t="s">
        <v>4408</v>
      </c>
      <c r="C1424" s="2" t="s">
        <v>4861</v>
      </c>
      <c r="D1424" s="3" t="s">
        <v>4922</v>
      </c>
      <c r="E1424" s="2" t="s">
        <v>4868</v>
      </c>
      <c r="F1424" s="3" t="s">
        <v>4384</v>
      </c>
      <c r="G1424" s="3" t="s">
        <v>4367</v>
      </c>
      <c r="H1424" s="1" t="s">
        <v>225</v>
      </c>
      <c r="I1424" s="2" t="s">
        <v>4410</v>
      </c>
      <c r="J1424" s="3" t="s">
        <v>11</v>
      </c>
      <c r="K1424" s="38">
        <v>1.42</v>
      </c>
      <c r="L1424" s="39">
        <v>679</v>
      </c>
    </row>
    <row r="1425" spans="1:12" ht="19.95" customHeight="1" x14ac:dyDescent="0.3">
      <c r="A1425" s="6" t="s">
        <v>4407</v>
      </c>
      <c r="B1425" s="7" t="s">
        <v>4408</v>
      </c>
      <c r="C1425" s="6" t="s">
        <v>4861</v>
      </c>
      <c r="D1425" s="7" t="s">
        <v>4922</v>
      </c>
      <c r="E1425" s="6" t="s">
        <v>4868</v>
      </c>
      <c r="F1425" s="7" t="s">
        <v>4384</v>
      </c>
      <c r="G1425" s="7" t="s">
        <v>4367</v>
      </c>
      <c r="H1425" s="5" t="s">
        <v>211</v>
      </c>
      <c r="I1425" s="6" t="s">
        <v>212</v>
      </c>
      <c r="J1425" s="7" t="s">
        <v>11</v>
      </c>
      <c r="K1425" s="36">
        <v>0.35</v>
      </c>
      <c r="L1425" s="37">
        <v>558</v>
      </c>
    </row>
    <row r="1426" spans="1:12" ht="19.95" customHeight="1" x14ac:dyDescent="0.3">
      <c r="A1426" s="2" t="s">
        <v>4407</v>
      </c>
      <c r="B1426" s="3" t="s">
        <v>4408</v>
      </c>
      <c r="C1426" s="2" t="s">
        <v>4861</v>
      </c>
      <c r="D1426" s="3" t="s">
        <v>4923</v>
      </c>
      <c r="E1426" s="2" t="s">
        <v>4924</v>
      </c>
      <c r="F1426" s="3" t="s">
        <v>4384</v>
      </c>
      <c r="G1426" s="3" t="s">
        <v>4367</v>
      </c>
      <c r="H1426" s="1" t="s">
        <v>225</v>
      </c>
      <c r="I1426" s="2" t="s">
        <v>4410</v>
      </c>
      <c r="J1426" s="3" t="s">
        <v>11</v>
      </c>
      <c r="K1426" s="38">
        <v>0.27</v>
      </c>
      <c r="L1426" s="39">
        <v>679</v>
      </c>
    </row>
    <row r="1427" spans="1:12" ht="19.95" customHeight="1" x14ac:dyDescent="0.3">
      <c r="A1427" s="6" t="s">
        <v>4407</v>
      </c>
      <c r="B1427" s="7" t="s">
        <v>4408</v>
      </c>
      <c r="C1427" s="6" t="s">
        <v>4861</v>
      </c>
      <c r="D1427" s="7" t="s">
        <v>4923</v>
      </c>
      <c r="E1427" s="6" t="s">
        <v>4924</v>
      </c>
      <c r="F1427" s="7" t="s">
        <v>4384</v>
      </c>
      <c r="G1427" s="7" t="s">
        <v>4367</v>
      </c>
      <c r="H1427" s="5" t="s">
        <v>211</v>
      </c>
      <c r="I1427" s="6" t="s">
        <v>212</v>
      </c>
      <c r="J1427" s="7" t="s">
        <v>11</v>
      </c>
      <c r="K1427" s="36">
        <v>0.53</v>
      </c>
      <c r="L1427" s="37">
        <v>558</v>
      </c>
    </row>
    <row r="1428" spans="1:12" ht="19.95" customHeight="1" x14ac:dyDescent="0.3">
      <c r="A1428" s="2" t="s">
        <v>4411</v>
      </c>
      <c r="B1428" s="3" t="s">
        <v>4412</v>
      </c>
      <c r="C1428" s="2" t="s">
        <v>4925</v>
      </c>
      <c r="D1428" s="3" t="s">
        <v>4926</v>
      </c>
      <c r="E1428" s="2" t="s">
        <v>4927</v>
      </c>
      <c r="F1428" s="3" t="s">
        <v>4368</v>
      </c>
      <c r="G1428" s="3" t="s">
        <v>4367</v>
      </c>
      <c r="H1428" s="1" t="s">
        <v>203</v>
      </c>
      <c r="I1428" s="2" t="s">
        <v>204</v>
      </c>
      <c r="J1428" s="3" t="s">
        <v>11</v>
      </c>
      <c r="K1428" s="38">
        <v>2.15</v>
      </c>
      <c r="L1428" s="39">
        <v>738</v>
      </c>
    </row>
    <row r="1429" spans="1:12" ht="19.95" customHeight="1" x14ac:dyDescent="0.3">
      <c r="A1429" s="6" t="s">
        <v>4411</v>
      </c>
      <c r="B1429" s="7" t="s">
        <v>4412</v>
      </c>
      <c r="C1429" s="6" t="s">
        <v>4925</v>
      </c>
      <c r="D1429" s="7" t="s">
        <v>4926</v>
      </c>
      <c r="E1429" s="6" t="s">
        <v>4927</v>
      </c>
      <c r="F1429" s="7" t="s">
        <v>4368</v>
      </c>
      <c r="G1429" s="7" t="s">
        <v>4367</v>
      </c>
      <c r="H1429" s="5" t="s">
        <v>209</v>
      </c>
      <c r="I1429" s="6" t="s">
        <v>210</v>
      </c>
      <c r="J1429" s="7" t="s">
        <v>11</v>
      </c>
      <c r="K1429" s="36">
        <v>1.62</v>
      </c>
      <c r="L1429" s="37">
        <v>558</v>
      </c>
    </row>
    <row r="1430" spans="1:12" ht="19.95" customHeight="1" x14ac:dyDescent="0.3">
      <c r="A1430" s="2" t="s">
        <v>4411</v>
      </c>
      <c r="B1430" s="3" t="s">
        <v>4412</v>
      </c>
      <c r="C1430" s="2" t="s">
        <v>4925</v>
      </c>
      <c r="D1430" s="3" t="s">
        <v>4926</v>
      </c>
      <c r="E1430" s="2" t="s">
        <v>4927</v>
      </c>
      <c r="F1430" s="3" t="s">
        <v>4368</v>
      </c>
      <c r="G1430" s="3" t="s">
        <v>4367</v>
      </c>
      <c r="H1430" s="1" t="s">
        <v>203</v>
      </c>
      <c r="I1430" s="2" t="s">
        <v>204</v>
      </c>
      <c r="J1430" s="3" t="s">
        <v>11</v>
      </c>
      <c r="K1430" s="38">
        <v>2.15</v>
      </c>
      <c r="L1430" s="39">
        <v>738</v>
      </c>
    </row>
    <row r="1431" spans="1:12" ht="19.95" customHeight="1" x14ac:dyDescent="0.3">
      <c r="A1431" s="6" t="s">
        <v>4411</v>
      </c>
      <c r="B1431" s="7" t="s">
        <v>4412</v>
      </c>
      <c r="C1431" s="6" t="s">
        <v>4925</v>
      </c>
      <c r="D1431" s="7" t="s">
        <v>4926</v>
      </c>
      <c r="E1431" s="6" t="s">
        <v>4927</v>
      </c>
      <c r="F1431" s="7" t="s">
        <v>4368</v>
      </c>
      <c r="G1431" s="7" t="s">
        <v>4367</v>
      </c>
      <c r="H1431" s="5" t="s">
        <v>209</v>
      </c>
      <c r="I1431" s="6" t="s">
        <v>210</v>
      </c>
      <c r="J1431" s="7" t="s">
        <v>11</v>
      </c>
      <c r="K1431" s="36">
        <v>1.62</v>
      </c>
      <c r="L1431" s="37">
        <v>558</v>
      </c>
    </row>
    <row r="1432" spans="1:12" ht="19.95" customHeight="1" x14ac:dyDescent="0.3">
      <c r="A1432" s="2" t="s">
        <v>4411</v>
      </c>
      <c r="B1432" s="3" t="s">
        <v>4412</v>
      </c>
      <c r="C1432" s="2" t="s">
        <v>4925</v>
      </c>
      <c r="D1432" s="3" t="s">
        <v>4926</v>
      </c>
      <c r="E1432" s="2" t="s">
        <v>4927</v>
      </c>
      <c r="F1432" s="3" t="s">
        <v>4368</v>
      </c>
      <c r="G1432" s="3" t="s">
        <v>4367</v>
      </c>
      <c r="H1432" s="1" t="s">
        <v>203</v>
      </c>
      <c r="I1432" s="2" t="s">
        <v>204</v>
      </c>
      <c r="J1432" s="3" t="s">
        <v>11</v>
      </c>
      <c r="K1432" s="38">
        <v>1.08</v>
      </c>
      <c r="L1432" s="39">
        <v>738</v>
      </c>
    </row>
    <row r="1433" spans="1:12" ht="19.95" customHeight="1" x14ac:dyDescent="0.3">
      <c r="A1433" s="6" t="s">
        <v>4411</v>
      </c>
      <c r="B1433" s="7" t="s">
        <v>4412</v>
      </c>
      <c r="C1433" s="6" t="s">
        <v>4925</v>
      </c>
      <c r="D1433" s="7" t="s">
        <v>4926</v>
      </c>
      <c r="E1433" s="6" t="s">
        <v>4927</v>
      </c>
      <c r="F1433" s="7" t="s">
        <v>4368</v>
      </c>
      <c r="G1433" s="7" t="s">
        <v>4367</v>
      </c>
      <c r="H1433" s="5" t="s">
        <v>205</v>
      </c>
      <c r="I1433" s="6" t="s">
        <v>206</v>
      </c>
      <c r="J1433" s="7" t="s">
        <v>11</v>
      </c>
      <c r="K1433" s="36">
        <v>0.8</v>
      </c>
      <c r="L1433" s="37">
        <v>679</v>
      </c>
    </row>
    <row r="1434" spans="1:12" ht="19.95" customHeight="1" x14ac:dyDescent="0.3">
      <c r="A1434" s="2" t="s">
        <v>4411</v>
      </c>
      <c r="B1434" s="3" t="s">
        <v>4412</v>
      </c>
      <c r="C1434" s="2" t="s">
        <v>4925</v>
      </c>
      <c r="D1434" s="3" t="s">
        <v>4926</v>
      </c>
      <c r="E1434" s="2" t="s">
        <v>4927</v>
      </c>
      <c r="F1434" s="3" t="s">
        <v>4368</v>
      </c>
      <c r="G1434" s="3" t="s">
        <v>4367</v>
      </c>
      <c r="H1434" s="1" t="s">
        <v>209</v>
      </c>
      <c r="I1434" s="2" t="s">
        <v>210</v>
      </c>
      <c r="J1434" s="3" t="s">
        <v>11</v>
      </c>
      <c r="K1434" s="38">
        <v>1.08</v>
      </c>
      <c r="L1434" s="39">
        <v>558</v>
      </c>
    </row>
    <row r="1435" spans="1:12" ht="19.95" customHeight="1" x14ac:dyDescent="0.3">
      <c r="A1435" s="6" t="s">
        <v>4411</v>
      </c>
      <c r="B1435" s="7" t="s">
        <v>4412</v>
      </c>
      <c r="C1435" s="6" t="s">
        <v>4925</v>
      </c>
      <c r="D1435" s="7" t="s">
        <v>4926</v>
      </c>
      <c r="E1435" s="6" t="s">
        <v>4927</v>
      </c>
      <c r="F1435" s="7" t="s">
        <v>4368</v>
      </c>
      <c r="G1435" s="7" t="s">
        <v>4367</v>
      </c>
      <c r="H1435" s="5" t="s">
        <v>205</v>
      </c>
      <c r="I1435" s="6" t="s">
        <v>206</v>
      </c>
      <c r="J1435" s="7" t="s">
        <v>11</v>
      </c>
      <c r="K1435" s="36">
        <v>1.28</v>
      </c>
      <c r="L1435" s="37">
        <v>679</v>
      </c>
    </row>
    <row r="1436" spans="1:12" ht="19.95" customHeight="1" x14ac:dyDescent="0.3">
      <c r="A1436" s="2" t="s">
        <v>4411</v>
      </c>
      <c r="B1436" s="3" t="s">
        <v>4412</v>
      </c>
      <c r="C1436" s="2" t="s">
        <v>4925</v>
      </c>
      <c r="D1436" s="3" t="s">
        <v>4926</v>
      </c>
      <c r="E1436" s="2" t="s">
        <v>4927</v>
      </c>
      <c r="F1436" s="3" t="s">
        <v>4368</v>
      </c>
      <c r="G1436" s="3" t="s">
        <v>4367</v>
      </c>
      <c r="H1436" s="1" t="s">
        <v>209</v>
      </c>
      <c r="I1436" s="2" t="s">
        <v>210</v>
      </c>
      <c r="J1436" s="3" t="s">
        <v>11</v>
      </c>
      <c r="K1436" s="38">
        <v>1.43</v>
      </c>
      <c r="L1436" s="39">
        <v>558</v>
      </c>
    </row>
    <row r="1437" spans="1:12" ht="19.95" customHeight="1" x14ac:dyDescent="0.3">
      <c r="A1437" s="6" t="s">
        <v>4411</v>
      </c>
      <c r="B1437" s="7" t="s">
        <v>4412</v>
      </c>
      <c r="C1437" s="6" t="s">
        <v>4925</v>
      </c>
      <c r="D1437" s="7" t="s">
        <v>4926</v>
      </c>
      <c r="E1437" s="6" t="s">
        <v>4927</v>
      </c>
      <c r="F1437" s="7" t="s">
        <v>4368</v>
      </c>
      <c r="G1437" s="7" t="s">
        <v>4367</v>
      </c>
      <c r="H1437" s="5" t="s">
        <v>205</v>
      </c>
      <c r="I1437" s="6" t="s">
        <v>206</v>
      </c>
      <c r="J1437" s="7" t="s">
        <v>11</v>
      </c>
      <c r="K1437" s="36">
        <v>1.28</v>
      </c>
      <c r="L1437" s="37">
        <v>679</v>
      </c>
    </row>
    <row r="1438" spans="1:12" ht="19.95" customHeight="1" x14ac:dyDescent="0.3">
      <c r="A1438" s="2" t="s">
        <v>4411</v>
      </c>
      <c r="B1438" s="3" t="s">
        <v>4412</v>
      </c>
      <c r="C1438" s="2" t="s">
        <v>4925</v>
      </c>
      <c r="D1438" s="3" t="s">
        <v>4926</v>
      </c>
      <c r="E1438" s="2" t="s">
        <v>4927</v>
      </c>
      <c r="F1438" s="3" t="s">
        <v>4368</v>
      </c>
      <c r="G1438" s="3" t="s">
        <v>4367</v>
      </c>
      <c r="H1438" s="1" t="s">
        <v>209</v>
      </c>
      <c r="I1438" s="2" t="s">
        <v>210</v>
      </c>
      <c r="J1438" s="3" t="s">
        <v>11</v>
      </c>
      <c r="K1438" s="38">
        <v>1.43</v>
      </c>
      <c r="L1438" s="39">
        <v>558</v>
      </c>
    </row>
    <row r="1439" spans="1:12" ht="19.95" customHeight="1" x14ac:dyDescent="0.3">
      <c r="A1439" s="6" t="s">
        <v>4411</v>
      </c>
      <c r="B1439" s="7" t="s">
        <v>4412</v>
      </c>
      <c r="C1439" s="6" t="s">
        <v>4925</v>
      </c>
      <c r="D1439" s="7" t="s">
        <v>4926</v>
      </c>
      <c r="E1439" s="6" t="s">
        <v>4927</v>
      </c>
      <c r="F1439" s="7" t="s">
        <v>4368</v>
      </c>
      <c r="G1439" s="7" t="s">
        <v>4367</v>
      </c>
      <c r="H1439" s="5" t="s">
        <v>205</v>
      </c>
      <c r="I1439" s="6" t="s">
        <v>206</v>
      </c>
      <c r="J1439" s="7" t="s">
        <v>11</v>
      </c>
      <c r="K1439" s="36">
        <v>1.28</v>
      </c>
      <c r="L1439" s="37">
        <v>679</v>
      </c>
    </row>
    <row r="1440" spans="1:12" ht="19.95" customHeight="1" x14ac:dyDescent="0.3">
      <c r="A1440" s="2" t="s">
        <v>4411</v>
      </c>
      <c r="B1440" s="3" t="s">
        <v>4412</v>
      </c>
      <c r="C1440" s="2" t="s">
        <v>4925</v>
      </c>
      <c r="D1440" s="3" t="s">
        <v>4926</v>
      </c>
      <c r="E1440" s="2" t="s">
        <v>4927</v>
      </c>
      <c r="F1440" s="3" t="s">
        <v>4368</v>
      </c>
      <c r="G1440" s="3" t="s">
        <v>4367</v>
      </c>
      <c r="H1440" s="1" t="s">
        <v>209</v>
      </c>
      <c r="I1440" s="2" t="s">
        <v>210</v>
      </c>
      <c r="J1440" s="3" t="s">
        <v>11</v>
      </c>
      <c r="K1440" s="38">
        <v>1.43</v>
      </c>
      <c r="L1440" s="39">
        <v>558</v>
      </c>
    </row>
    <row r="1441" spans="1:12" ht="19.95" customHeight="1" x14ac:dyDescent="0.3">
      <c r="A1441" s="6" t="s">
        <v>4411</v>
      </c>
      <c r="B1441" s="7" t="s">
        <v>4412</v>
      </c>
      <c r="C1441" s="6" t="s">
        <v>4925</v>
      </c>
      <c r="D1441" s="7" t="s">
        <v>4928</v>
      </c>
      <c r="E1441" s="6" t="s">
        <v>4929</v>
      </c>
      <c r="F1441" s="7" t="s">
        <v>4368</v>
      </c>
      <c r="G1441" s="7" t="s">
        <v>4367</v>
      </c>
      <c r="H1441" s="5" t="s">
        <v>227</v>
      </c>
      <c r="I1441" s="6" t="s">
        <v>228</v>
      </c>
      <c r="J1441" s="7" t="s">
        <v>11</v>
      </c>
      <c r="K1441" s="36">
        <v>0.25</v>
      </c>
      <c r="L1441" s="37">
        <v>738</v>
      </c>
    </row>
    <row r="1442" spans="1:12" ht="19.95" customHeight="1" x14ac:dyDescent="0.3">
      <c r="A1442" s="2" t="s">
        <v>4411</v>
      </c>
      <c r="B1442" s="3" t="s">
        <v>4412</v>
      </c>
      <c r="C1442" s="2" t="s">
        <v>4925</v>
      </c>
      <c r="D1442" s="3" t="s">
        <v>4928</v>
      </c>
      <c r="E1442" s="2" t="s">
        <v>4929</v>
      </c>
      <c r="F1442" s="3" t="s">
        <v>4368</v>
      </c>
      <c r="G1442" s="3" t="s">
        <v>4367</v>
      </c>
      <c r="H1442" s="1" t="s">
        <v>225</v>
      </c>
      <c r="I1442" s="2" t="s">
        <v>4410</v>
      </c>
      <c r="J1442" s="3" t="s">
        <v>11</v>
      </c>
      <c r="K1442" s="38">
        <v>0.25</v>
      </c>
      <c r="L1442" s="39">
        <v>679</v>
      </c>
    </row>
    <row r="1443" spans="1:12" ht="19.95" customHeight="1" x14ac:dyDescent="0.3">
      <c r="A1443" s="6" t="s">
        <v>4411</v>
      </c>
      <c r="B1443" s="7" t="s">
        <v>4412</v>
      </c>
      <c r="C1443" s="6" t="s">
        <v>4925</v>
      </c>
      <c r="D1443" s="7" t="s">
        <v>4928</v>
      </c>
      <c r="E1443" s="6" t="s">
        <v>4929</v>
      </c>
      <c r="F1443" s="7" t="s">
        <v>4368</v>
      </c>
      <c r="G1443" s="7" t="s">
        <v>4367</v>
      </c>
      <c r="H1443" s="5" t="s">
        <v>209</v>
      </c>
      <c r="I1443" s="6" t="s">
        <v>210</v>
      </c>
      <c r="J1443" s="7" t="s">
        <v>11</v>
      </c>
      <c r="K1443" s="36">
        <v>0.5</v>
      </c>
      <c r="L1443" s="37">
        <v>558</v>
      </c>
    </row>
    <row r="1444" spans="1:12" ht="19.95" customHeight="1" x14ac:dyDescent="0.3">
      <c r="A1444" s="2" t="s">
        <v>4411</v>
      </c>
      <c r="B1444" s="3" t="s">
        <v>4412</v>
      </c>
      <c r="C1444" s="2" t="s">
        <v>4925</v>
      </c>
      <c r="D1444" s="3" t="s">
        <v>4928</v>
      </c>
      <c r="E1444" s="2" t="s">
        <v>4929</v>
      </c>
      <c r="F1444" s="3" t="s">
        <v>4368</v>
      </c>
      <c r="G1444" s="3" t="s">
        <v>4367</v>
      </c>
      <c r="H1444" s="1" t="s">
        <v>197</v>
      </c>
      <c r="I1444" s="2" t="s">
        <v>198</v>
      </c>
      <c r="J1444" s="3" t="s">
        <v>11</v>
      </c>
      <c r="K1444" s="38">
        <v>0.03</v>
      </c>
      <c r="L1444" s="39">
        <v>617</v>
      </c>
    </row>
    <row r="1445" spans="1:12" ht="19.95" customHeight="1" x14ac:dyDescent="0.3">
      <c r="A1445" s="6" t="s">
        <v>4411</v>
      </c>
      <c r="B1445" s="7" t="s">
        <v>4412</v>
      </c>
      <c r="C1445" s="6" t="s">
        <v>4925</v>
      </c>
      <c r="D1445" s="7" t="s">
        <v>4585</v>
      </c>
      <c r="E1445" s="6" t="s">
        <v>4930</v>
      </c>
      <c r="F1445" s="7" t="s">
        <v>4368</v>
      </c>
      <c r="G1445" s="7" t="s">
        <v>4367</v>
      </c>
      <c r="H1445" s="5" t="s">
        <v>227</v>
      </c>
      <c r="I1445" s="6" t="s">
        <v>228</v>
      </c>
      <c r="J1445" s="7" t="s">
        <v>11</v>
      </c>
      <c r="K1445" s="36">
        <v>0.33500000000000002</v>
      </c>
      <c r="L1445" s="37">
        <v>738</v>
      </c>
    </row>
    <row r="1446" spans="1:12" ht="19.95" customHeight="1" x14ac:dyDescent="0.3">
      <c r="A1446" s="2" t="s">
        <v>4411</v>
      </c>
      <c r="B1446" s="3" t="s">
        <v>4412</v>
      </c>
      <c r="C1446" s="2" t="s">
        <v>4925</v>
      </c>
      <c r="D1446" s="3" t="s">
        <v>4585</v>
      </c>
      <c r="E1446" s="2" t="s">
        <v>4930</v>
      </c>
      <c r="F1446" s="3" t="s">
        <v>4368</v>
      </c>
      <c r="G1446" s="3" t="s">
        <v>4367</v>
      </c>
      <c r="H1446" s="1" t="s">
        <v>194</v>
      </c>
      <c r="I1446" s="2" t="s">
        <v>196</v>
      </c>
      <c r="J1446" s="3" t="s">
        <v>11</v>
      </c>
      <c r="K1446" s="38">
        <v>0.33500000000000002</v>
      </c>
      <c r="L1446" s="39">
        <v>617</v>
      </c>
    </row>
    <row r="1447" spans="1:12" ht="19.95" customHeight="1" x14ac:dyDescent="0.3">
      <c r="A1447" s="6" t="s">
        <v>4411</v>
      </c>
      <c r="B1447" s="7" t="s">
        <v>4412</v>
      </c>
      <c r="C1447" s="6" t="s">
        <v>4925</v>
      </c>
      <c r="D1447" s="7" t="s">
        <v>4585</v>
      </c>
      <c r="E1447" s="6" t="s">
        <v>4930</v>
      </c>
      <c r="F1447" s="7" t="s">
        <v>4368</v>
      </c>
      <c r="G1447" s="7" t="s">
        <v>4367</v>
      </c>
      <c r="H1447" s="5" t="s">
        <v>209</v>
      </c>
      <c r="I1447" s="6" t="s">
        <v>210</v>
      </c>
      <c r="J1447" s="7" t="s">
        <v>11</v>
      </c>
      <c r="K1447" s="36">
        <v>0.33500000000000002</v>
      </c>
      <c r="L1447" s="37">
        <v>558</v>
      </c>
    </row>
    <row r="1448" spans="1:12" ht="19.95" customHeight="1" x14ac:dyDescent="0.3">
      <c r="A1448" s="2" t="s">
        <v>4411</v>
      </c>
      <c r="B1448" s="3" t="s">
        <v>4412</v>
      </c>
      <c r="C1448" s="2" t="s">
        <v>4925</v>
      </c>
      <c r="D1448" s="3" t="s">
        <v>4585</v>
      </c>
      <c r="E1448" s="2" t="s">
        <v>4930</v>
      </c>
      <c r="F1448" s="3" t="s">
        <v>4368</v>
      </c>
      <c r="G1448" s="3" t="s">
        <v>4367</v>
      </c>
      <c r="H1448" s="1" t="s">
        <v>211</v>
      </c>
      <c r="I1448" s="2" t="s">
        <v>212</v>
      </c>
      <c r="J1448" s="3" t="s">
        <v>11</v>
      </c>
      <c r="K1448" s="38">
        <v>0.33500000000000002</v>
      </c>
      <c r="L1448" s="39">
        <v>558</v>
      </c>
    </row>
    <row r="1449" spans="1:12" ht="19.95" customHeight="1" x14ac:dyDescent="0.3">
      <c r="A1449" s="6" t="s">
        <v>4411</v>
      </c>
      <c r="B1449" s="7" t="s">
        <v>4412</v>
      </c>
      <c r="C1449" s="6" t="s">
        <v>4925</v>
      </c>
      <c r="D1449" s="7" t="s">
        <v>4585</v>
      </c>
      <c r="E1449" s="6" t="s">
        <v>4930</v>
      </c>
      <c r="F1449" s="7" t="s">
        <v>4368</v>
      </c>
      <c r="G1449" s="7" t="s">
        <v>4367</v>
      </c>
      <c r="H1449" s="5" t="s">
        <v>197</v>
      </c>
      <c r="I1449" s="6" t="s">
        <v>198</v>
      </c>
      <c r="J1449" s="7" t="s">
        <v>11</v>
      </c>
      <c r="K1449" s="36">
        <v>0.33500000000000002</v>
      </c>
      <c r="L1449" s="37">
        <v>617</v>
      </c>
    </row>
    <row r="1450" spans="1:12" ht="19.95" customHeight="1" x14ac:dyDescent="0.3">
      <c r="A1450" s="2" t="s">
        <v>4411</v>
      </c>
      <c r="B1450" s="3" t="s">
        <v>4412</v>
      </c>
      <c r="C1450" s="2" t="s">
        <v>4925</v>
      </c>
      <c r="D1450" s="3" t="s">
        <v>4585</v>
      </c>
      <c r="E1450" s="2" t="s">
        <v>4930</v>
      </c>
      <c r="F1450" s="3" t="s">
        <v>4368</v>
      </c>
      <c r="G1450" s="3" t="s">
        <v>4367</v>
      </c>
      <c r="H1450" s="1" t="s">
        <v>231</v>
      </c>
      <c r="I1450" s="2" t="s">
        <v>232</v>
      </c>
      <c r="J1450" s="3" t="s">
        <v>11</v>
      </c>
      <c r="K1450" s="38">
        <v>0.16500000000000001</v>
      </c>
      <c r="L1450" s="39">
        <v>617</v>
      </c>
    </row>
    <row r="1451" spans="1:12" ht="19.95" customHeight="1" x14ac:dyDescent="0.3">
      <c r="A1451" s="6" t="s">
        <v>4411</v>
      </c>
      <c r="B1451" s="7" t="s">
        <v>4412</v>
      </c>
      <c r="C1451" s="6" t="s">
        <v>4925</v>
      </c>
      <c r="D1451" s="7" t="s">
        <v>4585</v>
      </c>
      <c r="E1451" s="6" t="s">
        <v>4930</v>
      </c>
      <c r="F1451" s="7" t="s">
        <v>4368</v>
      </c>
      <c r="G1451" s="7" t="s">
        <v>4367</v>
      </c>
      <c r="H1451" s="5" t="s">
        <v>199</v>
      </c>
      <c r="I1451" s="6" t="s">
        <v>200</v>
      </c>
      <c r="J1451" s="7" t="s">
        <v>11</v>
      </c>
      <c r="K1451" s="36">
        <v>0.13500000000000001</v>
      </c>
      <c r="L1451" s="37">
        <v>738</v>
      </c>
    </row>
    <row r="1452" spans="1:12" ht="19.95" customHeight="1" x14ac:dyDescent="0.3">
      <c r="A1452" s="2" t="s">
        <v>4411</v>
      </c>
      <c r="B1452" s="3" t="s">
        <v>4412</v>
      </c>
      <c r="C1452" s="2" t="s">
        <v>4925</v>
      </c>
      <c r="D1452" s="3" t="s">
        <v>4585</v>
      </c>
      <c r="E1452" s="2" t="s">
        <v>4930</v>
      </c>
      <c r="F1452" s="3" t="s">
        <v>4368</v>
      </c>
      <c r="G1452" s="3" t="s">
        <v>4367</v>
      </c>
      <c r="H1452" s="1" t="s">
        <v>227</v>
      </c>
      <c r="I1452" s="2" t="s">
        <v>228</v>
      </c>
      <c r="J1452" s="3" t="s">
        <v>11</v>
      </c>
      <c r="K1452" s="38">
        <v>0.67</v>
      </c>
      <c r="L1452" s="39">
        <v>738</v>
      </c>
    </row>
    <row r="1453" spans="1:12" ht="19.95" customHeight="1" x14ac:dyDescent="0.3">
      <c r="A1453" s="6" t="s">
        <v>4411</v>
      </c>
      <c r="B1453" s="7" t="s">
        <v>4412</v>
      </c>
      <c r="C1453" s="6" t="s">
        <v>4925</v>
      </c>
      <c r="D1453" s="7" t="s">
        <v>4585</v>
      </c>
      <c r="E1453" s="6" t="s">
        <v>4930</v>
      </c>
      <c r="F1453" s="7" t="s">
        <v>4368</v>
      </c>
      <c r="G1453" s="7" t="s">
        <v>4367</v>
      </c>
      <c r="H1453" s="5" t="s">
        <v>194</v>
      </c>
      <c r="I1453" s="6" t="s">
        <v>196</v>
      </c>
      <c r="J1453" s="7" t="s">
        <v>11</v>
      </c>
      <c r="K1453" s="36">
        <v>0.67</v>
      </c>
      <c r="L1453" s="37">
        <v>617</v>
      </c>
    </row>
    <row r="1454" spans="1:12" ht="19.95" customHeight="1" x14ac:dyDescent="0.3">
      <c r="A1454" s="2" t="s">
        <v>4411</v>
      </c>
      <c r="B1454" s="3" t="s">
        <v>4412</v>
      </c>
      <c r="C1454" s="2" t="s">
        <v>4925</v>
      </c>
      <c r="D1454" s="3" t="s">
        <v>4585</v>
      </c>
      <c r="E1454" s="2" t="s">
        <v>4930</v>
      </c>
      <c r="F1454" s="3" t="s">
        <v>4368</v>
      </c>
      <c r="G1454" s="3" t="s">
        <v>4367</v>
      </c>
      <c r="H1454" s="1" t="s">
        <v>209</v>
      </c>
      <c r="I1454" s="2" t="s">
        <v>210</v>
      </c>
      <c r="J1454" s="3" t="s">
        <v>11</v>
      </c>
      <c r="K1454" s="38">
        <v>0.67</v>
      </c>
      <c r="L1454" s="39">
        <v>558</v>
      </c>
    </row>
    <row r="1455" spans="1:12" ht="19.95" customHeight="1" x14ac:dyDescent="0.3">
      <c r="A1455" s="6" t="s">
        <v>4411</v>
      </c>
      <c r="B1455" s="7" t="s">
        <v>4412</v>
      </c>
      <c r="C1455" s="6" t="s">
        <v>4925</v>
      </c>
      <c r="D1455" s="7" t="s">
        <v>4585</v>
      </c>
      <c r="E1455" s="6" t="s">
        <v>4930</v>
      </c>
      <c r="F1455" s="7" t="s">
        <v>4368</v>
      </c>
      <c r="G1455" s="7" t="s">
        <v>4367</v>
      </c>
      <c r="H1455" s="5" t="s">
        <v>211</v>
      </c>
      <c r="I1455" s="6" t="s">
        <v>212</v>
      </c>
      <c r="J1455" s="7" t="s">
        <v>11</v>
      </c>
      <c r="K1455" s="36">
        <v>0.67</v>
      </c>
      <c r="L1455" s="37">
        <v>558</v>
      </c>
    </row>
    <row r="1456" spans="1:12" ht="19.95" customHeight="1" x14ac:dyDescent="0.3">
      <c r="A1456" s="2" t="s">
        <v>4411</v>
      </c>
      <c r="B1456" s="3" t="s">
        <v>4412</v>
      </c>
      <c r="C1456" s="2" t="s">
        <v>4925</v>
      </c>
      <c r="D1456" s="3" t="s">
        <v>4585</v>
      </c>
      <c r="E1456" s="2" t="s">
        <v>4930</v>
      </c>
      <c r="F1456" s="3" t="s">
        <v>4368</v>
      </c>
      <c r="G1456" s="3" t="s">
        <v>4367</v>
      </c>
      <c r="H1456" s="1" t="s">
        <v>197</v>
      </c>
      <c r="I1456" s="2" t="s">
        <v>198</v>
      </c>
      <c r="J1456" s="3" t="s">
        <v>11</v>
      </c>
      <c r="K1456" s="38">
        <v>0.67</v>
      </c>
      <c r="L1456" s="39">
        <v>617</v>
      </c>
    </row>
    <row r="1457" spans="1:12" ht="19.95" customHeight="1" x14ac:dyDescent="0.3">
      <c r="A1457" s="6" t="s">
        <v>4411</v>
      </c>
      <c r="B1457" s="7" t="s">
        <v>4412</v>
      </c>
      <c r="C1457" s="6" t="s">
        <v>4925</v>
      </c>
      <c r="D1457" s="7" t="s">
        <v>4585</v>
      </c>
      <c r="E1457" s="6" t="s">
        <v>4930</v>
      </c>
      <c r="F1457" s="7" t="s">
        <v>4368</v>
      </c>
      <c r="G1457" s="7" t="s">
        <v>4367</v>
      </c>
      <c r="H1457" s="5" t="s">
        <v>231</v>
      </c>
      <c r="I1457" s="6" t="s">
        <v>232</v>
      </c>
      <c r="J1457" s="7" t="s">
        <v>11</v>
      </c>
      <c r="K1457" s="36">
        <v>0.33</v>
      </c>
      <c r="L1457" s="37">
        <v>617</v>
      </c>
    </row>
    <row r="1458" spans="1:12" ht="19.95" customHeight="1" x14ac:dyDescent="0.3">
      <c r="A1458" s="2" t="s">
        <v>4411</v>
      </c>
      <c r="B1458" s="3" t="s">
        <v>4412</v>
      </c>
      <c r="C1458" s="2" t="s">
        <v>4925</v>
      </c>
      <c r="D1458" s="3" t="s">
        <v>4585</v>
      </c>
      <c r="E1458" s="2" t="s">
        <v>4930</v>
      </c>
      <c r="F1458" s="3" t="s">
        <v>4368</v>
      </c>
      <c r="G1458" s="3" t="s">
        <v>4367</v>
      </c>
      <c r="H1458" s="1" t="s">
        <v>199</v>
      </c>
      <c r="I1458" s="2" t="s">
        <v>200</v>
      </c>
      <c r="J1458" s="3" t="s">
        <v>11</v>
      </c>
      <c r="K1458" s="38">
        <v>0.27</v>
      </c>
      <c r="L1458" s="39">
        <v>738</v>
      </c>
    </row>
    <row r="1459" spans="1:12" ht="19.95" customHeight="1" x14ac:dyDescent="0.3">
      <c r="A1459" s="6" t="s">
        <v>4411</v>
      </c>
      <c r="B1459" s="7" t="s">
        <v>4412</v>
      </c>
      <c r="C1459" s="6" t="s">
        <v>4925</v>
      </c>
      <c r="D1459" s="7" t="s">
        <v>4595</v>
      </c>
      <c r="E1459" s="6" t="s">
        <v>4931</v>
      </c>
      <c r="F1459" s="7" t="s">
        <v>4368</v>
      </c>
      <c r="G1459" s="7" t="s">
        <v>4367</v>
      </c>
      <c r="H1459" s="5" t="s">
        <v>205</v>
      </c>
      <c r="I1459" s="6" t="s">
        <v>206</v>
      </c>
      <c r="J1459" s="7" t="s">
        <v>11</v>
      </c>
      <c r="K1459" s="36">
        <v>0.75</v>
      </c>
      <c r="L1459" s="37">
        <v>679</v>
      </c>
    </row>
    <row r="1460" spans="1:12" ht="19.95" customHeight="1" x14ac:dyDescent="0.3">
      <c r="A1460" s="2" t="s">
        <v>4411</v>
      </c>
      <c r="B1460" s="3" t="s">
        <v>4412</v>
      </c>
      <c r="C1460" s="2" t="s">
        <v>4925</v>
      </c>
      <c r="D1460" s="3" t="s">
        <v>4595</v>
      </c>
      <c r="E1460" s="2" t="s">
        <v>4931</v>
      </c>
      <c r="F1460" s="3" t="s">
        <v>4368</v>
      </c>
      <c r="G1460" s="3" t="s">
        <v>4367</v>
      </c>
      <c r="H1460" s="1" t="s">
        <v>223</v>
      </c>
      <c r="I1460" s="2" t="s">
        <v>224</v>
      </c>
      <c r="J1460" s="3" t="s">
        <v>11</v>
      </c>
      <c r="K1460" s="38">
        <v>0.75</v>
      </c>
      <c r="L1460" s="39">
        <v>679</v>
      </c>
    </row>
    <row r="1461" spans="1:12" ht="19.95" customHeight="1" x14ac:dyDescent="0.3">
      <c r="A1461" s="6" t="s">
        <v>4411</v>
      </c>
      <c r="B1461" s="7" t="s">
        <v>4412</v>
      </c>
      <c r="C1461" s="6" t="s">
        <v>4925</v>
      </c>
      <c r="D1461" s="7" t="s">
        <v>4595</v>
      </c>
      <c r="E1461" s="6" t="s">
        <v>4931</v>
      </c>
      <c r="F1461" s="7" t="s">
        <v>4368</v>
      </c>
      <c r="G1461" s="7" t="s">
        <v>4367</v>
      </c>
      <c r="H1461" s="5" t="s">
        <v>209</v>
      </c>
      <c r="I1461" s="6" t="s">
        <v>210</v>
      </c>
      <c r="J1461" s="7" t="s">
        <v>11</v>
      </c>
      <c r="K1461" s="36">
        <v>0.75</v>
      </c>
      <c r="L1461" s="37">
        <v>558</v>
      </c>
    </row>
    <row r="1462" spans="1:12" ht="19.95" customHeight="1" x14ac:dyDescent="0.3">
      <c r="A1462" s="2" t="s">
        <v>4411</v>
      </c>
      <c r="B1462" s="3" t="s">
        <v>4412</v>
      </c>
      <c r="C1462" s="2" t="s">
        <v>4925</v>
      </c>
      <c r="D1462" s="3" t="s">
        <v>4605</v>
      </c>
      <c r="E1462" s="2" t="s">
        <v>4835</v>
      </c>
      <c r="F1462" s="3" t="s">
        <v>4368</v>
      </c>
      <c r="G1462" s="3" t="s">
        <v>4367</v>
      </c>
      <c r="H1462" s="1" t="s">
        <v>221</v>
      </c>
      <c r="I1462" s="2" t="s">
        <v>222</v>
      </c>
      <c r="J1462" s="3" t="s">
        <v>11</v>
      </c>
      <c r="K1462" s="38">
        <v>1</v>
      </c>
      <c r="L1462" s="39">
        <v>738</v>
      </c>
    </row>
    <row r="1463" spans="1:12" ht="19.95" customHeight="1" x14ac:dyDescent="0.3">
      <c r="A1463" s="6" t="s">
        <v>4411</v>
      </c>
      <c r="B1463" s="7" t="s">
        <v>4412</v>
      </c>
      <c r="C1463" s="6" t="s">
        <v>4925</v>
      </c>
      <c r="D1463" s="7" t="s">
        <v>4605</v>
      </c>
      <c r="E1463" s="6" t="s">
        <v>4835</v>
      </c>
      <c r="F1463" s="7" t="s">
        <v>4368</v>
      </c>
      <c r="G1463" s="7" t="s">
        <v>4367</v>
      </c>
      <c r="H1463" s="5" t="s">
        <v>209</v>
      </c>
      <c r="I1463" s="6" t="s">
        <v>210</v>
      </c>
      <c r="J1463" s="7" t="s">
        <v>11</v>
      </c>
      <c r="K1463" s="36">
        <v>1</v>
      </c>
      <c r="L1463" s="37">
        <v>558</v>
      </c>
    </row>
    <row r="1464" spans="1:12" ht="19.95" customHeight="1" x14ac:dyDescent="0.3">
      <c r="A1464" s="2" t="s">
        <v>4411</v>
      </c>
      <c r="B1464" s="3" t="s">
        <v>4412</v>
      </c>
      <c r="C1464" s="2" t="s">
        <v>4925</v>
      </c>
      <c r="D1464" s="3" t="s">
        <v>4605</v>
      </c>
      <c r="E1464" s="2" t="s">
        <v>4835</v>
      </c>
      <c r="F1464" s="3" t="s">
        <v>4368</v>
      </c>
      <c r="G1464" s="3" t="s">
        <v>4367</v>
      </c>
      <c r="H1464" s="1" t="s">
        <v>221</v>
      </c>
      <c r="I1464" s="2" t="s">
        <v>222</v>
      </c>
      <c r="J1464" s="3" t="s">
        <v>11</v>
      </c>
      <c r="K1464" s="38">
        <v>1</v>
      </c>
      <c r="L1464" s="39">
        <v>738</v>
      </c>
    </row>
    <row r="1465" spans="1:12" ht="19.95" customHeight="1" x14ac:dyDescent="0.3">
      <c r="A1465" s="6" t="s">
        <v>4411</v>
      </c>
      <c r="B1465" s="7" t="s">
        <v>4412</v>
      </c>
      <c r="C1465" s="6" t="s">
        <v>4925</v>
      </c>
      <c r="D1465" s="7" t="s">
        <v>4605</v>
      </c>
      <c r="E1465" s="6" t="s">
        <v>4835</v>
      </c>
      <c r="F1465" s="7" t="s">
        <v>4368</v>
      </c>
      <c r="G1465" s="7" t="s">
        <v>4367</v>
      </c>
      <c r="H1465" s="5" t="s">
        <v>209</v>
      </c>
      <c r="I1465" s="6" t="s">
        <v>210</v>
      </c>
      <c r="J1465" s="7" t="s">
        <v>11</v>
      </c>
      <c r="K1465" s="36">
        <v>1</v>
      </c>
      <c r="L1465" s="37">
        <v>558</v>
      </c>
    </row>
    <row r="1466" spans="1:12" ht="19.95" customHeight="1" x14ac:dyDescent="0.3">
      <c r="A1466" s="2" t="s">
        <v>4411</v>
      </c>
      <c r="B1466" s="3" t="s">
        <v>4412</v>
      </c>
      <c r="C1466" s="2" t="s">
        <v>4925</v>
      </c>
      <c r="D1466" s="3" t="s">
        <v>4605</v>
      </c>
      <c r="E1466" s="2" t="s">
        <v>4932</v>
      </c>
      <c r="F1466" s="3" t="s">
        <v>4368</v>
      </c>
      <c r="G1466" s="3" t="s">
        <v>4367</v>
      </c>
      <c r="H1466" s="1" t="s">
        <v>227</v>
      </c>
      <c r="I1466" s="2" t="s">
        <v>228</v>
      </c>
      <c r="J1466" s="3" t="s">
        <v>11</v>
      </c>
      <c r="K1466" s="38">
        <v>0.33500000000000002</v>
      </c>
      <c r="L1466" s="39">
        <v>738</v>
      </c>
    </row>
    <row r="1467" spans="1:12" ht="19.95" customHeight="1" x14ac:dyDescent="0.3">
      <c r="A1467" s="6" t="s">
        <v>4411</v>
      </c>
      <c r="B1467" s="7" t="s">
        <v>4412</v>
      </c>
      <c r="C1467" s="6" t="s">
        <v>4925</v>
      </c>
      <c r="D1467" s="7" t="s">
        <v>4605</v>
      </c>
      <c r="E1467" s="6" t="s">
        <v>4932</v>
      </c>
      <c r="F1467" s="7" t="s">
        <v>4368</v>
      </c>
      <c r="G1467" s="7" t="s">
        <v>4367</v>
      </c>
      <c r="H1467" s="5" t="s">
        <v>194</v>
      </c>
      <c r="I1467" s="6" t="s">
        <v>196</v>
      </c>
      <c r="J1467" s="7" t="s">
        <v>11</v>
      </c>
      <c r="K1467" s="36">
        <v>0.33500000000000002</v>
      </c>
      <c r="L1467" s="37">
        <v>617</v>
      </c>
    </row>
    <row r="1468" spans="1:12" ht="19.95" customHeight="1" x14ac:dyDescent="0.3">
      <c r="A1468" s="2" t="s">
        <v>4411</v>
      </c>
      <c r="B1468" s="3" t="s">
        <v>4412</v>
      </c>
      <c r="C1468" s="2" t="s">
        <v>4925</v>
      </c>
      <c r="D1468" s="3" t="s">
        <v>4605</v>
      </c>
      <c r="E1468" s="2" t="s">
        <v>4932</v>
      </c>
      <c r="F1468" s="3" t="s">
        <v>4368</v>
      </c>
      <c r="G1468" s="3" t="s">
        <v>4367</v>
      </c>
      <c r="H1468" s="1" t="s">
        <v>209</v>
      </c>
      <c r="I1468" s="2" t="s">
        <v>210</v>
      </c>
      <c r="J1468" s="3" t="s">
        <v>11</v>
      </c>
      <c r="K1468" s="38">
        <v>0.33500000000000002</v>
      </c>
      <c r="L1468" s="39">
        <v>558</v>
      </c>
    </row>
    <row r="1469" spans="1:12" ht="19.95" customHeight="1" x14ac:dyDescent="0.3">
      <c r="A1469" s="6" t="s">
        <v>4411</v>
      </c>
      <c r="B1469" s="7" t="s">
        <v>4412</v>
      </c>
      <c r="C1469" s="6" t="s">
        <v>4925</v>
      </c>
      <c r="D1469" s="7" t="s">
        <v>4605</v>
      </c>
      <c r="E1469" s="6" t="s">
        <v>4932</v>
      </c>
      <c r="F1469" s="7" t="s">
        <v>4368</v>
      </c>
      <c r="G1469" s="7" t="s">
        <v>4367</v>
      </c>
      <c r="H1469" s="5" t="s">
        <v>211</v>
      </c>
      <c r="I1469" s="6" t="s">
        <v>212</v>
      </c>
      <c r="J1469" s="7" t="s">
        <v>11</v>
      </c>
      <c r="K1469" s="36">
        <v>0.33500000000000002</v>
      </c>
      <c r="L1469" s="37">
        <v>558</v>
      </c>
    </row>
    <row r="1470" spans="1:12" ht="19.95" customHeight="1" x14ac:dyDescent="0.3">
      <c r="A1470" s="2" t="s">
        <v>4411</v>
      </c>
      <c r="B1470" s="3" t="s">
        <v>4412</v>
      </c>
      <c r="C1470" s="2" t="s">
        <v>4925</v>
      </c>
      <c r="D1470" s="3" t="s">
        <v>4605</v>
      </c>
      <c r="E1470" s="2" t="s">
        <v>4932</v>
      </c>
      <c r="F1470" s="3" t="s">
        <v>4368</v>
      </c>
      <c r="G1470" s="3" t="s">
        <v>4367</v>
      </c>
      <c r="H1470" s="1" t="s">
        <v>197</v>
      </c>
      <c r="I1470" s="2" t="s">
        <v>198</v>
      </c>
      <c r="J1470" s="3" t="s">
        <v>11</v>
      </c>
      <c r="K1470" s="38">
        <v>0.33500000000000002</v>
      </c>
      <c r="L1470" s="39">
        <v>617</v>
      </c>
    </row>
    <row r="1471" spans="1:12" ht="19.95" customHeight="1" x14ac:dyDescent="0.3">
      <c r="A1471" s="6" t="s">
        <v>4411</v>
      </c>
      <c r="B1471" s="7" t="s">
        <v>4412</v>
      </c>
      <c r="C1471" s="6" t="s">
        <v>4925</v>
      </c>
      <c r="D1471" s="7" t="s">
        <v>4605</v>
      </c>
      <c r="E1471" s="6" t="s">
        <v>4932</v>
      </c>
      <c r="F1471" s="7" t="s">
        <v>4368</v>
      </c>
      <c r="G1471" s="7" t="s">
        <v>4367</v>
      </c>
      <c r="H1471" s="5" t="s">
        <v>231</v>
      </c>
      <c r="I1471" s="6" t="s">
        <v>232</v>
      </c>
      <c r="J1471" s="7" t="s">
        <v>11</v>
      </c>
      <c r="K1471" s="36">
        <v>0.16500000000000001</v>
      </c>
      <c r="L1471" s="37">
        <v>617</v>
      </c>
    </row>
    <row r="1472" spans="1:12" ht="19.95" customHeight="1" x14ac:dyDescent="0.3">
      <c r="A1472" s="2" t="s">
        <v>4411</v>
      </c>
      <c r="B1472" s="3" t="s">
        <v>4412</v>
      </c>
      <c r="C1472" s="2" t="s">
        <v>4925</v>
      </c>
      <c r="D1472" s="3" t="s">
        <v>4605</v>
      </c>
      <c r="E1472" s="2" t="s">
        <v>4932</v>
      </c>
      <c r="F1472" s="3" t="s">
        <v>4368</v>
      </c>
      <c r="G1472" s="3" t="s">
        <v>4367</v>
      </c>
      <c r="H1472" s="1" t="s">
        <v>199</v>
      </c>
      <c r="I1472" s="2" t="s">
        <v>200</v>
      </c>
      <c r="J1472" s="3" t="s">
        <v>11</v>
      </c>
      <c r="K1472" s="38">
        <v>0.13500000000000001</v>
      </c>
      <c r="L1472" s="39">
        <v>738</v>
      </c>
    </row>
    <row r="1473" spans="1:12" ht="19.95" customHeight="1" x14ac:dyDescent="0.3">
      <c r="A1473" s="6" t="s">
        <v>4411</v>
      </c>
      <c r="B1473" s="7" t="s">
        <v>4412</v>
      </c>
      <c r="C1473" s="6" t="s">
        <v>4925</v>
      </c>
      <c r="D1473" s="7" t="s">
        <v>4605</v>
      </c>
      <c r="E1473" s="6" t="s">
        <v>4835</v>
      </c>
      <c r="F1473" s="7" t="s">
        <v>4413</v>
      </c>
      <c r="G1473" s="7" t="s">
        <v>4367</v>
      </c>
      <c r="H1473" s="5" t="s">
        <v>225</v>
      </c>
      <c r="I1473" s="6" t="s">
        <v>226</v>
      </c>
      <c r="J1473" s="7" t="s">
        <v>11</v>
      </c>
      <c r="K1473" s="36">
        <v>1.35</v>
      </c>
      <c r="L1473" s="37">
        <v>679</v>
      </c>
    </row>
    <row r="1474" spans="1:12" ht="19.95" customHeight="1" x14ac:dyDescent="0.3">
      <c r="A1474" s="2" t="s">
        <v>4411</v>
      </c>
      <c r="B1474" s="3" t="s">
        <v>4412</v>
      </c>
      <c r="C1474" s="2" t="s">
        <v>4925</v>
      </c>
      <c r="D1474" s="3" t="s">
        <v>4605</v>
      </c>
      <c r="E1474" s="2" t="s">
        <v>4835</v>
      </c>
      <c r="F1474" s="3" t="s">
        <v>4413</v>
      </c>
      <c r="G1474" s="3" t="s">
        <v>4367</v>
      </c>
      <c r="H1474" s="1" t="s">
        <v>199</v>
      </c>
      <c r="I1474" s="2" t="s">
        <v>200</v>
      </c>
      <c r="J1474" s="3" t="s">
        <v>11</v>
      </c>
      <c r="K1474" s="38">
        <v>3.2000000000000001E-2</v>
      </c>
      <c r="L1474" s="39">
        <v>738</v>
      </c>
    </row>
    <row r="1475" spans="1:12" ht="19.95" customHeight="1" x14ac:dyDescent="0.3">
      <c r="A1475" s="6" t="s">
        <v>4411</v>
      </c>
      <c r="B1475" s="7" t="s">
        <v>4412</v>
      </c>
      <c r="C1475" s="6" t="s">
        <v>4925</v>
      </c>
      <c r="D1475" s="7" t="s">
        <v>4605</v>
      </c>
      <c r="E1475" s="6" t="s">
        <v>4835</v>
      </c>
      <c r="F1475" s="7" t="s">
        <v>4413</v>
      </c>
      <c r="G1475" s="7" t="s">
        <v>4367</v>
      </c>
      <c r="H1475" s="5" t="s">
        <v>209</v>
      </c>
      <c r="I1475" s="6" t="s">
        <v>210</v>
      </c>
      <c r="J1475" s="7" t="s">
        <v>11</v>
      </c>
      <c r="K1475" s="36">
        <v>0.224</v>
      </c>
      <c r="L1475" s="37">
        <v>558</v>
      </c>
    </row>
    <row r="1476" spans="1:12" ht="19.95" customHeight="1" x14ac:dyDescent="0.3">
      <c r="A1476" s="2" t="s">
        <v>4411</v>
      </c>
      <c r="B1476" s="3" t="s">
        <v>4412</v>
      </c>
      <c r="C1476" s="2" t="s">
        <v>4925</v>
      </c>
      <c r="D1476" s="3" t="s">
        <v>4605</v>
      </c>
      <c r="E1476" s="2" t="s">
        <v>4835</v>
      </c>
      <c r="F1476" s="3" t="s">
        <v>4413</v>
      </c>
      <c r="G1476" s="3" t="s">
        <v>4367</v>
      </c>
      <c r="H1476" s="1" t="s">
        <v>211</v>
      </c>
      <c r="I1476" s="2" t="s">
        <v>212</v>
      </c>
      <c r="J1476" s="3" t="s">
        <v>11</v>
      </c>
      <c r="K1476" s="38">
        <v>0.112</v>
      </c>
      <c r="L1476" s="39">
        <v>558</v>
      </c>
    </row>
    <row r="1477" spans="1:12" ht="19.95" customHeight="1" x14ac:dyDescent="0.3">
      <c r="A1477" s="6" t="s">
        <v>4411</v>
      </c>
      <c r="B1477" s="7" t="s">
        <v>4412</v>
      </c>
      <c r="C1477" s="6" t="s">
        <v>4925</v>
      </c>
      <c r="D1477" s="7" t="s">
        <v>4605</v>
      </c>
      <c r="E1477" s="6" t="s">
        <v>4835</v>
      </c>
      <c r="F1477" s="7" t="s">
        <v>4413</v>
      </c>
      <c r="G1477" s="7" t="s">
        <v>4367</v>
      </c>
      <c r="H1477" s="5" t="s">
        <v>194</v>
      </c>
      <c r="I1477" s="6" t="s">
        <v>196</v>
      </c>
      <c r="J1477" s="7" t="s">
        <v>11</v>
      </c>
      <c r="K1477" s="36">
        <v>0.224</v>
      </c>
      <c r="L1477" s="37">
        <v>617</v>
      </c>
    </row>
    <row r="1478" spans="1:12" ht="19.95" customHeight="1" x14ac:dyDescent="0.3">
      <c r="A1478" s="2" t="s">
        <v>4411</v>
      </c>
      <c r="B1478" s="3" t="s">
        <v>4412</v>
      </c>
      <c r="C1478" s="2" t="s">
        <v>4925</v>
      </c>
      <c r="D1478" s="3" t="s">
        <v>4605</v>
      </c>
      <c r="E1478" s="2" t="s">
        <v>4835</v>
      </c>
      <c r="F1478" s="3" t="s">
        <v>4413</v>
      </c>
      <c r="G1478" s="3" t="s">
        <v>4367</v>
      </c>
      <c r="H1478" s="1" t="s">
        <v>225</v>
      </c>
      <c r="I1478" s="2" t="s">
        <v>226</v>
      </c>
      <c r="J1478" s="3" t="s">
        <v>11</v>
      </c>
      <c r="K1478" s="38">
        <v>0.44800000000000001</v>
      </c>
      <c r="L1478" s="39">
        <v>679</v>
      </c>
    </row>
    <row r="1479" spans="1:12" ht="19.95" customHeight="1" x14ac:dyDescent="0.3">
      <c r="A1479" s="6" t="s">
        <v>4411</v>
      </c>
      <c r="B1479" s="7" t="s">
        <v>4412</v>
      </c>
      <c r="C1479" s="6" t="s">
        <v>4925</v>
      </c>
      <c r="D1479" s="7" t="s">
        <v>4605</v>
      </c>
      <c r="E1479" s="6" t="s">
        <v>4835</v>
      </c>
      <c r="F1479" s="7" t="s">
        <v>4413</v>
      </c>
      <c r="G1479" s="7" t="s">
        <v>4367</v>
      </c>
      <c r="H1479" s="5" t="s">
        <v>194</v>
      </c>
      <c r="I1479" s="6" t="s">
        <v>196</v>
      </c>
      <c r="J1479" s="7" t="s">
        <v>11</v>
      </c>
      <c r="K1479" s="36">
        <v>0.33600000000000002</v>
      </c>
      <c r="L1479" s="37">
        <v>617</v>
      </c>
    </row>
    <row r="1480" spans="1:12" ht="19.95" customHeight="1" x14ac:dyDescent="0.3">
      <c r="A1480" s="2" t="s">
        <v>4411</v>
      </c>
      <c r="B1480" s="3" t="s">
        <v>4412</v>
      </c>
      <c r="C1480" s="2" t="s">
        <v>4925</v>
      </c>
      <c r="D1480" s="3" t="s">
        <v>4605</v>
      </c>
      <c r="E1480" s="2" t="s">
        <v>4835</v>
      </c>
      <c r="F1480" s="3" t="s">
        <v>4413</v>
      </c>
      <c r="G1480" s="3" t="s">
        <v>4367</v>
      </c>
      <c r="H1480" s="1" t="s">
        <v>209</v>
      </c>
      <c r="I1480" s="2" t="s">
        <v>210</v>
      </c>
      <c r="J1480" s="3" t="s">
        <v>11</v>
      </c>
      <c r="K1480" s="38">
        <v>0.33600000000000002</v>
      </c>
      <c r="L1480" s="39">
        <v>558</v>
      </c>
    </row>
    <row r="1481" spans="1:12" ht="19.95" customHeight="1" x14ac:dyDescent="0.3">
      <c r="A1481" s="6" t="s">
        <v>4411</v>
      </c>
      <c r="B1481" s="7" t="s">
        <v>4412</v>
      </c>
      <c r="C1481" s="6" t="s">
        <v>4925</v>
      </c>
      <c r="D1481" s="7" t="s">
        <v>4605</v>
      </c>
      <c r="E1481" s="6" t="s">
        <v>4835</v>
      </c>
      <c r="F1481" s="7" t="s">
        <v>4413</v>
      </c>
      <c r="G1481" s="7" t="s">
        <v>4367</v>
      </c>
      <c r="H1481" s="5" t="s">
        <v>211</v>
      </c>
      <c r="I1481" s="6" t="s">
        <v>212</v>
      </c>
      <c r="J1481" s="7" t="s">
        <v>11</v>
      </c>
      <c r="K1481" s="36">
        <v>0.33600000000000002</v>
      </c>
      <c r="L1481" s="37">
        <v>558</v>
      </c>
    </row>
    <row r="1482" spans="1:12" ht="19.95" customHeight="1" x14ac:dyDescent="0.3">
      <c r="A1482" s="2" t="s">
        <v>4411</v>
      </c>
      <c r="B1482" s="3" t="s">
        <v>4412</v>
      </c>
      <c r="C1482" s="2" t="s">
        <v>4925</v>
      </c>
      <c r="D1482" s="3" t="s">
        <v>4605</v>
      </c>
      <c r="E1482" s="2" t="s">
        <v>4835</v>
      </c>
      <c r="F1482" s="3" t="s">
        <v>4413</v>
      </c>
      <c r="G1482" s="3" t="s">
        <v>4367</v>
      </c>
      <c r="H1482" s="1" t="s">
        <v>197</v>
      </c>
      <c r="I1482" s="2" t="s">
        <v>198</v>
      </c>
      <c r="J1482" s="3" t="s">
        <v>11</v>
      </c>
      <c r="K1482" s="38">
        <v>0.33600000000000002</v>
      </c>
      <c r="L1482" s="39">
        <v>617</v>
      </c>
    </row>
    <row r="1483" spans="1:12" ht="19.95" customHeight="1" x14ac:dyDescent="0.3">
      <c r="A1483" s="6" t="s">
        <v>4411</v>
      </c>
      <c r="B1483" s="7" t="s">
        <v>4412</v>
      </c>
      <c r="C1483" s="6" t="s">
        <v>4925</v>
      </c>
      <c r="D1483" s="7" t="s">
        <v>4605</v>
      </c>
      <c r="E1483" s="6" t="s">
        <v>4835</v>
      </c>
      <c r="F1483" s="7" t="s">
        <v>4413</v>
      </c>
      <c r="G1483" s="7" t="s">
        <v>4367</v>
      </c>
      <c r="H1483" s="5" t="s">
        <v>225</v>
      </c>
      <c r="I1483" s="6" t="s">
        <v>226</v>
      </c>
      <c r="J1483" s="7" t="s">
        <v>11</v>
      </c>
      <c r="K1483" s="36">
        <v>1.35</v>
      </c>
      <c r="L1483" s="37">
        <v>679</v>
      </c>
    </row>
    <row r="1484" spans="1:12" ht="19.95" customHeight="1" x14ac:dyDescent="0.3">
      <c r="A1484" s="2" t="s">
        <v>4411</v>
      </c>
      <c r="B1484" s="3" t="s">
        <v>4412</v>
      </c>
      <c r="C1484" s="2" t="s">
        <v>4925</v>
      </c>
      <c r="D1484" s="3" t="s">
        <v>4605</v>
      </c>
      <c r="E1484" s="2" t="s">
        <v>4835</v>
      </c>
      <c r="F1484" s="3" t="s">
        <v>4413</v>
      </c>
      <c r="G1484" s="3" t="s">
        <v>4367</v>
      </c>
      <c r="H1484" s="1" t="s">
        <v>199</v>
      </c>
      <c r="I1484" s="2" t="s">
        <v>200</v>
      </c>
      <c r="J1484" s="3" t="s">
        <v>11</v>
      </c>
      <c r="K1484" s="38">
        <v>3.2000000000000001E-2</v>
      </c>
      <c r="L1484" s="39">
        <v>738</v>
      </c>
    </row>
    <row r="1485" spans="1:12" ht="19.95" customHeight="1" x14ac:dyDescent="0.3">
      <c r="A1485" s="6" t="s">
        <v>4411</v>
      </c>
      <c r="B1485" s="7" t="s">
        <v>4412</v>
      </c>
      <c r="C1485" s="6" t="s">
        <v>4925</v>
      </c>
      <c r="D1485" s="7" t="s">
        <v>4605</v>
      </c>
      <c r="E1485" s="6" t="s">
        <v>4835</v>
      </c>
      <c r="F1485" s="7" t="s">
        <v>4413</v>
      </c>
      <c r="G1485" s="7" t="s">
        <v>4367</v>
      </c>
      <c r="H1485" s="5" t="s">
        <v>209</v>
      </c>
      <c r="I1485" s="6" t="s">
        <v>210</v>
      </c>
      <c r="J1485" s="7" t="s">
        <v>11</v>
      </c>
      <c r="K1485" s="36">
        <v>0.224</v>
      </c>
      <c r="L1485" s="37">
        <v>558</v>
      </c>
    </row>
    <row r="1486" spans="1:12" ht="19.95" customHeight="1" x14ac:dyDescent="0.3">
      <c r="A1486" s="2" t="s">
        <v>4411</v>
      </c>
      <c r="B1486" s="3" t="s">
        <v>4412</v>
      </c>
      <c r="C1486" s="2" t="s">
        <v>4925</v>
      </c>
      <c r="D1486" s="3" t="s">
        <v>4605</v>
      </c>
      <c r="E1486" s="2" t="s">
        <v>4835</v>
      </c>
      <c r="F1486" s="3" t="s">
        <v>4413</v>
      </c>
      <c r="G1486" s="3" t="s">
        <v>4367</v>
      </c>
      <c r="H1486" s="1" t="s">
        <v>211</v>
      </c>
      <c r="I1486" s="2" t="s">
        <v>212</v>
      </c>
      <c r="J1486" s="3" t="s">
        <v>11</v>
      </c>
      <c r="K1486" s="38">
        <v>0.112</v>
      </c>
      <c r="L1486" s="39">
        <v>558</v>
      </c>
    </row>
    <row r="1487" spans="1:12" ht="19.95" customHeight="1" x14ac:dyDescent="0.3">
      <c r="A1487" s="6" t="s">
        <v>4411</v>
      </c>
      <c r="B1487" s="7" t="s">
        <v>4412</v>
      </c>
      <c r="C1487" s="6" t="s">
        <v>4925</v>
      </c>
      <c r="D1487" s="7" t="s">
        <v>4605</v>
      </c>
      <c r="E1487" s="6" t="s">
        <v>4835</v>
      </c>
      <c r="F1487" s="7" t="s">
        <v>4413</v>
      </c>
      <c r="G1487" s="7" t="s">
        <v>4367</v>
      </c>
      <c r="H1487" s="5" t="s">
        <v>194</v>
      </c>
      <c r="I1487" s="6" t="s">
        <v>196</v>
      </c>
      <c r="J1487" s="7" t="s">
        <v>11</v>
      </c>
      <c r="K1487" s="36">
        <v>0.224</v>
      </c>
      <c r="L1487" s="37">
        <v>617</v>
      </c>
    </row>
    <row r="1488" spans="1:12" ht="19.95" customHeight="1" x14ac:dyDescent="0.3">
      <c r="A1488" s="2" t="s">
        <v>4411</v>
      </c>
      <c r="B1488" s="3" t="s">
        <v>4412</v>
      </c>
      <c r="C1488" s="2" t="s">
        <v>4925</v>
      </c>
      <c r="D1488" s="3" t="s">
        <v>4605</v>
      </c>
      <c r="E1488" s="2" t="s">
        <v>4835</v>
      </c>
      <c r="F1488" s="3" t="s">
        <v>4413</v>
      </c>
      <c r="G1488" s="3" t="s">
        <v>4367</v>
      </c>
      <c r="H1488" s="1" t="s">
        <v>225</v>
      </c>
      <c r="I1488" s="2" t="s">
        <v>4410</v>
      </c>
      <c r="J1488" s="3" t="s">
        <v>11</v>
      </c>
      <c r="K1488" s="38">
        <v>0.44800000000000001</v>
      </c>
      <c r="L1488" s="39">
        <v>679</v>
      </c>
    </row>
    <row r="1489" spans="1:12" ht="19.95" customHeight="1" x14ac:dyDescent="0.3">
      <c r="A1489" s="6" t="s">
        <v>4411</v>
      </c>
      <c r="B1489" s="7" t="s">
        <v>4412</v>
      </c>
      <c r="C1489" s="6" t="s">
        <v>4925</v>
      </c>
      <c r="D1489" s="7" t="s">
        <v>4605</v>
      </c>
      <c r="E1489" s="6" t="s">
        <v>4835</v>
      </c>
      <c r="F1489" s="7" t="s">
        <v>4413</v>
      </c>
      <c r="G1489" s="7" t="s">
        <v>4367</v>
      </c>
      <c r="H1489" s="5" t="s">
        <v>194</v>
      </c>
      <c r="I1489" s="6" t="s">
        <v>196</v>
      </c>
      <c r="J1489" s="7" t="s">
        <v>11</v>
      </c>
      <c r="K1489" s="36">
        <v>0.33600000000000002</v>
      </c>
      <c r="L1489" s="37">
        <v>617</v>
      </c>
    </row>
    <row r="1490" spans="1:12" ht="19.95" customHeight="1" x14ac:dyDescent="0.3">
      <c r="A1490" s="2" t="s">
        <v>4411</v>
      </c>
      <c r="B1490" s="3" t="s">
        <v>4412</v>
      </c>
      <c r="C1490" s="2" t="s">
        <v>4925</v>
      </c>
      <c r="D1490" s="3" t="s">
        <v>4605</v>
      </c>
      <c r="E1490" s="2" t="s">
        <v>4835</v>
      </c>
      <c r="F1490" s="3" t="s">
        <v>4413</v>
      </c>
      <c r="G1490" s="3" t="s">
        <v>4367</v>
      </c>
      <c r="H1490" s="1" t="s">
        <v>209</v>
      </c>
      <c r="I1490" s="2" t="s">
        <v>210</v>
      </c>
      <c r="J1490" s="3" t="s">
        <v>11</v>
      </c>
      <c r="K1490" s="38">
        <v>0.33600000000000002</v>
      </c>
      <c r="L1490" s="39">
        <v>558</v>
      </c>
    </row>
    <row r="1491" spans="1:12" ht="19.95" customHeight="1" x14ac:dyDescent="0.3">
      <c r="A1491" s="6" t="s">
        <v>4411</v>
      </c>
      <c r="B1491" s="7" t="s">
        <v>4412</v>
      </c>
      <c r="C1491" s="6" t="s">
        <v>4925</v>
      </c>
      <c r="D1491" s="7" t="s">
        <v>4605</v>
      </c>
      <c r="E1491" s="6" t="s">
        <v>4835</v>
      </c>
      <c r="F1491" s="7" t="s">
        <v>4413</v>
      </c>
      <c r="G1491" s="7" t="s">
        <v>4367</v>
      </c>
      <c r="H1491" s="5" t="s">
        <v>211</v>
      </c>
      <c r="I1491" s="6" t="s">
        <v>212</v>
      </c>
      <c r="J1491" s="7" t="s">
        <v>11</v>
      </c>
      <c r="K1491" s="36">
        <v>0.33600000000000002</v>
      </c>
      <c r="L1491" s="37">
        <v>558</v>
      </c>
    </row>
    <row r="1492" spans="1:12" ht="19.95" customHeight="1" x14ac:dyDescent="0.3">
      <c r="A1492" s="2" t="s">
        <v>4411</v>
      </c>
      <c r="B1492" s="3" t="s">
        <v>4412</v>
      </c>
      <c r="C1492" s="2" t="s">
        <v>4925</v>
      </c>
      <c r="D1492" s="3" t="s">
        <v>4605</v>
      </c>
      <c r="E1492" s="2" t="s">
        <v>4835</v>
      </c>
      <c r="F1492" s="3" t="s">
        <v>4413</v>
      </c>
      <c r="G1492" s="3" t="s">
        <v>4367</v>
      </c>
      <c r="H1492" s="1" t="s">
        <v>197</v>
      </c>
      <c r="I1492" s="2" t="s">
        <v>198</v>
      </c>
      <c r="J1492" s="3" t="s">
        <v>11</v>
      </c>
      <c r="K1492" s="38">
        <v>0.33600000000000002</v>
      </c>
      <c r="L1492" s="39">
        <v>617</v>
      </c>
    </row>
    <row r="1493" spans="1:12" ht="19.95" customHeight="1" x14ac:dyDescent="0.3">
      <c r="A1493" s="6" t="s">
        <v>4411</v>
      </c>
      <c r="B1493" s="7" t="s">
        <v>4412</v>
      </c>
      <c r="C1493" s="6" t="s">
        <v>4925</v>
      </c>
      <c r="D1493" s="7" t="s">
        <v>4605</v>
      </c>
      <c r="E1493" s="6" t="s">
        <v>4835</v>
      </c>
      <c r="F1493" s="7" t="s">
        <v>4413</v>
      </c>
      <c r="G1493" s="7" t="s">
        <v>4367</v>
      </c>
      <c r="H1493" s="5" t="s">
        <v>225</v>
      </c>
      <c r="I1493" s="6" t="s">
        <v>4410</v>
      </c>
      <c r="J1493" s="7" t="s">
        <v>11</v>
      </c>
      <c r="K1493" s="36">
        <v>1.35</v>
      </c>
      <c r="L1493" s="37">
        <v>679</v>
      </c>
    </row>
    <row r="1494" spans="1:12" ht="19.95" customHeight="1" x14ac:dyDescent="0.3">
      <c r="A1494" s="2" t="s">
        <v>4411</v>
      </c>
      <c r="B1494" s="3" t="s">
        <v>4412</v>
      </c>
      <c r="C1494" s="2" t="s">
        <v>4925</v>
      </c>
      <c r="D1494" s="3" t="s">
        <v>4605</v>
      </c>
      <c r="E1494" s="2" t="s">
        <v>4835</v>
      </c>
      <c r="F1494" s="3" t="s">
        <v>4413</v>
      </c>
      <c r="G1494" s="3" t="s">
        <v>4367</v>
      </c>
      <c r="H1494" s="1" t="s">
        <v>199</v>
      </c>
      <c r="I1494" s="2" t="s">
        <v>200</v>
      </c>
      <c r="J1494" s="3" t="s">
        <v>11</v>
      </c>
      <c r="K1494" s="38">
        <v>3.2000000000000001E-2</v>
      </c>
      <c r="L1494" s="39">
        <v>738</v>
      </c>
    </row>
    <row r="1495" spans="1:12" ht="19.95" customHeight="1" x14ac:dyDescent="0.3">
      <c r="A1495" s="6" t="s">
        <v>4411</v>
      </c>
      <c r="B1495" s="7" t="s">
        <v>4412</v>
      </c>
      <c r="C1495" s="6" t="s">
        <v>4925</v>
      </c>
      <c r="D1495" s="7" t="s">
        <v>4605</v>
      </c>
      <c r="E1495" s="6" t="s">
        <v>4835</v>
      </c>
      <c r="F1495" s="7" t="s">
        <v>4413</v>
      </c>
      <c r="G1495" s="7" t="s">
        <v>4367</v>
      </c>
      <c r="H1495" s="5" t="s">
        <v>209</v>
      </c>
      <c r="I1495" s="6" t="s">
        <v>210</v>
      </c>
      <c r="J1495" s="7" t="s">
        <v>11</v>
      </c>
      <c r="K1495" s="36">
        <v>0.224</v>
      </c>
      <c r="L1495" s="37">
        <v>558</v>
      </c>
    </row>
    <row r="1496" spans="1:12" ht="19.95" customHeight="1" x14ac:dyDescent="0.3">
      <c r="A1496" s="2" t="s">
        <v>4411</v>
      </c>
      <c r="B1496" s="3" t="s">
        <v>4412</v>
      </c>
      <c r="C1496" s="2" t="s">
        <v>4925</v>
      </c>
      <c r="D1496" s="3" t="s">
        <v>4605</v>
      </c>
      <c r="E1496" s="2" t="s">
        <v>4835</v>
      </c>
      <c r="F1496" s="3" t="s">
        <v>4413</v>
      </c>
      <c r="G1496" s="3" t="s">
        <v>4367</v>
      </c>
      <c r="H1496" s="1" t="s">
        <v>211</v>
      </c>
      <c r="I1496" s="2" t="s">
        <v>212</v>
      </c>
      <c r="J1496" s="3" t="s">
        <v>11</v>
      </c>
      <c r="K1496" s="38">
        <v>0.112</v>
      </c>
      <c r="L1496" s="39">
        <v>558</v>
      </c>
    </row>
    <row r="1497" spans="1:12" ht="19.95" customHeight="1" x14ac:dyDescent="0.3">
      <c r="A1497" s="6" t="s">
        <v>4411</v>
      </c>
      <c r="B1497" s="7" t="s">
        <v>4412</v>
      </c>
      <c r="C1497" s="6" t="s">
        <v>4925</v>
      </c>
      <c r="D1497" s="7" t="s">
        <v>4605</v>
      </c>
      <c r="E1497" s="6" t="s">
        <v>4835</v>
      </c>
      <c r="F1497" s="7" t="s">
        <v>4413</v>
      </c>
      <c r="G1497" s="7" t="s">
        <v>4367</v>
      </c>
      <c r="H1497" s="5" t="s">
        <v>194</v>
      </c>
      <c r="I1497" s="6" t="s">
        <v>196</v>
      </c>
      <c r="J1497" s="7" t="s">
        <v>11</v>
      </c>
      <c r="K1497" s="36">
        <v>0.224</v>
      </c>
      <c r="L1497" s="37">
        <v>617</v>
      </c>
    </row>
    <row r="1498" spans="1:12" ht="19.95" customHeight="1" x14ac:dyDescent="0.3">
      <c r="A1498" s="2" t="s">
        <v>4411</v>
      </c>
      <c r="B1498" s="3" t="s">
        <v>4412</v>
      </c>
      <c r="C1498" s="2" t="s">
        <v>4925</v>
      </c>
      <c r="D1498" s="3" t="s">
        <v>4605</v>
      </c>
      <c r="E1498" s="2" t="s">
        <v>4835</v>
      </c>
      <c r="F1498" s="3" t="s">
        <v>4413</v>
      </c>
      <c r="G1498" s="3" t="s">
        <v>4367</v>
      </c>
      <c r="H1498" s="1" t="s">
        <v>225</v>
      </c>
      <c r="I1498" s="2" t="s">
        <v>4410</v>
      </c>
      <c r="J1498" s="3" t="s">
        <v>11</v>
      </c>
      <c r="K1498" s="38">
        <v>0.44800000000000001</v>
      </c>
      <c r="L1498" s="39">
        <v>679</v>
      </c>
    </row>
    <row r="1499" spans="1:12" ht="19.95" customHeight="1" x14ac:dyDescent="0.3">
      <c r="A1499" s="6" t="s">
        <v>4411</v>
      </c>
      <c r="B1499" s="7" t="s">
        <v>4412</v>
      </c>
      <c r="C1499" s="6" t="s">
        <v>4925</v>
      </c>
      <c r="D1499" s="7" t="s">
        <v>4605</v>
      </c>
      <c r="E1499" s="6" t="s">
        <v>4835</v>
      </c>
      <c r="F1499" s="7" t="s">
        <v>4413</v>
      </c>
      <c r="G1499" s="7" t="s">
        <v>4367</v>
      </c>
      <c r="H1499" s="5" t="s">
        <v>194</v>
      </c>
      <c r="I1499" s="6" t="s">
        <v>196</v>
      </c>
      <c r="J1499" s="7" t="s">
        <v>11</v>
      </c>
      <c r="K1499" s="36">
        <v>0.33600000000000002</v>
      </c>
      <c r="L1499" s="37">
        <v>617</v>
      </c>
    </row>
    <row r="1500" spans="1:12" ht="19.95" customHeight="1" x14ac:dyDescent="0.3">
      <c r="A1500" s="2" t="s">
        <v>4411</v>
      </c>
      <c r="B1500" s="3" t="s">
        <v>4412</v>
      </c>
      <c r="C1500" s="2" t="s">
        <v>4925</v>
      </c>
      <c r="D1500" s="3" t="s">
        <v>4605</v>
      </c>
      <c r="E1500" s="2" t="s">
        <v>4835</v>
      </c>
      <c r="F1500" s="3" t="s">
        <v>4413</v>
      </c>
      <c r="G1500" s="3" t="s">
        <v>4367</v>
      </c>
      <c r="H1500" s="1" t="s">
        <v>209</v>
      </c>
      <c r="I1500" s="2" t="s">
        <v>210</v>
      </c>
      <c r="J1500" s="3" t="s">
        <v>11</v>
      </c>
      <c r="K1500" s="38">
        <v>0.33600000000000002</v>
      </c>
      <c r="L1500" s="39">
        <v>558</v>
      </c>
    </row>
    <row r="1501" spans="1:12" ht="19.95" customHeight="1" x14ac:dyDescent="0.3">
      <c r="A1501" s="6" t="s">
        <v>4411</v>
      </c>
      <c r="B1501" s="7" t="s">
        <v>4412</v>
      </c>
      <c r="C1501" s="6" t="s">
        <v>4925</v>
      </c>
      <c r="D1501" s="7" t="s">
        <v>4605</v>
      </c>
      <c r="E1501" s="6" t="s">
        <v>4835</v>
      </c>
      <c r="F1501" s="7" t="s">
        <v>4413</v>
      </c>
      <c r="G1501" s="7" t="s">
        <v>4367</v>
      </c>
      <c r="H1501" s="5" t="s">
        <v>211</v>
      </c>
      <c r="I1501" s="6" t="s">
        <v>212</v>
      </c>
      <c r="J1501" s="7" t="s">
        <v>11</v>
      </c>
      <c r="K1501" s="36">
        <v>0.33600000000000002</v>
      </c>
      <c r="L1501" s="37">
        <v>558</v>
      </c>
    </row>
    <row r="1502" spans="1:12" ht="19.95" customHeight="1" x14ac:dyDescent="0.3">
      <c r="A1502" s="2" t="s">
        <v>4411</v>
      </c>
      <c r="B1502" s="3" t="s">
        <v>4412</v>
      </c>
      <c r="C1502" s="2" t="s">
        <v>4925</v>
      </c>
      <c r="D1502" s="3" t="s">
        <v>4605</v>
      </c>
      <c r="E1502" s="2" t="s">
        <v>4835</v>
      </c>
      <c r="F1502" s="3" t="s">
        <v>4413</v>
      </c>
      <c r="G1502" s="3" t="s">
        <v>4367</v>
      </c>
      <c r="H1502" s="1" t="s">
        <v>197</v>
      </c>
      <c r="I1502" s="2" t="s">
        <v>198</v>
      </c>
      <c r="J1502" s="3" t="s">
        <v>11</v>
      </c>
      <c r="K1502" s="38">
        <v>0.33600000000000002</v>
      </c>
      <c r="L1502" s="39">
        <v>617</v>
      </c>
    </row>
    <row r="1503" spans="1:12" ht="19.95" customHeight="1" x14ac:dyDescent="0.3">
      <c r="A1503" s="6" t="s">
        <v>4411</v>
      </c>
      <c r="B1503" s="7" t="s">
        <v>4412</v>
      </c>
      <c r="C1503" s="6" t="s">
        <v>4925</v>
      </c>
      <c r="D1503" s="7" t="s">
        <v>4605</v>
      </c>
      <c r="E1503" s="6" t="s">
        <v>4835</v>
      </c>
      <c r="F1503" s="7" t="s">
        <v>4413</v>
      </c>
      <c r="G1503" s="7" t="s">
        <v>4367</v>
      </c>
      <c r="H1503" s="5" t="s">
        <v>225</v>
      </c>
      <c r="I1503" s="6" t="s">
        <v>4410</v>
      </c>
      <c r="J1503" s="7" t="s">
        <v>11</v>
      </c>
      <c r="K1503" s="36">
        <v>1.35</v>
      </c>
      <c r="L1503" s="37">
        <v>679</v>
      </c>
    </row>
    <row r="1504" spans="1:12" ht="19.95" customHeight="1" x14ac:dyDescent="0.3">
      <c r="A1504" s="2" t="s">
        <v>4411</v>
      </c>
      <c r="B1504" s="3" t="s">
        <v>4412</v>
      </c>
      <c r="C1504" s="2" t="s">
        <v>4925</v>
      </c>
      <c r="D1504" s="3" t="s">
        <v>4605</v>
      </c>
      <c r="E1504" s="2" t="s">
        <v>4835</v>
      </c>
      <c r="F1504" s="3" t="s">
        <v>4413</v>
      </c>
      <c r="G1504" s="3" t="s">
        <v>4367</v>
      </c>
      <c r="H1504" s="1" t="s">
        <v>199</v>
      </c>
      <c r="I1504" s="2" t="s">
        <v>200</v>
      </c>
      <c r="J1504" s="3" t="s">
        <v>11</v>
      </c>
      <c r="K1504" s="38">
        <v>3.2000000000000001E-2</v>
      </c>
      <c r="L1504" s="39">
        <v>738</v>
      </c>
    </row>
    <row r="1505" spans="1:12" ht="19.95" customHeight="1" x14ac:dyDescent="0.3">
      <c r="A1505" s="6" t="s">
        <v>4411</v>
      </c>
      <c r="B1505" s="7" t="s">
        <v>4412</v>
      </c>
      <c r="C1505" s="6" t="s">
        <v>4925</v>
      </c>
      <c r="D1505" s="7" t="s">
        <v>4605</v>
      </c>
      <c r="E1505" s="6" t="s">
        <v>4835</v>
      </c>
      <c r="F1505" s="7" t="s">
        <v>4413</v>
      </c>
      <c r="G1505" s="7" t="s">
        <v>4367</v>
      </c>
      <c r="H1505" s="5" t="s">
        <v>209</v>
      </c>
      <c r="I1505" s="6" t="s">
        <v>210</v>
      </c>
      <c r="J1505" s="7" t="s">
        <v>11</v>
      </c>
      <c r="K1505" s="36">
        <v>0.224</v>
      </c>
      <c r="L1505" s="37">
        <v>558</v>
      </c>
    </row>
    <row r="1506" spans="1:12" ht="19.95" customHeight="1" x14ac:dyDescent="0.3">
      <c r="A1506" s="2" t="s">
        <v>4411</v>
      </c>
      <c r="B1506" s="3" t="s">
        <v>4412</v>
      </c>
      <c r="C1506" s="2" t="s">
        <v>4925</v>
      </c>
      <c r="D1506" s="3" t="s">
        <v>4605</v>
      </c>
      <c r="E1506" s="2" t="s">
        <v>4835</v>
      </c>
      <c r="F1506" s="3" t="s">
        <v>4413</v>
      </c>
      <c r="G1506" s="3" t="s">
        <v>4367</v>
      </c>
      <c r="H1506" s="1" t="s">
        <v>211</v>
      </c>
      <c r="I1506" s="2" t="s">
        <v>212</v>
      </c>
      <c r="J1506" s="3" t="s">
        <v>11</v>
      </c>
      <c r="K1506" s="38">
        <v>0.112</v>
      </c>
      <c r="L1506" s="39">
        <v>558</v>
      </c>
    </row>
    <row r="1507" spans="1:12" ht="19.95" customHeight="1" x14ac:dyDescent="0.3">
      <c r="A1507" s="6" t="s">
        <v>4411</v>
      </c>
      <c r="B1507" s="7" t="s">
        <v>4412</v>
      </c>
      <c r="C1507" s="6" t="s">
        <v>4925</v>
      </c>
      <c r="D1507" s="7" t="s">
        <v>4605</v>
      </c>
      <c r="E1507" s="6" t="s">
        <v>4835</v>
      </c>
      <c r="F1507" s="7" t="s">
        <v>4413</v>
      </c>
      <c r="G1507" s="7" t="s">
        <v>4367</v>
      </c>
      <c r="H1507" s="5" t="s">
        <v>194</v>
      </c>
      <c r="I1507" s="6" t="s">
        <v>196</v>
      </c>
      <c r="J1507" s="7" t="s">
        <v>11</v>
      </c>
      <c r="K1507" s="36">
        <v>0.224</v>
      </c>
      <c r="L1507" s="37">
        <v>617</v>
      </c>
    </row>
    <row r="1508" spans="1:12" ht="19.95" customHeight="1" x14ac:dyDescent="0.3">
      <c r="A1508" s="2" t="s">
        <v>4411</v>
      </c>
      <c r="B1508" s="3" t="s">
        <v>4412</v>
      </c>
      <c r="C1508" s="2" t="s">
        <v>4925</v>
      </c>
      <c r="D1508" s="3" t="s">
        <v>4605</v>
      </c>
      <c r="E1508" s="2" t="s">
        <v>4835</v>
      </c>
      <c r="F1508" s="3" t="s">
        <v>4413</v>
      </c>
      <c r="G1508" s="3" t="s">
        <v>4367</v>
      </c>
      <c r="H1508" s="1" t="s">
        <v>225</v>
      </c>
      <c r="I1508" s="2" t="s">
        <v>4410</v>
      </c>
      <c r="J1508" s="3" t="s">
        <v>11</v>
      </c>
      <c r="K1508" s="38">
        <v>0.44800000000000001</v>
      </c>
      <c r="L1508" s="39">
        <v>679</v>
      </c>
    </row>
    <row r="1509" spans="1:12" ht="19.95" customHeight="1" x14ac:dyDescent="0.3">
      <c r="A1509" s="6" t="s">
        <v>4411</v>
      </c>
      <c r="B1509" s="7" t="s">
        <v>4412</v>
      </c>
      <c r="C1509" s="6" t="s">
        <v>4925</v>
      </c>
      <c r="D1509" s="7" t="s">
        <v>4605</v>
      </c>
      <c r="E1509" s="6" t="s">
        <v>4835</v>
      </c>
      <c r="F1509" s="7" t="s">
        <v>4413</v>
      </c>
      <c r="G1509" s="7" t="s">
        <v>4367</v>
      </c>
      <c r="H1509" s="5" t="s">
        <v>194</v>
      </c>
      <c r="I1509" s="6" t="s">
        <v>196</v>
      </c>
      <c r="J1509" s="7" t="s">
        <v>11</v>
      </c>
      <c r="K1509" s="36">
        <v>0.33600000000000002</v>
      </c>
      <c r="L1509" s="37">
        <v>617</v>
      </c>
    </row>
    <row r="1510" spans="1:12" ht="19.95" customHeight="1" x14ac:dyDescent="0.3">
      <c r="A1510" s="2" t="s">
        <v>4411</v>
      </c>
      <c r="B1510" s="3" t="s">
        <v>4412</v>
      </c>
      <c r="C1510" s="2" t="s">
        <v>4925</v>
      </c>
      <c r="D1510" s="3" t="s">
        <v>4605</v>
      </c>
      <c r="E1510" s="2" t="s">
        <v>4835</v>
      </c>
      <c r="F1510" s="3" t="s">
        <v>4413</v>
      </c>
      <c r="G1510" s="3" t="s">
        <v>4367</v>
      </c>
      <c r="H1510" s="1" t="s">
        <v>209</v>
      </c>
      <c r="I1510" s="2" t="s">
        <v>210</v>
      </c>
      <c r="J1510" s="3" t="s">
        <v>11</v>
      </c>
      <c r="K1510" s="38">
        <v>0.33600000000000002</v>
      </c>
      <c r="L1510" s="39">
        <v>558</v>
      </c>
    </row>
    <row r="1511" spans="1:12" ht="19.95" customHeight="1" x14ac:dyDescent="0.3">
      <c r="A1511" s="6" t="s">
        <v>4411</v>
      </c>
      <c r="B1511" s="7" t="s">
        <v>4412</v>
      </c>
      <c r="C1511" s="6" t="s">
        <v>4925</v>
      </c>
      <c r="D1511" s="7" t="s">
        <v>4605</v>
      </c>
      <c r="E1511" s="6" t="s">
        <v>4835</v>
      </c>
      <c r="F1511" s="7" t="s">
        <v>4413</v>
      </c>
      <c r="G1511" s="7" t="s">
        <v>4367</v>
      </c>
      <c r="H1511" s="5" t="s">
        <v>211</v>
      </c>
      <c r="I1511" s="6" t="s">
        <v>212</v>
      </c>
      <c r="J1511" s="7" t="s">
        <v>11</v>
      </c>
      <c r="K1511" s="36">
        <v>0.33600000000000002</v>
      </c>
      <c r="L1511" s="37">
        <v>558</v>
      </c>
    </row>
    <row r="1512" spans="1:12" ht="19.95" customHeight="1" x14ac:dyDescent="0.3">
      <c r="A1512" s="2" t="s">
        <v>4411</v>
      </c>
      <c r="B1512" s="3" t="s">
        <v>4412</v>
      </c>
      <c r="C1512" s="2" t="s">
        <v>4925</v>
      </c>
      <c r="D1512" s="3" t="s">
        <v>4605</v>
      </c>
      <c r="E1512" s="2" t="s">
        <v>4835</v>
      </c>
      <c r="F1512" s="3" t="s">
        <v>4413</v>
      </c>
      <c r="G1512" s="3" t="s">
        <v>4367</v>
      </c>
      <c r="H1512" s="1" t="s">
        <v>197</v>
      </c>
      <c r="I1512" s="2" t="s">
        <v>198</v>
      </c>
      <c r="J1512" s="3" t="s">
        <v>11</v>
      </c>
      <c r="K1512" s="38">
        <v>0.33600000000000002</v>
      </c>
      <c r="L1512" s="39">
        <v>617</v>
      </c>
    </row>
    <row r="1513" spans="1:12" ht="19.95" customHeight="1" x14ac:dyDescent="0.3">
      <c r="A1513" s="6" t="s">
        <v>4411</v>
      </c>
      <c r="B1513" s="7" t="s">
        <v>4412</v>
      </c>
      <c r="C1513" s="6" t="s">
        <v>4925</v>
      </c>
      <c r="D1513" s="7" t="s">
        <v>4605</v>
      </c>
      <c r="E1513" s="6" t="s">
        <v>4835</v>
      </c>
      <c r="F1513" s="7" t="s">
        <v>4413</v>
      </c>
      <c r="G1513" s="7" t="s">
        <v>4367</v>
      </c>
      <c r="H1513" s="5" t="s">
        <v>225</v>
      </c>
      <c r="I1513" s="6" t="s">
        <v>4410</v>
      </c>
      <c r="J1513" s="7" t="s">
        <v>11</v>
      </c>
      <c r="K1513" s="36">
        <v>2.7</v>
      </c>
      <c r="L1513" s="37">
        <v>679</v>
      </c>
    </row>
    <row r="1514" spans="1:12" ht="19.95" customHeight="1" x14ac:dyDescent="0.3">
      <c r="A1514" s="2" t="s">
        <v>4411</v>
      </c>
      <c r="B1514" s="3" t="s">
        <v>4412</v>
      </c>
      <c r="C1514" s="2" t="s">
        <v>4925</v>
      </c>
      <c r="D1514" s="3" t="s">
        <v>4605</v>
      </c>
      <c r="E1514" s="2" t="s">
        <v>4835</v>
      </c>
      <c r="F1514" s="3" t="s">
        <v>4413</v>
      </c>
      <c r="G1514" s="3" t="s">
        <v>4367</v>
      </c>
      <c r="H1514" s="1" t="s">
        <v>199</v>
      </c>
      <c r="I1514" s="2" t="s">
        <v>200</v>
      </c>
      <c r="J1514" s="3" t="s">
        <v>11</v>
      </c>
      <c r="K1514" s="38">
        <v>6.4000000000000001E-2</v>
      </c>
      <c r="L1514" s="39">
        <v>738</v>
      </c>
    </row>
    <row r="1515" spans="1:12" ht="19.95" customHeight="1" x14ac:dyDescent="0.3">
      <c r="A1515" s="6" t="s">
        <v>4411</v>
      </c>
      <c r="B1515" s="7" t="s">
        <v>4412</v>
      </c>
      <c r="C1515" s="6" t="s">
        <v>4925</v>
      </c>
      <c r="D1515" s="7" t="s">
        <v>4605</v>
      </c>
      <c r="E1515" s="6" t="s">
        <v>4835</v>
      </c>
      <c r="F1515" s="7" t="s">
        <v>4413</v>
      </c>
      <c r="G1515" s="7" t="s">
        <v>4367</v>
      </c>
      <c r="H1515" s="5" t="s">
        <v>209</v>
      </c>
      <c r="I1515" s="6" t="s">
        <v>210</v>
      </c>
      <c r="J1515" s="7" t="s">
        <v>11</v>
      </c>
      <c r="K1515" s="36">
        <v>0.44800000000000001</v>
      </c>
      <c r="L1515" s="37">
        <v>558</v>
      </c>
    </row>
    <row r="1516" spans="1:12" ht="19.95" customHeight="1" x14ac:dyDescent="0.3">
      <c r="A1516" s="2" t="s">
        <v>4411</v>
      </c>
      <c r="B1516" s="3" t="s">
        <v>4412</v>
      </c>
      <c r="C1516" s="2" t="s">
        <v>4925</v>
      </c>
      <c r="D1516" s="3" t="s">
        <v>4605</v>
      </c>
      <c r="E1516" s="2" t="s">
        <v>4835</v>
      </c>
      <c r="F1516" s="3" t="s">
        <v>4413</v>
      </c>
      <c r="G1516" s="3" t="s">
        <v>4367</v>
      </c>
      <c r="H1516" s="1" t="s">
        <v>211</v>
      </c>
      <c r="I1516" s="2" t="s">
        <v>212</v>
      </c>
      <c r="J1516" s="3" t="s">
        <v>11</v>
      </c>
      <c r="K1516" s="38">
        <v>0.224</v>
      </c>
      <c r="L1516" s="39">
        <v>558</v>
      </c>
    </row>
    <row r="1517" spans="1:12" ht="19.95" customHeight="1" x14ac:dyDescent="0.3">
      <c r="A1517" s="6" t="s">
        <v>4411</v>
      </c>
      <c r="B1517" s="7" t="s">
        <v>4412</v>
      </c>
      <c r="C1517" s="6" t="s">
        <v>4925</v>
      </c>
      <c r="D1517" s="7" t="s">
        <v>4605</v>
      </c>
      <c r="E1517" s="6" t="s">
        <v>4835</v>
      </c>
      <c r="F1517" s="7" t="s">
        <v>4413</v>
      </c>
      <c r="G1517" s="7" t="s">
        <v>4367</v>
      </c>
      <c r="H1517" s="5" t="s">
        <v>194</v>
      </c>
      <c r="I1517" s="6" t="s">
        <v>196</v>
      </c>
      <c r="J1517" s="7" t="s">
        <v>11</v>
      </c>
      <c r="K1517" s="36">
        <v>0.44800000000000001</v>
      </c>
      <c r="L1517" s="37">
        <v>617</v>
      </c>
    </row>
    <row r="1518" spans="1:12" ht="19.95" customHeight="1" x14ac:dyDescent="0.3">
      <c r="A1518" s="2" t="s">
        <v>4411</v>
      </c>
      <c r="B1518" s="3" t="s">
        <v>4412</v>
      </c>
      <c r="C1518" s="2" t="s">
        <v>4925</v>
      </c>
      <c r="D1518" s="3" t="s">
        <v>4605</v>
      </c>
      <c r="E1518" s="2" t="s">
        <v>4835</v>
      </c>
      <c r="F1518" s="3" t="s">
        <v>4413</v>
      </c>
      <c r="G1518" s="3" t="s">
        <v>4367</v>
      </c>
      <c r="H1518" s="1" t="s">
        <v>225</v>
      </c>
      <c r="I1518" s="2" t="s">
        <v>4410</v>
      </c>
      <c r="J1518" s="3" t="s">
        <v>11</v>
      </c>
      <c r="K1518" s="38">
        <v>0.44800000000000001</v>
      </c>
      <c r="L1518" s="39">
        <v>679</v>
      </c>
    </row>
    <row r="1519" spans="1:12" ht="19.95" customHeight="1" x14ac:dyDescent="0.3">
      <c r="A1519" s="6" t="s">
        <v>4411</v>
      </c>
      <c r="B1519" s="7" t="s">
        <v>4412</v>
      </c>
      <c r="C1519" s="6" t="s">
        <v>4925</v>
      </c>
      <c r="D1519" s="7" t="s">
        <v>4605</v>
      </c>
      <c r="E1519" s="6" t="s">
        <v>4835</v>
      </c>
      <c r="F1519" s="7" t="s">
        <v>4413</v>
      </c>
      <c r="G1519" s="7" t="s">
        <v>4367</v>
      </c>
      <c r="H1519" s="5" t="s">
        <v>194</v>
      </c>
      <c r="I1519" s="6" t="s">
        <v>196</v>
      </c>
      <c r="J1519" s="7" t="s">
        <v>11</v>
      </c>
      <c r="K1519" s="36">
        <v>0.33600000000000002</v>
      </c>
      <c r="L1519" s="37">
        <v>617</v>
      </c>
    </row>
    <row r="1520" spans="1:12" ht="19.95" customHeight="1" x14ac:dyDescent="0.3">
      <c r="A1520" s="2" t="s">
        <v>4411</v>
      </c>
      <c r="B1520" s="3" t="s">
        <v>4412</v>
      </c>
      <c r="C1520" s="2" t="s">
        <v>4925</v>
      </c>
      <c r="D1520" s="3" t="s">
        <v>4605</v>
      </c>
      <c r="E1520" s="2" t="s">
        <v>4835</v>
      </c>
      <c r="F1520" s="3" t="s">
        <v>4413</v>
      </c>
      <c r="G1520" s="3" t="s">
        <v>4367</v>
      </c>
      <c r="H1520" s="1" t="s">
        <v>209</v>
      </c>
      <c r="I1520" s="2" t="s">
        <v>210</v>
      </c>
      <c r="J1520" s="3" t="s">
        <v>11</v>
      </c>
      <c r="K1520" s="38">
        <v>0.33600000000000002</v>
      </c>
      <c r="L1520" s="39">
        <v>558</v>
      </c>
    </row>
    <row r="1521" spans="1:12" ht="19.95" customHeight="1" x14ac:dyDescent="0.3">
      <c r="A1521" s="6" t="s">
        <v>4411</v>
      </c>
      <c r="B1521" s="7" t="s">
        <v>4412</v>
      </c>
      <c r="C1521" s="6" t="s">
        <v>4925</v>
      </c>
      <c r="D1521" s="7" t="s">
        <v>4605</v>
      </c>
      <c r="E1521" s="6" t="s">
        <v>4835</v>
      </c>
      <c r="F1521" s="7" t="s">
        <v>4413</v>
      </c>
      <c r="G1521" s="7" t="s">
        <v>4367</v>
      </c>
      <c r="H1521" s="5" t="s">
        <v>211</v>
      </c>
      <c r="I1521" s="6" t="s">
        <v>212</v>
      </c>
      <c r="J1521" s="7" t="s">
        <v>11</v>
      </c>
      <c r="K1521" s="36">
        <v>0.33600000000000002</v>
      </c>
      <c r="L1521" s="37">
        <v>558</v>
      </c>
    </row>
    <row r="1522" spans="1:12" ht="19.95" customHeight="1" x14ac:dyDescent="0.3">
      <c r="A1522" s="2" t="s">
        <v>4411</v>
      </c>
      <c r="B1522" s="3" t="s">
        <v>4412</v>
      </c>
      <c r="C1522" s="2" t="s">
        <v>4925</v>
      </c>
      <c r="D1522" s="3" t="s">
        <v>4605</v>
      </c>
      <c r="E1522" s="2" t="s">
        <v>4835</v>
      </c>
      <c r="F1522" s="3" t="s">
        <v>4413</v>
      </c>
      <c r="G1522" s="3" t="s">
        <v>4367</v>
      </c>
      <c r="H1522" s="1" t="s">
        <v>197</v>
      </c>
      <c r="I1522" s="2" t="s">
        <v>198</v>
      </c>
      <c r="J1522" s="3" t="s">
        <v>11</v>
      </c>
      <c r="K1522" s="38">
        <v>0.33600000000000002</v>
      </c>
      <c r="L1522" s="39">
        <v>617</v>
      </c>
    </row>
    <row r="1523" spans="1:12" ht="19.95" customHeight="1" x14ac:dyDescent="0.3">
      <c r="A1523" s="6" t="s">
        <v>4411</v>
      </c>
      <c r="B1523" s="7" t="s">
        <v>4412</v>
      </c>
      <c r="C1523" s="6" t="s">
        <v>4925</v>
      </c>
      <c r="D1523" s="7" t="s">
        <v>4605</v>
      </c>
      <c r="E1523" s="6" t="s">
        <v>4835</v>
      </c>
      <c r="F1523" s="7" t="s">
        <v>4413</v>
      </c>
      <c r="G1523" s="7" t="s">
        <v>4367</v>
      </c>
      <c r="H1523" s="5" t="s">
        <v>225</v>
      </c>
      <c r="I1523" s="6" t="s">
        <v>4410</v>
      </c>
      <c r="J1523" s="7" t="s">
        <v>11</v>
      </c>
      <c r="K1523" s="36">
        <v>2.7</v>
      </c>
      <c r="L1523" s="37">
        <v>679</v>
      </c>
    </row>
    <row r="1524" spans="1:12" ht="19.95" customHeight="1" x14ac:dyDescent="0.3">
      <c r="A1524" s="2" t="s">
        <v>4411</v>
      </c>
      <c r="B1524" s="3" t="s">
        <v>4412</v>
      </c>
      <c r="C1524" s="2" t="s">
        <v>4925</v>
      </c>
      <c r="D1524" s="3" t="s">
        <v>4605</v>
      </c>
      <c r="E1524" s="2" t="s">
        <v>4835</v>
      </c>
      <c r="F1524" s="3" t="s">
        <v>4413</v>
      </c>
      <c r="G1524" s="3" t="s">
        <v>4367</v>
      </c>
      <c r="H1524" s="1" t="s">
        <v>199</v>
      </c>
      <c r="I1524" s="2" t="s">
        <v>200</v>
      </c>
      <c r="J1524" s="3" t="s">
        <v>11</v>
      </c>
      <c r="K1524" s="38">
        <v>6.4000000000000001E-2</v>
      </c>
      <c r="L1524" s="39">
        <v>738</v>
      </c>
    </row>
    <row r="1525" spans="1:12" ht="19.95" customHeight="1" x14ac:dyDescent="0.3">
      <c r="A1525" s="6" t="s">
        <v>4411</v>
      </c>
      <c r="B1525" s="7" t="s">
        <v>4412</v>
      </c>
      <c r="C1525" s="6" t="s">
        <v>4925</v>
      </c>
      <c r="D1525" s="7" t="s">
        <v>4605</v>
      </c>
      <c r="E1525" s="6" t="s">
        <v>4835</v>
      </c>
      <c r="F1525" s="7" t="s">
        <v>4413</v>
      </c>
      <c r="G1525" s="7" t="s">
        <v>4367</v>
      </c>
      <c r="H1525" s="5" t="s">
        <v>209</v>
      </c>
      <c r="I1525" s="6" t="s">
        <v>210</v>
      </c>
      <c r="J1525" s="7" t="s">
        <v>11</v>
      </c>
      <c r="K1525" s="36">
        <v>0.44800000000000001</v>
      </c>
      <c r="L1525" s="37">
        <v>558</v>
      </c>
    </row>
    <row r="1526" spans="1:12" ht="19.95" customHeight="1" x14ac:dyDescent="0.3">
      <c r="A1526" s="2" t="s">
        <v>4411</v>
      </c>
      <c r="B1526" s="3" t="s">
        <v>4412</v>
      </c>
      <c r="C1526" s="2" t="s">
        <v>4925</v>
      </c>
      <c r="D1526" s="3" t="s">
        <v>4605</v>
      </c>
      <c r="E1526" s="2" t="s">
        <v>4835</v>
      </c>
      <c r="F1526" s="3" t="s">
        <v>4413</v>
      </c>
      <c r="G1526" s="3" t="s">
        <v>4367</v>
      </c>
      <c r="H1526" s="1" t="s">
        <v>211</v>
      </c>
      <c r="I1526" s="2" t="s">
        <v>212</v>
      </c>
      <c r="J1526" s="3" t="s">
        <v>11</v>
      </c>
      <c r="K1526" s="38">
        <v>0.224</v>
      </c>
      <c r="L1526" s="39">
        <v>558</v>
      </c>
    </row>
    <row r="1527" spans="1:12" ht="19.95" customHeight="1" x14ac:dyDescent="0.3">
      <c r="A1527" s="6" t="s">
        <v>4411</v>
      </c>
      <c r="B1527" s="7" t="s">
        <v>4412</v>
      </c>
      <c r="C1527" s="6" t="s">
        <v>4925</v>
      </c>
      <c r="D1527" s="7" t="s">
        <v>4605</v>
      </c>
      <c r="E1527" s="6" t="s">
        <v>4835</v>
      </c>
      <c r="F1527" s="7" t="s">
        <v>4413</v>
      </c>
      <c r="G1527" s="7" t="s">
        <v>4367</v>
      </c>
      <c r="H1527" s="5" t="s">
        <v>194</v>
      </c>
      <c r="I1527" s="6" t="s">
        <v>196</v>
      </c>
      <c r="J1527" s="7" t="s">
        <v>11</v>
      </c>
      <c r="K1527" s="36">
        <v>0.44800000000000001</v>
      </c>
      <c r="L1527" s="37">
        <v>617</v>
      </c>
    </row>
    <row r="1528" spans="1:12" ht="19.95" customHeight="1" x14ac:dyDescent="0.3">
      <c r="A1528" s="2" t="s">
        <v>4411</v>
      </c>
      <c r="B1528" s="3" t="s">
        <v>4412</v>
      </c>
      <c r="C1528" s="2" t="s">
        <v>4925</v>
      </c>
      <c r="D1528" s="3" t="s">
        <v>4605</v>
      </c>
      <c r="E1528" s="2" t="s">
        <v>4835</v>
      </c>
      <c r="F1528" s="3" t="s">
        <v>4413</v>
      </c>
      <c r="G1528" s="3" t="s">
        <v>4367</v>
      </c>
      <c r="H1528" s="1" t="s">
        <v>225</v>
      </c>
      <c r="I1528" s="2" t="s">
        <v>4410</v>
      </c>
      <c r="J1528" s="3" t="s">
        <v>11</v>
      </c>
      <c r="K1528" s="38">
        <v>0.44800000000000001</v>
      </c>
      <c r="L1528" s="39">
        <v>679</v>
      </c>
    </row>
    <row r="1529" spans="1:12" ht="19.95" customHeight="1" x14ac:dyDescent="0.3">
      <c r="A1529" s="6" t="s">
        <v>4411</v>
      </c>
      <c r="B1529" s="7" t="s">
        <v>4412</v>
      </c>
      <c r="C1529" s="6" t="s">
        <v>4925</v>
      </c>
      <c r="D1529" s="7" t="s">
        <v>4605</v>
      </c>
      <c r="E1529" s="6" t="s">
        <v>4835</v>
      </c>
      <c r="F1529" s="7" t="s">
        <v>4413</v>
      </c>
      <c r="G1529" s="7" t="s">
        <v>4367</v>
      </c>
      <c r="H1529" s="5" t="s">
        <v>194</v>
      </c>
      <c r="I1529" s="6" t="s">
        <v>196</v>
      </c>
      <c r="J1529" s="7" t="s">
        <v>11</v>
      </c>
      <c r="K1529" s="36">
        <v>0.33600000000000002</v>
      </c>
      <c r="L1529" s="37">
        <v>617</v>
      </c>
    </row>
    <row r="1530" spans="1:12" ht="19.95" customHeight="1" x14ac:dyDescent="0.3">
      <c r="A1530" s="2" t="s">
        <v>4411</v>
      </c>
      <c r="B1530" s="3" t="s">
        <v>4412</v>
      </c>
      <c r="C1530" s="2" t="s">
        <v>4925</v>
      </c>
      <c r="D1530" s="3" t="s">
        <v>4605</v>
      </c>
      <c r="E1530" s="2" t="s">
        <v>4835</v>
      </c>
      <c r="F1530" s="3" t="s">
        <v>4413</v>
      </c>
      <c r="G1530" s="3" t="s">
        <v>4367</v>
      </c>
      <c r="H1530" s="1" t="s">
        <v>209</v>
      </c>
      <c r="I1530" s="2" t="s">
        <v>210</v>
      </c>
      <c r="J1530" s="3" t="s">
        <v>11</v>
      </c>
      <c r="K1530" s="38">
        <v>0.33600000000000002</v>
      </c>
      <c r="L1530" s="39">
        <v>558</v>
      </c>
    </row>
    <row r="1531" spans="1:12" ht="19.95" customHeight="1" x14ac:dyDescent="0.3">
      <c r="A1531" s="6" t="s">
        <v>4411</v>
      </c>
      <c r="B1531" s="7" t="s">
        <v>4412</v>
      </c>
      <c r="C1531" s="6" t="s">
        <v>4925</v>
      </c>
      <c r="D1531" s="7" t="s">
        <v>4605</v>
      </c>
      <c r="E1531" s="6" t="s">
        <v>4835</v>
      </c>
      <c r="F1531" s="7" t="s">
        <v>4413</v>
      </c>
      <c r="G1531" s="7" t="s">
        <v>4367</v>
      </c>
      <c r="H1531" s="5" t="s">
        <v>211</v>
      </c>
      <c r="I1531" s="6" t="s">
        <v>212</v>
      </c>
      <c r="J1531" s="7" t="s">
        <v>11</v>
      </c>
      <c r="K1531" s="36">
        <v>0.33600000000000002</v>
      </c>
      <c r="L1531" s="37">
        <v>558</v>
      </c>
    </row>
    <row r="1532" spans="1:12" ht="19.95" customHeight="1" x14ac:dyDescent="0.3">
      <c r="A1532" s="2" t="s">
        <v>4411</v>
      </c>
      <c r="B1532" s="3" t="s">
        <v>4412</v>
      </c>
      <c r="C1532" s="2" t="s">
        <v>4925</v>
      </c>
      <c r="D1532" s="3" t="s">
        <v>4605</v>
      </c>
      <c r="E1532" s="2" t="s">
        <v>4835</v>
      </c>
      <c r="F1532" s="3" t="s">
        <v>4413</v>
      </c>
      <c r="G1532" s="3" t="s">
        <v>4367</v>
      </c>
      <c r="H1532" s="1" t="s">
        <v>197</v>
      </c>
      <c r="I1532" s="2" t="s">
        <v>198</v>
      </c>
      <c r="J1532" s="3" t="s">
        <v>11</v>
      </c>
      <c r="K1532" s="38">
        <v>0.33600000000000002</v>
      </c>
      <c r="L1532" s="39">
        <v>617</v>
      </c>
    </row>
    <row r="1533" spans="1:12" ht="19.95" customHeight="1" x14ac:dyDescent="0.3">
      <c r="A1533" s="6" t="s">
        <v>4411</v>
      </c>
      <c r="B1533" s="7" t="s">
        <v>4412</v>
      </c>
      <c r="C1533" s="6" t="s">
        <v>4925</v>
      </c>
      <c r="D1533" s="7" t="s">
        <v>4605</v>
      </c>
      <c r="E1533" s="6" t="s">
        <v>4835</v>
      </c>
      <c r="F1533" s="7" t="s">
        <v>4413</v>
      </c>
      <c r="G1533" s="7" t="s">
        <v>4367</v>
      </c>
      <c r="H1533" s="5" t="s">
        <v>225</v>
      </c>
      <c r="I1533" s="6" t="s">
        <v>4410</v>
      </c>
      <c r="J1533" s="7" t="s">
        <v>11</v>
      </c>
      <c r="K1533" s="36">
        <v>2.7</v>
      </c>
      <c r="L1533" s="37">
        <v>679</v>
      </c>
    </row>
    <row r="1534" spans="1:12" ht="19.95" customHeight="1" x14ac:dyDescent="0.3">
      <c r="A1534" s="2" t="s">
        <v>4411</v>
      </c>
      <c r="B1534" s="3" t="s">
        <v>4412</v>
      </c>
      <c r="C1534" s="2" t="s">
        <v>4925</v>
      </c>
      <c r="D1534" s="3" t="s">
        <v>4605</v>
      </c>
      <c r="E1534" s="2" t="s">
        <v>4835</v>
      </c>
      <c r="F1534" s="3" t="s">
        <v>4413</v>
      </c>
      <c r="G1534" s="3" t="s">
        <v>4367</v>
      </c>
      <c r="H1534" s="1" t="s">
        <v>199</v>
      </c>
      <c r="I1534" s="2" t="s">
        <v>200</v>
      </c>
      <c r="J1534" s="3" t="s">
        <v>11</v>
      </c>
      <c r="K1534" s="38">
        <v>6.4000000000000001E-2</v>
      </c>
      <c r="L1534" s="39">
        <v>738</v>
      </c>
    </row>
    <row r="1535" spans="1:12" ht="19.95" customHeight="1" x14ac:dyDescent="0.3">
      <c r="A1535" s="6" t="s">
        <v>4411</v>
      </c>
      <c r="B1535" s="7" t="s">
        <v>4412</v>
      </c>
      <c r="C1535" s="6" t="s">
        <v>4925</v>
      </c>
      <c r="D1535" s="7" t="s">
        <v>4605</v>
      </c>
      <c r="E1535" s="6" t="s">
        <v>4835</v>
      </c>
      <c r="F1535" s="7" t="s">
        <v>4413</v>
      </c>
      <c r="G1535" s="7" t="s">
        <v>4367</v>
      </c>
      <c r="H1535" s="5" t="s">
        <v>209</v>
      </c>
      <c r="I1535" s="6" t="s">
        <v>210</v>
      </c>
      <c r="J1535" s="7" t="s">
        <v>11</v>
      </c>
      <c r="K1535" s="36">
        <v>0.44800000000000001</v>
      </c>
      <c r="L1535" s="37">
        <v>558</v>
      </c>
    </row>
    <row r="1536" spans="1:12" ht="19.95" customHeight="1" x14ac:dyDescent="0.3">
      <c r="A1536" s="2" t="s">
        <v>4411</v>
      </c>
      <c r="B1536" s="3" t="s">
        <v>4412</v>
      </c>
      <c r="C1536" s="2" t="s">
        <v>4925</v>
      </c>
      <c r="D1536" s="3" t="s">
        <v>4605</v>
      </c>
      <c r="E1536" s="2" t="s">
        <v>4835</v>
      </c>
      <c r="F1536" s="3" t="s">
        <v>4413</v>
      </c>
      <c r="G1536" s="3" t="s">
        <v>4367</v>
      </c>
      <c r="H1536" s="1" t="s">
        <v>211</v>
      </c>
      <c r="I1536" s="2" t="s">
        <v>212</v>
      </c>
      <c r="J1536" s="3" t="s">
        <v>11</v>
      </c>
      <c r="K1536" s="38">
        <v>0.224</v>
      </c>
      <c r="L1536" s="39">
        <v>558</v>
      </c>
    </row>
    <row r="1537" spans="1:12" ht="19.95" customHeight="1" x14ac:dyDescent="0.3">
      <c r="A1537" s="6" t="s">
        <v>4411</v>
      </c>
      <c r="B1537" s="7" t="s">
        <v>4412</v>
      </c>
      <c r="C1537" s="6" t="s">
        <v>4925</v>
      </c>
      <c r="D1537" s="7" t="s">
        <v>4605</v>
      </c>
      <c r="E1537" s="6" t="s">
        <v>4835</v>
      </c>
      <c r="F1537" s="7" t="s">
        <v>4413</v>
      </c>
      <c r="G1537" s="7" t="s">
        <v>4367</v>
      </c>
      <c r="H1537" s="5" t="s">
        <v>194</v>
      </c>
      <c r="I1537" s="6" t="s">
        <v>196</v>
      </c>
      <c r="J1537" s="7" t="s">
        <v>11</v>
      </c>
      <c r="K1537" s="36">
        <v>0.44800000000000001</v>
      </c>
      <c r="L1537" s="37">
        <v>617</v>
      </c>
    </row>
    <row r="1538" spans="1:12" ht="19.95" customHeight="1" x14ac:dyDescent="0.3">
      <c r="A1538" s="2" t="s">
        <v>4411</v>
      </c>
      <c r="B1538" s="3" t="s">
        <v>4412</v>
      </c>
      <c r="C1538" s="2" t="s">
        <v>4925</v>
      </c>
      <c r="D1538" s="3" t="s">
        <v>4605</v>
      </c>
      <c r="E1538" s="2" t="s">
        <v>4835</v>
      </c>
      <c r="F1538" s="3" t="s">
        <v>4413</v>
      </c>
      <c r="G1538" s="3" t="s">
        <v>4367</v>
      </c>
      <c r="H1538" s="1" t="s">
        <v>225</v>
      </c>
      <c r="I1538" s="2" t="s">
        <v>4410</v>
      </c>
      <c r="J1538" s="3" t="s">
        <v>11</v>
      </c>
      <c r="K1538" s="38">
        <v>0.44800000000000001</v>
      </c>
      <c r="L1538" s="39">
        <v>679</v>
      </c>
    </row>
    <row r="1539" spans="1:12" ht="19.95" customHeight="1" x14ac:dyDescent="0.3">
      <c r="A1539" s="6" t="s">
        <v>4411</v>
      </c>
      <c r="B1539" s="7" t="s">
        <v>4412</v>
      </c>
      <c r="C1539" s="6" t="s">
        <v>4925</v>
      </c>
      <c r="D1539" s="7" t="s">
        <v>4605</v>
      </c>
      <c r="E1539" s="6" t="s">
        <v>4835</v>
      </c>
      <c r="F1539" s="7" t="s">
        <v>4413</v>
      </c>
      <c r="G1539" s="7" t="s">
        <v>4367</v>
      </c>
      <c r="H1539" s="5" t="s">
        <v>194</v>
      </c>
      <c r="I1539" s="6" t="s">
        <v>196</v>
      </c>
      <c r="J1539" s="7" t="s">
        <v>11</v>
      </c>
      <c r="K1539" s="36">
        <v>0.33600000000000002</v>
      </c>
      <c r="L1539" s="37">
        <v>617</v>
      </c>
    </row>
    <row r="1540" spans="1:12" ht="19.95" customHeight="1" x14ac:dyDescent="0.3">
      <c r="A1540" s="2" t="s">
        <v>4411</v>
      </c>
      <c r="B1540" s="3" t="s">
        <v>4412</v>
      </c>
      <c r="C1540" s="2" t="s">
        <v>4925</v>
      </c>
      <c r="D1540" s="3" t="s">
        <v>4605</v>
      </c>
      <c r="E1540" s="2" t="s">
        <v>4835</v>
      </c>
      <c r="F1540" s="3" t="s">
        <v>4413</v>
      </c>
      <c r="G1540" s="3" t="s">
        <v>4367</v>
      </c>
      <c r="H1540" s="1" t="s">
        <v>209</v>
      </c>
      <c r="I1540" s="2" t="s">
        <v>210</v>
      </c>
      <c r="J1540" s="3" t="s">
        <v>11</v>
      </c>
      <c r="K1540" s="38">
        <v>0.33600000000000002</v>
      </c>
      <c r="L1540" s="39">
        <v>558</v>
      </c>
    </row>
    <row r="1541" spans="1:12" ht="19.95" customHeight="1" x14ac:dyDescent="0.3">
      <c r="A1541" s="6" t="s">
        <v>4411</v>
      </c>
      <c r="B1541" s="7" t="s">
        <v>4412</v>
      </c>
      <c r="C1541" s="6" t="s">
        <v>4925</v>
      </c>
      <c r="D1541" s="7" t="s">
        <v>4605</v>
      </c>
      <c r="E1541" s="6" t="s">
        <v>4835</v>
      </c>
      <c r="F1541" s="7" t="s">
        <v>4413</v>
      </c>
      <c r="G1541" s="7" t="s">
        <v>4367</v>
      </c>
      <c r="H1541" s="5" t="s">
        <v>211</v>
      </c>
      <c r="I1541" s="6" t="s">
        <v>212</v>
      </c>
      <c r="J1541" s="7" t="s">
        <v>11</v>
      </c>
      <c r="K1541" s="36">
        <v>0.33600000000000002</v>
      </c>
      <c r="L1541" s="37">
        <v>558</v>
      </c>
    </row>
    <row r="1542" spans="1:12" ht="19.95" customHeight="1" x14ac:dyDescent="0.3">
      <c r="A1542" s="2" t="s">
        <v>4411</v>
      </c>
      <c r="B1542" s="3" t="s">
        <v>4412</v>
      </c>
      <c r="C1542" s="2" t="s">
        <v>4925</v>
      </c>
      <c r="D1542" s="3" t="s">
        <v>4605</v>
      </c>
      <c r="E1542" s="2" t="s">
        <v>4835</v>
      </c>
      <c r="F1542" s="3" t="s">
        <v>4413</v>
      </c>
      <c r="G1542" s="3" t="s">
        <v>4367</v>
      </c>
      <c r="H1542" s="1" t="s">
        <v>197</v>
      </c>
      <c r="I1542" s="2" t="s">
        <v>198</v>
      </c>
      <c r="J1542" s="3" t="s">
        <v>11</v>
      </c>
      <c r="K1542" s="38">
        <v>0.33600000000000002</v>
      </c>
      <c r="L1542" s="39">
        <v>617</v>
      </c>
    </row>
    <row r="1543" spans="1:12" ht="19.95" customHeight="1" x14ac:dyDescent="0.3">
      <c r="A1543" s="6" t="s">
        <v>4411</v>
      </c>
      <c r="B1543" s="7" t="s">
        <v>4412</v>
      </c>
      <c r="C1543" s="6" t="s">
        <v>4925</v>
      </c>
      <c r="D1543" s="7" t="s">
        <v>4605</v>
      </c>
      <c r="E1543" s="6" t="s">
        <v>4835</v>
      </c>
      <c r="F1543" s="7" t="s">
        <v>4413</v>
      </c>
      <c r="G1543" s="7" t="s">
        <v>4367</v>
      </c>
      <c r="H1543" s="5" t="s">
        <v>225</v>
      </c>
      <c r="I1543" s="6" t="s">
        <v>4410</v>
      </c>
      <c r="J1543" s="7" t="s">
        <v>11</v>
      </c>
      <c r="K1543" s="36">
        <v>2.7</v>
      </c>
      <c r="L1543" s="37">
        <v>679</v>
      </c>
    </row>
    <row r="1544" spans="1:12" ht="19.95" customHeight="1" x14ac:dyDescent="0.3">
      <c r="A1544" s="2" t="s">
        <v>4411</v>
      </c>
      <c r="B1544" s="3" t="s">
        <v>4412</v>
      </c>
      <c r="C1544" s="2" t="s">
        <v>4925</v>
      </c>
      <c r="D1544" s="3" t="s">
        <v>4605</v>
      </c>
      <c r="E1544" s="2" t="s">
        <v>4835</v>
      </c>
      <c r="F1544" s="3" t="s">
        <v>4413</v>
      </c>
      <c r="G1544" s="3" t="s">
        <v>4367</v>
      </c>
      <c r="H1544" s="1" t="s">
        <v>199</v>
      </c>
      <c r="I1544" s="2" t="s">
        <v>200</v>
      </c>
      <c r="J1544" s="3" t="s">
        <v>11</v>
      </c>
      <c r="K1544" s="38">
        <v>6.4000000000000001E-2</v>
      </c>
      <c r="L1544" s="39">
        <v>738</v>
      </c>
    </row>
    <row r="1545" spans="1:12" ht="19.95" customHeight="1" x14ac:dyDescent="0.3">
      <c r="A1545" s="6" t="s">
        <v>4411</v>
      </c>
      <c r="B1545" s="7" t="s">
        <v>4412</v>
      </c>
      <c r="C1545" s="6" t="s">
        <v>4925</v>
      </c>
      <c r="D1545" s="7" t="s">
        <v>4605</v>
      </c>
      <c r="E1545" s="6" t="s">
        <v>4835</v>
      </c>
      <c r="F1545" s="7" t="s">
        <v>4413</v>
      </c>
      <c r="G1545" s="7" t="s">
        <v>4367</v>
      </c>
      <c r="H1545" s="5" t="s">
        <v>209</v>
      </c>
      <c r="I1545" s="6" t="s">
        <v>210</v>
      </c>
      <c r="J1545" s="7" t="s">
        <v>11</v>
      </c>
      <c r="K1545" s="36">
        <v>0.44800000000000001</v>
      </c>
      <c r="L1545" s="37">
        <v>558</v>
      </c>
    </row>
    <row r="1546" spans="1:12" ht="19.95" customHeight="1" x14ac:dyDescent="0.3">
      <c r="A1546" s="2" t="s">
        <v>4411</v>
      </c>
      <c r="B1546" s="3" t="s">
        <v>4412</v>
      </c>
      <c r="C1546" s="2" t="s">
        <v>4925</v>
      </c>
      <c r="D1546" s="3" t="s">
        <v>4605</v>
      </c>
      <c r="E1546" s="2" t="s">
        <v>4835</v>
      </c>
      <c r="F1546" s="3" t="s">
        <v>4413</v>
      </c>
      <c r="G1546" s="3" t="s">
        <v>4367</v>
      </c>
      <c r="H1546" s="1" t="s">
        <v>211</v>
      </c>
      <c r="I1546" s="2" t="s">
        <v>212</v>
      </c>
      <c r="J1546" s="3" t="s">
        <v>11</v>
      </c>
      <c r="K1546" s="38">
        <v>0.224</v>
      </c>
      <c r="L1546" s="39">
        <v>558</v>
      </c>
    </row>
    <row r="1547" spans="1:12" ht="19.95" customHeight="1" x14ac:dyDescent="0.3">
      <c r="A1547" s="6" t="s">
        <v>4411</v>
      </c>
      <c r="B1547" s="7" t="s">
        <v>4412</v>
      </c>
      <c r="C1547" s="6" t="s">
        <v>4925</v>
      </c>
      <c r="D1547" s="7" t="s">
        <v>4605</v>
      </c>
      <c r="E1547" s="6" t="s">
        <v>4835</v>
      </c>
      <c r="F1547" s="7" t="s">
        <v>4413</v>
      </c>
      <c r="G1547" s="7" t="s">
        <v>4367</v>
      </c>
      <c r="H1547" s="5" t="s">
        <v>194</v>
      </c>
      <c r="I1547" s="6" t="s">
        <v>196</v>
      </c>
      <c r="J1547" s="7" t="s">
        <v>11</v>
      </c>
      <c r="K1547" s="36">
        <v>0.44800000000000001</v>
      </c>
      <c r="L1547" s="37">
        <v>617</v>
      </c>
    </row>
    <row r="1548" spans="1:12" ht="19.95" customHeight="1" x14ac:dyDescent="0.3">
      <c r="A1548" s="2" t="s">
        <v>4411</v>
      </c>
      <c r="B1548" s="3" t="s">
        <v>4412</v>
      </c>
      <c r="C1548" s="2" t="s">
        <v>4925</v>
      </c>
      <c r="D1548" s="3" t="s">
        <v>4605</v>
      </c>
      <c r="E1548" s="2" t="s">
        <v>4835</v>
      </c>
      <c r="F1548" s="3" t="s">
        <v>4413</v>
      </c>
      <c r="G1548" s="3" t="s">
        <v>4367</v>
      </c>
      <c r="H1548" s="1" t="s">
        <v>225</v>
      </c>
      <c r="I1548" s="2" t="s">
        <v>4410</v>
      </c>
      <c r="J1548" s="3" t="s">
        <v>11</v>
      </c>
      <c r="K1548" s="38">
        <v>0.44800000000000001</v>
      </c>
      <c r="L1548" s="39">
        <v>679</v>
      </c>
    </row>
    <row r="1549" spans="1:12" ht="19.95" customHeight="1" x14ac:dyDescent="0.3">
      <c r="A1549" s="6" t="s">
        <v>4411</v>
      </c>
      <c r="B1549" s="7" t="s">
        <v>4412</v>
      </c>
      <c r="C1549" s="6" t="s">
        <v>4925</v>
      </c>
      <c r="D1549" s="7" t="s">
        <v>4605</v>
      </c>
      <c r="E1549" s="6" t="s">
        <v>4835</v>
      </c>
      <c r="F1549" s="7" t="s">
        <v>4413</v>
      </c>
      <c r="G1549" s="7" t="s">
        <v>4367</v>
      </c>
      <c r="H1549" s="5" t="s">
        <v>194</v>
      </c>
      <c r="I1549" s="6" t="s">
        <v>196</v>
      </c>
      <c r="J1549" s="7" t="s">
        <v>11</v>
      </c>
      <c r="K1549" s="36">
        <v>0.33600000000000002</v>
      </c>
      <c r="L1549" s="37">
        <v>617</v>
      </c>
    </row>
    <row r="1550" spans="1:12" ht="19.95" customHeight="1" x14ac:dyDescent="0.3">
      <c r="A1550" s="2" t="s">
        <v>4411</v>
      </c>
      <c r="B1550" s="3" t="s">
        <v>4412</v>
      </c>
      <c r="C1550" s="2" t="s">
        <v>4925</v>
      </c>
      <c r="D1550" s="3" t="s">
        <v>4605</v>
      </c>
      <c r="E1550" s="2" t="s">
        <v>4835</v>
      </c>
      <c r="F1550" s="3" t="s">
        <v>4413</v>
      </c>
      <c r="G1550" s="3" t="s">
        <v>4367</v>
      </c>
      <c r="H1550" s="1" t="s">
        <v>209</v>
      </c>
      <c r="I1550" s="2" t="s">
        <v>210</v>
      </c>
      <c r="J1550" s="3" t="s">
        <v>11</v>
      </c>
      <c r="K1550" s="38">
        <v>0.33600000000000002</v>
      </c>
      <c r="L1550" s="39">
        <v>558</v>
      </c>
    </row>
    <row r="1551" spans="1:12" ht="19.95" customHeight="1" x14ac:dyDescent="0.3">
      <c r="A1551" s="6" t="s">
        <v>4411</v>
      </c>
      <c r="B1551" s="7" t="s">
        <v>4412</v>
      </c>
      <c r="C1551" s="6" t="s">
        <v>4925</v>
      </c>
      <c r="D1551" s="7" t="s">
        <v>4605</v>
      </c>
      <c r="E1551" s="6" t="s">
        <v>4835</v>
      </c>
      <c r="F1551" s="7" t="s">
        <v>4413</v>
      </c>
      <c r="G1551" s="7" t="s">
        <v>4367</v>
      </c>
      <c r="H1551" s="5" t="s">
        <v>211</v>
      </c>
      <c r="I1551" s="6" t="s">
        <v>212</v>
      </c>
      <c r="J1551" s="7" t="s">
        <v>11</v>
      </c>
      <c r="K1551" s="36">
        <v>0.33600000000000002</v>
      </c>
      <c r="L1551" s="37">
        <v>558</v>
      </c>
    </row>
    <row r="1552" spans="1:12" ht="19.95" customHeight="1" x14ac:dyDescent="0.3">
      <c r="A1552" s="2" t="s">
        <v>4411</v>
      </c>
      <c r="B1552" s="3" t="s">
        <v>4412</v>
      </c>
      <c r="C1552" s="2" t="s">
        <v>4925</v>
      </c>
      <c r="D1552" s="3" t="s">
        <v>4605</v>
      </c>
      <c r="E1552" s="2" t="s">
        <v>4835</v>
      </c>
      <c r="F1552" s="3" t="s">
        <v>4413</v>
      </c>
      <c r="G1552" s="3" t="s">
        <v>4367</v>
      </c>
      <c r="H1552" s="1" t="s">
        <v>197</v>
      </c>
      <c r="I1552" s="2" t="s">
        <v>198</v>
      </c>
      <c r="J1552" s="3" t="s">
        <v>11</v>
      </c>
      <c r="K1552" s="38">
        <v>0.33600000000000002</v>
      </c>
      <c r="L1552" s="39">
        <v>617</v>
      </c>
    </row>
    <row r="1553" spans="1:12" ht="19.95" customHeight="1" x14ac:dyDescent="0.3">
      <c r="A1553" s="6" t="s">
        <v>4411</v>
      </c>
      <c r="B1553" s="7" t="s">
        <v>4412</v>
      </c>
      <c r="C1553" s="6" t="s">
        <v>4925</v>
      </c>
      <c r="D1553" s="7" t="s">
        <v>4605</v>
      </c>
      <c r="E1553" s="6" t="s">
        <v>4835</v>
      </c>
      <c r="F1553" s="7" t="s">
        <v>4413</v>
      </c>
      <c r="G1553" s="7" t="s">
        <v>4367</v>
      </c>
      <c r="H1553" s="5" t="s">
        <v>225</v>
      </c>
      <c r="I1553" s="6" t="s">
        <v>4410</v>
      </c>
      <c r="J1553" s="7" t="s">
        <v>11</v>
      </c>
      <c r="K1553" s="36">
        <v>1.35</v>
      </c>
      <c r="L1553" s="37">
        <v>679</v>
      </c>
    </row>
    <row r="1554" spans="1:12" ht="19.95" customHeight="1" x14ac:dyDescent="0.3">
      <c r="A1554" s="2" t="s">
        <v>4411</v>
      </c>
      <c r="B1554" s="3" t="s">
        <v>4412</v>
      </c>
      <c r="C1554" s="2" t="s">
        <v>4925</v>
      </c>
      <c r="D1554" s="3" t="s">
        <v>4605</v>
      </c>
      <c r="E1554" s="2" t="s">
        <v>4835</v>
      </c>
      <c r="F1554" s="3" t="s">
        <v>4413</v>
      </c>
      <c r="G1554" s="3" t="s">
        <v>4367</v>
      </c>
      <c r="H1554" s="1" t="s">
        <v>199</v>
      </c>
      <c r="I1554" s="2" t="s">
        <v>200</v>
      </c>
      <c r="J1554" s="3" t="s">
        <v>11</v>
      </c>
      <c r="K1554" s="38">
        <v>3.2000000000000001E-2</v>
      </c>
      <c r="L1554" s="39">
        <v>738</v>
      </c>
    </row>
    <row r="1555" spans="1:12" ht="19.95" customHeight="1" x14ac:dyDescent="0.3">
      <c r="A1555" s="6" t="s">
        <v>4411</v>
      </c>
      <c r="B1555" s="7" t="s">
        <v>4412</v>
      </c>
      <c r="C1555" s="6" t="s">
        <v>4925</v>
      </c>
      <c r="D1555" s="7" t="s">
        <v>4605</v>
      </c>
      <c r="E1555" s="6" t="s">
        <v>4835</v>
      </c>
      <c r="F1555" s="7" t="s">
        <v>4413</v>
      </c>
      <c r="G1555" s="7" t="s">
        <v>4367</v>
      </c>
      <c r="H1555" s="5" t="s">
        <v>209</v>
      </c>
      <c r="I1555" s="6" t="s">
        <v>210</v>
      </c>
      <c r="J1555" s="7" t="s">
        <v>11</v>
      </c>
      <c r="K1555" s="36">
        <v>0.224</v>
      </c>
      <c r="L1555" s="37">
        <v>558</v>
      </c>
    </row>
    <row r="1556" spans="1:12" ht="19.95" customHeight="1" x14ac:dyDescent="0.3">
      <c r="A1556" s="2" t="s">
        <v>4411</v>
      </c>
      <c r="B1556" s="3" t="s">
        <v>4412</v>
      </c>
      <c r="C1556" s="2" t="s">
        <v>4925</v>
      </c>
      <c r="D1556" s="3" t="s">
        <v>4605</v>
      </c>
      <c r="E1556" s="2" t="s">
        <v>4835</v>
      </c>
      <c r="F1556" s="3" t="s">
        <v>4413</v>
      </c>
      <c r="G1556" s="3" t="s">
        <v>4367</v>
      </c>
      <c r="H1556" s="1" t="s">
        <v>211</v>
      </c>
      <c r="I1556" s="2" t="s">
        <v>212</v>
      </c>
      <c r="J1556" s="3" t="s">
        <v>11</v>
      </c>
      <c r="K1556" s="38">
        <v>0.112</v>
      </c>
      <c r="L1556" s="39">
        <v>558</v>
      </c>
    </row>
    <row r="1557" spans="1:12" ht="19.95" customHeight="1" x14ac:dyDescent="0.3">
      <c r="A1557" s="6" t="s">
        <v>4411</v>
      </c>
      <c r="B1557" s="7" t="s">
        <v>4412</v>
      </c>
      <c r="C1557" s="6" t="s">
        <v>4925</v>
      </c>
      <c r="D1557" s="7" t="s">
        <v>4605</v>
      </c>
      <c r="E1557" s="6" t="s">
        <v>4835</v>
      </c>
      <c r="F1557" s="7" t="s">
        <v>4413</v>
      </c>
      <c r="G1557" s="7" t="s">
        <v>4367</v>
      </c>
      <c r="H1557" s="5" t="s">
        <v>194</v>
      </c>
      <c r="I1557" s="6" t="s">
        <v>196</v>
      </c>
      <c r="J1557" s="7" t="s">
        <v>11</v>
      </c>
      <c r="K1557" s="36">
        <v>0.224</v>
      </c>
      <c r="L1557" s="37">
        <v>617</v>
      </c>
    </row>
    <row r="1558" spans="1:12" ht="19.95" customHeight="1" x14ac:dyDescent="0.3">
      <c r="A1558" s="2" t="s">
        <v>4411</v>
      </c>
      <c r="B1558" s="3" t="s">
        <v>4412</v>
      </c>
      <c r="C1558" s="2" t="s">
        <v>4925</v>
      </c>
      <c r="D1558" s="3" t="s">
        <v>4605</v>
      </c>
      <c r="E1558" s="2" t="s">
        <v>4835</v>
      </c>
      <c r="F1558" s="3" t="s">
        <v>4413</v>
      </c>
      <c r="G1558" s="3" t="s">
        <v>4367</v>
      </c>
      <c r="H1558" s="1" t="s">
        <v>225</v>
      </c>
      <c r="I1558" s="2" t="s">
        <v>4410</v>
      </c>
      <c r="J1558" s="3" t="s">
        <v>11</v>
      </c>
      <c r="K1558" s="38">
        <v>0.44800000000000001</v>
      </c>
      <c r="L1558" s="39">
        <v>679</v>
      </c>
    </row>
    <row r="1559" spans="1:12" ht="19.95" customHeight="1" x14ac:dyDescent="0.3">
      <c r="A1559" s="6" t="s">
        <v>4411</v>
      </c>
      <c r="B1559" s="7" t="s">
        <v>4412</v>
      </c>
      <c r="C1559" s="6" t="s">
        <v>4925</v>
      </c>
      <c r="D1559" s="7" t="s">
        <v>4605</v>
      </c>
      <c r="E1559" s="6" t="s">
        <v>4835</v>
      </c>
      <c r="F1559" s="7" t="s">
        <v>4413</v>
      </c>
      <c r="G1559" s="7" t="s">
        <v>4367</v>
      </c>
      <c r="H1559" s="5" t="s">
        <v>194</v>
      </c>
      <c r="I1559" s="6" t="s">
        <v>196</v>
      </c>
      <c r="J1559" s="7" t="s">
        <v>11</v>
      </c>
      <c r="K1559" s="36">
        <v>0.33600000000000002</v>
      </c>
      <c r="L1559" s="37">
        <v>617</v>
      </c>
    </row>
    <row r="1560" spans="1:12" ht="19.95" customHeight="1" x14ac:dyDescent="0.3">
      <c r="A1560" s="2" t="s">
        <v>4411</v>
      </c>
      <c r="B1560" s="3" t="s">
        <v>4412</v>
      </c>
      <c r="C1560" s="2" t="s">
        <v>4925</v>
      </c>
      <c r="D1560" s="3" t="s">
        <v>4605</v>
      </c>
      <c r="E1560" s="2" t="s">
        <v>4835</v>
      </c>
      <c r="F1560" s="3" t="s">
        <v>4413</v>
      </c>
      <c r="G1560" s="3" t="s">
        <v>4367</v>
      </c>
      <c r="H1560" s="1" t="s">
        <v>209</v>
      </c>
      <c r="I1560" s="2" t="s">
        <v>210</v>
      </c>
      <c r="J1560" s="3" t="s">
        <v>11</v>
      </c>
      <c r="K1560" s="38">
        <v>0.33600000000000002</v>
      </c>
      <c r="L1560" s="39">
        <v>558</v>
      </c>
    </row>
    <row r="1561" spans="1:12" ht="19.95" customHeight="1" x14ac:dyDescent="0.3">
      <c r="A1561" s="6" t="s">
        <v>4411</v>
      </c>
      <c r="B1561" s="7" t="s">
        <v>4412</v>
      </c>
      <c r="C1561" s="6" t="s">
        <v>4925</v>
      </c>
      <c r="D1561" s="7" t="s">
        <v>4605</v>
      </c>
      <c r="E1561" s="6" t="s">
        <v>4835</v>
      </c>
      <c r="F1561" s="7" t="s">
        <v>4413</v>
      </c>
      <c r="G1561" s="7" t="s">
        <v>4367</v>
      </c>
      <c r="H1561" s="5" t="s">
        <v>211</v>
      </c>
      <c r="I1561" s="6" t="s">
        <v>212</v>
      </c>
      <c r="J1561" s="7" t="s">
        <v>11</v>
      </c>
      <c r="K1561" s="36">
        <v>0.33600000000000002</v>
      </c>
      <c r="L1561" s="37">
        <v>558</v>
      </c>
    </row>
    <row r="1562" spans="1:12" ht="19.95" customHeight="1" x14ac:dyDescent="0.3">
      <c r="A1562" s="2" t="s">
        <v>4411</v>
      </c>
      <c r="B1562" s="3" t="s">
        <v>4412</v>
      </c>
      <c r="C1562" s="2" t="s">
        <v>4925</v>
      </c>
      <c r="D1562" s="3" t="s">
        <v>4605</v>
      </c>
      <c r="E1562" s="2" t="s">
        <v>4835</v>
      </c>
      <c r="F1562" s="3" t="s">
        <v>4413</v>
      </c>
      <c r="G1562" s="3" t="s">
        <v>4367</v>
      </c>
      <c r="H1562" s="1" t="s">
        <v>197</v>
      </c>
      <c r="I1562" s="2" t="s">
        <v>198</v>
      </c>
      <c r="J1562" s="3" t="s">
        <v>11</v>
      </c>
      <c r="K1562" s="38">
        <v>0.33600000000000002</v>
      </c>
      <c r="L1562" s="39">
        <v>617</v>
      </c>
    </row>
    <row r="1563" spans="1:12" ht="19.95" customHeight="1" x14ac:dyDescent="0.3">
      <c r="A1563" s="6" t="s">
        <v>4411</v>
      </c>
      <c r="B1563" s="7" t="s">
        <v>4412</v>
      </c>
      <c r="C1563" s="6" t="s">
        <v>4925</v>
      </c>
      <c r="D1563" s="7" t="s">
        <v>4605</v>
      </c>
      <c r="E1563" s="6" t="s">
        <v>4835</v>
      </c>
      <c r="F1563" s="7" t="s">
        <v>4413</v>
      </c>
      <c r="G1563" s="7" t="s">
        <v>4367</v>
      </c>
      <c r="H1563" s="5" t="s">
        <v>225</v>
      </c>
      <c r="I1563" s="6" t="s">
        <v>4410</v>
      </c>
      <c r="J1563" s="7" t="s">
        <v>11</v>
      </c>
      <c r="K1563" s="36">
        <v>1.35</v>
      </c>
      <c r="L1563" s="37">
        <v>679</v>
      </c>
    </row>
    <row r="1564" spans="1:12" ht="19.95" customHeight="1" x14ac:dyDescent="0.3">
      <c r="A1564" s="2" t="s">
        <v>4411</v>
      </c>
      <c r="B1564" s="3" t="s">
        <v>4412</v>
      </c>
      <c r="C1564" s="2" t="s">
        <v>4925</v>
      </c>
      <c r="D1564" s="3" t="s">
        <v>4605</v>
      </c>
      <c r="E1564" s="2" t="s">
        <v>4835</v>
      </c>
      <c r="F1564" s="3" t="s">
        <v>4413</v>
      </c>
      <c r="G1564" s="3" t="s">
        <v>4367</v>
      </c>
      <c r="H1564" s="1" t="s">
        <v>199</v>
      </c>
      <c r="I1564" s="2" t="s">
        <v>200</v>
      </c>
      <c r="J1564" s="3" t="s">
        <v>11</v>
      </c>
      <c r="K1564" s="38">
        <v>3.2000000000000001E-2</v>
      </c>
      <c r="L1564" s="39">
        <v>738</v>
      </c>
    </row>
    <row r="1565" spans="1:12" ht="19.95" customHeight="1" x14ac:dyDescent="0.3">
      <c r="A1565" s="6" t="s">
        <v>4411</v>
      </c>
      <c r="B1565" s="7" t="s">
        <v>4412</v>
      </c>
      <c r="C1565" s="6" t="s">
        <v>4925</v>
      </c>
      <c r="D1565" s="7" t="s">
        <v>4605</v>
      </c>
      <c r="E1565" s="6" t="s">
        <v>4835</v>
      </c>
      <c r="F1565" s="7" t="s">
        <v>4413</v>
      </c>
      <c r="G1565" s="7" t="s">
        <v>4367</v>
      </c>
      <c r="H1565" s="5" t="s">
        <v>209</v>
      </c>
      <c r="I1565" s="6" t="s">
        <v>210</v>
      </c>
      <c r="J1565" s="7" t="s">
        <v>11</v>
      </c>
      <c r="K1565" s="36">
        <v>0.224</v>
      </c>
      <c r="L1565" s="37">
        <v>558</v>
      </c>
    </row>
    <row r="1566" spans="1:12" ht="19.95" customHeight="1" x14ac:dyDescent="0.3">
      <c r="A1566" s="2" t="s">
        <v>4411</v>
      </c>
      <c r="B1566" s="3" t="s">
        <v>4412</v>
      </c>
      <c r="C1566" s="2" t="s">
        <v>4925</v>
      </c>
      <c r="D1566" s="3" t="s">
        <v>4605</v>
      </c>
      <c r="E1566" s="2" t="s">
        <v>4835</v>
      </c>
      <c r="F1566" s="3" t="s">
        <v>4413</v>
      </c>
      <c r="G1566" s="3" t="s">
        <v>4367</v>
      </c>
      <c r="H1566" s="1" t="s">
        <v>211</v>
      </c>
      <c r="I1566" s="2" t="s">
        <v>212</v>
      </c>
      <c r="J1566" s="3" t="s">
        <v>11</v>
      </c>
      <c r="K1566" s="38">
        <v>0.112</v>
      </c>
      <c r="L1566" s="39">
        <v>558</v>
      </c>
    </row>
    <row r="1567" spans="1:12" ht="19.95" customHeight="1" x14ac:dyDescent="0.3">
      <c r="A1567" s="6" t="s">
        <v>4411</v>
      </c>
      <c r="B1567" s="7" t="s">
        <v>4412</v>
      </c>
      <c r="C1567" s="6" t="s">
        <v>4925</v>
      </c>
      <c r="D1567" s="7" t="s">
        <v>4605</v>
      </c>
      <c r="E1567" s="6" t="s">
        <v>4835</v>
      </c>
      <c r="F1567" s="7" t="s">
        <v>4413</v>
      </c>
      <c r="G1567" s="7" t="s">
        <v>4367</v>
      </c>
      <c r="H1567" s="5" t="s">
        <v>194</v>
      </c>
      <c r="I1567" s="6" t="s">
        <v>196</v>
      </c>
      <c r="J1567" s="7" t="s">
        <v>11</v>
      </c>
      <c r="K1567" s="36">
        <v>0.224</v>
      </c>
      <c r="L1567" s="37">
        <v>617</v>
      </c>
    </row>
    <row r="1568" spans="1:12" ht="19.95" customHeight="1" x14ac:dyDescent="0.3">
      <c r="A1568" s="2" t="s">
        <v>4411</v>
      </c>
      <c r="B1568" s="3" t="s">
        <v>4412</v>
      </c>
      <c r="C1568" s="2" t="s">
        <v>4925</v>
      </c>
      <c r="D1568" s="3" t="s">
        <v>4605</v>
      </c>
      <c r="E1568" s="2" t="s">
        <v>4835</v>
      </c>
      <c r="F1568" s="3" t="s">
        <v>4413</v>
      </c>
      <c r="G1568" s="3" t="s">
        <v>4367</v>
      </c>
      <c r="H1568" s="1" t="s">
        <v>225</v>
      </c>
      <c r="I1568" s="2" t="s">
        <v>4410</v>
      </c>
      <c r="J1568" s="3" t="s">
        <v>11</v>
      </c>
      <c r="K1568" s="38">
        <v>0.44800000000000001</v>
      </c>
      <c r="L1568" s="39">
        <v>679</v>
      </c>
    </row>
    <row r="1569" spans="1:12" ht="19.95" customHeight="1" x14ac:dyDescent="0.3">
      <c r="A1569" s="6" t="s">
        <v>4411</v>
      </c>
      <c r="B1569" s="7" t="s">
        <v>4412</v>
      </c>
      <c r="C1569" s="6" t="s">
        <v>4925</v>
      </c>
      <c r="D1569" s="7" t="s">
        <v>4605</v>
      </c>
      <c r="E1569" s="6" t="s">
        <v>4835</v>
      </c>
      <c r="F1569" s="7" t="s">
        <v>4413</v>
      </c>
      <c r="G1569" s="7" t="s">
        <v>4367</v>
      </c>
      <c r="H1569" s="5" t="s">
        <v>194</v>
      </c>
      <c r="I1569" s="6" t="s">
        <v>196</v>
      </c>
      <c r="J1569" s="7" t="s">
        <v>11</v>
      </c>
      <c r="K1569" s="36">
        <v>0.33600000000000002</v>
      </c>
      <c r="L1569" s="37">
        <v>617</v>
      </c>
    </row>
    <row r="1570" spans="1:12" ht="19.95" customHeight="1" x14ac:dyDescent="0.3">
      <c r="A1570" s="2" t="s">
        <v>4411</v>
      </c>
      <c r="B1570" s="3" t="s">
        <v>4412</v>
      </c>
      <c r="C1570" s="2" t="s">
        <v>4925</v>
      </c>
      <c r="D1570" s="3" t="s">
        <v>4605</v>
      </c>
      <c r="E1570" s="2" t="s">
        <v>4835</v>
      </c>
      <c r="F1570" s="3" t="s">
        <v>4413</v>
      </c>
      <c r="G1570" s="3" t="s">
        <v>4367</v>
      </c>
      <c r="H1570" s="1" t="s">
        <v>209</v>
      </c>
      <c r="I1570" s="2" t="s">
        <v>210</v>
      </c>
      <c r="J1570" s="3" t="s">
        <v>11</v>
      </c>
      <c r="K1570" s="38">
        <v>0.33600000000000002</v>
      </c>
      <c r="L1570" s="39">
        <v>558</v>
      </c>
    </row>
    <row r="1571" spans="1:12" ht="19.95" customHeight="1" x14ac:dyDescent="0.3">
      <c r="A1571" s="6" t="s">
        <v>4411</v>
      </c>
      <c r="B1571" s="7" t="s">
        <v>4412</v>
      </c>
      <c r="C1571" s="6" t="s">
        <v>4925</v>
      </c>
      <c r="D1571" s="7" t="s">
        <v>4605</v>
      </c>
      <c r="E1571" s="6" t="s">
        <v>4835</v>
      </c>
      <c r="F1571" s="7" t="s">
        <v>4413</v>
      </c>
      <c r="G1571" s="7" t="s">
        <v>4367</v>
      </c>
      <c r="H1571" s="5" t="s">
        <v>211</v>
      </c>
      <c r="I1571" s="6" t="s">
        <v>212</v>
      </c>
      <c r="J1571" s="7" t="s">
        <v>11</v>
      </c>
      <c r="K1571" s="36">
        <v>0.33600000000000002</v>
      </c>
      <c r="L1571" s="37">
        <v>558</v>
      </c>
    </row>
    <row r="1572" spans="1:12" ht="19.95" customHeight="1" x14ac:dyDescent="0.3">
      <c r="A1572" s="2" t="s">
        <v>4411</v>
      </c>
      <c r="B1572" s="3" t="s">
        <v>4412</v>
      </c>
      <c r="C1572" s="2" t="s">
        <v>4925</v>
      </c>
      <c r="D1572" s="3" t="s">
        <v>4605</v>
      </c>
      <c r="E1572" s="2" t="s">
        <v>4835</v>
      </c>
      <c r="F1572" s="3" t="s">
        <v>4413</v>
      </c>
      <c r="G1572" s="3" t="s">
        <v>4367</v>
      </c>
      <c r="H1572" s="1" t="s">
        <v>197</v>
      </c>
      <c r="I1572" s="2" t="s">
        <v>198</v>
      </c>
      <c r="J1572" s="3" t="s">
        <v>11</v>
      </c>
      <c r="K1572" s="38">
        <v>0.33600000000000002</v>
      </c>
      <c r="L1572" s="39">
        <v>617</v>
      </c>
    </row>
    <row r="1573" spans="1:12" ht="19.95" customHeight="1" x14ac:dyDescent="0.3">
      <c r="A1573" s="6" t="s">
        <v>4411</v>
      </c>
      <c r="B1573" s="7" t="s">
        <v>4412</v>
      </c>
      <c r="C1573" s="6" t="s">
        <v>4925</v>
      </c>
      <c r="D1573" s="7" t="s">
        <v>4605</v>
      </c>
      <c r="E1573" s="6" t="s">
        <v>4835</v>
      </c>
      <c r="F1573" s="7" t="s">
        <v>4413</v>
      </c>
      <c r="G1573" s="7" t="s">
        <v>4367</v>
      </c>
      <c r="H1573" s="5" t="s">
        <v>225</v>
      </c>
      <c r="I1573" s="6" t="s">
        <v>4410</v>
      </c>
      <c r="J1573" s="7" t="s">
        <v>11</v>
      </c>
      <c r="K1573" s="36">
        <v>1.35</v>
      </c>
      <c r="L1573" s="37">
        <v>679</v>
      </c>
    </row>
    <row r="1574" spans="1:12" ht="19.95" customHeight="1" x14ac:dyDescent="0.3">
      <c r="A1574" s="2" t="s">
        <v>4411</v>
      </c>
      <c r="B1574" s="3" t="s">
        <v>4412</v>
      </c>
      <c r="C1574" s="2" t="s">
        <v>4925</v>
      </c>
      <c r="D1574" s="3" t="s">
        <v>4605</v>
      </c>
      <c r="E1574" s="2" t="s">
        <v>4835</v>
      </c>
      <c r="F1574" s="3" t="s">
        <v>4413</v>
      </c>
      <c r="G1574" s="3" t="s">
        <v>4367</v>
      </c>
      <c r="H1574" s="1" t="s">
        <v>199</v>
      </c>
      <c r="I1574" s="2" t="s">
        <v>200</v>
      </c>
      <c r="J1574" s="3" t="s">
        <v>11</v>
      </c>
      <c r="K1574" s="38">
        <v>3.2000000000000001E-2</v>
      </c>
      <c r="L1574" s="39">
        <v>738</v>
      </c>
    </row>
    <row r="1575" spans="1:12" ht="19.95" customHeight="1" x14ac:dyDescent="0.3">
      <c r="A1575" s="6" t="s">
        <v>4411</v>
      </c>
      <c r="B1575" s="7" t="s">
        <v>4412</v>
      </c>
      <c r="C1575" s="6" t="s">
        <v>4925</v>
      </c>
      <c r="D1575" s="7" t="s">
        <v>4605</v>
      </c>
      <c r="E1575" s="6" t="s">
        <v>4835</v>
      </c>
      <c r="F1575" s="7" t="s">
        <v>4413</v>
      </c>
      <c r="G1575" s="7" t="s">
        <v>4367</v>
      </c>
      <c r="H1575" s="5" t="s">
        <v>209</v>
      </c>
      <c r="I1575" s="6" t="s">
        <v>210</v>
      </c>
      <c r="J1575" s="7" t="s">
        <v>11</v>
      </c>
      <c r="K1575" s="36">
        <v>0.224</v>
      </c>
      <c r="L1575" s="37">
        <v>558</v>
      </c>
    </row>
    <row r="1576" spans="1:12" ht="19.95" customHeight="1" x14ac:dyDescent="0.3">
      <c r="A1576" s="2" t="s">
        <v>4411</v>
      </c>
      <c r="B1576" s="3" t="s">
        <v>4412</v>
      </c>
      <c r="C1576" s="2" t="s">
        <v>4925</v>
      </c>
      <c r="D1576" s="3" t="s">
        <v>4605</v>
      </c>
      <c r="E1576" s="2" t="s">
        <v>4835</v>
      </c>
      <c r="F1576" s="3" t="s">
        <v>4413</v>
      </c>
      <c r="G1576" s="3" t="s">
        <v>4367</v>
      </c>
      <c r="H1576" s="1" t="s">
        <v>211</v>
      </c>
      <c r="I1576" s="2" t="s">
        <v>212</v>
      </c>
      <c r="J1576" s="3" t="s">
        <v>11</v>
      </c>
      <c r="K1576" s="38">
        <v>0.112</v>
      </c>
      <c r="L1576" s="39">
        <v>558</v>
      </c>
    </row>
    <row r="1577" spans="1:12" ht="19.95" customHeight="1" x14ac:dyDescent="0.3">
      <c r="A1577" s="6" t="s">
        <v>4411</v>
      </c>
      <c r="B1577" s="7" t="s">
        <v>4412</v>
      </c>
      <c r="C1577" s="6" t="s">
        <v>4925</v>
      </c>
      <c r="D1577" s="7" t="s">
        <v>4605</v>
      </c>
      <c r="E1577" s="6" t="s">
        <v>4835</v>
      </c>
      <c r="F1577" s="7" t="s">
        <v>4413</v>
      </c>
      <c r="G1577" s="7" t="s">
        <v>4367</v>
      </c>
      <c r="H1577" s="5" t="s">
        <v>194</v>
      </c>
      <c r="I1577" s="6" t="s">
        <v>196</v>
      </c>
      <c r="J1577" s="7" t="s">
        <v>11</v>
      </c>
      <c r="K1577" s="36">
        <v>0.224</v>
      </c>
      <c r="L1577" s="37">
        <v>617</v>
      </c>
    </row>
    <row r="1578" spans="1:12" ht="19.95" customHeight="1" x14ac:dyDescent="0.3">
      <c r="A1578" s="2" t="s">
        <v>4411</v>
      </c>
      <c r="B1578" s="3" t="s">
        <v>4412</v>
      </c>
      <c r="C1578" s="2" t="s">
        <v>4925</v>
      </c>
      <c r="D1578" s="3" t="s">
        <v>4605</v>
      </c>
      <c r="E1578" s="2" t="s">
        <v>4835</v>
      </c>
      <c r="F1578" s="3" t="s">
        <v>4413</v>
      </c>
      <c r="G1578" s="3" t="s">
        <v>4367</v>
      </c>
      <c r="H1578" s="1" t="s">
        <v>225</v>
      </c>
      <c r="I1578" s="2" t="s">
        <v>4410</v>
      </c>
      <c r="J1578" s="3" t="s">
        <v>11</v>
      </c>
      <c r="K1578" s="38">
        <v>0.44800000000000001</v>
      </c>
      <c r="L1578" s="39">
        <v>679</v>
      </c>
    </row>
    <row r="1579" spans="1:12" ht="19.95" customHeight="1" x14ac:dyDescent="0.3">
      <c r="A1579" s="6" t="s">
        <v>4411</v>
      </c>
      <c r="B1579" s="7" t="s">
        <v>4412</v>
      </c>
      <c r="C1579" s="6" t="s">
        <v>4925</v>
      </c>
      <c r="D1579" s="7" t="s">
        <v>4605</v>
      </c>
      <c r="E1579" s="6" t="s">
        <v>4835</v>
      </c>
      <c r="F1579" s="7" t="s">
        <v>4413</v>
      </c>
      <c r="G1579" s="7" t="s">
        <v>4367</v>
      </c>
      <c r="H1579" s="5" t="s">
        <v>194</v>
      </c>
      <c r="I1579" s="6" t="s">
        <v>196</v>
      </c>
      <c r="J1579" s="7" t="s">
        <v>11</v>
      </c>
      <c r="K1579" s="36">
        <v>0.33600000000000002</v>
      </c>
      <c r="L1579" s="37">
        <v>617</v>
      </c>
    </row>
    <row r="1580" spans="1:12" ht="19.95" customHeight="1" x14ac:dyDescent="0.3">
      <c r="A1580" s="2" t="s">
        <v>4411</v>
      </c>
      <c r="B1580" s="3" t="s">
        <v>4412</v>
      </c>
      <c r="C1580" s="2" t="s">
        <v>4925</v>
      </c>
      <c r="D1580" s="3" t="s">
        <v>4605</v>
      </c>
      <c r="E1580" s="2" t="s">
        <v>4835</v>
      </c>
      <c r="F1580" s="3" t="s">
        <v>4413</v>
      </c>
      <c r="G1580" s="3" t="s">
        <v>4367</v>
      </c>
      <c r="H1580" s="1" t="s">
        <v>209</v>
      </c>
      <c r="I1580" s="2" t="s">
        <v>210</v>
      </c>
      <c r="J1580" s="3" t="s">
        <v>11</v>
      </c>
      <c r="K1580" s="38">
        <v>0.33600000000000002</v>
      </c>
      <c r="L1580" s="39">
        <v>558</v>
      </c>
    </row>
    <row r="1581" spans="1:12" ht="19.95" customHeight="1" x14ac:dyDescent="0.3">
      <c r="A1581" s="6" t="s">
        <v>4411</v>
      </c>
      <c r="B1581" s="7" t="s">
        <v>4412</v>
      </c>
      <c r="C1581" s="6" t="s">
        <v>4925</v>
      </c>
      <c r="D1581" s="7" t="s">
        <v>4605</v>
      </c>
      <c r="E1581" s="6" t="s">
        <v>4835</v>
      </c>
      <c r="F1581" s="7" t="s">
        <v>4413</v>
      </c>
      <c r="G1581" s="7" t="s">
        <v>4367</v>
      </c>
      <c r="H1581" s="5" t="s">
        <v>211</v>
      </c>
      <c r="I1581" s="6" t="s">
        <v>212</v>
      </c>
      <c r="J1581" s="7" t="s">
        <v>11</v>
      </c>
      <c r="K1581" s="36">
        <v>0.33600000000000002</v>
      </c>
      <c r="L1581" s="37">
        <v>558</v>
      </c>
    </row>
    <row r="1582" spans="1:12" ht="19.95" customHeight="1" x14ac:dyDescent="0.3">
      <c r="A1582" s="2" t="s">
        <v>4411</v>
      </c>
      <c r="B1582" s="3" t="s">
        <v>4412</v>
      </c>
      <c r="C1582" s="2" t="s">
        <v>4925</v>
      </c>
      <c r="D1582" s="3" t="s">
        <v>4605</v>
      </c>
      <c r="E1582" s="2" t="s">
        <v>4835</v>
      </c>
      <c r="F1582" s="3" t="s">
        <v>4413</v>
      </c>
      <c r="G1582" s="3" t="s">
        <v>4367</v>
      </c>
      <c r="H1582" s="1" t="s">
        <v>197</v>
      </c>
      <c r="I1582" s="2" t="s">
        <v>198</v>
      </c>
      <c r="J1582" s="3" t="s">
        <v>11</v>
      </c>
      <c r="K1582" s="38">
        <v>0.33600000000000002</v>
      </c>
      <c r="L1582" s="39">
        <v>617</v>
      </c>
    </row>
    <row r="1583" spans="1:12" ht="19.95" customHeight="1" x14ac:dyDescent="0.3">
      <c r="A1583" s="6" t="s">
        <v>4411</v>
      </c>
      <c r="B1583" s="7" t="s">
        <v>4412</v>
      </c>
      <c r="C1583" s="6" t="s">
        <v>4925</v>
      </c>
      <c r="D1583" s="7" t="s">
        <v>4605</v>
      </c>
      <c r="E1583" s="6" t="s">
        <v>4835</v>
      </c>
      <c r="F1583" s="7" t="s">
        <v>4413</v>
      </c>
      <c r="G1583" s="7" t="s">
        <v>4367</v>
      </c>
      <c r="H1583" s="5" t="s">
        <v>225</v>
      </c>
      <c r="I1583" s="6" t="s">
        <v>4410</v>
      </c>
      <c r="J1583" s="7" t="s">
        <v>11</v>
      </c>
      <c r="K1583" s="36">
        <v>1.35</v>
      </c>
      <c r="L1583" s="37">
        <v>679</v>
      </c>
    </row>
    <row r="1584" spans="1:12" ht="19.95" customHeight="1" x14ac:dyDescent="0.3">
      <c r="A1584" s="2" t="s">
        <v>4411</v>
      </c>
      <c r="B1584" s="3" t="s">
        <v>4412</v>
      </c>
      <c r="C1584" s="2" t="s">
        <v>4925</v>
      </c>
      <c r="D1584" s="3" t="s">
        <v>4605</v>
      </c>
      <c r="E1584" s="2" t="s">
        <v>4835</v>
      </c>
      <c r="F1584" s="3" t="s">
        <v>4413</v>
      </c>
      <c r="G1584" s="3" t="s">
        <v>4367</v>
      </c>
      <c r="H1584" s="1" t="s">
        <v>199</v>
      </c>
      <c r="I1584" s="2" t="s">
        <v>200</v>
      </c>
      <c r="J1584" s="3" t="s">
        <v>11</v>
      </c>
      <c r="K1584" s="38">
        <v>3.2000000000000001E-2</v>
      </c>
      <c r="L1584" s="39">
        <v>738</v>
      </c>
    </row>
    <row r="1585" spans="1:12" ht="19.95" customHeight="1" x14ac:dyDescent="0.3">
      <c r="A1585" s="6" t="s">
        <v>4411</v>
      </c>
      <c r="B1585" s="7" t="s">
        <v>4412</v>
      </c>
      <c r="C1585" s="6" t="s">
        <v>4925</v>
      </c>
      <c r="D1585" s="7" t="s">
        <v>4605</v>
      </c>
      <c r="E1585" s="6" t="s">
        <v>4835</v>
      </c>
      <c r="F1585" s="7" t="s">
        <v>4413</v>
      </c>
      <c r="G1585" s="7" t="s">
        <v>4367</v>
      </c>
      <c r="H1585" s="5" t="s">
        <v>209</v>
      </c>
      <c r="I1585" s="6" t="s">
        <v>210</v>
      </c>
      <c r="J1585" s="7" t="s">
        <v>11</v>
      </c>
      <c r="K1585" s="36">
        <v>0.224</v>
      </c>
      <c r="L1585" s="37">
        <v>558</v>
      </c>
    </row>
    <row r="1586" spans="1:12" ht="19.95" customHeight="1" x14ac:dyDescent="0.3">
      <c r="A1586" s="2" t="s">
        <v>4411</v>
      </c>
      <c r="B1586" s="3" t="s">
        <v>4412</v>
      </c>
      <c r="C1586" s="2" t="s">
        <v>4925</v>
      </c>
      <c r="D1586" s="3" t="s">
        <v>4605</v>
      </c>
      <c r="E1586" s="2" t="s">
        <v>4835</v>
      </c>
      <c r="F1586" s="3" t="s">
        <v>4413</v>
      </c>
      <c r="G1586" s="3" t="s">
        <v>4367</v>
      </c>
      <c r="H1586" s="1" t="s">
        <v>211</v>
      </c>
      <c r="I1586" s="2" t="s">
        <v>212</v>
      </c>
      <c r="J1586" s="3" t="s">
        <v>11</v>
      </c>
      <c r="K1586" s="38">
        <v>0.112</v>
      </c>
      <c r="L1586" s="39">
        <v>558</v>
      </c>
    </row>
    <row r="1587" spans="1:12" ht="19.95" customHeight="1" x14ac:dyDescent="0.3">
      <c r="A1587" s="6" t="s">
        <v>4411</v>
      </c>
      <c r="B1587" s="7" t="s">
        <v>4412</v>
      </c>
      <c r="C1587" s="6" t="s">
        <v>4925</v>
      </c>
      <c r="D1587" s="7" t="s">
        <v>4605</v>
      </c>
      <c r="E1587" s="6" t="s">
        <v>4835</v>
      </c>
      <c r="F1587" s="7" t="s">
        <v>4413</v>
      </c>
      <c r="G1587" s="7" t="s">
        <v>4367</v>
      </c>
      <c r="H1587" s="5" t="s">
        <v>194</v>
      </c>
      <c r="I1587" s="6" t="s">
        <v>196</v>
      </c>
      <c r="J1587" s="7" t="s">
        <v>11</v>
      </c>
      <c r="K1587" s="36">
        <v>0.224</v>
      </c>
      <c r="L1587" s="37">
        <v>617</v>
      </c>
    </row>
    <row r="1588" spans="1:12" ht="19.95" customHeight="1" x14ac:dyDescent="0.3">
      <c r="A1588" s="2" t="s">
        <v>4411</v>
      </c>
      <c r="B1588" s="3" t="s">
        <v>4412</v>
      </c>
      <c r="C1588" s="2" t="s">
        <v>4925</v>
      </c>
      <c r="D1588" s="3" t="s">
        <v>4605</v>
      </c>
      <c r="E1588" s="2" t="s">
        <v>4835</v>
      </c>
      <c r="F1588" s="3" t="s">
        <v>4413</v>
      </c>
      <c r="G1588" s="3" t="s">
        <v>4367</v>
      </c>
      <c r="H1588" s="1" t="s">
        <v>225</v>
      </c>
      <c r="I1588" s="2" t="s">
        <v>4410</v>
      </c>
      <c r="J1588" s="3" t="s">
        <v>11</v>
      </c>
      <c r="K1588" s="38">
        <v>0.44800000000000001</v>
      </c>
      <c r="L1588" s="39">
        <v>679</v>
      </c>
    </row>
    <row r="1589" spans="1:12" ht="19.95" customHeight="1" x14ac:dyDescent="0.3">
      <c r="A1589" s="6" t="s">
        <v>4411</v>
      </c>
      <c r="B1589" s="7" t="s">
        <v>4412</v>
      </c>
      <c r="C1589" s="6" t="s">
        <v>4925</v>
      </c>
      <c r="D1589" s="7" t="s">
        <v>4605</v>
      </c>
      <c r="E1589" s="6" t="s">
        <v>4835</v>
      </c>
      <c r="F1589" s="7" t="s">
        <v>4413</v>
      </c>
      <c r="G1589" s="7" t="s">
        <v>4367</v>
      </c>
      <c r="H1589" s="5" t="s">
        <v>194</v>
      </c>
      <c r="I1589" s="6" t="s">
        <v>196</v>
      </c>
      <c r="J1589" s="7" t="s">
        <v>11</v>
      </c>
      <c r="K1589" s="36">
        <v>0.33600000000000002</v>
      </c>
      <c r="L1589" s="37">
        <v>617</v>
      </c>
    </row>
    <row r="1590" spans="1:12" ht="19.95" customHeight="1" x14ac:dyDescent="0.3">
      <c r="A1590" s="2" t="s">
        <v>4411</v>
      </c>
      <c r="B1590" s="3" t="s">
        <v>4412</v>
      </c>
      <c r="C1590" s="2" t="s">
        <v>4925</v>
      </c>
      <c r="D1590" s="3" t="s">
        <v>4605</v>
      </c>
      <c r="E1590" s="2" t="s">
        <v>4835</v>
      </c>
      <c r="F1590" s="3" t="s">
        <v>4413</v>
      </c>
      <c r="G1590" s="3" t="s">
        <v>4367</v>
      </c>
      <c r="H1590" s="1" t="s">
        <v>209</v>
      </c>
      <c r="I1590" s="2" t="s">
        <v>210</v>
      </c>
      <c r="J1590" s="3" t="s">
        <v>11</v>
      </c>
      <c r="K1590" s="38">
        <v>0.33600000000000002</v>
      </c>
      <c r="L1590" s="39">
        <v>558</v>
      </c>
    </row>
    <row r="1591" spans="1:12" ht="19.95" customHeight="1" x14ac:dyDescent="0.3">
      <c r="A1591" s="6" t="s">
        <v>4411</v>
      </c>
      <c r="B1591" s="7" t="s">
        <v>4412</v>
      </c>
      <c r="C1591" s="6" t="s">
        <v>4925</v>
      </c>
      <c r="D1591" s="7" t="s">
        <v>4605</v>
      </c>
      <c r="E1591" s="6" t="s">
        <v>4835</v>
      </c>
      <c r="F1591" s="7" t="s">
        <v>4413</v>
      </c>
      <c r="G1591" s="7" t="s">
        <v>4367</v>
      </c>
      <c r="H1591" s="5" t="s">
        <v>211</v>
      </c>
      <c r="I1591" s="6" t="s">
        <v>212</v>
      </c>
      <c r="J1591" s="7" t="s">
        <v>11</v>
      </c>
      <c r="K1591" s="36">
        <v>0.33600000000000002</v>
      </c>
      <c r="L1591" s="37">
        <v>558</v>
      </c>
    </row>
    <row r="1592" spans="1:12" ht="19.95" customHeight="1" x14ac:dyDescent="0.3">
      <c r="A1592" s="2" t="s">
        <v>4411</v>
      </c>
      <c r="B1592" s="3" t="s">
        <v>4412</v>
      </c>
      <c r="C1592" s="2" t="s">
        <v>4925</v>
      </c>
      <c r="D1592" s="3" t="s">
        <v>4605</v>
      </c>
      <c r="E1592" s="2" t="s">
        <v>4835</v>
      </c>
      <c r="F1592" s="3" t="s">
        <v>4413</v>
      </c>
      <c r="G1592" s="3" t="s">
        <v>4367</v>
      </c>
      <c r="H1592" s="1" t="s">
        <v>197</v>
      </c>
      <c r="I1592" s="2" t="s">
        <v>198</v>
      </c>
      <c r="J1592" s="3" t="s">
        <v>11</v>
      </c>
      <c r="K1592" s="38">
        <v>0.33600000000000002</v>
      </c>
      <c r="L1592" s="39">
        <v>617</v>
      </c>
    </row>
    <row r="1593" spans="1:12" ht="19.95" customHeight="1" x14ac:dyDescent="0.3">
      <c r="A1593" s="6" t="s">
        <v>4411</v>
      </c>
      <c r="B1593" s="7" t="s">
        <v>4412</v>
      </c>
      <c r="C1593" s="6" t="s">
        <v>4925</v>
      </c>
      <c r="D1593" s="7" t="s">
        <v>4605</v>
      </c>
      <c r="E1593" s="6" t="s">
        <v>4835</v>
      </c>
      <c r="F1593" s="7" t="s">
        <v>4413</v>
      </c>
      <c r="G1593" s="7" t="s">
        <v>4367</v>
      </c>
      <c r="H1593" s="5" t="s">
        <v>225</v>
      </c>
      <c r="I1593" s="6" t="s">
        <v>4410</v>
      </c>
      <c r="J1593" s="7" t="s">
        <v>11</v>
      </c>
      <c r="K1593" s="36">
        <v>2.7</v>
      </c>
      <c r="L1593" s="37">
        <v>679</v>
      </c>
    </row>
    <row r="1594" spans="1:12" ht="19.95" customHeight="1" x14ac:dyDescent="0.3">
      <c r="A1594" s="2" t="s">
        <v>4411</v>
      </c>
      <c r="B1594" s="3" t="s">
        <v>4412</v>
      </c>
      <c r="C1594" s="2" t="s">
        <v>4925</v>
      </c>
      <c r="D1594" s="3" t="s">
        <v>4605</v>
      </c>
      <c r="E1594" s="2" t="s">
        <v>4835</v>
      </c>
      <c r="F1594" s="3" t="s">
        <v>4413</v>
      </c>
      <c r="G1594" s="3" t="s">
        <v>4367</v>
      </c>
      <c r="H1594" s="1" t="s">
        <v>199</v>
      </c>
      <c r="I1594" s="2" t="s">
        <v>200</v>
      </c>
      <c r="J1594" s="3" t="s">
        <v>11</v>
      </c>
      <c r="K1594" s="38">
        <v>6.4000000000000001E-2</v>
      </c>
      <c r="L1594" s="39">
        <v>738</v>
      </c>
    </row>
    <row r="1595" spans="1:12" ht="19.95" customHeight="1" x14ac:dyDescent="0.3">
      <c r="A1595" s="6" t="s">
        <v>4411</v>
      </c>
      <c r="B1595" s="7" t="s">
        <v>4412</v>
      </c>
      <c r="C1595" s="6" t="s">
        <v>4925</v>
      </c>
      <c r="D1595" s="7" t="s">
        <v>4605</v>
      </c>
      <c r="E1595" s="6" t="s">
        <v>4835</v>
      </c>
      <c r="F1595" s="7" t="s">
        <v>4413</v>
      </c>
      <c r="G1595" s="7" t="s">
        <v>4367</v>
      </c>
      <c r="H1595" s="5" t="s">
        <v>209</v>
      </c>
      <c r="I1595" s="6" t="s">
        <v>210</v>
      </c>
      <c r="J1595" s="7" t="s">
        <v>11</v>
      </c>
      <c r="K1595" s="36">
        <v>0.44800000000000001</v>
      </c>
      <c r="L1595" s="37">
        <v>558</v>
      </c>
    </row>
    <row r="1596" spans="1:12" ht="19.95" customHeight="1" x14ac:dyDescent="0.3">
      <c r="A1596" s="2" t="s">
        <v>4411</v>
      </c>
      <c r="B1596" s="3" t="s">
        <v>4412</v>
      </c>
      <c r="C1596" s="2" t="s">
        <v>4925</v>
      </c>
      <c r="D1596" s="3" t="s">
        <v>4605</v>
      </c>
      <c r="E1596" s="2" t="s">
        <v>4835</v>
      </c>
      <c r="F1596" s="3" t="s">
        <v>4413</v>
      </c>
      <c r="G1596" s="3" t="s">
        <v>4367</v>
      </c>
      <c r="H1596" s="1" t="s">
        <v>211</v>
      </c>
      <c r="I1596" s="2" t="s">
        <v>212</v>
      </c>
      <c r="J1596" s="3" t="s">
        <v>11</v>
      </c>
      <c r="K1596" s="38">
        <v>0.224</v>
      </c>
      <c r="L1596" s="39">
        <v>558</v>
      </c>
    </row>
    <row r="1597" spans="1:12" ht="19.95" customHeight="1" x14ac:dyDescent="0.3">
      <c r="A1597" s="6" t="s">
        <v>4411</v>
      </c>
      <c r="B1597" s="7" t="s">
        <v>4412</v>
      </c>
      <c r="C1597" s="6" t="s">
        <v>4925</v>
      </c>
      <c r="D1597" s="7" t="s">
        <v>4605</v>
      </c>
      <c r="E1597" s="6" t="s">
        <v>4835</v>
      </c>
      <c r="F1597" s="7" t="s">
        <v>4413</v>
      </c>
      <c r="G1597" s="7" t="s">
        <v>4367</v>
      </c>
      <c r="H1597" s="5" t="s">
        <v>194</v>
      </c>
      <c r="I1597" s="6" t="s">
        <v>196</v>
      </c>
      <c r="J1597" s="7" t="s">
        <v>11</v>
      </c>
      <c r="K1597" s="36">
        <v>0.44800000000000001</v>
      </c>
      <c r="L1597" s="37">
        <v>617</v>
      </c>
    </row>
    <row r="1598" spans="1:12" ht="19.95" customHeight="1" x14ac:dyDescent="0.3">
      <c r="A1598" s="2" t="s">
        <v>4411</v>
      </c>
      <c r="B1598" s="3" t="s">
        <v>4412</v>
      </c>
      <c r="C1598" s="2" t="s">
        <v>4925</v>
      </c>
      <c r="D1598" s="3" t="s">
        <v>4605</v>
      </c>
      <c r="E1598" s="2" t="s">
        <v>4835</v>
      </c>
      <c r="F1598" s="3" t="s">
        <v>4413</v>
      </c>
      <c r="G1598" s="3" t="s">
        <v>4367</v>
      </c>
      <c r="H1598" s="1" t="s">
        <v>225</v>
      </c>
      <c r="I1598" s="2" t="s">
        <v>4410</v>
      </c>
      <c r="J1598" s="3" t="s">
        <v>11</v>
      </c>
      <c r="K1598" s="38">
        <v>0.44800000000000001</v>
      </c>
      <c r="L1598" s="39">
        <v>679</v>
      </c>
    </row>
    <row r="1599" spans="1:12" ht="19.95" customHeight="1" x14ac:dyDescent="0.3">
      <c r="A1599" s="6" t="s">
        <v>4411</v>
      </c>
      <c r="B1599" s="7" t="s">
        <v>4412</v>
      </c>
      <c r="C1599" s="6" t="s">
        <v>4925</v>
      </c>
      <c r="D1599" s="7" t="s">
        <v>4605</v>
      </c>
      <c r="E1599" s="6" t="s">
        <v>4835</v>
      </c>
      <c r="F1599" s="7" t="s">
        <v>4413</v>
      </c>
      <c r="G1599" s="7" t="s">
        <v>4367</v>
      </c>
      <c r="H1599" s="5" t="s">
        <v>194</v>
      </c>
      <c r="I1599" s="6" t="s">
        <v>196</v>
      </c>
      <c r="J1599" s="7" t="s">
        <v>11</v>
      </c>
      <c r="K1599" s="36">
        <v>0.33600000000000002</v>
      </c>
      <c r="L1599" s="37">
        <v>617</v>
      </c>
    </row>
    <row r="1600" spans="1:12" ht="19.95" customHeight="1" x14ac:dyDescent="0.3">
      <c r="A1600" s="2" t="s">
        <v>4411</v>
      </c>
      <c r="B1600" s="3" t="s">
        <v>4412</v>
      </c>
      <c r="C1600" s="2" t="s">
        <v>4925</v>
      </c>
      <c r="D1600" s="3" t="s">
        <v>4605</v>
      </c>
      <c r="E1600" s="2" t="s">
        <v>4835</v>
      </c>
      <c r="F1600" s="3" t="s">
        <v>4413</v>
      </c>
      <c r="G1600" s="3" t="s">
        <v>4367</v>
      </c>
      <c r="H1600" s="1" t="s">
        <v>209</v>
      </c>
      <c r="I1600" s="2" t="s">
        <v>210</v>
      </c>
      <c r="J1600" s="3" t="s">
        <v>11</v>
      </c>
      <c r="K1600" s="38">
        <v>0.33600000000000002</v>
      </c>
      <c r="L1600" s="39">
        <v>558</v>
      </c>
    </row>
    <row r="1601" spans="1:12" ht="19.95" customHeight="1" x14ac:dyDescent="0.3">
      <c r="A1601" s="6" t="s">
        <v>4411</v>
      </c>
      <c r="B1601" s="7" t="s">
        <v>4412</v>
      </c>
      <c r="C1601" s="6" t="s">
        <v>4925</v>
      </c>
      <c r="D1601" s="7" t="s">
        <v>4605</v>
      </c>
      <c r="E1601" s="6" t="s">
        <v>4835</v>
      </c>
      <c r="F1601" s="7" t="s">
        <v>4413</v>
      </c>
      <c r="G1601" s="7" t="s">
        <v>4367</v>
      </c>
      <c r="H1601" s="5" t="s">
        <v>211</v>
      </c>
      <c r="I1601" s="6" t="s">
        <v>212</v>
      </c>
      <c r="J1601" s="7" t="s">
        <v>11</v>
      </c>
      <c r="K1601" s="36">
        <v>0.33600000000000002</v>
      </c>
      <c r="L1601" s="37">
        <v>558</v>
      </c>
    </row>
    <row r="1602" spans="1:12" ht="19.95" customHeight="1" x14ac:dyDescent="0.3">
      <c r="A1602" s="2" t="s">
        <v>4411</v>
      </c>
      <c r="B1602" s="3" t="s">
        <v>4412</v>
      </c>
      <c r="C1602" s="2" t="s">
        <v>4925</v>
      </c>
      <c r="D1602" s="3" t="s">
        <v>4605</v>
      </c>
      <c r="E1602" s="2" t="s">
        <v>4835</v>
      </c>
      <c r="F1602" s="3" t="s">
        <v>4413</v>
      </c>
      <c r="G1602" s="3" t="s">
        <v>4367</v>
      </c>
      <c r="H1602" s="1" t="s">
        <v>197</v>
      </c>
      <c r="I1602" s="2" t="s">
        <v>198</v>
      </c>
      <c r="J1602" s="3" t="s">
        <v>11</v>
      </c>
      <c r="K1602" s="38">
        <v>0.33600000000000002</v>
      </c>
      <c r="L1602" s="39">
        <v>617</v>
      </c>
    </row>
    <row r="1603" spans="1:12" ht="19.95" customHeight="1" x14ac:dyDescent="0.3">
      <c r="A1603" s="6" t="s">
        <v>4411</v>
      </c>
      <c r="B1603" s="7" t="s">
        <v>4412</v>
      </c>
      <c r="C1603" s="6" t="s">
        <v>4925</v>
      </c>
      <c r="D1603" s="7" t="s">
        <v>4605</v>
      </c>
      <c r="E1603" s="6" t="s">
        <v>4835</v>
      </c>
      <c r="F1603" s="7" t="s">
        <v>4413</v>
      </c>
      <c r="G1603" s="7" t="s">
        <v>4367</v>
      </c>
      <c r="H1603" s="5" t="s">
        <v>225</v>
      </c>
      <c r="I1603" s="6" t="s">
        <v>4410</v>
      </c>
      <c r="J1603" s="7" t="s">
        <v>11</v>
      </c>
      <c r="K1603" s="36">
        <v>2.7</v>
      </c>
      <c r="L1603" s="37">
        <v>679</v>
      </c>
    </row>
    <row r="1604" spans="1:12" ht="19.95" customHeight="1" x14ac:dyDescent="0.3">
      <c r="A1604" s="2" t="s">
        <v>4411</v>
      </c>
      <c r="B1604" s="3" t="s">
        <v>4412</v>
      </c>
      <c r="C1604" s="2" t="s">
        <v>4925</v>
      </c>
      <c r="D1604" s="3" t="s">
        <v>4605</v>
      </c>
      <c r="E1604" s="2" t="s">
        <v>4835</v>
      </c>
      <c r="F1604" s="3" t="s">
        <v>4413</v>
      </c>
      <c r="G1604" s="3" t="s">
        <v>4367</v>
      </c>
      <c r="H1604" s="1" t="s">
        <v>199</v>
      </c>
      <c r="I1604" s="2" t="s">
        <v>200</v>
      </c>
      <c r="J1604" s="3" t="s">
        <v>11</v>
      </c>
      <c r="K1604" s="38">
        <v>6.4000000000000001E-2</v>
      </c>
      <c r="L1604" s="39">
        <v>738</v>
      </c>
    </row>
    <row r="1605" spans="1:12" ht="19.95" customHeight="1" x14ac:dyDescent="0.3">
      <c r="A1605" s="6" t="s">
        <v>4411</v>
      </c>
      <c r="B1605" s="7" t="s">
        <v>4412</v>
      </c>
      <c r="C1605" s="6" t="s">
        <v>4925</v>
      </c>
      <c r="D1605" s="7" t="s">
        <v>4605</v>
      </c>
      <c r="E1605" s="6" t="s">
        <v>4835</v>
      </c>
      <c r="F1605" s="7" t="s">
        <v>4413</v>
      </c>
      <c r="G1605" s="7" t="s">
        <v>4367</v>
      </c>
      <c r="H1605" s="5" t="s">
        <v>209</v>
      </c>
      <c r="I1605" s="6" t="s">
        <v>210</v>
      </c>
      <c r="J1605" s="7" t="s">
        <v>11</v>
      </c>
      <c r="K1605" s="36">
        <v>0.44800000000000001</v>
      </c>
      <c r="L1605" s="37">
        <v>558</v>
      </c>
    </row>
    <row r="1606" spans="1:12" ht="19.95" customHeight="1" x14ac:dyDescent="0.3">
      <c r="A1606" s="2" t="s">
        <v>4411</v>
      </c>
      <c r="B1606" s="3" t="s">
        <v>4412</v>
      </c>
      <c r="C1606" s="2" t="s">
        <v>4925</v>
      </c>
      <c r="D1606" s="3" t="s">
        <v>4605</v>
      </c>
      <c r="E1606" s="2" t="s">
        <v>4835</v>
      </c>
      <c r="F1606" s="3" t="s">
        <v>4413</v>
      </c>
      <c r="G1606" s="3" t="s">
        <v>4367</v>
      </c>
      <c r="H1606" s="1" t="s">
        <v>211</v>
      </c>
      <c r="I1606" s="2" t="s">
        <v>212</v>
      </c>
      <c r="J1606" s="3" t="s">
        <v>11</v>
      </c>
      <c r="K1606" s="38">
        <v>0.224</v>
      </c>
      <c r="L1606" s="39">
        <v>558</v>
      </c>
    </row>
    <row r="1607" spans="1:12" ht="19.95" customHeight="1" x14ac:dyDescent="0.3">
      <c r="A1607" s="6" t="s">
        <v>4411</v>
      </c>
      <c r="B1607" s="7" t="s">
        <v>4412</v>
      </c>
      <c r="C1607" s="6" t="s">
        <v>4925</v>
      </c>
      <c r="D1607" s="7" t="s">
        <v>4605</v>
      </c>
      <c r="E1607" s="6" t="s">
        <v>4835</v>
      </c>
      <c r="F1607" s="7" t="s">
        <v>4413</v>
      </c>
      <c r="G1607" s="7" t="s">
        <v>4367</v>
      </c>
      <c r="H1607" s="5" t="s">
        <v>194</v>
      </c>
      <c r="I1607" s="6" t="s">
        <v>196</v>
      </c>
      <c r="J1607" s="7" t="s">
        <v>11</v>
      </c>
      <c r="K1607" s="36">
        <v>0.44800000000000001</v>
      </c>
      <c r="L1607" s="37">
        <v>617</v>
      </c>
    </row>
    <row r="1608" spans="1:12" ht="19.95" customHeight="1" x14ac:dyDescent="0.3">
      <c r="A1608" s="2" t="s">
        <v>4411</v>
      </c>
      <c r="B1608" s="3" t="s">
        <v>4412</v>
      </c>
      <c r="C1608" s="2" t="s">
        <v>4925</v>
      </c>
      <c r="D1608" s="3" t="s">
        <v>4605</v>
      </c>
      <c r="E1608" s="2" t="s">
        <v>4835</v>
      </c>
      <c r="F1608" s="3" t="s">
        <v>4413</v>
      </c>
      <c r="G1608" s="3" t="s">
        <v>4367</v>
      </c>
      <c r="H1608" s="1" t="s">
        <v>225</v>
      </c>
      <c r="I1608" s="2" t="s">
        <v>4410</v>
      </c>
      <c r="J1608" s="3" t="s">
        <v>11</v>
      </c>
      <c r="K1608" s="38">
        <v>0.44800000000000001</v>
      </c>
      <c r="L1608" s="39">
        <v>679</v>
      </c>
    </row>
    <row r="1609" spans="1:12" ht="19.95" customHeight="1" x14ac:dyDescent="0.3">
      <c r="A1609" s="6" t="s">
        <v>4411</v>
      </c>
      <c r="B1609" s="7" t="s">
        <v>4412</v>
      </c>
      <c r="C1609" s="6" t="s">
        <v>4925</v>
      </c>
      <c r="D1609" s="7" t="s">
        <v>4605</v>
      </c>
      <c r="E1609" s="6" t="s">
        <v>4835</v>
      </c>
      <c r="F1609" s="7" t="s">
        <v>4413</v>
      </c>
      <c r="G1609" s="7" t="s">
        <v>4367</v>
      </c>
      <c r="H1609" s="5" t="s">
        <v>194</v>
      </c>
      <c r="I1609" s="6" t="s">
        <v>196</v>
      </c>
      <c r="J1609" s="7" t="s">
        <v>11</v>
      </c>
      <c r="K1609" s="36">
        <v>0.33600000000000002</v>
      </c>
      <c r="L1609" s="37">
        <v>617</v>
      </c>
    </row>
    <row r="1610" spans="1:12" ht="19.95" customHeight="1" x14ac:dyDescent="0.3">
      <c r="A1610" s="2" t="s">
        <v>4411</v>
      </c>
      <c r="B1610" s="3" t="s">
        <v>4412</v>
      </c>
      <c r="C1610" s="2" t="s">
        <v>4925</v>
      </c>
      <c r="D1610" s="3" t="s">
        <v>4605</v>
      </c>
      <c r="E1610" s="2" t="s">
        <v>4835</v>
      </c>
      <c r="F1610" s="3" t="s">
        <v>4413</v>
      </c>
      <c r="G1610" s="3" t="s">
        <v>4367</v>
      </c>
      <c r="H1610" s="1" t="s">
        <v>209</v>
      </c>
      <c r="I1610" s="2" t="s">
        <v>210</v>
      </c>
      <c r="J1610" s="3" t="s">
        <v>11</v>
      </c>
      <c r="K1610" s="38">
        <v>0.33600000000000002</v>
      </c>
      <c r="L1610" s="39">
        <v>558</v>
      </c>
    </row>
    <row r="1611" spans="1:12" ht="19.95" customHeight="1" x14ac:dyDescent="0.3">
      <c r="A1611" s="6" t="s">
        <v>4411</v>
      </c>
      <c r="B1611" s="7" t="s">
        <v>4412</v>
      </c>
      <c r="C1611" s="6" t="s">
        <v>4925</v>
      </c>
      <c r="D1611" s="7" t="s">
        <v>4605</v>
      </c>
      <c r="E1611" s="6" t="s">
        <v>4835</v>
      </c>
      <c r="F1611" s="7" t="s">
        <v>4413</v>
      </c>
      <c r="G1611" s="7" t="s">
        <v>4367</v>
      </c>
      <c r="H1611" s="5" t="s">
        <v>211</v>
      </c>
      <c r="I1611" s="6" t="s">
        <v>212</v>
      </c>
      <c r="J1611" s="7" t="s">
        <v>11</v>
      </c>
      <c r="K1611" s="36">
        <v>0.33600000000000002</v>
      </c>
      <c r="L1611" s="37">
        <v>558</v>
      </c>
    </row>
    <row r="1612" spans="1:12" ht="19.95" customHeight="1" x14ac:dyDescent="0.3">
      <c r="A1612" s="2" t="s">
        <v>4411</v>
      </c>
      <c r="B1612" s="3" t="s">
        <v>4412</v>
      </c>
      <c r="C1612" s="2" t="s">
        <v>4925</v>
      </c>
      <c r="D1612" s="3" t="s">
        <v>4605</v>
      </c>
      <c r="E1612" s="2" t="s">
        <v>4835</v>
      </c>
      <c r="F1612" s="3" t="s">
        <v>4413</v>
      </c>
      <c r="G1612" s="3" t="s">
        <v>4367</v>
      </c>
      <c r="H1612" s="1" t="s">
        <v>197</v>
      </c>
      <c r="I1612" s="2" t="s">
        <v>198</v>
      </c>
      <c r="J1612" s="3" t="s">
        <v>11</v>
      </c>
      <c r="K1612" s="38">
        <v>0.33600000000000002</v>
      </c>
      <c r="L1612" s="39">
        <v>617</v>
      </c>
    </row>
    <row r="1613" spans="1:12" ht="19.95" customHeight="1" x14ac:dyDescent="0.3">
      <c r="A1613" s="6" t="s">
        <v>4411</v>
      </c>
      <c r="B1613" s="7" t="s">
        <v>4412</v>
      </c>
      <c r="C1613" s="6" t="s">
        <v>4925</v>
      </c>
      <c r="D1613" s="7" t="s">
        <v>4605</v>
      </c>
      <c r="E1613" s="6" t="s">
        <v>4835</v>
      </c>
      <c r="F1613" s="7" t="s">
        <v>4413</v>
      </c>
      <c r="G1613" s="7" t="s">
        <v>4367</v>
      </c>
      <c r="H1613" s="5" t="s">
        <v>225</v>
      </c>
      <c r="I1613" s="6" t="s">
        <v>4410</v>
      </c>
      <c r="J1613" s="7" t="s">
        <v>11</v>
      </c>
      <c r="K1613" s="36">
        <v>2.7</v>
      </c>
      <c r="L1613" s="37">
        <v>679</v>
      </c>
    </row>
    <row r="1614" spans="1:12" ht="19.95" customHeight="1" x14ac:dyDescent="0.3">
      <c r="A1614" s="2" t="s">
        <v>4411</v>
      </c>
      <c r="B1614" s="3" t="s">
        <v>4412</v>
      </c>
      <c r="C1614" s="2" t="s">
        <v>4925</v>
      </c>
      <c r="D1614" s="3" t="s">
        <v>4605</v>
      </c>
      <c r="E1614" s="2" t="s">
        <v>4835</v>
      </c>
      <c r="F1614" s="3" t="s">
        <v>4413</v>
      </c>
      <c r="G1614" s="3" t="s">
        <v>4367</v>
      </c>
      <c r="H1614" s="1" t="s">
        <v>199</v>
      </c>
      <c r="I1614" s="2" t="s">
        <v>200</v>
      </c>
      <c r="J1614" s="3" t="s">
        <v>11</v>
      </c>
      <c r="K1614" s="38">
        <v>6.4000000000000001E-2</v>
      </c>
      <c r="L1614" s="39">
        <v>738</v>
      </c>
    </row>
    <row r="1615" spans="1:12" ht="19.95" customHeight="1" x14ac:dyDescent="0.3">
      <c r="A1615" s="6" t="s">
        <v>4411</v>
      </c>
      <c r="B1615" s="7" t="s">
        <v>4412</v>
      </c>
      <c r="C1615" s="6" t="s">
        <v>4925</v>
      </c>
      <c r="D1615" s="7" t="s">
        <v>4605</v>
      </c>
      <c r="E1615" s="6" t="s">
        <v>4835</v>
      </c>
      <c r="F1615" s="7" t="s">
        <v>4413</v>
      </c>
      <c r="G1615" s="7" t="s">
        <v>4367</v>
      </c>
      <c r="H1615" s="5" t="s">
        <v>209</v>
      </c>
      <c r="I1615" s="6" t="s">
        <v>210</v>
      </c>
      <c r="J1615" s="7" t="s">
        <v>11</v>
      </c>
      <c r="K1615" s="36">
        <v>0.44800000000000001</v>
      </c>
      <c r="L1615" s="37">
        <v>558</v>
      </c>
    </row>
    <row r="1616" spans="1:12" ht="19.95" customHeight="1" x14ac:dyDescent="0.3">
      <c r="A1616" s="2" t="s">
        <v>4411</v>
      </c>
      <c r="B1616" s="3" t="s">
        <v>4412</v>
      </c>
      <c r="C1616" s="2" t="s">
        <v>4925</v>
      </c>
      <c r="D1616" s="3" t="s">
        <v>4605</v>
      </c>
      <c r="E1616" s="2" t="s">
        <v>4835</v>
      </c>
      <c r="F1616" s="3" t="s">
        <v>4413</v>
      </c>
      <c r="G1616" s="3" t="s">
        <v>4367</v>
      </c>
      <c r="H1616" s="1" t="s">
        <v>211</v>
      </c>
      <c r="I1616" s="2" t="s">
        <v>212</v>
      </c>
      <c r="J1616" s="3" t="s">
        <v>11</v>
      </c>
      <c r="K1616" s="38">
        <v>0.224</v>
      </c>
      <c r="L1616" s="39">
        <v>558</v>
      </c>
    </row>
    <row r="1617" spans="1:12" ht="19.95" customHeight="1" x14ac:dyDescent="0.3">
      <c r="A1617" s="6" t="s">
        <v>4411</v>
      </c>
      <c r="B1617" s="7" t="s">
        <v>4412</v>
      </c>
      <c r="C1617" s="6" t="s">
        <v>4925</v>
      </c>
      <c r="D1617" s="7" t="s">
        <v>4605</v>
      </c>
      <c r="E1617" s="6" t="s">
        <v>4835</v>
      </c>
      <c r="F1617" s="7" t="s">
        <v>4413</v>
      </c>
      <c r="G1617" s="7" t="s">
        <v>4367</v>
      </c>
      <c r="H1617" s="5" t="s">
        <v>194</v>
      </c>
      <c r="I1617" s="6" t="s">
        <v>196</v>
      </c>
      <c r="J1617" s="7" t="s">
        <v>11</v>
      </c>
      <c r="K1617" s="36">
        <v>0.44800000000000001</v>
      </c>
      <c r="L1617" s="37">
        <v>617</v>
      </c>
    </row>
    <row r="1618" spans="1:12" ht="19.95" customHeight="1" x14ac:dyDescent="0.3">
      <c r="A1618" s="2" t="s">
        <v>4411</v>
      </c>
      <c r="B1618" s="3" t="s">
        <v>4412</v>
      </c>
      <c r="C1618" s="2" t="s">
        <v>4925</v>
      </c>
      <c r="D1618" s="3" t="s">
        <v>4605</v>
      </c>
      <c r="E1618" s="2" t="s">
        <v>4835</v>
      </c>
      <c r="F1618" s="3" t="s">
        <v>4413</v>
      </c>
      <c r="G1618" s="3" t="s">
        <v>4367</v>
      </c>
      <c r="H1618" s="1" t="s">
        <v>225</v>
      </c>
      <c r="I1618" s="2" t="s">
        <v>4410</v>
      </c>
      <c r="J1618" s="3" t="s">
        <v>11</v>
      </c>
      <c r="K1618" s="38">
        <v>0.44800000000000001</v>
      </c>
      <c r="L1618" s="39">
        <v>679</v>
      </c>
    </row>
    <row r="1619" spans="1:12" ht="19.95" customHeight="1" x14ac:dyDescent="0.3">
      <c r="A1619" s="6" t="s">
        <v>4411</v>
      </c>
      <c r="B1619" s="7" t="s">
        <v>4412</v>
      </c>
      <c r="C1619" s="6" t="s">
        <v>4925</v>
      </c>
      <c r="D1619" s="7" t="s">
        <v>4605</v>
      </c>
      <c r="E1619" s="6" t="s">
        <v>4835</v>
      </c>
      <c r="F1619" s="7" t="s">
        <v>4413</v>
      </c>
      <c r="G1619" s="7" t="s">
        <v>4367</v>
      </c>
      <c r="H1619" s="5" t="s">
        <v>194</v>
      </c>
      <c r="I1619" s="6" t="s">
        <v>196</v>
      </c>
      <c r="J1619" s="7" t="s">
        <v>11</v>
      </c>
      <c r="K1619" s="36">
        <v>0.33600000000000002</v>
      </c>
      <c r="L1619" s="37">
        <v>617</v>
      </c>
    </row>
    <row r="1620" spans="1:12" ht="19.95" customHeight="1" x14ac:dyDescent="0.3">
      <c r="A1620" s="2" t="s">
        <v>4411</v>
      </c>
      <c r="B1620" s="3" t="s">
        <v>4412</v>
      </c>
      <c r="C1620" s="2" t="s">
        <v>4925</v>
      </c>
      <c r="D1620" s="3" t="s">
        <v>4605</v>
      </c>
      <c r="E1620" s="2" t="s">
        <v>4835</v>
      </c>
      <c r="F1620" s="3" t="s">
        <v>4413</v>
      </c>
      <c r="G1620" s="3" t="s">
        <v>4367</v>
      </c>
      <c r="H1620" s="1" t="s">
        <v>209</v>
      </c>
      <c r="I1620" s="2" t="s">
        <v>210</v>
      </c>
      <c r="J1620" s="3" t="s">
        <v>11</v>
      </c>
      <c r="K1620" s="38">
        <v>0.33600000000000002</v>
      </c>
      <c r="L1620" s="39">
        <v>558</v>
      </c>
    </row>
    <row r="1621" spans="1:12" ht="19.95" customHeight="1" x14ac:dyDescent="0.3">
      <c r="A1621" s="6" t="s">
        <v>4411</v>
      </c>
      <c r="B1621" s="7" t="s">
        <v>4412</v>
      </c>
      <c r="C1621" s="6" t="s">
        <v>4925</v>
      </c>
      <c r="D1621" s="7" t="s">
        <v>4605</v>
      </c>
      <c r="E1621" s="6" t="s">
        <v>4835</v>
      </c>
      <c r="F1621" s="7" t="s">
        <v>4413</v>
      </c>
      <c r="G1621" s="7" t="s">
        <v>4367</v>
      </c>
      <c r="H1621" s="5" t="s">
        <v>211</v>
      </c>
      <c r="I1621" s="6" t="s">
        <v>212</v>
      </c>
      <c r="J1621" s="7" t="s">
        <v>11</v>
      </c>
      <c r="K1621" s="36">
        <v>0.33600000000000002</v>
      </c>
      <c r="L1621" s="37">
        <v>558</v>
      </c>
    </row>
    <row r="1622" spans="1:12" ht="19.95" customHeight="1" x14ac:dyDescent="0.3">
      <c r="A1622" s="2" t="s">
        <v>4411</v>
      </c>
      <c r="B1622" s="3" t="s">
        <v>4412</v>
      </c>
      <c r="C1622" s="2" t="s">
        <v>4925</v>
      </c>
      <c r="D1622" s="3" t="s">
        <v>4605</v>
      </c>
      <c r="E1622" s="2" t="s">
        <v>4835</v>
      </c>
      <c r="F1622" s="3" t="s">
        <v>4413</v>
      </c>
      <c r="G1622" s="3" t="s">
        <v>4367</v>
      </c>
      <c r="H1622" s="1" t="s">
        <v>197</v>
      </c>
      <c r="I1622" s="2" t="s">
        <v>198</v>
      </c>
      <c r="J1622" s="3" t="s">
        <v>11</v>
      </c>
      <c r="K1622" s="38">
        <v>0.33600000000000002</v>
      </c>
      <c r="L1622" s="39">
        <v>617</v>
      </c>
    </row>
    <row r="1623" spans="1:12" ht="19.95" customHeight="1" x14ac:dyDescent="0.3">
      <c r="A1623" s="6" t="s">
        <v>4411</v>
      </c>
      <c r="B1623" s="7" t="s">
        <v>4412</v>
      </c>
      <c r="C1623" s="6" t="s">
        <v>4925</v>
      </c>
      <c r="D1623" s="7" t="s">
        <v>4605</v>
      </c>
      <c r="E1623" s="6" t="s">
        <v>4835</v>
      </c>
      <c r="F1623" s="7" t="s">
        <v>4413</v>
      </c>
      <c r="G1623" s="7" t="s">
        <v>4367</v>
      </c>
      <c r="H1623" s="5" t="s">
        <v>225</v>
      </c>
      <c r="I1623" s="6" t="s">
        <v>4410</v>
      </c>
      <c r="J1623" s="7" t="s">
        <v>11</v>
      </c>
      <c r="K1623" s="36">
        <v>2.7</v>
      </c>
      <c r="L1623" s="37">
        <v>679</v>
      </c>
    </row>
    <row r="1624" spans="1:12" ht="19.95" customHeight="1" x14ac:dyDescent="0.3">
      <c r="A1624" s="2" t="s">
        <v>4411</v>
      </c>
      <c r="B1624" s="3" t="s">
        <v>4412</v>
      </c>
      <c r="C1624" s="2" t="s">
        <v>4925</v>
      </c>
      <c r="D1624" s="3" t="s">
        <v>4605</v>
      </c>
      <c r="E1624" s="2" t="s">
        <v>4835</v>
      </c>
      <c r="F1624" s="3" t="s">
        <v>4413</v>
      </c>
      <c r="G1624" s="3" t="s">
        <v>4367</v>
      </c>
      <c r="H1624" s="1" t="s">
        <v>199</v>
      </c>
      <c r="I1624" s="2" t="s">
        <v>200</v>
      </c>
      <c r="J1624" s="3" t="s">
        <v>11</v>
      </c>
      <c r="K1624" s="38">
        <v>6.4000000000000001E-2</v>
      </c>
      <c r="L1624" s="39">
        <v>738</v>
      </c>
    </row>
    <row r="1625" spans="1:12" ht="19.95" customHeight="1" x14ac:dyDescent="0.3">
      <c r="A1625" s="6" t="s">
        <v>4411</v>
      </c>
      <c r="B1625" s="7" t="s">
        <v>4412</v>
      </c>
      <c r="C1625" s="6" t="s">
        <v>4925</v>
      </c>
      <c r="D1625" s="7" t="s">
        <v>4605</v>
      </c>
      <c r="E1625" s="6" t="s">
        <v>4835</v>
      </c>
      <c r="F1625" s="7" t="s">
        <v>4413</v>
      </c>
      <c r="G1625" s="7" t="s">
        <v>4367</v>
      </c>
      <c r="H1625" s="5" t="s">
        <v>209</v>
      </c>
      <c r="I1625" s="6" t="s">
        <v>210</v>
      </c>
      <c r="J1625" s="7" t="s">
        <v>11</v>
      </c>
      <c r="K1625" s="36">
        <v>0.44800000000000001</v>
      </c>
      <c r="L1625" s="37">
        <v>558</v>
      </c>
    </row>
    <row r="1626" spans="1:12" ht="19.95" customHeight="1" x14ac:dyDescent="0.3">
      <c r="A1626" s="2" t="s">
        <v>4411</v>
      </c>
      <c r="B1626" s="3" t="s">
        <v>4412</v>
      </c>
      <c r="C1626" s="2" t="s">
        <v>4925</v>
      </c>
      <c r="D1626" s="3" t="s">
        <v>4605</v>
      </c>
      <c r="E1626" s="2" t="s">
        <v>4835</v>
      </c>
      <c r="F1626" s="3" t="s">
        <v>4413</v>
      </c>
      <c r="G1626" s="3" t="s">
        <v>4367</v>
      </c>
      <c r="H1626" s="1" t="s">
        <v>211</v>
      </c>
      <c r="I1626" s="2" t="s">
        <v>212</v>
      </c>
      <c r="J1626" s="3" t="s">
        <v>11</v>
      </c>
      <c r="K1626" s="38">
        <v>0.224</v>
      </c>
      <c r="L1626" s="39">
        <v>558</v>
      </c>
    </row>
    <row r="1627" spans="1:12" ht="19.95" customHeight="1" x14ac:dyDescent="0.3">
      <c r="A1627" s="6" t="s">
        <v>4411</v>
      </c>
      <c r="B1627" s="7" t="s">
        <v>4412</v>
      </c>
      <c r="C1627" s="6" t="s">
        <v>4925</v>
      </c>
      <c r="D1627" s="7" t="s">
        <v>4605</v>
      </c>
      <c r="E1627" s="6" t="s">
        <v>4835</v>
      </c>
      <c r="F1627" s="7" t="s">
        <v>4413</v>
      </c>
      <c r="G1627" s="7" t="s">
        <v>4367</v>
      </c>
      <c r="H1627" s="5" t="s">
        <v>194</v>
      </c>
      <c r="I1627" s="6" t="s">
        <v>196</v>
      </c>
      <c r="J1627" s="7" t="s">
        <v>11</v>
      </c>
      <c r="K1627" s="36">
        <v>0.44800000000000001</v>
      </c>
      <c r="L1627" s="37">
        <v>617</v>
      </c>
    </row>
    <row r="1628" spans="1:12" ht="19.95" customHeight="1" x14ac:dyDescent="0.3">
      <c r="A1628" s="2" t="s">
        <v>4411</v>
      </c>
      <c r="B1628" s="3" t="s">
        <v>4412</v>
      </c>
      <c r="C1628" s="2" t="s">
        <v>4925</v>
      </c>
      <c r="D1628" s="3" t="s">
        <v>4605</v>
      </c>
      <c r="E1628" s="2" t="s">
        <v>4835</v>
      </c>
      <c r="F1628" s="3" t="s">
        <v>4413</v>
      </c>
      <c r="G1628" s="3" t="s">
        <v>4367</v>
      </c>
      <c r="H1628" s="1" t="s">
        <v>225</v>
      </c>
      <c r="I1628" s="2" t="s">
        <v>4410</v>
      </c>
      <c r="J1628" s="3" t="s">
        <v>11</v>
      </c>
      <c r="K1628" s="38">
        <v>0.44800000000000001</v>
      </c>
      <c r="L1628" s="39">
        <v>679</v>
      </c>
    </row>
    <row r="1629" spans="1:12" ht="19.95" customHeight="1" x14ac:dyDescent="0.3">
      <c r="A1629" s="6" t="s">
        <v>4411</v>
      </c>
      <c r="B1629" s="7" t="s">
        <v>4412</v>
      </c>
      <c r="C1629" s="6" t="s">
        <v>4925</v>
      </c>
      <c r="D1629" s="7" t="s">
        <v>4605</v>
      </c>
      <c r="E1629" s="6" t="s">
        <v>4835</v>
      </c>
      <c r="F1629" s="7" t="s">
        <v>4413</v>
      </c>
      <c r="G1629" s="7" t="s">
        <v>4367</v>
      </c>
      <c r="H1629" s="5" t="s">
        <v>194</v>
      </c>
      <c r="I1629" s="6" t="s">
        <v>196</v>
      </c>
      <c r="J1629" s="7" t="s">
        <v>11</v>
      </c>
      <c r="K1629" s="36">
        <v>0.33600000000000002</v>
      </c>
      <c r="L1629" s="37">
        <v>617</v>
      </c>
    </row>
    <row r="1630" spans="1:12" ht="19.95" customHeight="1" x14ac:dyDescent="0.3">
      <c r="A1630" s="2" t="s">
        <v>4411</v>
      </c>
      <c r="B1630" s="3" t="s">
        <v>4412</v>
      </c>
      <c r="C1630" s="2" t="s">
        <v>4925</v>
      </c>
      <c r="D1630" s="3" t="s">
        <v>4605</v>
      </c>
      <c r="E1630" s="2" t="s">
        <v>4835</v>
      </c>
      <c r="F1630" s="3" t="s">
        <v>4413</v>
      </c>
      <c r="G1630" s="3" t="s">
        <v>4367</v>
      </c>
      <c r="H1630" s="1" t="s">
        <v>209</v>
      </c>
      <c r="I1630" s="2" t="s">
        <v>210</v>
      </c>
      <c r="J1630" s="3" t="s">
        <v>11</v>
      </c>
      <c r="K1630" s="38">
        <v>0.33600000000000002</v>
      </c>
      <c r="L1630" s="39">
        <v>558</v>
      </c>
    </row>
    <row r="1631" spans="1:12" ht="19.95" customHeight="1" x14ac:dyDescent="0.3">
      <c r="A1631" s="6" t="s">
        <v>4411</v>
      </c>
      <c r="B1631" s="7" t="s">
        <v>4412</v>
      </c>
      <c r="C1631" s="6" t="s">
        <v>4925</v>
      </c>
      <c r="D1631" s="7" t="s">
        <v>4605</v>
      </c>
      <c r="E1631" s="6" t="s">
        <v>4835</v>
      </c>
      <c r="F1631" s="7" t="s">
        <v>4413</v>
      </c>
      <c r="G1631" s="7" t="s">
        <v>4367</v>
      </c>
      <c r="H1631" s="5" t="s">
        <v>211</v>
      </c>
      <c r="I1631" s="6" t="s">
        <v>212</v>
      </c>
      <c r="J1631" s="7" t="s">
        <v>11</v>
      </c>
      <c r="K1631" s="36">
        <v>0.33600000000000002</v>
      </c>
      <c r="L1631" s="37">
        <v>558</v>
      </c>
    </row>
    <row r="1632" spans="1:12" ht="19.95" customHeight="1" x14ac:dyDescent="0.3">
      <c r="A1632" s="2" t="s">
        <v>4411</v>
      </c>
      <c r="B1632" s="3" t="s">
        <v>4412</v>
      </c>
      <c r="C1632" s="2" t="s">
        <v>4925</v>
      </c>
      <c r="D1632" s="3" t="s">
        <v>4605</v>
      </c>
      <c r="E1632" s="2" t="s">
        <v>4835</v>
      </c>
      <c r="F1632" s="3" t="s">
        <v>4413</v>
      </c>
      <c r="G1632" s="3" t="s">
        <v>4367</v>
      </c>
      <c r="H1632" s="1" t="s">
        <v>197</v>
      </c>
      <c r="I1632" s="2" t="s">
        <v>198</v>
      </c>
      <c r="J1632" s="3" t="s">
        <v>11</v>
      </c>
      <c r="K1632" s="38">
        <v>0.33600000000000002</v>
      </c>
      <c r="L1632" s="39">
        <v>617</v>
      </c>
    </row>
    <row r="1633" spans="1:12" ht="19.95" customHeight="1" x14ac:dyDescent="0.3">
      <c r="A1633" s="6" t="s">
        <v>4411</v>
      </c>
      <c r="B1633" s="7" t="s">
        <v>4412</v>
      </c>
      <c r="C1633" s="6" t="s">
        <v>4925</v>
      </c>
      <c r="D1633" s="7" t="s">
        <v>4605</v>
      </c>
      <c r="E1633" s="6" t="s">
        <v>4835</v>
      </c>
      <c r="F1633" s="7" t="s">
        <v>4413</v>
      </c>
      <c r="G1633" s="7" t="s">
        <v>4367</v>
      </c>
      <c r="H1633" s="5" t="s">
        <v>225</v>
      </c>
      <c r="I1633" s="6" t="s">
        <v>226</v>
      </c>
      <c r="J1633" s="7" t="s">
        <v>11</v>
      </c>
      <c r="K1633" s="36">
        <v>0.44800000000000001</v>
      </c>
      <c r="L1633" s="37">
        <v>679</v>
      </c>
    </row>
    <row r="1634" spans="1:12" ht="19.95" customHeight="1" x14ac:dyDescent="0.3">
      <c r="A1634" s="2" t="s">
        <v>4411</v>
      </c>
      <c r="B1634" s="3" t="s">
        <v>4412</v>
      </c>
      <c r="C1634" s="2" t="s">
        <v>4925</v>
      </c>
      <c r="D1634" s="3" t="s">
        <v>4605</v>
      </c>
      <c r="E1634" s="2" t="s">
        <v>4835</v>
      </c>
      <c r="F1634" s="3" t="s">
        <v>4413</v>
      </c>
      <c r="G1634" s="3" t="s">
        <v>4367</v>
      </c>
      <c r="H1634" s="1" t="s">
        <v>194</v>
      </c>
      <c r="I1634" s="2" t="s">
        <v>196</v>
      </c>
      <c r="J1634" s="3" t="s">
        <v>11</v>
      </c>
      <c r="K1634" s="38">
        <v>0.33600000000000002</v>
      </c>
      <c r="L1634" s="39">
        <v>617</v>
      </c>
    </row>
    <row r="1635" spans="1:12" ht="19.95" customHeight="1" x14ac:dyDescent="0.3">
      <c r="A1635" s="6" t="s">
        <v>4411</v>
      </c>
      <c r="B1635" s="7" t="s">
        <v>4412</v>
      </c>
      <c r="C1635" s="6" t="s">
        <v>4925</v>
      </c>
      <c r="D1635" s="7" t="s">
        <v>4605</v>
      </c>
      <c r="E1635" s="6" t="s">
        <v>4835</v>
      </c>
      <c r="F1635" s="7" t="s">
        <v>4413</v>
      </c>
      <c r="G1635" s="7" t="s">
        <v>4367</v>
      </c>
      <c r="H1635" s="5" t="s">
        <v>209</v>
      </c>
      <c r="I1635" s="6" t="s">
        <v>210</v>
      </c>
      <c r="J1635" s="7" t="s">
        <v>11</v>
      </c>
      <c r="K1635" s="36">
        <v>0.33600000000000002</v>
      </c>
      <c r="L1635" s="37">
        <v>558</v>
      </c>
    </row>
    <row r="1636" spans="1:12" ht="19.95" customHeight="1" x14ac:dyDescent="0.3">
      <c r="A1636" s="2" t="s">
        <v>4411</v>
      </c>
      <c r="B1636" s="3" t="s">
        <v>4412</v>
      </c>
      <c r="C1636" s="2" t="s">
        <v>4925</v>
      </c>
      <c r="D1636" s="3" t="s">
        <v>4605</v>
      </c>
      <c r="E1636" s="2" t="s">
        <v>4835</v>
      </c>
      <c r="F1636" s="3" t="s">
        <v>4413</v>
      </c>
      <c r="G1636" s="3" t="s">
        <v>4367</v>
      </c>
      <c r="H1636" s="1" t="s">
        <v>211</v>
      </c>
      <c r="I1636" s="2" t="s">
        <v>212</v>
      </c>
      <c r="J1636" s="3" t="s">
        <v>11</v>
      </c>
      <c r="K1636" s="38">
        <v>0.33600000000000002</v>
      </c>
      <c r="L1636" s="39">
        <v>558</v>
      </c>
    </row>
    <row r="1637" spans="1:12" ht="19.95" customHeight="1" x14ac:dyDescent="0.3">
      <c r="A1637" s="6" t="s">
        <v>4411</v>
      </c>
      <c r="B1637" s="7" t="s">
        <v>4412</v>
      </c>
      <c r="C1637" s="6" t="s">
        <v>4925</v>
      </c>
      <c r="D1637" s="7" t="s">
        <v>4605</v>
      </c>
      <c r="E1637" s="6" t="s">
        <v>4835</v>
      </c>
      <c r="F1637" s="7" t="s">
        <v>4413</v>
      </c>
      <c r="G1637" s="7" t="s">
        <v>4367</v>
      </c>
      <c r="H1637" s="5" t="s">
        <v>197</v>
      </c>
      <c r="I1637" s="6" t="s">
        <v>198</v>
      </c>
      <c r="J1637" s="7" t="s">
        <v>11</v>
      </c>
      <c r="K1637" s="36">
        <v>0.33600000000000002</v>
      </c>
      <c r="L1637" s="37">
        <v>617</v>
      </c>
    </row>
    <row r="1638" spans="1:12" ht="19.95" customHeight="1" x14ac:dyDescent="0.3">
      <c r="A1638" s="2" t="s">
        <v>4411</v>
      </c>
      <c r="B1638" s="3" t="s">
        <v>4412</v>
      </c>
      <c r="C1638" s="2" t="s">
        <v>4925</v>
      </c>
      <c r="D1638" s="3" t="s">
        <v>4605</v>
      </c>
      <c r="E1638" s="2" t="s">
        <v>4835</v>
      </c>
      <c r="F1638" s="3" t="s">
        <v>4368</v>
      </c>
      <c r="G1638" s="3" t="s">
        <v>4367</v>
      </c>
      <c r="H1638" s="1" t="s">
        <v>225</v>
      </c>
      <c r="I1638" s="2" t="s">
        <v>4410</v>
      </c>
      <c r="J1638" s="3" t="s">
        <v>11</v>
      </c>
      <c r="K1638" s="38">
        <v>6.5</v>
      </c>
      <c r="L1638" s="39">
        <v>679</v>
      </c>
    </row>
    <row r="1639" spans="1:12" ht="19.95" customHeight="1" x14ac:dyDescent="0.3">
      <c r="A1639" s="6" t="s">
        <v>4411</v>
      </c>
      <c r="B1639" s="7" t="s">
        <v>4412</v>
      </c>
      <c r="C1639" s="6" t="s">
        <v>4925</v>
      </c>
      <c r="D1639" s="7" t="s">
        <v>4605</v>
      </c>
      <c r="E1639" s="6" t="s">
        <v>4835</v>
      </c>
      <c r="F1639" s="7" t="s">
        <v>4368</v>
      </c>
      <c r="G1639" s="7" t="s">
        <v>4367</v>
      </c>
      <c r="H1639" s="5" t="s">
        <v>209</v>
      </c>
      <c r="I1639" s="6" t="s">
        <v>210</v>
      </c>
      <c r="J1639" s="7" t="s">
        <v>11</v>
      </c>
      <c r="K1639" s="36">
        <v>6.5</v>
      </c>
      <c r="L1639" s="37">
        <v>558</v>
      </c>
    </row>
    <row r="1640" spans="1:12" ht="19.95" customHeight="1" x14ac:dyDescent="0.3">
      <c r="A1640" s="2" t="s">
        <v>4411</v>
      </c>
      <c r="B1640" s="3" t="s">
        <v>4412</v>
      </c>
      <c r="C1640" s="2" t="s">
        <v>4925</v>
      </c>
      <c r="D1640" s="3" t="s">
        <v>4605</v>
      </c>
      <c r="E1640" s="2" t="s">
        <v>4835</v>
      </c>
      <c r="F1640" s="3" t="s">
        <v>4368</v>
      </c>
      <c r="G1640" s="3" t="s">
        <v>4367</v>
      </c>
      <c r="H1640" s="1" t="s">
        <v>211</v>
      </c>
      <c r="I1640" s="2" t="s">
        <v>212</v>
      </c>
      <c r="J1640" s="3" t="s">
        <v>11</v>
      </c>
      <c r="K1640" s="38">
        <v>4.3</v>
      </c>
      <c r="L1640" s="39">
        <v>558</v>
      </c>
    </row>
    <row r="1641" spans="1:12" ht="19.95" customHeight="1" x14ac:dyDescent="0.3">
      <c r="A1641" s="6" t="s">
        <v>4411</v>
      </c>
      <c r="B1641" s="7" t="s">
        <v>4412</v>
      </c>
      <c r="C1641" s="6" t="s">
        <v>4925</v>
      </c>
      <c r="D1641" s="7" t="s">
        <v>4605</v>
      </c>
      <c r="E1641" s="6" t="s">
        <v>4835</v>
      </c>
      <c r="F1641" s="7" t="s">
        <v>4368</v>
      </c>
      <c r="G1641" s="7" t="s">
        <v>4367</v>
      </c>
      <c r="H1641" s="5" t="s">
        <v>249</v>
      </c>
      <c r="I1641" s="6" t="s">
        <v>250</v>
      </c>
      <c r="J1641" s="7" t="s">
        <v>11</v>
      </c>
      <c r="K1641" s="36">
        <v>10.8</v>
      </c>
      <c r="L1641" s="37">
        <v>617</v>
      </c>
    </row>
    <row r="1642" spans="1:12" ht="19.95" customHeight="1" x14ac:dyDescent="0.3">
      <c r="A1642" s="2" t="s">
        <v>4411</v>
      </c>
      <c r="B1642" s="3" t="s">
        <v>4412</v>
      </c>
      <c r="C1642" s="2" t="s">
        <v>4925</v>
      </c>
      <c r="D1642" s="3" t="s">
        <v>4605</v>
      </c>
      <c r="E1642" s="2" t="s">
        <v>4835</v>
      </c>
      <c r="F1642" s="3" t="s">
        <v>4368</v>
      </c>
      <c r="G1642" s="3" t="s">
        <v>4367</v>
      </c>
      <c r="H1642" s="1" t="s">
        <v>221</v>
      </c>
      <c r="I1642" s="2" t="s">
        <v>222</v>
      </c>
      <c r="J1642" s="3" t="s">
        <v>11</v>
      </c>
      <c r="K1642" s="38">
        <v>0.25</v>
      </c>
      <c r="L1642" s="39">
        <v>738</v>
      </c>
    </row>
    <row r="1643" spans="1:12" ht="19.95" customHeight="1" x14ac:dyDescent="0.3">
      <c r="A1643" s="6" t="s">
        <v>4411</v>
      </c>
      <c r="B1643" s="7" t="s">
        <v>4412</v>
      </c>
      <c r="C1643" s="6" t="s">
        <v>4925</v>
      </c>
      <c r="D1643" s="7" t="s">
        <v>4605</v>
      </c>
      <c r="E1643" s="6" t="s">
        <v>4835</v>
      </c>
      <c r="F1643" s="7" t="s">
        <v>4368</v>
      </c>
      <c r="G1643" s="7" t="s">
        <v>4367</v>
      </c>
      <c r="H1643" s="5" t="s">
        <v>211</v>
      </c>
      <c r="I1643" s="6" t="s">
        <v>212</v>
      </c>
      <c r="J1643" s="7" t="s">
        <v>11</v>
      </c>
      <c r="K1643" s="36">
        <v>0.25</v>
      </c>
      <c r="L1643" s="37">
        <v>558</v>
      </c>
    </row>
    <row r="1644" spans="1:12" ht="19.95" customHeight="1" x14ac:dyDescent="0.3">
      <c r="A1644" s="2" t="s">
        <v>4411</v>
      </c>
      <c r="B1644" s="3" t="s">
        <v>4412</v>
      </c>
      <c r="C1644" s="2" t="s">
        <v>4925</v>
      </c>
      <c r="D1644" s="3" t="s">
        <v>4607</v>
      </c>
      <c r="E1644" s="2" t="s">
        <v>4838</v>
      </c>
      <c r="F1644" s="3" t="s">
        <v>4368</v>
      </c>
      <c r="G1644" s="3" t="s">
        <v>4367</v>
      </c>
      <c r="H1644" s="1" t="s">
        <v>221</v>
      </c>
      <c r="I1644" s="2" t="s">
        <v>222</v>
      </c>
      <c r="J1644" s="3" t="s">
        <v>11</v>
      </c>
      <c r="K1644" s="38">
        <v>0.48</v>
      </c>
      <c r="L1644" s="39">
        <v>738</v>
      </c>
    </row>
    <row r="1645" spans="1:12" ht="19.95" customHeight="1" x14ac:dyDescent="0.3">
      <c r="A1645" s="6" t="s">
        <v>4411</v>
      </c>
      <c r="B1645" s="7" t="s">
        <v>4412</v>
      </c>
      <c r="C1645" s="6" t="s">
        <v>4925</v>
      </c>
      <c r="D1645" s="7" t="s">
        <v>4607</v>
      </c>
      <c r="E1645" s="6" t="s">
        <v>4838</v>
      </c>
      <c r="F1645" s="7" t="s">
        <v>4368</v>
      </c>
      <c r="G1645" s="7" t="s">
        <v>4367</v>
      </c>
      <c r="H1645" s="5" t="s">
        <v>209</v>
      </c>
      <c r="I1645" s="6" t="s">
        <v>210</v>
      </c>
      <c r="J1645" s="7" t="s">
        <v>11</v>
      </c>
      <c r="K1645" s="36">
        <v>0.2</v>
      </c>
      <c r="L1645" s="37">
        <v>558</v>
      </c>
    </row>
    <row r="1646" spans="1:12" ht="19.95" customHeight="1" x14ac:dyDescent="0.3">
      <c r="A1646" s="2" t="s">
        <v>4411</v>
      </c>
      <c r="B1646" s="3" t="s">
        <v>4412</v>
      </c>
      <c r="C1646" s="2" t="s">
        <v>4925</v>
      </c>
      <c r="D1646" s="3" t="s">
        <v>4607</v>
      </c>
      <c r="E1646" s="2" t="s">
        <v>4838</v>
      </c>
      <c r="F1646" s="3" t="s">
        <v>4368</v>
      </c>
      <c r="G1646" s="3" t="s">
        <v>4367</v>
      </c>
      <c r="H1646" s="1" t="s">
        <v>211</v>
      </c>
      <c r="I1646" s="2" t="s">
        <v>212</v>
      </c>
      <c r="J1646" s="3" t="s">
        <v>11</v>
      </c>
      <c r="K1646" s="38">
        <v>0.2</v>
      </c>
      <c r="L1646" s="39">
        <v>558</v>
      </c>
    </row>
    <row r="1647" spans="1:12" ht="19.95" customHeight="1" x14ac:dyDescent="0.3">
      <c r="A1647" s="6" t="s">
        <v>4411</v>
      </c>
      <c r="B1647" s="7" t="s">
        <v>4412</v>
      </c>
      <c r="C1647" s="6" t="s">
        <v>4925</v>
      </c>
      <c r="D1647" s="7" t="s">
        <v>4607</v>
      </c>
      <c r="E1647" s="6" t="s">
        <v>4838</v>
      </c>
      <c r="F1647" s="7" t="s">
        <v>4368</v>
      </c>
      <c r="G1647" s="7" t="s">
        <v>4367</v>
      </c>
      <c r="H1647" s="5" t="s">
        <v>221</v>
      </c>
      <c r="I1647" s="6" t="s">
        <v>222</v>
      </c>
      <c r="J1647" s="7" t="s">
        <v>11</v>
      </c>
      <c r="K1647" s="36">
        <v>0.72</v>
      </c>
      <c r="L1647" s="37">
        <v>738</v>
      </c>
    </row>
    <row r="1648" spans="1:12" ht="19.95" customHeight="1" x14ac:dyDescent="0.3">
      <c r="A1648" s="2" t="s">
        <v>4411</v>
      </c>
      <c r="B1648" s="3" t="s">
        <v>4412</v>
      </c>
      <c r="C1648" s="2" t="s">
        <v>4925</v>
      </c>
      <c r="D1648" s="3" t="s">
        <v>4607</v>
      </c>
      <c r="E1648" s="2" t="s">
        <v>4838</v>
      </c>
      <c r="F1648" s="3" t="s">
        <v>4368</v>
      </c>
      <c r="G1648" s="3" t="s">
        <v>4367</v>
      </c>
      <c r="H1648" s="1" t="s">
        <v>209</v>
      </c>
      <c r="I1648" s="2" t="s">
        <v>210</v>
      </c>
      <c r="J1648" s="3" t="s">
        <v>11</v>
      </c>
      <c r="K1648" s="38">
        <v>0.3</v>
      </c>
      <c r="L1648" s="39">
        <v>558</v>
      </c>
    </row>
    <row r="1649" spans="1:12" ht="19.95" customHeight="1" x14ac:dyDescent="0.3">
      <c r="A1649" s="6" t="s">
        <v>4411</v>
      </c>
      <c r="B1649" s="7" t="s">
        <v>4412</v>
      </c>
      <c r="C1649" s="6" t="s">
        <v>4925</v>
      </c>
      <c r="D1649" s="7" t="s">
        <v>4607</v>
      </c>
      <c r="E1649" s="6" t="s">
        <v>4838</v>
      </c>
      <c r="F1649" s="7" t="s">
        <v>4368</v>
      </c>
      <c r="G1649" s="7" t="s">
        <v>4367</v>
      </c>
      <c r="H1649" s="5" t="s">
        <v>211</v>
      </c>
      <c r="I1649" s="6" t="s">
        <v>212</v>
      </c>
      <c r="J1649" s="7" t="s">
        <v>11</v>
      </c>
      <c r="K1649" s="36">
        <v>0.3</v>
      </c>
      <c r="L1649" s="37">
        <v>558</v>
      </c>
    </row>
    <row r="1650" spans="1:12" ht="19.95" customHeight="1" x14ac:dyDescent="0.3">
      <c r="A1650" s="2" t="s">
        <v>4411</v>
      </c>
      <c r="B1650" s="3" t="s">
        <v>4412</v>
      </c>
      <c r="C1650" s="2" t="s">
        <v>4925</v>
      </c>
      <c r="D1650" s="3" t="s">
        <v>4607</v>
      </c>
      <c r="E1650" s="2" t="s">
        <v>4838</v>
      </c>
      <c r="F1650" s="3" t="s">
        <v>4368</v>
      </c>
      <c r="G1650" s="3" t="s">
        <v>4367</v>
      </c>
      <c r="H1650" s="1" t="s">
        <v>221</v>
      </c>
      <c r="I1650" s="2" t="s">
        <v>222</v>
      </c>
      <c r="J1650" s="3" t="s">
        <v>11</v>
      </c>
      <c r="K1650" s="38">
        <v>0.48</v>
      </c>
      <c r="L1650" s="39">
        <v>738</v>
      </c>
    </row>
    <row r="1651" spans="1:12" ht="19.95" customHeight="1" x14ac:dyDescent="0.3">
      <c r="A1651" s="6" t="s">
        <v>4411</v>
      </c>
      <c r="B1651" s="7" t="s">
        <v>4412</v>
      </c>
      <c r="C1651" s="6" t="s">
        <v>4925</v>
      </c>
      <c r="D1651" s="7" t="s">
        <v>4607</v>
      </c>
      <c r="E1651" s="6" t="s">
        <v>4838</v>
      </c>
      <c r="F1651" s="7" t="s">
        <v>4368</v>
      </c>
      <c r="G1651" s="7" t="s">
        <v>4367</v>
      </c>
      <c r="H1651" s="5" t="s">
        <v>209</v>
      </c>
      <c r="I1651" s="6" t="s">
        <v>210</v>
      </c>
      <c r="J1651" s="7" t="s">
        <v>11</v>
      </c>
      <c r="K1651" s="36">
        <v>0.2</v>
      </c>
      <c r="L1651" s="37">
        <v>558</v>
      </c>
    </row>
    <row r="1652" spans="1:12" ht="19.95" customHeight="1" x14ac:dyDescent="0.3">
      <c r="A1652" s="2" t="s">
        <v>4411</v>
      </c>
      <c r="B1652" s="3" t="s">
        <v>4412</v>
      </c>
      <c r="C1652" s="2" t="s">
        <v>4925</v>
      </c>
      <c r="D1652" s="3" t="s">
        <v>4607</v>
      </c>
      <c r="E1652" s="2" t="s">
        <v>4838</v>
      </c>
      <c r="F1652" s="3" t="s">
        <v>4368</v>
      </c>
      <c r="G1652" s="3" t="s">
        <v>4367</v>
      </c>
      <c r="H1652" s="1" t="s">
        <v>211</v>
      </c>
      <c r="I1652" s="2" t="s">
        <v>212</v>
      </c>
      <c r="J1652" s="3" t="s">
        <v>11</v>
      </c>
      <c r="K1652" s="38">
        <v>0.2</v>
      </c>
      <c r="L1652" s="39">
        <v>558</v>
      </c>
    </row>
    <row r="1653" spans="1:12" ht="19.95" customHeight="1" x14ac:dyDescent="0.3">
      <c r="A1653" s="6" t="s">
        <v>4411</v>
      </c>
      <c r="B1653" s="7" t="s">
        <v>4412</v>
      </c>
      <c r="C1653" s="6" t="s">
        <v>4925</v>
      </c>
      <c r="D1653" s="7" t="s">
        <v>4607</v>
      </c>
      <c r="E1653" s="6" t="s">
        <v>4838</v>
      </c>
      <c r="F1653" s="7" t="s">
        <v>4368</v>
      </c>
      <c r="G1653" s="7" t="s">
        <v>4367</v>
      </c>
      <c r="H1653" s="5" t="s">
        <v>221</v>
      </c>
      <c r="I1653" s="6" t="s">
        <v>222</v>
      </c>
      <c r="J1653" s="7" t="s">
        <v>11</v>
      </c>
      <c r="K1653" s="36">
        <v>1.44</v>
      </c>
      <c r="L1653" s="37">
        <v>738</v>
      </c>
    </row>
    <row r="1654" spans="1:12" ht="19.95" customHeight="1" x14ac:dyDescent="0.3">
      <c r="A1654" s="2" t="s">
        <v>4411</v>
      </c>
      <c r="B1654" s="3" t="s">
        <v>4412</v>
      </c>
      <c r="C1654" s="2" t="s">
        <v>4925</v>
      </c>
      <c r="D1654" s="3" t="s">
        <v>4607</v>
      </c>
      <c r="E1654" s="2" t="s">
        <v>4838</v>
      </c>
      <c r="F1654" s="3" t="s">
        <v>4368</v>
      </c>
      <c r="G1654" s="3" t="s">
        <v>4367</v>
      </c>
      <c r="H1654" s="1" t="s">
        <v>209</v>
      </c>
      <c r="I1654" s="2" t="s">
        <v>210</v>
      </c>
      <c r="J1654" s="3" t="s">
        <v>11</v>
      </c>
      <c r="K1654" s="38">
        <v>0.6</v>
      </c>
      <c r="L1654" s="39">
        <v>558</v>
      </c>
    </row>
    <row r="1655" spans="1:12" ht="19.95" customHeight="1" x14ac:dyDescent="0.3">
      <c r="A1655" s="6" t="s">
        <v>4411</v>
      </c>
      <c r="B1655" s="7" t="s">
        <v>4412</v>
      </c>
      <c r="C1655" s="6" t="s">
        <v>4925</v>
      </c>
      <c r="D1655" s="7" t="s">
        <v>4607</v>
      </c>
      <c r="E1655" s="6" t="s">
        <v>4838</v>
      </c>
      <c r="F1655" s="7" t="s">
        <v>4368</v>
      </c>
      <c r="G1655" s="7" t="s">
        <v>4367</v>
      </c>
      <c r="H1655" s="5" t="s">
        <v>211</v>
      </c>
      <c r="I1655" s="6" t="s">
        <v>212</v>
      </c>
      <c r="J1655" s="7" t="s">
        <v>11</v>
      </c>
      <c r="K1655" s="36">
        <v>0.6</v>
      </c>
      <c r="L1655" s="37">
        <v>558</v>
      </c>
    </row>
    <row r="1656" spans="1:12" ht="19.95" customHeight="1" x14ac:dyDescent="0.3">
      <c r="A1656" s="2" t="s">
        <v>4411</v>
      </c>
      <c r="B1656" s="3" t="s">
        <v>4412</v>
      </c>
      <c r="C1656" s="2" t="s">
        <v>4925</v>
      </c>
      <c r="D1656" s="3" t="s">
        <v>4623</v>
      </c>
      <c r="E1656" s="2" t="s">
        <v>4933</v>
      </c>
      <c r="F1656" s="3" t="s">
        <v>4368</v>
      </c>
      <c r="G1656" s="3" t="s">
        <v>4367</v>
      </c>
      <c r="H1656" s="1" t="s">
        <v>221</v>
      </c>
      <c r="I1656" s="2" t="s">
        <v>222</v>
      </c>
      <c r="J1656" s="3" t="s">
        <v>11</v>
      </c>
      <c r="K1656" s="38">
        <v>0.26</v>
      </c>
      <c r="L1656" s="39">
        <v>738</v>
      </c>
    </row>
    <row r="1657" spans="1:12" ht="19.95" customHeight="1" x14ac:dyDescent="0.3">
      <c r="A1657" s="6" t="s">
        <v>4411</v>
      </c>
      <c r="B1657" s="7" t="s">
        <v>4412</v>
      </c>
      <c r="C1657" s="6" t="s">
        <v>4925</v>
      </c>
      <c r="D1657" s="7" t="s">
        <v>4623</v>
      </c>
      <c r="E1657" s="6" t="s">
        <v>4933</v>
      </c>
      <c r="F1657" s="7" t="s">
        <v>4368</v>
      </c>
      <c r="G1657" s="7" t="s">
        <v>4367</v>
      </c>
      <c r="H1657" s="5" t="s">
        <v>223</v>
      </c>
      <c r="I1657" s="6" t="s">
        <v>224</v>
      </c>
      <c r="J1657" s="7" t="s">
        <v>11</v>
      </c>
      <c r="K1657" s="36">
        <v>0.26</v>
      </c>
      <c r="L1657" s="37">
        <v>679</v>
      </c>
    </row>
    <row r="1658" spans="1:12" ht="19.95" customHeight="1" x14ac:dyDescent="0.3">
      <c r="A1658" s="2" t="s">
        <v>4411</v>
      </c>
      <c r="B1658" s="3" t="s">
        <v>4412</v>
      </c>
      <c r="C1658" s="2" t="s">
        <v>4925</v>
      </c>
      <c r="D1658" s="3" t="s">
        <v>4623</v>
      </c>
      <c r="E1658" s="2" t="s">
        <v>4933</v>
      </c>
      <c r="F1658" s="3" t="s">
        <v>4368</v>
      </c>
      <c r="G1658" s="3" t="s">
        <v>4367</v>
      </c>
      <c r="H1658" s="1" t="s">
        <v>209</v>
      </c>
      <c r="I1658" s="2" t="s">
        <v>210</v>
      </c>
      <c r="J1658" s="3" t="s">
        <v>11</v>
      </c>
      <c r="K1658" s="38">
        <v>2</v>
      </c>
      <c r="L1658" s="39">
        <v>558</v>
      </c>
    </row>
    <row r="1659" spans="1:12" ht="19.95" customHeight="1" x14ac:dyDescent="0.3">
      <c r="A1659" s="6" t="s">
        <v>4411</v>
      </c>
      <c r="B1659" s="7" t="s">
        <v>4412</v>
      </c>
      <c r="C1659" s="6" t="s">
        <v>4925</v>
      </c>
      <c r="D1659" s="7" t="s">
        <v>4623</v>
      </c>
      <c r="E1659" s="6" t="s">
        <v>4933</v>
      </c>
      <c r="F1659" s="7" t="s">
        <v>4368</v>
      </c>
      <c r="G1659" s="7" t="s">
        <v>4367</v>
      </c>
      <c r="H1659" s="5" t="s">
        <v>199</v>
      </c>
      <c r="I1659" s="6" t="s">
        <v>200</v>
      </c>
      <c r="J1659" s="7" t="s">
        <v>11</v>
      </c>
      <c r="K1659" s="36">
        <v>1.34</v>
      </c>
      <c r="L1659" s="37">
        <v>738</v>
      </c>
    </row>
    <row r="1660" spans="1:12" ht="19.95" customHeight="1" x14ac:dyDescent="0.3">
      <c r="A1660" s="2" t="s">
        <v>4411</v>
      </c>
      <c r="B1660" s="3" t="s">
        <v>4412</v>
      </c>
      <c r="C1660" s="2" t="s">
        <v>4925</v>
      </c>
      <c r="D1660" s="3" t="s">
        <v>4623</v>
      </c>
      <c r="E1660" s="2" t="s">
        <v>4933</v>
      </c>
      <c r="F1660" s="3" t="s">
        <v>4368</v>
      </c>
      <c r="G1660" s="3" t="s">
        <v>4367</v>
      </c>
      <c r="H1660" s="1" t="s">
        <v>194</v>
      </c>
      <c r="I1660" s="2" t="s">
        <v>196</v>
      </c>
      <c r="J1660" s="3" t="s">
        <v>11</v>
      </c>
      <c r="K1660" s="38">
        <v>0.67</v>
      </c>
      <c r="L1660" s="39">
        <v>617</v>
      </c>
    </row>
    <row r="1661" spans="1:12" ht="19.95" customHeight="1" x14ac:dyDescent="0.3">
      <c r="A1661" s="6" t="s">
        <v>4411</v>
      </c>
      <c r="B1661" s="7" t="s">
        <v>4412</v>
      </c>
      <c r="C1661" s="6" t="s">
        <v>4925</v>
      </c>
      <c r="D1661" s="7" t="s">
        <v>4623</v>
      </c>
      <c r="E1661" s="6" t="s">
        <v>4933</v>
      </c>
      <c r="F1661" s="7" t="s">
        <v>4368</v>
      </c>
      <c r="G1661" s="7" t="s">
        <v>4367</v>
      </c>
      <c r="H1661" s="5" t="s">
        <v>209</v>
      </c>
      <c r="I1661" s="6" t="s">
        <v>210</v>
      </c>
      <c r="J1661" s="7" t="s">
        <v>11</v>
      </c>
      <c r="K1661" s="36">
        <v>4.92</v>
      </c>
      <c r="L1661" s="37">
        <v>558</v>
      </c>
    </row>
    <row r="1662" spans="1:12" ht="19.95" customHeight="1" x14ac:dyDescent="0.3">
      <c r="A1662" s="2" t="s">
        <v>4411</v>
      </c>
      <c r="B1662" s="3" t="s">
        <v>4412</v>
      </c>
      <c r="C1662" s="2" t="s">
        <v>4925</v>
      </c>
      <c r="D1662" s="3" t="s">
        <v>4934</v>
      </c>
      <c r="E1662" s="2" t="s">
        <v>4935</v>
      </c>
      <c r="F1662" s="3" t="s">
        <v>4413</v>
      </c>
      <c r="G1662" s="3" t="s">
        <v>4367</v>
      </c>
      <c r="H1662" s="1" t="s">
        <v>225</v>
      </c>
      <c r="I1662" s="2" t="s">
        <v>4410</v>
      </c>
      <c r="J1662" s="3" t="s">
        <v>11</v>
      </c>
      <c r="K1662" s="38">
        <v>1.35</v>
      </c>
      <c r="L1662" s="39">
        <v>679</v>
      </c>
    </row>
    <row r="1663" spans="1:12" ht="19.95" customHeight="1" x14ac:dyDescent="0.3">
      <c r="A1663" s="6" t="s">
        <v>4411</v>
      </c>
      <c r="B1663" s="7" t="s">
        <v>4412</v>
      </c>
      <c r="C1663" s="6" t="s">
        <v>4925</v>
      </c>
      <c r="D1663" s="7" t="s">
        <v>4934</v>
      </c>
      <c r="E1663" s="6" t="s">
        <v>4935</v>
      </c>
      <c r="F1663" s="7" t="s">
        <v>4413</v>
      </c>
      <c r="G1663" s="7" t="s">
        <v>4367</v>
      </c>
      <c r="H1663" s="5" t="s">
        <v>199</v>
      </c>
      <c r="I1663" s="6" t="s">
        <v>200</v>
      </c>
      <c r="J1663" s="7" t="s">
        <v>11</v>
      </c>
      <c r="K1663" s="36">
        <v>3.2000000000000001E-2</v>
      </c>
      <c r="L1663" s="37">
        <v>738</v>
      </c>
    </row>
    <row r="1664" spans="1:12" ht="19.95" customHeight="1" x14ac:dyDescent="0.3">
      <c r="A1664" s="2" t="s">
        <v>4411</v>
      </c>
      <c r="B1664" s="3" t="s">
        <v>4412</v>
      </c>
      <c r="C1664" s="2" t="s">
        <v>4925</v>
      </c>
      <c r="D1664" s="3" t="s">
        <v>4934</v>
      </c>
      <c r="E1664" s="2" t="s">
        <v>4935</v>
      </c>
      <c r="F1664" s="3" t="s">
        <v>4413</v>
      </c>
      <c r="G1664" s="3" t="s">
        <v>4367</v>
      </c>
      <c r="H1664" s="1" t="s">
        <v>209</v>
      </c>
      <c r="I1664" s="2" t="s">
        <v>210</v>
      </c>
      <c r="J1664" s="3" t="s">
        <v>11</v>
      </c>
      <c r="K1664" s="38">
        <v>0.224</v>
      </c>
      <c r="L1664" s="39">
        <v>558</v>
      </c>
    </row>
    <row r="1665" spans="1:12" ht="19.95" customHeight="1" x14ac:dyDescent="0.3">
      <c r="A1665" s="6" t="s">
        <v>4411</v>
      </c>
      <c r="B1665" s="7" t="s">
        <v>4412</v>
      </c>
      <c r="C1665" s="6" t="s">
        <v>4925</v>
      </c>
      <c r="D1665" s="7" t="s">
        <v>4934</v>
      </c>
      <c r="E1665" s="6" t="s">
        <v>4935</v>
      </c>
      <c r="F1665" s="7" t="s">
        <v>4413</v>
      </c>
      <c r="G1665" s="7" t="s">
        <v>4367</v>
      </c>
      <c r="H1665" s="5" t="s">
        <v>211</v>
      </c>
      <c r="I1665" s="6" t="s">
        <v>212</v>
      </c>
      <c r="J1665" s="7" t="s">
        <v>11</v>
      </c>
      <c r="K1665" s="36">
        <v>0.112</v>
      </c>
      <c r="L1665" s="37">
        <v>558</v>
      </c>
    </row>
    <row r="1666" spans="1:12" ht="19.95" customHeight="1" x14ac:dyDescent="0.3">
      <c r="A1666" s="2" t="s">
        <v>4411</v>
      </c>
      <c r="B1666" s="3" t="s">
        <v>4412</v>
      </c>
      <c r="C1666" s="2" t="s">
        <v>4925</v>
      </c>
      <c r="D1666" s="3" t="s">
        <v>4934</v>
      </c>
      <c r="E1666" s="2" t="s">
        <v>4935</v>
      </c>
      <c r="F1666" s="3" t="s">
        <v>4413</v>
      </c>
      <c r="G1666" s="3" t="s">
        <v>4367</v>
      </c>
      <c r="H1666" s="1" t="s">
        <v>194</v>
      </c>
      <c r="I1666" s="2" t="s">
        <v>196</v>
      </c>
      <c r="J1666" s="3" t="s">
        <v>11</v>
      </c>
      <c r="K1666" s="38">
        <v>0.224</v>
      </c>
      <c r="L1666" s="39">
        <v>617</v>
      </c>
    </row>
    <row r="1667" spans="1:12" ht="19.95" customHeight="1" x14ac:dyDescent="0.3">
      <c r="A1667" s="6" t="s">
        <v>4411</v>
      </c>
      <c r="B1667" s="7" t="s">
        <v>4412</v>
      </c>
      <c r="C1667" s="6" t="s">
        <v>4925</v>
      </c>
      <c r="D1667" s="7" t="s">
        <v>4934</v>
      </c>
      <c r="E1667" s="6" t="s">
        <v>4935</v>
      </c>
      <c r="F1667" s="7" t="s">
        <v>4413</v>
      </c>
      <c r="G1667" s="7" t="s">
        <v>4367</v>
      </c>
      <c r="H1667" s="5" t="s">
        <v>225</v>
      </c>
      <c r="I1667" s="6" t="s">
        <v>226</v>
      </c>
      <c r="J1667" s="7" t="s">
        <v>11</v>
      </c>
      <c r="K1667" s="36">
        <v>0.44800000000000001</v>
      </c>
      <c r="L1667" s="37">
        <v>679</v>
      </c>
    </row>
    <row r="1668" spans="1:12" ht="19.95" customHeight="1" x14ac:dyDescent="0.3">
      <c r="A1668" s="2" t="s">
        <v>4411</v>
      </c>
      <c r="B1668" s="3" t="s">
        <v>4412</v>
      </c>
      <c r="C1668" s="2" t="s">
        <v>4925</v>
      </c>
      <c r="D1668" s="3" t="s">
        <v>4934</v>
      </c>
      <c r="E1668" s="2" t="s">
        <v>4935</v>
      </c>
      <c r="F1668" s="3" t="s">
        <v>4413</v>
      </c>
      <c r="G1668" s="3" t="s">
        <v>4367</v>
      </c>
      <c r="H1668" s="1" t="s">
        <v>194</v>
      </c>
      <c r="I1668" s="2" t="s">
        <v>196</v>
      </c>
      <c r="J1668" s="3" t="s">
        <v>11</v>
      </c>
      <c r="K1668" s="38">
        <v>0.33600000000000002</v>
      </c>
      <c r="L1668" s="39">
        <v>617</v>
      </c>
    </row>
    <row r="1669" spans="1:12" ht="19.95" customHeight="1" x14ac:dyDescent="0.3">
      <c r="A1669" s="6" t="s">
        <v>4411</v>
      </c>
      <c r="B1669" s="7" t="s">
        <v>4412</v>
      </c>
      <c r="C1669" s="6" t="s">
        <v>4925</v>
      </c>
      <c r="D1669" s="7" t="s">
        <v>4934</v>
      </c>
      <c r="E1669" s="6" t="s">
        <v>4935</v>
      </c>
      <c r="F1669" s="7" t="s">
        <v>4413</v>
      </c>
      <c r="G1669" s="7" t="s">
        <v>4367</v>
      </c>
      <c r="H1669" s="5" t="s">
        <v>209</v>
      </c>
      <c r="I1669" s="6" t="s">
        <v>210</v>
      </c>
      <c r="J1669" s="7" t="s">
        <v>11</v>
      </c>
      <c r="K1669" s="36">
        <v>0.33600000000000002</v>
      </c>
      <c r="L1669" s="37">
        <v>558</v>
      </c>
    </row>
    <row r="1670" spans="1:12" ht="19.95" customHeight="1" x14ac:dyDescent="0.3">
      <c r="A1670" s="2" t="s">
        <v>4411</v>
      </c>
      <c r="B1670" s="3" t="s">
        <v>4412</v>
      </c>
      <c r="C1670" s="2" t="s">
        <v>4925</v>
      </c>
      <c r="D1670" s="3" t="s">
        <v>4934</v>
      </c>
      <c r="E1670" s="2" t="s">
        <v>4935</v>
      </c>
      <c r="F1670" s="3" t="s">
        <v>4413</v>
      </c>
      <c r="G1670" s="3" t="s">
        <v>4367</v>
      </c>
      <c r="H1670" s="1" t="s">
        <v>211</v>
      </c>
      <c r="I1670" s="2" t="s">
        <v>212</v>
      </c>
      <c r="J1670" s="3" t="s">
        <v>11</v>
      </c>
      <c r="K1670" s="38">
        <v>0.33600000000000002</v>
      </c>
      <c r="L1670" s="39">
        <v>558</v>
      </c>
    </row>
    <row r="1671" spans="1:12" ht="19.95" customHeight="1" x14ac:dyDescent="0.3">
      <c r="A1671" s="6" t="s">
        <v>4411</v>
      </c>
      <c r="B1671" s="7" t="s">
        <v>4412</v>
      </c>
      <c r="C1671" s="6" t="s">
        <v>4925</v>
      </c>
      <c r="D1671" s="7" t="s">
        <v>4934</v>
      </c>
      <c r="E1671" s="6" t="s">
        <v>4935</v>
      </c>
      <c r="F1671" s="7" t="s">
        <v>4413</v>
      </c>
      <c r="G1671" s="7" t="s">
        <v>4367</v>
      </c>
      <c r="H1671" s="5" t="s">
        <v>197</v>
      </c>
      <c r="I1671" s="6" t="s">
        <v>198</v>
      </c>
      <c r="J1671" s="7" t="s">
        <v>11</v>
      </c>
      <c r="K1671" s="36">
        <v>0.33600000000000002</v>
      </c>
      <c r="L1671" s="37">
        <v>617</v>
      </c>
    </row>
    <row r="1672" spans="1:12" ht="19.95" customHeight="1" x14ac:dyDescent="0.3">
      <c r="A1672" s="2" t="s">
        <v>4411</v>
      </c>
      <c r="B1672" s="3" t="s">
        <v>4412</v>
      </c>
      <c r="C1672" s="2" t="s">
        <v>4925</v>
      </c>
      <c r="D1672" s="3" t="s">
        <v>4936</v>
      </c>
      <c r="E1672" s="2" t="s">
        <v>4937</v>
      </c>
      <c r="F1672" s="3" t="s">
        <v>4413</v>
      </c>
      <c r="G1672" s="3" t="s">
        <v>4367</v>
      </c>
      <c r="H1672" s="1" t="s">
        <v>225</v>
      </c>
      <c r="I1672" s="2" t="s">
        <v>4410</v>
      </c>
      <c r="J1672" s="3" t="s">
        <v>11</v>
      </c>
      <c r="K1672" s="38">
        <v>2.7</v>
      </c>
      <c r="L1672" s="39">
        <v>679</v>
      </c>
    </row>
    <row r="1673" spans="1:12" ht="19.95" customHeight="1" x14ac:dyDescent="0.3">
      <c r="A1673" s="6" t="s">
        <v>4411</v>
      </c>
      <c r="B1673" s="7" t="s">
        <v>4412</v>
      </c>
      <c r="C1673" s="6" t="s">
        <v>4925</v>
      </c>
      <c r="D1673" s="7" t="s">
        <v>4936</v>
      </c>
      <c r="E1673" s="6" t="s">
        <v>4937</v>
      </c>
      <c r="F1673" s="7" t="s">
        <v>4413</v>
      </c>
      <c r="G1673" s="7" t="s">
        <v>4367</v>
      </c>
      <c r="H1673" s="5" t="s">
        <v>199</v>
      </c>
      <c r="I1673" s="6" t="s">
        <v>200</v>
      </c>
      <c r="J1673" s="7" t="s">
        <v>11</v>
      </c>
      <c r="K1673" s="36">
        <v>6.4000000000000001E-2</v>
      </c>
      <c r="L1673" s="37">
        <v>738</v>
      </c>
    </row>
    <row r="1674" spans="1:12" ht="19.95" customHeight="1" x14ac:dyDescent="0.3">
      <c r="A1674" s="2" t="s">
        <v>4411</v>
      </c>
      <c r="B1674" s="3" t="s">
        <v>4412</v>
      </c>
      <c r="C1674" s="2" t="s">
        <v>4925</v>
      </c>
      <c r="D1674" s="3" t="s">
        <v>4936</v>
      </c>
      <c r="E1674" s="2" t="s">
        <v>4937</v>
      </c>
      <c r="F1674" s="3" t="s">
        <v>4413</v>
      </c>
      <c r="G1674" s="3" t="s">
        <v>4367</v>
      </c>
      <c r="H1674" s="1" t="s">
        <v>209</v>
      </c>
      <c r="I1674" s="2" t="s">
        <v>210</v>
      </c>
      <c r="J1674" s="3" t="s">
        <v>11</v>
      </c>
      <c r="K1674" s="38">
        <v>0.44800000000000001</v>
      </c>
      <c r="L1674" s="39">
        <v>558</v>
      </c>
    </row>
    <row r="1675" spans="1:12" ht="19.95" customHeight="1" x14ac:dyDescent="0.3">
      <c r="A1675" s="6" t="s">
        <v>4411</v>
      </c>
      <c r="B1675" s="7" t="s">
        <v>4412</v>
      </c>
      <c r="C1675" s="6" t="s">
        <v>4925</v>
      </c>
      <c r="D1675" s="7" t="s">
        <v>4936</v>
      </c>
      <c r="E1675" s="6" t="s">
        <v>4937</v>
      </c>
      <c r="F1675" s="7" t="s">
        <v>4413</v>
      </c>
      <c r="G1675" s="7" t="s">
        <v>4367</v>
      </c>
      <c r="H1675" s="5" t="s">
        <v>211</v>
      </c>
      <c r="I1675" s="6" t="s">
        <v>212</v>
      </c>
      <c r="J1675" s="7" t="s">
        <v>11</v>
      </c>
      <c r="K1675" s="36">
        <v>0.224</v>
      </c>
      <c r="L1675" s="37">
        <v>558</v>
      </c>
    </row>
    <row r="1676" spans="1:12" ht="19.95" customHeight="1" x14ac:dyDescent="0.3">
      <c r="A1676" s="2" t="s">
        <v>4411</v>
      </c>
      <c r="B1676" s="3" t="s">
        <v>4412</v>
      </c>
      <c r="C1676" s="2" t="s">
        <v>4925</v>
      </c>
      <c r="D1676" s="3" t="s">
        <v>4936</v>
      </c>
      <c r="E1676" s="2" t="s">
        <v>4937</v>
      </c>
      <c r="F1676" s="3" t="s">
        <v>4413</v>
      </c>
      <c r="G1676" s="3" t="s">
        <v>4367</v>
      </c>
      <c r="H1676" s="1" t="s">
        <v>194</v>
      </c>
      <c r="I1676" s="2" t="s">
        <v>196</v>
      </c>
      <c r="J1676" s="3" t="s">
        <v>11</v>
      </c>
      <c r="K1676" s="38">
        <v>0.44800000000000001</v>
      </c>
      <c r="L1676" s="39">
        <v>617</v>
      </c>
    </row>
    <row r="1677" spans="1:12" ht="19.95" customHeight="1" x14ac:dyDescent="0.3">
      <c r="A1677" s="6" t="s">
        <v>4411</v>
      </c>
      <c r="B1677" s="7" t="s">
        <v>4412</v>
      </c>
      <c r="C1677" s="6" t="s">
        <v>4925</v>
      </c>
      <c r="D1677" s="7" t="s">
        <v>4936</v>
      </c>
      <c r="E1677" s="6" t="s">
        <v>4937</v>
      </c>
      <c r="F1677" s="7" t="s">
        <v>4413</v>
      </c>
      <c r="G1677" s="7" t="s">
        <v>4367</v>
      </c>
      <c r="H1677" s="5" t="s">
        <v>225</v>
      </c>
      <c r="I1677" s="6" t="s">
        <v>4410</v>
      </c>
      <c r="J1677" s="7" t="s">
        <v>11</v>
      </c>
      <c r="K1677" s="36">
        <v>0.44800000000000001</v>
      </c>
      <c r="L1677" s="37">
        <v>679</v>
      </c>
    </row>
    <row r="1678" spans="1:12" ht="19.95" customHeight="1" x14ac:dyDescent="0.3">
      <c r="A1678" s="2" t="s">
        <v>4411</v>
      </c>
      <c r="B1678" s="3" t="s">
        <v>4412</v>
      </c>
      <c r="C1678" s="2" t="s">
        <v>4925</v>
      </c>
      <c r="D1678" s="3" t="s">
        <v>4936</v>
      </c>
      <c r="E1678" s="2" t="s">
        <v>4937</v>
      </c>
      <c r="F1678" s="3" t="s">
        <v>4413</v>
      </c>
      <c r="G1678" s="3" t="s">
        <v>4367</v>
      </c>
      <c r="H1678" s="1" t="s">
        <v>194</v>
      </c>
      <c r="I1678" s="2" t="s">
        <v>196</v>
      </c>
      <c r="J1678" s="3" t="s">
        <v>11</v>
      </c>
      <c r="K1678" s="38">
        <v>0.33600000000000002</v>
      </c>
      <c r="L1678" s="39">
        <v>617</v>
      </c>
    </row>
    <row r="1679" spans="1:12" ht="19.95" customHeight="1" x14ac:dyDescent="0.3">
      <c r="A1679" s="6" t="s">
        <v>4411</v>
      </c>
      <c r="B1679" s="7" t="s">
        <v>4412</v>
      </c>
      <c r="C1679" s="6" t="s">
        <v>4925</v>
      </c>
      <c r="D1679" s="7" t="s">
        <v>4936</v>
      </c>
      <c r="E1679" s="6" t="s">
        <v>4937</v>
      </c>
      <c r="F1679" s="7" t="s">
        <v>4413</v>
      </c>
      <c r="G1679" s="7" t="s">
        <v>4367</v>
      </c>
      <c r="H1679" s="5" t="s">
        <v>209</v>
      </c>
      <c r="I1679" s="6" t="s">
        <v>210</v>
      </c>
      <c r="J1679" s="7" t="s">
        <v>11</v>
      </c>
      <c r="K1679" s="36">
        <v>0.33600000000000002</v>
      </c>
      <c r="L1679" s="37">
        <v>558</v>
      </c>
    </row>
    <row r="1680" spans="1:12" ht="19.95" customHeight="1" x14ac:dyDescent="0.3">
      <c r="A1680" s="2" t="s">
        <v>4411</v>
      </c>
      <c r="B1680" s="3" t="s">
        <v>4412</v>
      </c>
      <c r="C1680" s="2" t="s">
        <v>4925</v>
      </c>
      <c r="D1680" s="3" t="s">
        <v>4936</v>
      </c>
      <c r="E1680" s="2" t="s">
        <v>4937</v>
      </c>
      <c r="F1680" s="3" t="s">
        <v>4413</v>
      </c>
      <c r="G1680" s="3" t="s">
        <v>4367</v>
      </c>
      <c r="H1680" s="1" t="s">
        <v>211</v>
      </c>
      <c r="I1680" s="2" t="s">
        <v>212</v>
      </c>
      <c r="J1680" s="3" t="s">
        <v>11</v>
      </c>
      <c r="K1680" s="38">
        <v>0.33600000000000002</v>
      </c>
      <c r="L1680" s="39">
        <v>558</v>
      </c>
    </row>
    <row r="1681" spans="1:12" ht="19.95" customHeight="1" x14ac:dyDescent="0.3">
      <c r="A1681" s="6" t="s">
        <v>4411</v>
      </c>
      <c r="B1681" s="7" t="s">
        <v>4412</v>
      </c>
      <c r="C1681" s="6" t="s">
        <v>4925</v>
      </c>
      <c r="D1681" s="7" t="s">
        <v>4936</v>
      </c>
      <c r="E1681" s="6" t="s">
        <v>4937</v>
      </c>
      <c r="F1681" s="7" t="s">
        <v>4413</v>
      </c>
      <c r="G1681" s="7" t="s">
        <v>4367</v>
      </c>
      <c r="H1681" s="5" t="s">
        <v>197</v>
      </c>
      <c r="I1681" s="6" t="s">
        <v>198</v>
      </c>
      <c r="J1681" s="7" t="s">
        <v>11</v>
      </c>
      <c r="K1681" s="36">
        <v>0.33600000000000002</v>
      </c>
      <c r="L1681" s="37">
        <v>617</v>
      </c>
    </row>
    <row r="1682" spans="1:12" ht="19.95" customHeight="1" x14ac:dyDescent="0.3">
      <c r="A1682" s="2" t="s">
        <v>4411</v>
      </c>
      <c r="B1682" s="3" t="s">
        <v>4412</v>
      </c>
      <c r="C1682" s="2" t="s">
        <v>4925</v>
      </c>
      <c r="D1682" s="3" t="s">
        <v>4938</v>
      </c>
      <c r="E1682" s="2" t="s">
        <v>4939</v>
      </c>
      <c r="F1682" s="3" t="s">
        <v>4413</v>
      </c>
      <c r="G1682" s="3" t="s">
        <v>4367</v>
      </c>
      <c r="H1682" s="1" t="s">
        <v>225</v>
      </c>
      <c r="I1682" s="2" t="s">
        <v>4410</v>
      </c>
      <c r="J1682" s="3" t="s">
        <v>11</v>
      </c>
      <c r="K1682" s="38">
        <v>1.35</v>
      </c>
      <c r="L1682" s="39">
        <v>679</v>
      </c>
    </row>
    <row r="1683" spans="1:12" ht="19.95" customHeight="1" x14ac:dyDescent="0.3">
      <c r="A1683" s="6" t="s">
        <v>4411</v>
      </c>
      <c r="B1683" s="7" t="s">
        <v>4412</v>
      </c>
      <c r="C1683" s="6" t="s">
        <v>4925</v>
      </c>
      <c r="D1683" s="7" t="s">
        <v>4938</v>
      </c>
      <c r="E1683" s="6" t="s">
        <v>4939</v>
      </c>
      <c r="F1683" s="7" t="s">
        <v>4413</v>
      </c>
      <c r="G1683" s="7" t="s">
        <v>4367</v>
      </c>
      <c r="H1683" s="5" t="s">
        <v>199</v>
      </c>
      <c r="I1683" s="6" t="s">
        <v>200</v>
      </c>
      <c r="J1683" s="7" t="s">
        <v>11</v>
      </c>
      <c r="K1683" s="36">
        <v>3.2000000000000001E-2</v>
      </c>
      <c r="L1683" s="37">
        <v>738</v>
      </c>
    </row>
    <row r="1684" spans="1:12" ht="19.95" customHeight="1" x14ac:dyDescent="0.3">
      <c r="A1684" s="2" t="s">
        <v>4411</v>
      </c>
      <c r="B1684" s="3" t="s">
        <v>4412</v>
      </c>
      <c r="C1684" s="2" t="s">
        <v>4925</v>
      </c>
      <c r="D1684" s="3" t="s">
        <v>4938</v>
      </c>
      <c r="E1684" s="2" t="s">
        <v>4939</v>
      </c>
      <c r="F1684" s="3" t="s">
        <v>4413</v>
      </c>
      <c r="G1684" s="3" t="s">
        <v>4367</v>
      </c>
      <c r="H1684" s="1" t="s">
        <v>209</v>
      </c>
      <c r="I1684" s="2" t="s">
        <v>210</v>
      </c>
      <c r="J1684" s="3" t="s">
        <v>11</v>
      </c>
      <c r="K1684" s="38">
        <v>0.224</v>
      </c>
      <c r="L1684" s="39">
        <v>558</v>
      </c>
    </row>
    <row r="1685" spans="1:12" ht="19.95" customHeight="1" x14ac:dyDescent="0.3">
      <c r="A1685" s="6" t="s">
        <v>4411</v>
      </c>
      <c r="B1685" s="7" t="s">
        <v>4412</v>
      </c>
      <c r="C1685" s="6" t="s">
        <v>4925</v>
      </c>
      <c r="D1685" s="7" t="s">
        <v>4938</v>
      </c>
      <c r="E1685" s="6" t="s">
        <v>4939</v>
      </c>
      <c r="F1685" s="7" t="s">
        <v>4413</v>
      </c>
      <c r="G1685" s="7" t="s">
        <v>4367</v>
      </c>
      <c r="H1685" s="5" t="s">
        <v>211</v>
      </c>
      <c r="I1685" s="6" t="s">
        <v>212</v>
      </c>
      <c r="J1685" s="7" t="s">
        <v>4457</v>
      </c>
      <c r="K1685" s="36">
        <v>0.112</v>
      </c>
      <c r="L1685" s="37">
        <v>558</v>
      </c>
    </row>
    <row r="1686" spans="1:12" ht="19.95" customHeight="1" x14ac:dyDescent="0.3">
      <c r="A1686" s="2" t="s">
        <v>4411</v>
      </c>
      <c r="B1686" s="3" t="s">
        <v>4412</v>
      </c>
      <c r="C1686" s="2" t="s">
        <v>4925</v>
      </c>
      <c r="D1686" s="3" t="s">
        <v>4938</v>
      </c>
      <c r="E1686" s="2" t="s">
        <v>4939</v>
      </c>
      <c r="F1686" s="3" t="s">
        <v>4413</v>
      </c>
      <c r="G1686" s="3" t="s">
        <v>4367</v>
      </c>
      <c r="H1686" s="1" t="s">
        <v>194</v>
      </c>
      <c r="I1686" s="2" t="s">
        <v>196</v>
      </c>
      <c r="J1686" s="3" t="s">
        <v>11</v>
      </c>
      <c r="K1686" s="38">
        <v>0.224</v>
      </c>
      <c r="L1686" s="39">
        <v>617</v>
      </c>
    </row>
    <row r="1687" spans="1:12" ht="19.95" customHeight="1" x14ac:dyDescent="0.3">
      <c r="A1687" s="6" t="s">
        <v>4411</v>
      </c>
      <c r="B1687" s="7" t="s">
        <v>4412</v>
      </c>
      <c r="C1687" s="6" t="s">
        <v>4925</v>
      </c>
      <c r="D1687" s="7" t="s">
        <v>4938</v>
      </c>
      <c r="E1687" s="6" t="s">
        <v>4939</v>
      </c>
      <c r="F1687" s="7" t="s">
        <v>4413</v>
      </c>
      <c r="G1687" s="7" t="s">
        <v>4367</v>
      </c>
      <c r="H1687" s="5" t="s">
        <v>225</v>
      </c>
      <c r="I1687" s="6" t="s">
        <v>4410</v>
      </c>
      <c r="J1687" s="7" t="s">
        <v>11</v>
      </c>
      <c r="K1687" s="36">
        <v>0.44800000000000001</v>
      </c>
      <c r="L1687" s="37">
        <v>679</v>
      </c>
    </row>
    <row r="1688" spans="1:12" ht="19.95" customHeight="1" x14ac:dyDescent="0.3">
      <c r="A1688" s="2" t="s">
        <v>4411</v>
      </c>
      <c r="B1688" s="3" t="s">
        <v>4412</v>
      </c>
      <c r="C1688" s="2" t="s">
        <v>4925</v>
      </c>
      <c r="D1688" s="3" t="s">
        <v>4938</v>
      </c>
      <c r="E1688" s="2" t="s">
        <v>4939</v>
      </c>
      <c r="F1688" s="3" t="s">
        <v>4413</v>
      </c>
      <c r="G1688" s="3" t="s">
        <v>4367</v>
      </c>
      <c r="H1688" s="1" t="s">
        <v>194</v>
      </c>
      <c r="I1688" s="2" t="s">
        <v>196</v>
      </c>
      <c r="J1688" s="3" t="s">
        <v>11</v>
      </c>
      <c r="K1688" s="38">
        <v>0.33600000000000002</v>
      </c>
      <c r="L1688" s="39">
        <v>617</v>
      </c>
    </row>
    <row r="1689" spans="1:12" ht="19.95" customHeight="1" x14ac:dyDescent="0.3">
      <c r="A1689" s="6" t="s">
        <v>4411</v>
      </c>
      <c r="B1689" s="7" t="s">
        <v>4412</v>
      </c>
      <c r="C1689" s="6" t="s">
        <v>4925</v>
      </c>
      <c r="D1689" s="7" t="s">
        <v>4938</v>
      </c>
      <c r="E1689" s="6" t="s">
        <v>4939</v>
      </c>
      <c r="F1689" s="7" t="s">
        <v>4413</v>
      </c>
      <c r="G1689" s="7" t="s">
        <v>4367</v>
      </c>
      <c r="H1689" s="5" t="s">
        <v>209</v>
      </c>
      <c r="I1689" s="6" t="s">
        <v>210</v>
      </c>
      <c r="J1689" s="7" t="s">
        <v>11</v>
      </c>
      <c r="K1689" s="36">
        <v>0.33600000000000002</v>
      </c>
      <c r="L1689" s="37">
        <v>558</v>
      </c>
    </row>
    <row r="1690" spans="1:12" ht="19.95" customHeight="1" x14ac:dyDescent="0.3">
      <c r="A1690" s="2" t="s">
        <v>4411</v>
      </c>
      <c r="B1690" s="3" t="s">
        <v>4412</v>
      </c>
      <c r="C1690" s="2" t="s">
        <v>4925</v>
      </c>
      <c r="D1690" s="3" t="s">
        <v>4938</v>
      </c>
      <c r="E1690" s="2" t="s">
        <v>4939</v>
      </c>
      <c r="F1690" s="3" t="s">
        <v>4413</v>
      </c>
      <c r="G1690" s="3" t="s">
        <v>4367</v>
      </c>
      <c r="H1690" s="1" t="s">
        <v>211</v>
      </c>
      <c r="I1690" s="2" t="s">
        <v>212</v>
      </c>
      <c r="J1690" s="3" t="s">
        <v>11</v>
      </c>
      <c r="K1690" s="38">
        <v>0.33600000000000002</v>
      </c>
      <c r="L1690" s="39">
        <v>558</v>
      </c>
    </row>
    <row r="1691" spans="1:12" ht="19.95" customHeight="1" x14ac:dyDescent="0.3">
      <c r="A1691" s="6" t="s">
        <v>4411</v>
      </c>
      <c r="B1691" s="7" t="s">
        <v>4412</v>
      </c>
      <c r="C1691" s="6" t="s">
        <v>4925</v>
      </c>
      <c r="D1691" s="7" t="s">
        <v>4938</v>
      </c>
      <c r="E1691" s="6" t="s">
        <v>4939</v>
      </c>
      <c r="F1691" s="7" t="s">
        <v>4413</v>
      </c>
      <c r="G1691" s="7" t="s">
        <v>4367</v>
      </c>
      <c r="H1691" s="5" t="s">
        <v>197</v>
      </c>
      <c r="I1691" s="6" t="s">
        <v>198</v>
      </c>
      <c r="J1691" s="7" t="s">
        <v>11</v>
      </c>
      <c r="K1691" s="36">
        <v>0.33600000000000002</v>
      </c>
      <c r="L1691" s="37">
        <v>617</v>
      </c>
    </row>
    <row r="1692" spans="1:12" ht="19.95" customHeight="1" x14ac:dyDescent="0.3">
      <c r="A1692" s="2" t="s">
        <v>4411</v>
      </c>
      <c r="B1692" s="3" t="s">
        <v>4412</v>
      </c>
      <c r="C1692" s="2" t="s">
        <v>4925</v>
      </c>
      <c r="D1692" s="3" t="s">
        <v>4940</v>
      </c>
      <c r="E1692" s="2" t="s">
        <v>4941</v>
      </c>
      <c r="F1692" s="3" t="s">
        <v>4413</v>
      </c>
      <c r="G1692" s="3" t="s">
        <v>4367</v>
      </c>
      <c r="H1692" s="1" t="s">
        <v>225</v>
      </c>
      <c r="I1692" s="2" t="s">
        <v>4410</v>
      </c>
      <c r="J1692" s="3" t="s">
        <v>11</v>
      </c>
      <c r="K1692" s="38">
        <v>2.7</v>
      </c>
      <c r="L1692" s="39">
        <v>679</v>
      </c>
    </row>
    <row r="1693" spans="1:12" ht="19.95" customHeight="1" x14ac:dyDescent="0.3">
      <c r="A1693" s="6" t="s">
        <v>4411</v>
      </c>
      <c r="B1693" s="7" t="s">
        <v>4412</v>
      </c>
      <c r="C1693" s="6" t="s">
        <v>4925</v>
      </c>
      <c r="D1693" s="7" t="s">
        <v>4940</v>
      </c>
      <c r="E1693" s="6" t="s">
        <v>4941</v>
      </c>
      <c r="F1693" s="7" t="s">
        <v>4413</v>
      </c>
      <c r="G1693" s="7" t="s">
        <v>4367</v>
      </c>
      <c r="H1693" s="5" t="s">
        <v>199</v>
      </c>
      <c r="I1693" s="6" t="s">
        <v>200</v>
      </c>
      <c r="J1693" s="7" t="s">
        <v>11</v>
      </c>
      <c r="K1693" s="36">
        <v>6.4000000000000001E-2</v>
      </c>
      <c r="L1693" s="37">
        <v>738</v>
      </c>
    </row>
    <row r="1694" spans="1:12" ht="19.95" customHeight="1" x14ac:dyDescent="0.3">
      <c r="A1694" s="2" t="s">
        <v>4411</v>
      </c>
      <c r="B1694" s="3" t="s">
        <v>4412</v>
      </c>
      <c r="C1694" s="2" t="s">
        <v>4925</v>
      </c>
      <c r="D1694" s="3" t="s">
        <v>4940</v>
      </c>
      <c r="E1694" s="2" t="s">
        <v>4941</v>
      </c>
      <c r="F1694" s="3" t="s">
        <v>4413</v>
      </c>
      <c r="G1694" s="3" t="s">
        <v>4367</v>
      </c>
      <c r="H1694" s="1" t="s">
        <v>209</v>
      </c>
      <c r="I1694" s="2" t="s">
        <v>210</v>
      </c>
      <c r="J1694" s="3" t="s">
        <v>11</v>
      </c>
      <c r="K1694" s="38">
        <v>0.44800000000000001</v>
      </c>
      <c r="L1694" s="39">
        <v>558</v>
      </c>
    </row>
    <row r="1695" spans="1:12" ht="19.95" customHeight="1" x14ac:dyDescent="0.3">
      <c r="A1695" s="6" t="s">
        <v>4411</v>
      </c>
      <c r="B1695" s="7" t="s">
        <v>4412</v>
      </c>
      <c r="C1695" s="6" t="s">
        <v>4925</v>
      </c>
      <c r="D1695" s="7" t="s">
        <v>4940</v>
      </c>
      <c r="E1695" s="6" t="s">
        <v>4941</v>
      </c>
      <c r="F1695" s="7" t="s">
        <v>4413</v>
      </c>
      <c r="G1695" s="7" t="s">
        <v>4367</v>
      </c>
      <c r="H1695" s="5" t="s">
        <v>211</v>
      </c>
      <c r="I1695" s="6" t="s">
        <v>212</v>
      </c>
      <c r="J1695" s="7" t="s">
        <v>11</v>
      </c>
      <c r="K1695" s="36">
        <v>0.224</v>
      </c>
      <c r="L1695" s="37">
        <v>558</v>
      </c>
    </row>
    <row r="1696" spans="1:12" ht="19.95" customHeight="1" x14ac:dyDescent="0.3">
      <c r="A1696" s="2" t="s">
        <v>4411</v>
      </c>
      <c r="B1696" s="3" t="s">
        <v>4412</v>
      </c>
      <c r="C1696" s="2" t="s">
        <v>4925</v>
      </c>
      <c r="D1696" s="3" t="s">
        <v>4940</v>
      </c>
      <c r="E1696" s="2" t="s">
        <v>4941</v>
      </c>
      <c r="F1696" s="3" t="s">
        <v>4413</v>
      </c>
      <c r="G1696" s="3" t="s">
        <v>4367</v>
      </c>
      <c r="H1696" s="1" t="s">
        <v>194</v>
      </c>
      <c r="I1696" s="2" t="s">
        <v>196</v>
      </c>
      <c r="J1696" s="3" t="s">
        <v>11</v>
      </c>
      <c r="K1696" s="38">
        <v>0.44800000000000001</v>
      </c>
      <c r="L1696" s="39">
        <v>617</v>
      </c>
    </row>
    <row r="1697" spans="1:12" ht="19.95" customHeight="1" x14ac:dyDescent="0.3">
      <c r="A1697" s="6" t="s">
        <v>4411</v>
      </c>
      <c r="B1697" s="7" t="s">
        <v>4412</v>
      </c>
      <c r="C1697" s="6" t="s">
        <v>4925</v>
      </c>
      <c r="D1697" s="7" t="s">
        <v>4940</v>
      </c>
      <c r="E1697" s="6" t="s">
        <v>4941</v>
      </c>
      <c r="F1697" s="7" t="s">
        <v>4413</v>
      </c>
      <c r="G1697" s="7" t="s">
        <v>4367</v>
      </c>
      <c r="H1697" s="5" t="s">
        <v>225</v>
      </c>
      <c r="I1697" s="6" t="s">
        <v>4410</v>
      </c>
      <c r="J1697" s="7" t="s">
        <v>11</v>
      </c>
      <c r="K1697" s="36">
        <v>0.44800000000000001</v>
      </c>
      <c r="L1697" s="37">
        <v>679</v>
      </c>
    </row>
    <row r="1698" spans="1:12" ht="19.95" customHeight="1" x14ac:dyDescent="0.3">
      <c r="A1698" s="2" t="s">
        <v>4411</v>
      </c>
      <c r="B1698" s="3" t="s">
        <v>4412</v>
      </c>
      <c r="C1698" s="2" t="s">
        <v>4925</v>
      </c>
      <c r="D1698" s="3" t="s">
        <v>4940</v>
      </c>
      <c r="E1698" s="2" t="s">
        <v>4941</v>
      </c>
      <c r="F1698" s="3" t="s">
        <v>4413</v>
      </c>
      <c r="G1698" s="3" t="s">
        <v>4367</v>
      </c>
      <c r="H1698" s="1" t="s">
        <v>194</v>
      </c>
      <c r="I1698" s="2" t="s">
        <v>196</v>
      </c>
      <c r="J1698" s="3" t="s">
        <v>11</v>
      </c>
      <c r="K1698" s="38">
        <v>0.33600000000000002</v>
      </c>
      <c r="L1698" s="39">
        <v>617</v>
      </c>
    </row>
    <row r="1699" spans="1:12" ht="19.95" customHeight="1" x14ac:dyDescent="0.3">
      <c r="A1699" s="6" t="s">
        <v>4411</v>
      </c>
      <c r="B1699" s="7" t="s">
        <v>4412</v>
      </c>
      <c r="C1699" s="6" t="s">
        <v>4925</v>
      </c>
      <c r="D1699" s="7" t="s">
        <v>4940</v>
      </c>
      <c r="E1699" s="6" t="s">
        <v>4941</v>
      </c>
      <c r="F1699" s="7" t="s">
        <v>4413</v>
      </c>
      <c r="G1699" s="7" t="s">
        <v>4367</v>
      </c>
      <c r="H1699" s="5" t="s">
        <v>209</v>
      </c>
      <c r="I1699" s="6" t="s">
        <v>210</v>
      </c>
      <c r="J1699" s="7" t="s">
        <v>11</v>
      </c>
      <c r="K1699" s="36">
        <v>0.33600000000000002</v>
      </c>
      <c r="L1699" s="37">
        <v>558</v>
      </c>
    </row>
    <row r="1700" spans="1:12" ht="19.95" customHeight="1" x14ac:dyDescent="0.3">
      <c r="A1700" s="2" t="s">
        <v>4411</v>
      </c>
      <c r="B1700" s="3" t="s">
        <v>4412</v>
      </c>
      <c r="C1700" s="2" t="s">
        <v>4925</v>
      </c>
      <c r="D1700" s="3" t="s">
        <v>4940</v>
      </c>
      <c r="E1700" s="2" t="s">
        <v>4941</v>
      </c>
      <c r="F1700" s="3" t="s">
        <v>4413</v>
      </c>
      <c r="G1700" s="3" t="s">
        <v>4367</v>
      </c>
      <c r="H1700" s="1" t="s">
        <v>211</v>
      </c>
      <c r="I1700" s="2" t="s">
        <v>212</v>
      </c>
      <c r="J1700" s="3" t="s">
        <v>11</v>
      </c>
      <c r="K1700" s="38">
        <v>0.33600000000000002</v>
      </c>
      <c r="L1700" s="39">
        <v>558</v>
      </c>
    </row>
    <row r="1701" spans="1:12" ht="19.95" customHeight="1" x14ac:dyDescent="0.3">
      <c r="A1701" s="6" t="s">
        <v>4411</v>
      </c>
      <c r="B1701" s="7" t="s">
        <v>4412</v>
      </c>
      <c r="C1701" s="6" t="s">
        <v>4925</v>
      </c>
      <c r="D1701" s="7" t="s">
        <v>4940</v>
      </c>
      <c r="E1701" s="6" t="s">
        <v>4941</v>
      </c>
      <c r="F1701" s="7" t="s">
        <v>4413</v>
      </c>
      <c r="G1701" s="7" t="s">
        <v>4367</v>
      </c>
      <c r="H1701" s="5" t="s">
        <v>197</v>
      </c>
      <c r="I1701" s="6" t="s">
        <v>198</v>
      </c>
      <c r="J1701" s="7" t="s">
        <v>11</v>
      </c>
      <c r="K1701" s="36">
        <v>0.33600000000000002</v>
      </c>
      <c r="L1701" s="37">
        <v>617</v>
      </c>
    </row>
    <row r="1702" spans="1:12" ht="19.95" customHeight="1" x14ac:dyDescent="0.3">
      <c r="A1702" s="2" t="s">
        <v>4411</v>
      </c>
      <c r="B1702" s="3" t="s">
        <v>4412</v>
      </c>
      <c r="C1702" s="2" t="s">
        <v>4925</v>
      </c>
      <c r="D1702" s="3" t="s">
        <v>4942</v>
      </c>
      <c r="E1702" s="2" t="s">
        <v>4943</v>
      </c>
      <c r="F1702" s="3" t="s">
        <v>4413</v>
      </c>
      <c r="G1702" s="3" t="s">
        <v>4367</v>
      </c>
      <c r="H1702" s="1" t="s">
        <v>225</v>
      </c>
      <c r="I1702" s="2" t="s">
        <v>226</v>
      </c>
      <c r="J1702" s="3" t="s">
        <v>11</v>
      </c>
      <c r="K1702" s="38">
        <v>0.44800000000000001</v>
      </c>
      <c r="L1702" s="39">
        <v>679</v>
      </c>
    </row>
    <row r="1703" spans="1:12" ht="19.95" customHeight="1" x14ac:dyDescent="0.3">
      <c r="A1703" s="6" t="s">
        <v>4411</v>
      </c>
      <c r="B1703" s="7" t="s">
        <v>4412</v>
      </c>
      <c r="C1703" s="6" t="s">
        <v>4925</v>
      </c>
      <c r="D1703" s="7" t="s">
        <v>4942</v>
      </c>
      <c r="E1703" s="6" t="s">
        <v>4943</v>
      </c>
      <c r="F1703" s="7" t="s">
        <v>4413</v>
      </c>
      <c r="G1703" s="7" t="s">
        <v>4367</v>
      </c>
      <c r="H1703" s="5" t="s">
        <v>194</v>
      </c>
      <c r="I1703" s="6" t="s">
        <v>196</v>
      </c>
      <c r="J1703" s="7" t="s">
        <v>11</v>
      </c>
      <c r="K1703" s="36">
        <v>0.33600000000000002</v>
      </c>
      <c r="L1703" s="37">
        <v>617</v>
      </c>
    </row>
    <row r="1704" spans="1:12" ht="19.95" customHeight="1" x14ac:dyDescent="0.3">
      <c r="A1704" s="2" t="s">
        <v>4411</v>
      </c>
      <c r="B1704" s="3" t="s">
        <v>4412</v>
      </c>
      <c r="C1704" s="2" t="s">
        <v>4925</v>
      </c>
      <c r="D1704" s="3" t="s">
        <v>4942</v>
      </c>
      <c r="E1704" s="2" t="s">
        <v>4943</v>
      </c>
      <c r="F1704" s="3" t="s">
        <v>4413</v>
      </c>
      <c r="G1704" s="3" t="s">
        <v>4367</v>
      </c>
      <c r="H1704" s="1" t="s">
        <v>209</v>
      </c>
      <c r="I1704" s="2" t="s">
        <v>210</v>
      </c>
      <c r="J1704" s="3" t="s">
        <v>11</v>
      </c>
      <c r="K1704" s="38">
        <v>0.33600000000000002</v>
      </c>
      <c r="L1704" s="39">
        <v>558</v>
      </c>
    </row>
    <row r="1705" spans="1:12" ht="19.95" customHeight="1" x14ac:dyDescent="0.3">
      <c r="A1705" s="6" t="s">
        <v>4411</v>
      </c>
      <c r="B1705" s="7" t="s">
        <v>4412</v>
      </c>
      <c r="C1705" s="6" t="s">
        <v>4925</v>
      </c>
      <c r="D1705" s="7" t="s">
        <v>4942</v>
      </c>
      <c r="E1705" s="6" t="s">
        <v>4943</v>
      </c>
      <c r="F1705" s="7" t="s">
        <v>4413</v>
      </c>
      <c r="G1705" s="7" t="s">
        <v>4367</v>
      </c>
      <c r="H1705" s="5" t="s">
        <v>211</v>
      </c>
      <c r="I1705" s="6" t="s">
        <v>212</v>
      </c>
      <c r="J1705" s="7" t="s">
        <v>11</v>
      </c>
      <c r="K1705" s="36">
        <v>0.33600000000000002</v>
      </c>
      <c r="L1705" s="37">
        <v>558</v>
      </c>
    </row>
    <row r="1706" spans="1:12" ht="19.95" customHeight="1" x14ac:dyDescent="0.3">
      <c r="A1706" s="2" t="s">
        <v>4411</v>
      </c>
      <c r="B1706" s="3" t="s">
        <v>4412</v>
      </c>
      <c r="C1706" s="2" t="s">
        <v>4925</v>
      </c>
      <c r="D1706" s="3" t="s">
        <v>4942</v>
      </c>
      <c r="E1706" s="2" t="s">
        <v>4943</v>
      </c>
      <c r="F1706" s="3" t="s">
        <v>4413</v>
      </c>
      <c r="G1706" s="3" t="s">
        <v>4367</v>
      </c>
      <c r="H1706" s="1" t="s">
        <v>197</v>
      </c>
      <c r="I1706" s="2" t="s">
        <v>198</v>
      </c>
      <c r="J1706" s="3" t="s">
        <v>11</v>
      </c>
      <c r="K1706" s="38">
        <v>0.33600000000000002</v>
      </c>
      <c r="L1706" s="39">
        <v>617</v>
      </c>
    </row>
    <row r="1707" spans="1:12" ht="19.95" customHeight="1" x14ac:dyDescent="0.3">
      <c r="A1707" s="6" t="s">
        <v>4411</v>
      </c>
      <c r="B1707" s="7" t="s">
        <v>4412</v>
      </c>
      <c r="C1707" s="6" t="s">
        <v>4925</v>
      </c>
      <c r="D1707" s="7" t="s">
        <v>4944</v>
      </c>
      <c r="E1707" s="6" t="s">
        <v>4945</v>
      </c>
      <c r="F1707" s="7" t="s">
        <v>4368</v>
      </c>
      <c r="G1707" s="7" t="s">
        <v>4367</v>
      </c>
      <c r="H1707" s="5" t="s">
        <v>221</v>
      </c>
      <c r="I1707" s="6" t="s">
        <v>222</v>
      </c>
      <c r="J1707" s="7" t="s">
        <v>11</v>
      </c>
      <c r="K1707" s="36">
        <v>0.3</v>
      </c>
      <c r="L1707" s="37">
        <v>738</v>
      </c>
    </row>
    <row r="1708" spans="1:12" ht="19.95" customHeight="1" x14ac:dyDescent="0.3">
      <c r="A1708" s="2" t="s">
        <v>4411</v>
      </c>
      <c r="B1708" s="3" t="s">
        <v>4412</v>
      </c>
      <c r="C1708" s="2" t="s">
        <v>4925</v>
      </c>
      <c r="D1708" s="3" t="s">
        <v>4944</v>
      </c>
      <c r="E1708" s="2" t="s">
        <v>4945</v>
      </c>
      <c r="F1708" s="3" t="s">
        <v>4368</v>
      </c>
      <c r="G1708" s="3" t="s">
        <v>4367</v>
      </c>
      <c r="H1708" s="1" t="s">
        <v>209</v>
      </c>
      <c r="I1708" s="2" t="s">
        <v>210</v>
      </c>
      <c r="J1708" s="3" t="s">
        <v>11</v>
      </c>
      <c r="K1708" s="38">
        <v>0.3</v>
      </c>
      <c r="L1708" s="39">
        <v>558</v>
      </c>
    </row>
    <row r="1709" spans="1:12" ht="19.95" customHeight="1" x14ac:dyDescent="0.3">
      <c r="A1709" s="6" t="s">
        <v>4411</v>
      </c>
      <c r="B1709" s="7" t="s">
        <v>4412</v>
      </c>
      <c r="C1709" s="6" t="s">
        <v>4925</v>
      </c>
      <c r="D1709" s="7" t="s">
        <v>4944</v>
      </c>
      <c r="E1709" s="6" t="s">
        <v>4945</v>
      </c>
      <c r="F1709" s="7" t="s">
        <v>4368</v>
      </c>
      <c r="G1709" s="7" t="s">
        <v>4367</v>
      </c>
      <c r="H1709" s="5" t="s">
        <v>197</v>
      </c>
      <c r="I1709" s="6" t="s">
        <v>198</v>
      </c>
      <c r="J1709" s="7" t="s">
        <v>11</v>
      </c>
      <c r="K1709" s="36">
        <v>0.15</v>
      </c>
      <c r="L1709" s="37">
        <v>617</v>
      </c>
    </row>
    <row r="1710" spans="1:12" ht="19.95" customHeight="1" x14ac:dyDescent="0.3">
      <c r="A1710" s="2" t="s">
        <v>4411</v>
      </c>
      <c r="B1710" s="3" t="s">
        <v>4412</v>
      </c>
      <c r="C1710" s="2" t="s">
        <v>4925</v>
      </c>
      <c r="D1710" s="3" t="s">
        <v>4946</v>
      </c>
      <c r="E1710" s="2" t="s">
        <v>4947</v>
      </c>
      <c r="F1710" s="3" t="s">
        <v>4413</v>
      </c>
      <c r="G1710" s="3" t="s">
        <v>4367</v>
      </c>
      <c r="H1710" s="1" t="s">
        <v>225</v>
      </c>
      <c r="I1710" s="2" t="s">
        <v>226</v>
      </c>
      <c r="J1710" s="3" t="s">
        <v>11</v>
      </c>
      <c r="K1710" s="38">
        <v>0.44800000000000001</v>
      </c>
      <c r="L1710" s="39">
        <v>679</v>
      </c>
    </row>
    <row r="1711" spans="1:12" ht="19.95" customHeight="1" x14ac:dyDescent="0.3">
      <c r="A1711" s="6" t="s">
        <v>4411</v>
      </c>
      <c r="B1711" s="7" t="s">
        <v>4412</v>
      </c>
      <c r="C1711" s="6" t="s">
        <v>4925</v>
      </c>
      <c r="D1711" s="7" t="s">
        <v>4946</v>
      </c>
      <c r="E1711" s="6" t="s">
        <v>4947</v>
      </c>
      <c r="F1711" s="7" t="s">
        <v>4413</v>
      </c>
      <c r="G1711" s="7" t="s">
        <v>4367</v>
      </c>
      <c r="H1711" s="5" t="s">
        <v>194</v>
      </c>
      <c r="I1711" s="6" t="s">
        <v>196</v>
      </c>
      <c r="J1711" s="7" t="s">
        <v>11</v>
      </c>
      <c r="K1711" s="36">
        <v>0.33600000000000002</v>
      </c>
      <c r="L1711" s="37">
        <v>617</v>
      </c>
    </row>
    <row r="1712" spans="1:12" ht="19.95" customHeight="1" x14ac:dyDescent="0.3">
      <c r="A1712" s="2" t="s">
        <v>4411</v>
      </c>
      <c r="B1712" s="3" t="s">
        <v>4412</v>
      </c>
      <c r="C1712" s="2" t="s">
        <v>4925</v>
      </c>
      <c r="D1712" s="3" t="s">
        <v>4946</v>
      </c>
      <c r="E1712" s="2" t="s">
        <v>4947</v>
      </c>
      <c r="F1712" s="3" t="s">
        <v>4413</v>
      </c>
      <c r="G1712" s="3" t="s">
        <v>4367</v>
      </c>
      <c r="H1712" s="1" t="s">
        <v>209</v>
      </c>
      <c r="I1712" s="2" t="s">
        <v>210</v>
      </c>
      <c r="J1712" s="3" t="s">
        <v>11</v>
      </c>
      <c r="K1712" s="38">
        <v>0.33600000000000002</v>
      </c>
      <c r="L1712" s="39">
        <v>558</v>
      </c>
    </row>
    <row r="1713" spans="1:12" ht="19.95" customHeight="1" x14ac:dyDescent="0.3">
      <c r="A1713" s="6" t="s">
        <v>4411</v>
      </c>
      <c r="B1713" s="7" t="s">
        <v>4412</v>
      </c>
      <c r="C1713" s="6" t="s">
        <v>4925</v>
      </c>
      <c r="D1713" s="7" t="s">
        <v>4946</v>
      </c>
      <c r="E1713" s="6" t="s">
        <v>4947</v>
      </c>
      <c r="F1713" s="7" t="s">
        <v>4413</v>
      </c>
      <c r="G1713" s="7" t="s">
        <v>4367</v>
      </c>
      <c r="H1713" s="5" t="s">
        <v>211</v>
      </c>
      <c r="I1713" s="6" t="s">
        <v>212</v>
      </c>
      <c r="J1713" s="7" t="s">
        <v>11</v>
      </c>
      <c r="K1713" s="36">
        <v>0.33600000000000002</v>
      </c>
      <c r="L1713" s="37">
        <v>558</v>
      </c>
    </row>
    <row r="1714" spans="1:12" ht="19.95" customHeight="1" x14ac:dyDescent="0.3">
      <c r="A1714" s="2" t="s">
        <v>4411</v>
      </c>
      <c r="B1714" s="3" t="s">
        <v>4412</v>
      </c>
      <c r="C1714" s="2" t="s">
        <v>4925</v>
      </c>
      <c r="D1714" s="3" t="s">
        <v>4948</v>
      </c>
      <c r="E1714" s="2" t="s">
        <v>4949</v>
      </c>
      <c r="F1714" s="3" t="s">
        <v>4413</v>
      </c>
      <c r="G1714" s="3" t="s">
        <v>4367</v>
      </c>
      <c r="H1714" s="1" t="s">
        <v>225</v>
      </c>
      <c r="I1714" s="2" t="s">
        <v>226</v>
      </c>
      <c r="J1714" s="3" t="s">
        <v>11</v>
      </c>
      <c r="K1714" s="38">
        <v>0.44800000000000001</v>
      </c>
      <c r="L1714" s="39">
        <v>679</v>
      </c>
    </row>
    <row r="1715" spans="1:12" ht="19.95" customHeight="1" x14ac:dyDescent="0.3">
      <c r="A1715" s="6" t="s">
        <v>4411</v>
      </c>
      <c r="B1715" s="7" t="s">
        <v>4412</v>
      </c>
      <c r="C1715" s="6" t="s">
        <v>4925</v>
      </c>
      <c r="D1715" s="7" t="s">
        <v>4948</v>
      </c>
      <c r="E1715" s="6" t="s">
        <v>4949</v>
      </c>
      <c r="F1715" s="7" t="s">
        <v>4413</v>
      </c>
      <c r="G1715" s="7" t="s">
        <v>4367</v>
      </c>
      <c r="H1715" s="5" t="s">
        <v>194</v>
      </c>
      <c r="I1715" s="6" t="s">
        <v>196</v>
      </c>
      <c r="J1715" s="7" t="s">
        <v>11</v>
      </c>
      <c r="K1715" s="36">
        <v>0.33600000000000002</v>
      </c>
      <c r="L1715" s="37">
        <v>617</v>
      </c>
    </row>
    <row r="1716" spans="1:12" ht="19.95" customHeight="1" x14ac:dyDescent="0.3">
      <c r="A1716" s="2" t="s">
        <v>4411</v>
      </c>
      <c r="B1716" s="3" t="s">
        <v>4412</v>
      </c>
      <c r="C1716" s="2" t="s">
        <v>4925</v>
      </c>
      <c r="D1716" s="3" t="s">
        <v>4948</v>
      </c>
      <c r="E1716" s="2" t="s">
        <v>4949</v>
      </c>
      <c r="F1716" s="3" t="s">
        <v>4413</v>
      </c>
      <c r="G1716" s="3" t="s">
        <v>4367</v>
      </c>
      <c r="H1716" s="1" t="s">
        <v>209</v>
      </c>
      <c r="I1716" s="2" t="s">
        <v>210</v>
      </c>
      <c r="J1716" s="3" t="s">
        <v>11</v>
      </c>
      <c r="K1716" s="38">
        <v>0.33600000000000002</v>
      </c>
      <c r="L1716" s="39">
        <v>558</v>
      </c>
    </row>
    <row r="1717" spans="1:12" ht="19.95" customHeight="1" x14ac:dyDescent="0.3">
      <c r="A1717" s="6" t="s">
        <v>4411</v>
      </c>
      <c r="B1717" s="7" t="s">
        <v>4412</v>
      </c>
      <c r="C1717" s="6" t="s">
        <v>4925</v>
      </c>
      <c r="D1717" s="7" t="s">
        <v>4948</v>
      </c>
      <c r="E1717" s="6" t="s">
        <v>4949</v>
      </c>
      <c r="F1717" s="7" t="s">
        <v>4413</v>
      </c>
      <c r="G1717" s="7" t="s">
        <v>4367</v>
      </c>
      <c r="H1717" s="5" t="s">
        <v>211</v>
      </c>
      <c r="I1717" s="6" t="s">
        <v>212</v>
      </c>
      <c r="J1717" s="7" t="s">
        <v>11</v>
      </c>
      <c r="K1717" s="36">
        <v>0.33600000000000002</v>
      </c>
      <c r="L1717" s="37">
        <v>558</v>
      </c>
    </row>
    <row r="1718" spans="1:12" ht="19.95" customHeight="1" x14ac:dyDescent="0.3">
      <c r="A1718" s="2" t="s">
        <v>4411</v>
      </c>
      <c r="B1718" s="3" t="s">
        <v>4412</v>
      </c>
      <c r="C1718" s="2" t="s">
        <v>4925</v>
      </c>
      <c r="D1718" s="3" t="s">
        <v>4950</v>
      </c>
      <c r="E1718" s="2" t="s">
        <v>4951</v>
      </c>
      <c r="F1718" s="3" t="s">
        <v>279</v>
      </c>
      <c r="G1718" s="3" t="s">
        <v>4367</v>
      </c>
      <c r="H1718" s="1" t="s">
        <v>201</v>
      </c>
      <c r="I1718" s="2" t="s">
        <v>202</v>
      </c>
      <c r="J1718" s="3" t="s">
        <v>11</v>
      </c>
      <c r="K1718" s="38">
        <v>0.1</v>
      </c>
      <c r="L1718" s="39">
        <v>679</v>
      </c>
    </row>
    <row r="1719" spans="1:12" ht="19.95" customHeight="1" x14ac:dyDescent="0.3">
      <c r="A1719" s="6" t="s">
        <v>4411</v>
      </c>
      <c r="B1719" s="7" t="s">
        <v>4412</v>
      </c>
      <c r="C1719" s="6" t="s">
        <v>4925</v>
      </c>
      <c r="D1719" s="7" t="s">
        <v>4950</v>
      </c>
      <c r="E1719" s="6" t="s">
        <v>4951</v>
      </c>
      <c r="F1719" s="7" t="s">
        <v>279</v>
      </c>
      <c r="G1719" s="7" t="s">
        <v>4367</v>
      </c>
      <c r="H1719" s="5" t="s">
        <v>223</v>
      </c>
      <c r="I1719" s="6" t="s">
        <v>224</v>
      </c>
      <c r="J1719" s="7" t="s">
        <v>11</v>
      </c>
      <c r="K1719" s="36">
        <v>1</v>
      </c>
      <c r="L1719" s="37">
        <v>679</v>
      </c>
    </row>
    <row r="1720" spans="1:12" ht="19.95" customHeight="1" x14ac:dyDescent="0.3">
      <c r="A1720" s="2" t="s">
        <v>4411</v>
      </c>
      <c r="B1720" s="3" t="s">
        <v>4412</v>
      </c>
      <c r="C1720" s="2" t="s">
        <v>4925</v>
      </c>
      <c r="D1720" s="3" t="s">
        <v>4950</v>
      </c>
      <c r="E1720" s="2" t="s">
        <v>4951</v>
      </c>
      <c r="F1720" s="3" t="s">
        <v>279</v>
      </c>
      <c r="G1720" s="3" t="s">
        <v>4367</v>
      </c>
      <c r="H1720" s="1" t="s">
        <v>209</v>
      </c>
      <c r="I1720" s="2" t="s">
        <v>210</v>
      </c>
      <c r="J1720" s="3" t="s">
        <v>11</v>
      </c>
      <c r="K1720" s="38">
        <v>1.1000000000000001</v>
      </c>
      <c r="L1720" s="39">
        <v>558</v>
      </c>
    </row>
    <row r="1721" spans="1:12" ht="19.95" customHeight="1" x14ac:dyDescent="0.3">
      <c r="A1721" s="6" t="s">
        <v>4411</v>
      </c>
      <c r="B1721" s="7" t="s">
        <v>4412</v>
      </c>
      <c r="C1721" s="6" t="s">
        <v>4925</v>
      </c>
      <c r="D1721" s="7" t="s">
        <v>4952</v>
      </c>
      <c r="E1721" s="6" t="s">
        <v>4953</v>
      </c>
      <c r="F1721" s="7" t="s">
        <v>4954</v>
      </c>
      <c r="G1721" s="7" t="s">
        <v>4367</v>
      </c>
      <c r="H1721" s="5" t="s">
        <v>203</v>
      </c>
      <c r="I1721" s="6" t="s">
        <v>204</v>
      </c>
      <c r="J1721" s="7" t="s">
        <v>11</v>
      </c>
      <c r="K1721" s="36">
        <v>1</v>
      </c>
      <c r="L1721" s="37">
        <v>738</v>
      </c>
    </row>
    <row r="1722" spans="1:12" ht="19.95" customHeight="1" x14ac:dyDescent="0.3">
      <c r="A1722" s="2" t="s">
        <v>4411</v>
      </c>
      <c r="B1722" s="3" t="s">
        <v>4412</v>
      </c>
      <c r="C1722" s="2" t="s">
        <v>4925</v>
      </c>
      <c r="D1722" s="3" t="s">
        <v>4952</v>
      </c>
      <c r="E1722" s="2" t="s">
        <v>4953</v>
      </c>
      <c r="F1722" s="3" t="s">
        <v>4954</v>
      </c>
      <c r="G1722" s="3" t="s">
        <v>4367</v>
      </c>
      <c r="H1722" s="1" t="s">
        <v>209</v>
      </c>
      <c r="I1722" s="2" t="s">
        <v>210</v>
      </c>
      <c r="J1722" s="3" t="s">
        <v>11</v>
      </c>
      <c r="K1722" s="38">
        <v>0.25</v>
      </c>
      <c r="L1722" s="39">
        <v>558</v>
      </c>
    </row>
    <row r="1723" spans="1:12" ht="19.95" customHeight="1" x14ac:dyDescent="0.3">
      <c r="A1723" s="6" t="s">
        <v>4411</v>
      </c>
      <c r="B1723" s="7" t="s">
        <v>4412</v>
      </c>
      <c r="C1723" s="6" t="s">
        <v>4925</v>
      </c>
      <c r="D1723" s="7" t="s">
        <v>4955</v>
      </c>
      <c r="E1723" s="6" t="s">
        <v>4956</v>
      </c>
      <c r="F1723" s="7" t="s">
        <v>4344</v>
      </c>
      <c r="G1723" s="7" t="s">
        <v>4369</v>
      </c>
      <c r="H1723" s="5" t="s">
        <v>47</v>
      </c>
      <c r="I1723" s="6" t="s">
        <v>4415</v>
      </c>
      <c r="J1723" s="7" t="s">
        <v>11</v>
      </c>
      <c r="K1723" s="36">
        <v>1.5</v>
      </c>
      <c r="L1723" s="37">
        <v>250</v>
      </c>
    </row>
    <row r="1724" spans="1:12" ht="19.95" customHeight="1" x14ac:dyDescent="0.3">
      <c r="A1724" s="2" t="s">
        <v>4411</v>
      </c>
      <c r="B1724" s="3" t="s">
        <v>4412</v>
      </c>
      <c r="C1724" s="2" t="s">
        <v>4925</v>
      </c>
      <c r="D1724" s="3" t="s">
        <v>4955</v>
      </c>
      <c r="E1724" s="2" t="s">
        <v>4956</v>
      </c>
      <c r="F1724" s="3" t="s">
        <v>4344</v>
      </c>
      <c r="G1724" s="3" t="s">
        <v>4367</v>
      </c>
      <c r="H1724" s="1" t="s">
        <v>209</v>
      </c>
      <c r="I1724" s="2" t="s">
        <v>210</v>
      </c>
      <c r="J1724" s="3" t="s">
        <v>11</v>
      </c>
      <c r="K1724" s="38">
        <v>2</v>
      </c>
      <c r="L1724" s="39">
        <v>558</v>
      </c>
    </row>
    <row r="1725" spans="1:12" ht="19.95" customHeight="1" x14ac:dyDescent="0.3">
      <c r="A1725" s="6" t="s">
        <v>4411</v>
      </c>
      <c r="B1725" s="7" t="s">
        <v>4412</v>
      </c>
      <c r="C1725" s="6" t="s">
        <v>4925</v>
      </c>
      <c r="D1725" s="7" t="s">
        <v>4957</v>
      </c>
      <c r="E1725" s="6" t="s">
        <v>4958</v>
      </c>
      <c r="F1725" s="7" t="s">
        <v>4344</v>
      </c>
      <c r="G1725" s="7" t="s">
        <v>4369</v>
      </c>
      <c r="H1725" s="5" t="s">
        <v>47</v>
      </c>
      <c r="I1725" s="6" t="s">
        <v>4415</v>
      </c>
      <c r="J1725" s="7" t="s">
        <v>11</v>
      </c>
      <c r="K1725" s="36">
        <v>2.5</v>
      </c>
      <c r="L1725" s="37">
        <v>250</v>
      </c>
    </row>
    <row r="1726" spans="1:12" ht="19.95" customHeight="1" x14ac:dyDescent="0.3">
      <c r="A1726" s="2" t="s">
        <v>4411</v>
      </c>
      <c r="B1726" s="3" t="s">
        <v>4412</v>
      </c>
      <c r="C1726" s="2" t="s">
        <v>4925</v>
      </c>
      <c r="D1726" s="3" t="s">
        <v>4957</v>
      </c>
      <c r="E1726" s="2" t="s">
        <v>4958</v>
      </c>
      <c r="F1726" s="3" t="s">
        <v>4344</v>
      </c>
      <c r="G1726" s="3" t="s">
        <v>4367</v>
      </c>
      <c r="H1726" s="1" t="s">
        <v>209</v>
      </c>
      <c r="I1726" s="2" t="s">
        <v>210</v>
      </c>
      <c r="J1726" s="3" t="s">
        <v>11</v>
      </c>
      <c r="K1726" s="38">
        <v>3.5</v>
      </c>
      <c r="L1726" s="39">
        <v>558</v>
      </c>
    </row>
    <row r="1727" spans="1:12" ht="19.95" customHeight="1" x14ac:dyDescent="0.3">
      <c r="A1727" s="6" t="s">
        <v>4411</v>
      </c>
      <c r="B1727" s="7" t="s">
        <v>4412</v>
      </c>
      <c r="C1727" s="6" t="s">
        <v>4925</v>
      </c>
      <c r="D1727" s="7" t="s">
        <v>4959</v>
      </c>
      <c r="E1727" s="6" t="s">
        <v>4960</v>
      </c>
      <c r="F1727" s="7" t="s">
        <v>4961</v>
      </c>
      <c r="G1727" s="7" t="s">
        <v>4367</v>
      </c>
      <c r="H1727" s="5" t="s">
        <v>205</v>
      </c>
      <c r="I1727" s="6" t="s">
        <v>206</v>
      </c>
      <c r="J1727" s="7" t="s">
        <v>11</v>
      </c>
      <c r="K1727" s="36">
        <v>0.77</v>
      </c>
      <c r="L1727" s="37">
        <v>679</v>
      </c>
    </row>
    <row r="1728" spans="1:12" ht="19.95" customHeight="1" x14ac:dyDescent="0.3">
      <c r="A1728" s="2" t="s">
        <v>4411</v>
      </c>
      <c r="B1728" s="3" t="s">
        <v>4412</v>
      </c>
      <c r="C1728" s="2" t="s">
        <v>4925</v>
      </c>
      <c r="D1728" s="3" t="s">
        <v>4959</v>
      </c>
      <c r="E1728" s="2" t="s">
        <v>4960</v>
      </c>
      <c r="F1728" s="3" t="s">
        <v>4961</v>
      </c>
      <c r="G1728" s="3" t="s">
        <v>4367</v>
      </c>
      <c r="H1728" s="1" t="s">
        <v>209</v>
      </c>
      <c r="I1728" s="2" t="s">
        <v>210</v>
      </c>
      <c r="J1728" s="3" t="s">
        <v>11</v>
      </c>
      <c r="K1728" s="38">
        <v>0.86</v>
      </c>
      <c r="L1728" s="39">
        <v>558</v>
      </c>
    </row>
    <row r="1729" spans="1:12" ht="19.95" customHeight="1" x14ac:dyDescent="0.3">
      <c r="A1729" s="6" t="s">
        <v>4411</v>
      </c>
      <c r="B1729" s="7" t="s">
        <v>4412</v>
      </c>
      <c r="C1729" s="6" t="s">
        <v>4925</v>
      </c>
      <c r="D1729" s="7" t="s">
        <v>4962</v>
      </c>
      <c r="E1729" s="6" t="s">
        <v>4963</v>
      </c>
      <c r="F1729" s="7" t="s">
        <v>4961</v>
      </c>
      <c r="G1729" s="7" t="s">
        <v>4367</v>
      </c>
      <c r="H1729" s="5" t="s">
        <v>205</v>
      </c>
      <c r="I1729" s="6" t="s">
        <v>206</v>
      </c>
      <c r="J1729" s="7" t="s">
        <v>11</v>
      </c>
      <c r="K1729" s="36">
        <v>0.77</v>
      </c>
      <c r="L1729" s="37">
        <v>679</v>
      </c>
    </row>
    <row r="1730" spans="1:12" ht="19.95" customHeight="1" x14ac:dyDescent="0.3">
      <c r="A1730" s="2" t="s">
        <v>4411</v>
      </c>
      <c r="B1730" s="3" t="s">
        <v>4412</v>
      </c>
      <c r="C1730" s="2" t="s">
        <v>4925</v>
      </c>
      <c r="D1730" s="3" t="s">
        <v>4962</v>
      </c>
      <c r="E1730" s="2" t="s">
        <v>4963</v>
      </c>
      <c r="F1730" s="3" t="s">
        <v>4961</v>
      </c>
      <c r="G1730" s="3" t="s">
        <v>4367</v>
      </c>
      <c r="H1730" s="1" t="s">
        <v>209</v>
      </c>
      <c r="I1730" s="2" t="s">
        <v>210</v>
      </c>
      <c r="J1730" s="3" t="s">
        <v>11</v>
      </c>
      <c r="K1730" s="38">
        <v>0.86</v>
      </c>
      <c r="L1730" s="39">
        <v>558</v>
      </c>
    </row>
    <row r="1731" spans="1:12" ht="19.95" customHeight="1" x14ac:dyDescent="0.3">
      <c r="A1731" s="6" t="s">
        <v>4411</v>
      </c>
      <c r="B1731" s="7" t="s">
        <v>4412</v>
      </c>
      <c r="C1731" s="6" t="s">
        <v>4925</v>
      </c>
      <c r="D1731" s="7" t="s">
        <v>4964</v>
      </c>
      <c r="E1731" s="6" t="s">
        <v>4965</v>
      </c>
      <c r="F1731" s="7" t="s">
        <v>4966</v>
      </c>
      <c r="G1731" s="7" t="s">
        <v>4367</v>
      </c>
      <c r="H1731" s="5" t="s">
        <v>221</v>
      </c>
      <c r="I1731" s="6" t="s">
        <v>222</v>
      </c>
      <c r="J1731" s="7" t="s">
        <v>11</v>
      </c>
      <c r="K1731" s="36">
        <v>0.3</v>
      </c>
      <c r="L1731" s="37">
        <v>738</v>
      </c>
    </row>
    <row r="1732" spans="1:12" ht="19.95" customHeight="1" x14ac:dyDescent="0.3">
      <c r="A1732" s="2" t="s">
        <v>4411</v>
      </c>
      <c r="B1732" s="3" t="s">
        <v>4412</v>
      </c>
      <c r="C1732" s="2" t="s">
        <v>4925</v>
      </c>
      <c r="D1732" s="3" t="s">
        <v>4964</v>
      </c>
      <c r="E1732" s="2" t="s">
        <v>4965</v>
      </c>
      <c r="F1732" s="3" t="s">
        <v>4966</v>
      </c>
      <c r="G1732" s="3" t="s">
        <v>4367</v>
      </c>
      <c r="H1732" s="1" t="s">
        <v>211</v>
      </c>
      <c r="I1732" s="2" t="s">
        <v>212</v>
      </c>
      <c r="J1732" s="3" t="s">
        <v>11</v>
      </c>
      <c r="K1732" s="38">
        <v>0.3</v>
      </c>
      <c r="L1732" s="39">
        <v>558</v>
      </c>
    </row>
    <row r="1733" spans="1:12" ht="19.95" customHeight="1" x14ac:dyDescent="0.3">
      <c r="A1733" s="6" t="s">
        <v>4411</v>
      </c>
      <c r="B1733" s="7" t="s">
        <v>4412</v>
      </c>
      <c r="C1733" s="6" t="s">
        <v>4925</v>
      </c>
      <c r="D1733" s="7" t="s">
        <v>4967</v>
      </c>
      <c r="E1733" s="6" t="s">
        <v>4968</v>
      </c>
      <c r="F1733" s="7" t="s">
        <v>4969</v>
      </c>
      <c r="G1733" s="7" t="s">
        <v>4367</v>
      </c>
      <c r="H1733" s="5" t="s">
        <v>227</v>
      </c>
      <c r="I1733" s="6" t="s">
        <v>228</v>
      </c>
      <c r="J1733" s="7" t="s">
        <v>11</v>
      </c>
      <c r="K1733" s="36">
        <v>0.4</v>
      </c>
      <c r="L1733" s="37">
        <v>738</v>
      </c>
    </row>
    <row r="1734" spans="1:12" ht="19.95" customHeight="1" x14ac:dyDescent="0.3">
      <c r="A1734" s="2" t="s">
        <v>4411</v>
      </c>
      <c r="B1734" s="3" t="s">
        <v>4412</v>
      </c>
      <c r="C1734" s="2" t="s">
        <v>4925</v>
      </c>
      <c r="D1734" s="3" t="s">
        <v>4967</v>
      </c>
      <c r="E1734" s="2" t="s">
        <v>4968</v>
      </c>
      <c r="F1734" s="3" t="s">
        <v>4969</v>
      </c>
      <c r="G1734" s="3" t="s">
        <v>4367</v>
      </c>
      <c r="H1734" s="1" t="s">
        <v>209</v>
      </c>
      <c r="I1734" s="2" t="s">
        <v>210</v>
      </c>
      <c r="J1734" s="3" t="s">
        <v>11</v>
      </c>
      <c r="K1734" s="38">
        <v>0.4</v>
      </c>
      <c r="L1734" s="39">
        <v>558</v>
      </c>
    </row>
    <row r="1735" spans="1:12" ht="19.95" customHeight="1" x14ac:dyDescent="0.3">
      <c r="A1735" s="6" t="s">
        <v>4411</v>
      </c>
      <c r="B1735" s="7" t="s">
        <v>4412</v>
      </c>
      <c r="C1735" s="6" t="s">
        <v>4925</v>
      </c>
      <c r="D1735" s="7" t="s">
        <v>4970</v>
      </c>
      <c r="E1735" s="6" t="s">
        <v>4971</v>
      </c>
      <c r="F1735" s="7" t="s">
        <v>4416</v>
      </c>
      <c r="G1735" s="7" t="s">
        <v>4369</v>
      </c>
      <c r="H1735" s="5" t="s">
        <v>35</v>
      </c>
      <c r="I1735" s="6" t="s">
        <v>36</v>
      </c>
      <c r="J1735" s="7" t="s">
        <v>11</v>
      </c>
      <c r="K1735" s="36">
        <v>1</v>
      </c>
      <c r="L1735" s="37">
        <v>300</v>
      </c>
    </row>
    <row r="1736" spans="1:12" ht="19.95" customHeight="1" x14ac:dyDescent="0.3">
      <c r="A1736" s="2" t="s">
        <v>4411</v>
      </c>
      <c r="B1736" s="3" t="s">
        <v>4412</v>
      </c>
      <c r="C1736" s="2" t="s">
        <v>4925</v>
      </c>
      <c r="D1736" s="3" t="s">
        <v>4970</v>
      </c>
      <c r="E1736" s="2" t="s">
        <v>4971</v>
      </c>
      <c r="F1736" s="3" t="s">
        <v>4416</v>
      </c>
      <c r="G1736" s="3" t="s">
        <v>4367</v>
      </c>
      <c r="H1736" s="1" t="s">
        <v>209</v>
      </c>
      <c r="I1736" s="2" t="s">
        <v>210</v>
      </c>
      <c r="J1736" s="3" t="s">
        <v>11</v>
      </c>
      <c r="K1736" s="38">
        <v>2.5</v>
      </c>
      <c r="L1736" s="39">
        <v>558</v>
      </c>
    </row>
    <row r="1737" spans="1:12" ht="19.95" customHeight="1" x14ac:dyDescent="0.3">
      <c r="A1737" s="6" t="s">
        <v>4411</v>
      </c>
      <c r="B1737" s="7" t="s">
        <v>4412</v>
      </c>
      <c r="C1737" s="6" t="s">
        <v>4925</v>
      </c>
      <c r="D1737" s="7" t="s">
        <v>4970</v>
      </c>
      <c r="E1737" s="6" t="s">
        <v>4971</v>
      </c>
      <c r="F1737" s="7" t="s">
        <v>4416</v>
      </c>
      <c r="G1737" s="7" t="s">
        <v>4367</v>
      </c>
      <c r="H1737" s="5" t="s">
        <v>197</v>
      </c>
      <c r="I1737" s="6" t="s">
        <v>198</v>
      </c>
      <c r="J1737" s="7" t="s">
        <v>11</v>
      </c>
      <c r="K1737" s="36">
        <v>1.5</v>
      </c>
      <c r="L1737" s="37">
        <v>617</v>
      </c>
    </row>
    <row r="1738" spans="1:12" ht="19.95" customHeight="1" x14ac:dyDescent="0.3">
      <c r="A1738" s="2" t="s">
        <v>4411</v>
      </c>
      <c r="B1738" s="3" t="s">
        <v>4412</v>
      </c>
      <c r="C1738" s="2" t="s">
        <v>4925</v>
      </c>
      <c r="D1738" s="3" t="s">
        <v>4972</v>
      </c>
      <c r="E1738" s="2" t="s">
        <v>4973</v>
      </c>
      <c r="F1738" s="3" t="s">
        <v>4414</v>
      </c>
      <c r="G1738" s="3" t="s">
        <v>4367</v>
      </c>
      <c r="H1738" s="1" t="s">
        <v>213</v>
      </c>
      <c r="I1738" s="2" t="s">
        <v>214</v>
      </c>
      <c r="J1738" s="3" t="s">
        <v>11</v>
      </c>
      <c r="K1738" s="38">
        <v>0.25</v>
      </c>
      <c r="L1738" s="39">
        <v>738</v>
      </c>
    </row>
    <row r="1739" spans="1:12" ht="19.95" customHeight="1" x14ac:dyDescent="0.3">
      <c r="A1739" s="6" t="s">
        <v>4411</v>
      </c>
      <c r="B1739" s="7" t="s">
        <v>4412</v>
      </c>
      <c r="C1739" s="6" t="s">
        <v>4925</v>
      </c>
      <c r="D1739" s="7" t="s">
        <v>4972</v>
      </c>
      <c r="E1739" s="6" t="s">
        <v>4973</v>
      </c>
      <c r="F1739" s="7" t="s">
        <v>4414</v>
      </c>
      <c r="G1739" s="7" t="s">
        <v>4367</v>
      </c>
      <c r="H1739" s="5" t="s">
        <v>209</v>
      </c>
      <c r="I1739" s="6" t="s">
        <v>210</v>
      </c>
      <c r="J1739" s="7" t="s">
        <v>11</v>
      </c>
      <c r="K1739" s="36">
        <v>0.25</v>
      </c>
      <c r="L1739" s="37">
        <v>558</v>
      </c>
    </row>
    <row r="1740" spans="1:12" ht="19.95" customHeight="1" x14ac:dyDescent="0.3">
      <c r="A1740" s="2" t="s">
        <v>4411</v>
      </c>
      <c r="B1740" s="3" t="s">
        <v>4412</v>
      </c>
      <c r="C1740" s="2" t="s">
        <v>4925</v>
      </c>
      <c r="D1740" s="3" t="s">
        <v>4972</v>
      </c>
      <c r="E1740" s="2" t="s">
        <v>4973</v>
      </c>
      <c r="F1740" s="3" t="s">
        <v>4414</v>
      </c>
      <c r="G1740" s="3" t="s">
        <v>4367</v>
      </c>
      <c r="H1740" s="1" t="s">
        <v>213</v>
      </c>
      <c r="I1740" s="2" t="s">
        <v>214</v>
      </c>
      <c r="J1740" s="3" t="s">
        <v>11</v>
      </c>
      <c r="K1740" s="38">
        <v>0.25</v>
      </c>
      <c r="L1740" s="39">
        <v>738</v>
      </c>
    </row>
    <row r="1741" spans="1:12" ht="19.95" customHeight="1" x14ac:dyDescent="0.3">
      <c r="A1741" s="6" t="s">
        <v>4411</v>
      </c>
      <c r="B1741" s="7" t="s">
        <v>4412</v>
      </c>
      <c r="C1741" s="6" t="s">
        <v>4925</v>
      </c>
      <c r="D1741" s="7" t="s">
        <v>4972</v>
      </c>
      <c r="E1741" s="6" t="s">
        <v>4973</v>
      </c>
      <c r="F1741" s="7" t="s">
        <v>4414</v>
      </c>
      <c r="G1741" s="7" t="s">
        <v>4367</v>
      </c>
      <c r="H1741" s="5" t="s">
        <v>209</v>
      </c>
      <c r="I1741" s="6" t="s">
        <v>210</v>
      </c>
      <c r="J1741" s="7" t="s">
        <v>11</v>
      </c>
      <c r="K1741" s="36">
        <v>0.25</v>
      </c>
      <c r="L1741" s="37">
        <v>558</v>
      </c>
    </row>
    <row r="1742" spans="1:12" ht="19.95" customHeight="1" x14ac:dyDescent="0.3">
      <c r="A1742" s="2" t="s">
        <v>4411</v>
      </c>
      <c r="B1742" s="3" t="s">
        <v>4412</v>
      </c>
      <c r="C1742" s="2" t="s">
        <v>4925</v>
      </c>
      <c r="D1742" s="3" t="s">
        <v>4972</v>
      </c>
      <c r="E1742" s="2" t="s">
        <v>4973</v>
      </c>
      <c r="F1742" s="3" t="s">
        <v>4414</v>
      </c>
      <c r="G1742" s="3" t="s">
        <v>4367</v>
      </c>
      <c r="H1742" s="1" t="s">
        <v>213</v>
      </c>
      <c r="I1742" s="2" t="s">
        <v>214</v>
      </c>
      <c r="J1742" s="3" t="s">
        <v>11</v>
      </c>
      <c r="K1742" s="38">
        <v>0.25</v>
      </c>
      <c r="L1742" s="39">
        <v>738</v>
      </c>
    </row>
    <row r="1743" spans="1:12" ht="19.95" customHeight="1" x14ac:dyDescent="0.3">
      <c r="A1743" s="6" t="s">
        <v>4411</v>
      </c>
      <c r="B1743" s="7" t="s">
        <v>4412</v>
      </c>
      <c r="C1743" s="6" t="s">
        <v>4925</v>
      </c>
      <c r="D1743" s="7" t="s">
        <v>4972</v>
      </c>
      <c r="E1743" s="6" t="s">
        <v>4973</v>
      </c>
      <c r="F1743" s="7" t="s">
        <v>4414</v>
      </c>
      <c r="G1743" s="7" t="s">
        <v>4367</v>
      </c>
      <c r="H1743" s="5" t="s">
        <v>209</v>
      </c>
      <c r="I1743" s="6" t="s">
        <v>210</v>
      </c>
      <c r="J1743" s="7" t="s">
        <v>11</v>
      </c>
      <c r="K1743" s="36">
        <v>0.25</v>
      </c>
      <c r="L1743" s="37">
        <v>558</v>
      </c>
    </row>
    <row r="1744" spans="1:12" ht="19.95" customHeight="1" x14ac:dyDescent="0.3">
      <c r="A1744" s="2" t="s">
        <v>4411</v>
      </c>
      <c r="B1744" s="3" t="s">
        <v>4412</v>
      </c>
      <c r="C1744" s="2" t="s">
        <v>4925</v>
      </c>
      <c r="D1744" s="3" t="s">
        <v>4974</v>
      </c>
      <c r="E1744" s="2" t="s">
        <v>4975</v>
      </c>
      <c r="F1744" s="3" t="s">
        <v>4368</v>
      </c>
      <c r="G1744" s="3" t="s">
        <v>4367</v>
      </c>
      <c r="H1744" s="1" t="s">
        <v>203</v>
      </c>
      <c r="I1744" s="2" t="s">
        <v>204</v>
      </c>
      <c r="J1744" s="3" t="s">
        <v>11</v>
      </c>
      <c r="K1744" s="38">
        <v>1.08</v>
      </c>
      <c r="L1744" s="39">
        <v>738</v>
      </c>
    </row>
    <row r="1745" spans="1:12" ht="19.95" customHeight="1" x14ac:dyDescent="0.3">
      <c r="A1745" s="6" t="s">
        <v>4411</v>
      </c>
      <c r="B1745" s="7" t="s">
        <v>4412</v>
      </c>
      <c r="C1745" s="6" t="s">
        <v>4925</v>
      </c>
      <c r="D1745" s="7" t="s">
        <v>4974</v>
      </c>
      <c r="E1745" s="6" t="s">
        <v>4975</v>
      </c>
      <c r="F1745" s="7" t="s">
        <v>4368</v>
      </c>
      <c r="G1745" s="7" t="s">
        <v>4367</v>
      </c>
      <c r="H1745" s="5" t="s">
        <v>205</v>
      </c>
      <c r="I1745" s="6" t="s">
        <v>206</v>
      </c>
      <c r="J1745" s="7" t="s">
        <v>11</v>
      </c>
      <c r="K1745" s="36">
        <v>0.8</v>
      </c>
      <c r="L1745" s="37">
        <v>679</v>
      </c>
    </row>
    <row r="1746" spans="1:12" ht="19.95" customHeight="1" x14ac:dyDescent="0.3">
      <c r="A1746" s="2" t="s">
        <v>4411</v>
      </c>
      <c r="B1746" s="3" t="s">
        <v>4412</v>
      </c>
      <c r="C1746" s="2" t="s">
        <v>4925</v>
      </c>
      <c r="D1746" s="3" t="s">
        <v>4974</v>
      </c>
      <c r="E1746" s="2" t="s">
        <v>4975</v>
      </c>
      <c r="F1746" s="3" t="s">
        <v>4368</v>
      </c>
      <c r="G1746" s="3" t="s">
        <v>4367</v>
      </c>
      <c r="H1746" s="1" t="s">
        <v>209</v>
      </c>
      <c r="I1746" s="2" t="s">
        <v>210</v>
      </c>
      <c r="J1746" s="3" t="s">
        <v>11</v>
      </c>
      <c r="K1746" s="38">
        <v>1.08</v>
      </c>
      <c r="L1746" s="39">
        <v>558</v>
      </c>
    </row>
    <row r="1747" spans="1:12" ht="19.95" customHeight="1" x14ac:dyDescent="0.3">
      <c r="A1747" s="6" t="s">
        <v>4411</v>
      </c>
      <c r="B1747" s="7" t="s">
        <v>4412</v>
      </c>
      <c r="C1747" s="6" t="s">
        <v>4925</v>
      </c>
      <c r="D1747" s="7" t="s">
        <v>4974</v>
      </c>
      <c r="E1747" s="6" t="s">
        <v>4975</v>
      </c>
      <c r="F1747" s="7" t="s">
        <v>4368</v>
      </c>
      <c r="G1747" s="7" t="s">
        <v>4367</v>
      </c>
      <c r="H1747" s="5" t="s">
        <v>203</v>
      </c>
      <c r="I1747" s="6" t="s">
        <v>204</v>
      </c>
      <c r="J1747" s="7" t="s">
        <v>11</v>
      </c>
      <c r="K1747" s="36">
        <v>3.8</v>
      </c>
      <c r="L1747" s="37">
        <v>738</v>
      </c>
    </row>
    <row r="1748" spans="1:12" ht="19.95" customHeight="1" x14ac:dyDescent="0.3">
      <c r="A1748" s="2" t="s">
        <v>4411</v>
      </c>
      <c r="B1748" s="3" t="s">
        <v>4412</v>
      </c>
      <c r="C1748" s="2" t="s">
        <v>4925</v>
      </c>
      <c r="D1748" s="3" t="s">
        <v>4974</v>
      </c>
      <c r="E1748" s="2" t="s">
        <v>4975</v>
      </c>
      <c r="F1748" s="3" t="s">
        <v>4368</v>
      </c>
      <c r="G1748" s="3" t="s">
        <v>4367</v>
      </c>
      <c r="H1748" s="1" t="s">
        <v>209</v>
      </c>
      <c r="I1748" s="2" t="s">
        <v>210</v>
      </c>
      <c r="J1748" s="3" t="s">
        <v>11</v>
      </c>
      <c r="K1748" s="38">
        <v>4.5999999999999996</v>
      </c>
      <c r="L1748" s="39">
        <v>558</v>
      </c>
    </row>
    <row r="1749" spans="1:12" ht="19.95" customHeight="1" x14ac:dyDescent="0.3">
      <c r="A1749" s="6" t="s">
        <v>4411</v>
      </c>
      <c r="B1749" s="7" t="s">
        <v>4412</v>
      </c>
      <c r="C1749" s="6" t="s">
        <v>4925</v>
      </c>
      <c r="D1749" s="7" t="s">
        <v>4974</v>
      </c>
      <c r="E1749" s="6" t="s">
        <v>4975</v>
      </c>
      <c r="F1749" s="7" t="s">
        <v>4368</v>
      </c>
      <c r="G1749" s="7" t="s">
        <v>4367</v>
      </c>
      <c r="H1749" s="5" t="s">
        <v>235</v>
      </c>
      <c r="I1749" s="6" t="s">
        <v>236</v>
      </c>
      <c r="J1749" s="7" t="s">
        <v>11</v>
      </c>
      <c r="K1749" s="36">
        <v>0.6</v>
      </c>
      <c r="L1749" s="37">
        <v>738</v>
      </c>
    </row>
    <row r="1750" spans="1:12" ht="19.95" customHeight="1" x14ac:dyDescent="0.3">
      <c r="A1750" s="2" t="s">
        <v>4411</v>
      </c>
      <c r="B1750" s="3" t="s">
        <v>4412</v>
      </c>
      <c r="C1750" s="2" t="s">
        <v>4925</v>
      </c>
      <c r="D1750" s="3" t="s">
        <v>4974</v>
      </c>
      <c r="E1750" s="2" t="s">
        <v>4975</v>
      </c>
      <c r="F1750" s="3" t="s">
        <v>4368</v>
      </c>
      <c r="G1750" s="3" t="s">
        <v>4367</v>
      </c>
      <c r="H1750" s="1" t="s">
        <v>203</v>
      </c>
      <c r="I1750" s="2" t="s">
        <v>204</v>
      </c>
      <c r="J1750" s="3" t="s">
        <v>11</v>
      </c>
      <c r="K1750" s="38">
        <v>3.8</v>
      </c>
      <c r="L1750" s="39">
        <v>738</v>
      </c>
    </row>
    <row r="1751" spans="1:12" ht="19.95" customHeight="1" x14ac:dyDescent="0.3">
      <c r="A1751" s="6" t="s">
        <v>4411</v>
      </c>
      <c r="B1751" s="7" t="s">
        <v>4412</v>
      </c>
      <c r="C1751" s="6" t="s">
        <v>4925</v>
      </c>
      <c r="D1751" s="7" t="s">
        <v>4974</v>
      </c>
      <c r="E1751" s="6" t="s">
        <v>4975</v>
      </c>
      <c r="F1751" s="7" t="s">
        <v>4368</v>
      </c>
      <c r="G1751" s="7" t="s">
        <v>4367</v>
      </c>
      <c r="H1751" s="5" t="s">
        <v>209</v>
      </c>
      <c r="I1751" s="6" t="s">
        <v>210</v>
      </c>
      <c r="J1751" s="7" t="s">
        <v>11</v>
      </c>
      <c r="K1751" s="36">
        <v>4.5999999999999996</v>
      </c>
      <c r="L1751" s="37">
        <v>558</v>
      </c>
    </row>
    <row r="1752" spans="1:12" ht="19.95" customHeight="1" x14ac:dyDescent="0.3">
      <c r="A1752" s="2" t="s">
        <v>4411</v>
      </c>
      <c r="B1752" s="3" t="s">
        <v>4412</v>
      </c>
      <c r="C1752" s="2" t="s">
        <v>4925</v>
      </c>
      <c r="D1752" s="3" t="s">
        <v>4974</v>
      </c>
      <c r="E1752" s="2" t="s">
        <v>4975</v>
      </c>
      <c r="F1752" s="3" t="s">
        <v>4368</v>
      </c>
      <c r="G1752" s="3" t="s">
        <v>4367</v>
      </c>
      <c r="H1752" s="1" t="s">
        <v>235</v>
      </c>
      <c r="I1752" s="2" t="s">
        <v>236</v>
      </c>
      <c r="J1752" s="3" t="s">
        <v>11</v>
      </c>
      <c r="K1752" s="38">
        <v>0.6</v>
      </c>
      <c r="L1752" s="39">
        <v>738</v>
      </c>
    </row>
    <row r="1753" spans="1:12" ht="19.95" customHeight="1" x14ac:dyDescent="0.3">
      <c r="A1753" s="6" t="s">
        <v>4417</v>
      </c>
      <c r="B1753" s="7" t="s">
        <v>4418</v>
      </c>
      <c r="C1753" s="6" t="s">
        <v>4976</v>
      </c>
      <c r="D1753" s="7" t="s">
        <v>4977</v>
      </c>
      <c r="E1753" s="6" t="s">
        <v>4978</v>
      </c>
      <c r="F1753" s="7" t="s">
        <v>4979</v>
      </c>
      <c r="G1753" s="7" t="s">
        <v>4367</v>
      </c>
      <c r="H1753" s="5" t="s">
        <v>205</v>
      </c>
      <c r="I1753" s="6" t="s">
        <v>206</v>
      </c>
      <c r="J1753" s="7" t="s">
        <v>11</v>
      </c>
      <c r="K1753" s="36">
        <v>0.25</v>
      </c>
      <c r="L1753" s="37">
        <v>679</v>
      </c>
    </row>
    <row r="1754" spans="1:12" ht="19.95" customHeight="1" x14ac:dyDescent="0.3">
      <c r="A1754" s="2" t="s">
        <v>4417</v>
      </c>
      <c r="B1754" s="3" t="s">
        <v>4418</v>
      </c>
      <c r="C1754" s="2" t="s">
        <v>4976</v>
      </c>
      <c r="D1754" s="3" t="s">
        <v>4977</v>
      </c>
      <c r="E1754" s="2" t="s">
        <v>4978</v>
      </c>
      <c r="F1754" s="3" t="s">
        <v>4979</v>
      </c>
      <c r="G1754" s="3" t="s">
        <v>4367</v>
      </c>
      <c r="H1754" s="1" t="s">
        <v>209</v>
      </c>
      <c r="I1754" s="2" t="s">
        <v>210</v>
      </c>
      <c r="J1754" s="3" t="s">
        <v>11</v>
      </c>
      <c r="K1754" s="38">
        <v>0.25</v>
      </c>
      <c r="L1754" s="39">
        <v>558</v>
      </c>
    </row>
    <row r="1755" spans="1:12" ht="19.95" customHeight="1" x14ac:dyDescent="0.3">
      <c r="A1755" s="6" t="s">
        <v>4417</v>
      </c>
      <c r="B1755" s="7" t="s">
        <v>4418</v>
      </c>
      <c r="C1755" s="6" t="s">
        <v>4976</v>
      </c>
      <c r="D1755" s="7" t="s">
        <v>4926</v>
      </c>
      <c r="E1755" s="6" t="s">
        <v>4980</v>
      </c>
      <c r="F1755" s="7" t="s">
        <v>4368</v>
      </c>
      <c r="G1755" s="7" t="s">
        <v>4367</v>
      </c>
      <c r="H1755" s="5" t="s">
        <v>203</v>
      </c>
      <c r="I1755" s="6" t="s">
        <v>204</v>
      </c>
      <c r="J1755" s="7" t="s">
        <v>11</v>
      </c>
      <c r="K1755" s="36">
        <v>0.53</v>
      </c>
      <c r="L1755" s="37">
        <v>738</v>
      </c>
    </row>
    <row r="1756" spans="1:12" ht="19.95" customHeight="1" x14ac:dyDescent="0.3">
      <c r="A1756" s="2" t="s">
        <v>4417</v>
      </c>
      <c r="B1756" s="3" t="s">
        <v>4418</v>
      </c>
      <c r="C1756" s="2" t="s">
        <v>4976</v>
      </c>
      <c r="D1756" s="3" t="s">
        <v>4926</v>
      </c>
      <c r="E1756" s="2" t="s">
        <v>4980</v>
      </c>
      <c r="F1756" s="3" t="s">
        <v>4368</v>
      </c>
      <c r="G1756" s="3" t="s">
        <v>4367</v>
      </c>
      <c r="H1756" s="1" t="s">
        <v>203</v>
      </c>
      <c r="I1756" s="2" t="s">
        <v>204</v>
      </c>
      <c r="J1756" s="3" t="s">
        <v>11</v>
      </c>
      <c r="K1756" s="38">
        <v>0.53</v>
      </c>
      <c r="L1756" s="39">
        <v>738</v>
      </c>
    </row>
    <row r="1757" spans="1:12" ht="19.95" customHeight="1" x14ac:dyDescent="0.3">
      <c r="A1757" s="6" t="s">
        <v>4417</v>
      </c>
      <c r="B1757" s="7" t="s">
        <v>4418</v>
      </c>
      <c r="C1757" s="6" t="s">
        <v>4976</v>
      </c>
      <c r="D1757" s="7" t="s">
        <v>4926</v>
      </c>
      <c r="E1757" s="6" t="s">
        <v>4980</v>
      </c>
      <c r="F1757" s="7" t="s">
        <v>4368</v>
      </c>
      <c r="G1757" s="7" t="s">
        <v>4367</v>
      </c>
      <c r="H1757" s="5" t="s">
        <v>203</v>
      </c>
      <c r="I1757" s="6" t="s">
        <v>204</v>
      </c>
      <c r="J1757" s="7" t="s">
        <v>11</v>
      </c>
      <c r="K1757" s="36">
        <v>0.53</v>
      </c>
      <c r="L1757" s="37">
        <v>738</v>
      </c>
    </row>
    <row r="1758" spans="1:12" ht="19.95" customHeight="1" x14ac:dyDescent="0.3">
      <c r="A1758" s="2" t="s">
        <v>4417</v>
      </c>
      <c r="B1758" s="3" t="s">
        <v>4418</v>
      </c>
      <c r="C1758" s="2" t="s">
        <v>4976</v>
      </c>
      <c r="D1758" s="3" t="s">
        <v>4926</v>
      </c>
      <c r="E1758" s="2" t="s">
        <v>4980</v>
      </c>
      <c r="F1758" s="3" t="s">
        <v>4368</v>
      </c>
      <c r="G1758" s="3" t="s">
        <v>4367</v>
      </c>
      <c r="H1758" s="1" t="s">
        <v>203</v>
      </c>
      <c r="I1758" s="2" t="s">
        <v>204</v>
      </c>
      <c r="J1758" s="3" t="s">
        <v>11</v>
      </c>
      <c r="K1758" s="38">
        <v>0.53</v>
      </c>
      <c r="L1758" s="39">
        <v>738</v>
      </c>
    </row>
    <row r="1759" spans="1:12" ht="19.95" customHeight="1" x14ac:dyDescent="0.3">
      <c r="A1759" s="6" t="s">
        <v>4417</v>
      </c>
      <c r="B1759" s="7" t="s">
        <v>4418</v>
      </c>
      <c r="C1759" s="6" t="s">
        <v>4976</v>
      </c>
      <c r="D1759" s="7" t="s">
        <v>4926</v>
      </c>
      <c r="E1759" s="6" t="s">
        <v>4980</v>
      </c>
      <c r="F1759" s="7" t="s">
        <v>4368</v>
      </c>
      <c r="G1759" s="7" t="s">
        <v>4367</v>
      </c>
      <c r="H1759" s="5" t="s">
        <v>203</v>
      </c>
      <c r="I1759" s="6" t="s">
        <v>204</v>
      </c>
      <c r="J1759" s="7" t="s">
        <v>11</v>
      </c>
      <c r="K1759" s="36">
        <v>0.75</v>
      </c>
      <c r="L1759" s="37">
        <v>738</v>
      </c>
    </row>
    <row r="1760" spans="1:12" ht="19.95" customHeight="1" x14ac:dyDescent="0.3">
      <c r="A1760" s="2" t="s">
        <v>4417</v>
      </c>
      <c r="B1760" s="3" t="s">
        <v>4418</v>
      </c>
      <c r="C1760" s="2" t="s">
        <v>4976</v>
      </c>
      <c r="D1760" s="3" t="s">
        <v>4926</v>
      </c>
      <c r="E1760" s="2" t="s">
        <v>4981</v>
      </c>
      <c r="F1760" s="3" t="s">
        <v>4368</v>
      </c>
      <c r="G1760" s="3" t="s">
        <v>4367</v>
      </c>
      <c r="H1760" s="1" t="s">
        <v>257</v>
      </c>
      <c r="I1760" s="2" t="s">
        <v>258</v>
      </c>
      <c r="J1760" s="3" t="s">
        <v>11</v>
      </c>
      <c r="K1760" s="38">
        <v>1.28</v>
      </c>
      <c r="L1760" s="39">
        <v>709</v>
      </c>
    </row>
    <row r="1761" spans="1:12" ht="19.95" customHeight="1" x14ac:dyDescent="0.3">
      <c r="A1761" s="6" t="s">
        <v>4417</v>
      </c>
      <c r="B1761" s="7" t="s">
        <v>4418</v>
      </c>
      <c r="C1761" s="6" t="s">
        <v>4976</v>
      </c>
      <c r="D1761" s="7" t="s">
        <v>4926</v>
      </c>
      <c r="E1761" s="6" t="s">
        <v>4981</v>
      </c>
      <c r="F1761" s="7" t="s">
        <v>4368</v>
      </c>
      <c r="G1761" s="7" t="s">
        <v>4367</v>
      </c>
      <c r="H1761" s="5" t="s">
        <v>209</v>
      </c>
      <c r="I1761" s="6" t="s">
        <v>210</v>
      </c>
      <c r="J1761" s="7" t="s">
        <v>11</v>
      </c>
      <c r="K1761" s="36">
        <v>1.43</v>
      </c>
      <c r="L1761" s="37">
        <v>558</v>
      </c>
    </row>
    <row r="1762" spans="1:12" ht="19.95" customHeight="1" x14ac:dyDescent="0.3">
      <c r="A1762" s="2" t="s">
        <v>4417</v>
      </c>
      <c r="B1762" s="3" t="s">
        <v>4418</v>
      </c>
      <c r="C1762" s="2" t="s">
        <v>4976</v>
      </c>
      <c r="D1762" s="3" t="s">
        <v>4982</v>
      </c>
      <c r="E1762" s="2" t="s">
        <v>4983</v>
      </c>
      <c r="F1762" s="3" t="s">
        <v>4368</v>
      </c>
      <c r="G1762" s="3" t="s">
        <v>4367</v>
      </c>
      <c r="H1762" s="1" t="s">
        <v>199</v>
      </c>
      <c r="I1762" s="2" t="s">
        <v>200</v>
      </c>
      <c r="J1762" s="3" t="s">
        <v>11</v>
      </c>
      <c r="K1762" s="38">
        <v>0.86</v>
      </c>
      <c r="L1762" s="39">
        <v>738</v>
      </c>
    </row>
    <row r="1763" spans="1:12" ht="19.95" customHeight="1" x14ac:dyDescent="0.3">
      <c r="A1763" s="6" t="s">
        <v>4417</v>
      </c>
      <c r="B1763" s="7" t="s">
        <v>4418</v>
      </c>
      <c r="C1763" s="6" t="s">
        <v>4976</v>
      </c>
      <c r="D1763" s="7" t="s">
        <v>4982</v>
      </c>
      <c r="E1763" s="6" t="s">
        <v>4983</v>
      </c>
      <c r="F1763" s="7" t="s">
        <v>4368</v>
      </c>
      <c r="G1763" s="7" t="s">
        <v>4367</v>
      </c>
      <c r="H1763" s="5" t="s">
        <v>209</v>
      </c>
      <c r="I1763" s="6" t="s">
        <v>210</v>
      </c>
      <c r="J1763" s="7" t="s">
        <v>11</v>
      </c>
      <c r="K1763" s="36">
        <v>1.1000000000000001</v>
      </c>
      <c r="L1763" s="37">
        <v>558</v>
      </c>
    </row>
    <row r="1764" spans="1:12" ht="19.95" customHeight="1" x14ac:dyDescent="0.3">
      <c r="A1764" s="2" t="s">
        <v>4417</v>
      </c>
      <c r="B1764" s="3" t="s">
        <v>4418</v>
      </c>
      <c r="C1764" s="2" t="s">
        <v>4976</v>
      </c>
      <c r="D1764" s="3" t="s">
        <v>4982</v>
      </c>
      <c r="E1764" s="2" t="s">
        <v>4983</v>
      </c>
      <c r="F1764" s="3" t="s">
        <v>4368</v>
      </c>
      <c r="G1764" s="3" t="s">
        <v>4367</v>
      </c>
      <c r="H1764" s="1" t="s">
        <v>199</v>
      </c>
      <c r="I1764" s="2" t="s">
        <v>200</v>
      </c>
      <c r="J1764" s="3" t="s">
        <v>11</v>
      </c>
      <c r="K1764" s="38">
        <v>0.86</v>
      </c>
      <c r="L1764" s="39">
        <v>738</v>
      </c>
    </row>
    <row r="1765" spans="1:12" ht="19.95" customHeight="1" x14ac:dyDescent="0.3">
      <c r="A1765" s="6" t="s">
        <v>4417</v>
      </c>
      <c r="B1765" s="7" t="s">
        <v>4418</v>
      </c>
      <c r="C1765" s="6" t="s">
        <v>4976</v>
      </c>
      <c r="D1765" s="7" t="s">
        <v>4982</v>
      </c>
      <c r="E1765" s="6" t="s">
        <v>4983</v>
      </c>
      <c r="F1765" s="7" t="s">
        <v>4368</v>
      </c>
      <c r="G1765" s="7" t="s">
        <v>4367</v>
      </c>
      <c r="H1765" s="5" t="s">
        <v>209</v>
      </c>
      <c r="I1765" s="6" t="s">
        <v>210</v>
      </c>
      <c r="J1765" s="7" t="s">
        <v>11</v>
      </c>
      <c r="K1765" s="36">
        <v>1.1000000000000001</v>
      </c>
      <c r="L1765" s="37">
        <v>558</v>
      </c>
    </row>
    <row r="1766" spans="1:12" ht="19.95" customHeight="1" x14ac:dyDescent="0.3">
      <c r="A1766" s="2" t="s">
        <v>4417</v>
      </c>
      <c r="B1766" s="3" t="s">
        <v>4418</v>
      </c>
      <c r="C1766" s="2" t="s">
        <v>4976</v>
      </c>
      <c r="D1766" s="3" t="s">
        <v>4982</v>
      </c>
      <c r="E1766" s="2" t="s">
        <v>4984</v>
      </c>
      <c r="F1766" s="3" t="s">
        <v>4368</v>
      </c>
      <c r="G1766" s="3" t="s">
        <v>4367</v>
      </c>
      <c r="H1766" s="1" t="s">
        <v>205</v>
      </c>
      <c r="I1766" s="2" t="s">
        <v>206</v>
      </c>
      <c r="J1766" s="3" t="s">
        <v>11</v>
      </c>
      <c r="K1766" s="38">
        <v>0.33</v>
      </c>
      <c r="L1766" s="39">
        <v>679</v>
      </c>
    </row>
    <row r="1767" spans="1:12" ht="19.95" customHeight="1" x14ac:dyDescent="0.3">
      <c r="A1767" s="6" t="s">
        <v>4417</v>
      </c>
      <c r="B1767" s="7" t="s">
        <v>4418</v>
      </c>
      <c r="C1767" s="6" t="s">
        <v>4976</v>
      </c>
      <c r="D1767" s="7" t="s">
        <v>4982</v>
      </c>
      <c r="E1767" s="6" t="s">
        <v>4984</v>
      </c>
      <c r="F1767" s="7" t="s">
        <v>4368</v>
      </c>
      <c r="G1767" s="7" t="s">
        <v>4367</v>
      </c>
      <c r="H1767" s="5" t="s">
        <v>209</v>
      </c>
      <c r="I1767" s="6" t="s">
        <v>210</v>
      </c>
      <c r="J1767" s="7" t="s">
        <v>11</v>
      </c>
      <c r="K1767" s="36">
        <v>0.25</v>
      </c>
      <c r="L1767" s="37">
        <v>558</v>
      </c>
    </row>
    <row r="1768" spans="1:12" ht="19.95" customHeight="1" x14ac:dyDescent="0.3">
      <c r="A1768" s="2" t="s">
        <v>4417</v>
      </c>
      <c r="B1768" s="3" t="s">
        <v>4418</v>
      </c>
      <c r="C1768" s="2" t="s">
        <v>4976</v>
      </c>
      <c r="D1768" s="3" t="s">
        <v>4982</v>
      </c>
      <c r="E1768" s="2" t="s">
        <v>4984</v>
      </c>
      <c r="F1768" s="3" t="s">
        <v>4368</v>
      </c>
      <c r="G1768" s="3" t="s">
        <v>4367</v>
      </c>
      <c r="H1768" s="1" t="s">
        <v>205</v>
      </c>
      <c r="I1768" s="2" t="s">
        <v>206</v>
      </c>
      <c r="J1768" s="3" t="s">
        <v>11</v>
      </c>
      <c r="K1768" s="38">
        <v>0.33</v>
      </c>
      <c r="L1768" s="39">
        <v>679</v>
      </c>
    </row>
    <row r="1769" spans="1:12" ht="19.95" customHeight="1" x14ac:dyDescent="0.3">
      <c r="A1769" s="6" t="s">
        <v>4417</v>
      </c>
      <c r="B1769" s="7" t="s">
        <v>4418</v>
      </c>
      <c r="C1769" s="6" t="s">
        <v>4976</v>
      </c>
      <c r="D1769" s="7" t="s">
        <v>4982</v>
      </c>
      <c r="E1769" s="6" t="s">
        <v>4984</v>
      </c>
      <c r="F1769" s="7" t="s">
        <v>4368</v>
      </c>
      <c r="G1769" s="7" t="s">
        <v>4367</v>
      </c>
      <c r="H1769" s="5" t="s">
        <v>209</v>
      </c>
      <c r="I1769" s="6" t="s">
        <v>210</v>
      </c>
      <c r="J1769" s="7" t="s">
        <v>11</v>
      </c>
      <c r="K1769" s="36">
        <v>0.25</v>
      </c>
      <c r="L1769" s="37">
        <v>558</v>
      </c>
    </row>
    <row r="1770" spans="1:12" ht="19.95" customHeight="1" x14ac:dyDescent="0.3">
      <c r="A1770" s="2" t="s">
        <v>4417</v>
      </c>
      <c r="B1770" s="3" t="s">
        <v>4418</v>
      </c>
      <c r="C1770" s="2" t="s">
        <v>4976</v>
      </c>
      <c r="D1770" s="3" t="s">
        <v>4982</v>
      </c>
      <c r="E1770" s="2" t="s">
        <v>4984</v>
      </c>
      <c r="F1770" s="3" t="s">
        <v>4368</v>
      </c>
      <c r="G1770" s="3" t="s">
        <v>4367</v>
      </c>
      <c r="H1770" s="1" t="s">
        <v>213</v>
      </c>
      <c r="I1770" s="2" t="s">
        <v>214</v>
      </c>
      <c r="J1770" s="3" t="s">
        <v>11</v>
      </c>
      <c r="K1770" s="38">
        <v>0.4</v>
      </c>
      <c r="L1770" s="39">
        <v>738</v>
      </c>
    </row>
    <row r="1771" spans="1:12" ht="19.95" customHeight="1" x14ac:dyDescent="0.3">
      <c r="A1771" s="6" t="s">
        <v>4417</v>
      </c>
      <c r="B1771" s="7" t="s">
        <v>4418</v>
      </c>
      <c r="C1771" s="6" t="s">
        <v>4976</v>
      </c>
      <c r="D1771" s="7" t="s">
        <v>4982</v>
      </c>
      <c r="E1771" s="6" t="s">
        <v>4984</v>
      </c>
      <c r="F1771" s="7" t="s">
        <v>4368</v>
      </c>
      <c r="G1771" s="7" t="s">
        <v>4367</v>
      </c>
      <c r="H1771" s="5" t="s">
        <v>201</v>
      </c>
      <c r="I1771" s="6" t="s">
        <v>202</v>
      </c>
      <c r="J1771" s="7" t="s">
        <v>11</v>
      </c>
      <c r="K1771" s="36">
        <v>0.53</v>
      </c>
      <c r="L1771" s="37">
        <v>679</v>
      </c>
    </row>
    <row r="1772" spans="1:12" ht="19.95" customHeight="1" x14ac:dyDescent="0.3">
      <c r="A1772" s="2" t="s">
        <v>4417</v>
      </c>
      <c r="B1772" s="3" t="s">
        <v>4418</v>
      </c>
      <c r="C1772" s="2" t="s">
        <v>4976</v>
      </c>
      <c r="D1772" s="3" t="s">
        <v>4982</v>
      </c>
      <c r="E1772" s="2" t="s">
        <v>4984</v>
      </c>
      <c r="F1772" s="3" t="s">
        <v>4368</v>
      </c>
      <c r="G1772" s="3" t="s">
        <v>4367</v>
      </c>
      <c r="H1772" s="1" t="s">
        <v>209</v>
      </c>
      <c r="I1772" s="2" t="s">
        <v>210</v>
      </c>
      <c r="J1772" s="3" t="s">
        <v>11</v>
      </c>
      <c r="K1772" s="38">
        <v>1.23</v>
      </c>
      <c r="L1772" s="39">
        <v>558</v>
      </c>
    </row>
    <row r="1773" spans="1:12" ht="19.95" customHeight="1" x14ac:dyDescent="0.3">
      <c r="A1773" s="6" t="s">
        <v>4417</v>
      </c>
      <c r="B1773" s="7" t="s">
        <v>4418</v>
      </c>
      <c r="C1773" s="6" t="s">
        <v>4976</v>
      </c>
      <c r="D1773" s="7" t="s">
        <v>4982</v>
      </c>
      <c r="E1773" s="6" t="s">
        <v>4984</v>
      </c>
      <c r="F1773" s="7" t="s">
        <v>4368</v>
      </c>
      <c r="G1773" s="7" t="s">
        <v>4367</v>
      </c>
      <c r="H1773" s="5" t="s">
        <v>194</v>
      </c>
      <c r="I1773" s="6" t="s">
        <v>196</v>
      </c>
      <c r="J1773" s="7" t="s">
        <v>11</v>
      </c>
      <c r="K1773" s="36">
        <v>0.06</v>
      </c>
      <c r="L1773" s="37">
        <v>617</v>
      </c>
    </row>
    <row r="1774" spans="1:12" ht="19.95" customHeight="1" x14ac:dyDescent="0.3">
      <c r="A1774" s="2" t="s">
        <v>4417</v>
      </c>
      <c r="B1774" s="3" t="s">
        <v>4418</v>
      </c>
      <c r="C1774" s="2" t="s">
        <v>4976</v>
      </c>
      <c r="D1774" s="3" t="s">
        <v>4985</v>
      </c>
      <c r="E1774" s="2" t="s">
        <v>4986</v>
      </c>
      <c r="F1774" s="3" t="s">
        <v>4368</v>
      </c>
      <c r="G1774" s="3" t="s">
        <v>4367</v>
      </c>
      <c r="H1774" s="1" t="s">
        <v>205</v>
      </c>
      <c r="I1774" s="2" t="s">
        <v>206</v>
      </c>
      <c r="J1774" s="3" t="s">
        <v>11</v>
      </c>
      <c r="K1774" s="38">
        <v>0.7</v>
      </c>
      <c r="L1774" s="39">
        <v>679</v>
      </c>
    </row>
    <row r="1775" spans="1:12" ht="19.95" customHeight="1" x14ac:dyDescent="0.3">
      <c r="A1775" s="6" t="s">
        <v>4417</v>
      </c>
      <c r="B1775" s="7" t="s">
        <v>4418</v>
      </c>
      <c r="C1775" s="6" t="s">
        <v>4976</v>
      </c>
      <c r="D1775" s="7" t="s">
        <v>4985</v>
      </c>
      <c r="E1775" s="6" t="s">
        <v>4986</v>
      </c>
      <c r="F1775" s="7" t="s">
        <v>4368</v>
      </c>
      <c r="G1775" s="7" t="s">
        <v>4367</v>
      </c>
      <c r="H1775" s="5" t="s">
        <v>209</v>
      </c>
      <c r="I1775" s="6" t="s">
        <v>210</v>
      </c>
      <c r="J1775" s="7" t="s">
        <v>11</v>
      </c>
      <c r="K1775" s="36">
        <v>1.45</v>
      </c>
      <c r="L1775" s="37">
        <v>558</v>
      </c>
    </row>
    <row r="1776" spans="1:12" ht="19.95" customHeight="1" x14ac:dyDescent="0.3">
      <c r="A1776" s="2" t="s">
        <v>4417</v>
      </c>
      <c r="B1776" s="3" t="s">
        <v>4418</v>
      </c>
      <c r="C1776" s="2" t="s">
        <v>4976</v>
      </c>
      <c r="D1776" s="3" t="s">
        <v>4985</v>
      </c>
      <c r="E1776" s="2" t="s">
        <v>4986</v>
      </c>
      <c r="F1776" s="3" t="s">
        <v>4368</v>
      </c>
      <c r="G1776" s="3" t="s">
        <v>4367</v>
      </c>
      <c r="H1776" s="1" t="s">
        <v>194</v>
      </c>
      <c r="I1776" s="2" t="s">
        <v>196</v>
      </c>
      <c r="J1776" s="3" t="s">
        <v>11</v>
      </c>
      <c r="K1776" s="38">
        <v>0.7</v>
      </c>
      <c r="L1776" s="39">
        <v>617</v>
      </c>
    </row>
    <row r="1777" spans="1:12" ht="19.95" customHeight="1" x14ac:dyDescent="0.3">
      <c r="A1777" s="6" t="s">
        <v>4417</v>
      </c>
      <c r="B1777" s="7" t="s">
        <v>4418</v>
      </c>
      <c r="C1777" s="6" t="s">
        <v>4976</v>
      </c>
      <c r="D1777" s="7" t="s">
        <v>4985</v>
      </c>
      <c r="E1777" s="6" t="s">
        <v>4986</v>
      </c>
      <c r="F1777" s="7" t="s">
        <v>4368</v>
      </c>
      <c r="G1777" s="7" t="s">
        <v>4367</v>
      </c>
      <c r="H1777" s="5" t="s">
        <v>205</v>
      </c>
      <c r="I1777" s="6" t="s">
        <v>206</v>
      </c>
      <c r="J1777" s="7" t="s">
        <v>11</v>
      </c>
      <c r="K1777" s="36">
        <v>0.7</v>
      </c>
      <c r="L1777" s="37">
        <v>679</v>
      </c>
    </row>
    <row r="1778" spans="1:12" ht="19.95" customHeight="1" x14ac:dyDescent="0.3">
      <c r="A1778" s="2" t="s">
        <v>4417</v>
      </c>
      <c r="B1778" s="3" t="s">
        <v>4418</v>
      </c>
      <c r="C1778" s="2" t="s">
        <v>4976</v>
      </c>
      <c r="D1778" s="3" t="s">
        <v>4985</v>
      </c>
      <c r="E1778" s="2" t="s">
        <v>4986</v>
      </c>
      <c r="F1778" s="3" t="s">
        <v>4368</v>
      </c>
      <c r="G1778" s="3" t="s">
        <v>4367</v>
      </c>
      <c r="H1778" s="1" t="s">
        <v>209</v>
      </c>
      <c r="I1778" s="2" t="s">
        <v>210</v>
      </c>
      <c r="J1778" s="3" t="s">
        <v>11</v>
      </c>
      <c r="K1778" s="38">
        <v>1.45</v>
      </c>
      <c r="L1778" s="39">
        <v>558</v>
      </c>
    </row>
    <row r="1779" spans="1:12" ht="19.95" customHeight="1" x14ac:dyDescent="0.3">
      <c r="A1779" s="6" t="s">
        <v>4417</v>
      </c>
      <c r="B1779" s="7" t="s">
        <v>4418</v>
      </c>
      <c r="C1779" s="6" t="s">
        <v>4976</v>
      </c>
      <c r="D1779" s="7" t="s">
        <v>4985</v>
      </c>
      <c r="E1779" s="6" t="s">
        <v>4986</v>
      </c>
      <c r="F1779" s="7" t="s">
        <v>4368</v>
      </c>
      <c r="G1779" s="7" t="s">
        <v>4367</v>
      </c>
      <c r="H1779" s="5" t="s">
        <v>194</v>
      </c>
      <c r="I1779" s="6" t="s">
        <v>196</v>
      </c>
      <c r="J1779" s="7" t="s">
        <v>11</v>
      </c>
      <c r="K1779" s="36">
        <v>0.7</v>
      </c>
      <c r="L1779" s="37">
        <v>617</v>
      </c>
    </row>
    <row r="1780" spans="1:12" ht="19.95" customHeight="1" x14ac:dyDescent="0.3">
      <c r="A1780" s="2" t="s">
        <v>4417</v>
      </c>
      <c r="B1780" s="3" t="s">
        <v>4418</v>
      </c>
      <c r="C1780" s="2" t="s">
        <v>4976</v>
      </c>
      <c r="D1780" s="3" t="s">
        <v>4653</v>
      </c>
      <c r="E1780" s="2" t="s">
        <v>4987</v>
      </c>
      <c r="F1780" s="3" t="s">
        <v>4368</v>
      </c>
      <c r="G1780" s="3" t="s">
        <v>4367</v>
      </c>
      <c r="H1780" s="1" t="s">
        <v>201</v>
      </c>
      <c r="I1780" s="2" t="s">
        <v>202</v>
      </c>
      <c r="J1780" s="3" t="s">
        <v>11</v>
      </c>
      <c r="K1780" s="38">
        <v>0.03</v>
      </c>
      <c r="L1780" s="39">
        <v>679</v>
      </c>
    </row>
    <row r="1781" spans="1:12" ht="19.95" customHeight="1" x14ac:dyDescent="0.3">
      <c r="A1781" s="6" t="s">
        <v>4417</v>
      </c>
      <c r="B1781" s="7" t="s">
        <v>4418</v>
      </c>
      <c r="C1781" s="6" t="s">
        <v>4976</v>
      </c>
      <c r="D1781" s="7" t="s">
        <v>4653</v>
      </c>
      <c r="E1781" s="6" t="s">
        <v>4987</v>
      </c>
      <c r="F1781" s="7" t="s">
        <v>4368</v>
      </c>
      <c r="G1781" s="7" t="s">
        <v>4367</v>
      </c>
      <c r="H1781" s="5" t="s">
        <v>221</v>
      </c>
      <c r="I1781" s="6" t="s">
        <v>222</v>
      </c>
      <c r="J1781" s="7" t="s">
        <v>11</v>
      </c>
      <c r="K1781" s="36">
        <v>0.03</v>
      </c>
      <c r="L1781" s="37">
        <v>738</v>
      </c>
    </row>
    <row r="1782" spans="1:12" ht="19.95" customHeight="1" x14ac:dyDescent="0.3">
      <c r="A1782" s="2" t="s">
        <v>4417</v>
      </c>
      <c r="B1782" s="3" t="s">
        <v>4418</v>
      </c>
      <c r="C1782" s="2" t="s">
        <v>4976</v>
      </c>
      <c r="D1782" s="3" t="s">
        <v>4653</v>
      </c>
      <c r="E1782" s="2" t="s">
        <v>4987</v>
      </c>
      <c r="F1782" s="3" t="s">
        <v>4368</v>
      </c>
      <c r="G1782" s="3" t="s">
        <v>4367</v>
      </c>
      <c r="H1782" s="1" t="s">
        <v>209</v>
      </c>
      <c r="I1782" s="2" t="s">
        <v>210</v>
      </c>
      <c r="J1782" s="3" t="s">
        <v>11</v>
      </c>
      <c r="K1782" s="38">
        <v>0.03</v>
      </c>
      <c r="L1782" s="39">
        <v>558</v>
      </c>
    </row>
    <row r="1783" spans="1:12" ht="19.95" customHeight="1" x14ac:dyDescent="0.3">
      <c r="A1783" s="6" t="s">
        <v>4417</v>
      </c>
      <c r="B1783" s="7" t="s">
        <v>4418</v>
      </c>
      <c r="C1783" s="6" t="s">
        <v>4976</v>
      </c>
      <c r="D1783" s="7" t="s">
        <v>4988</v>
      </c>
      <c r="E1783" s="6" t="s">
        <v>4989</v>
      </c>
      <c r="F1783" s="7" t="s">
        <v>4990</v>
      </c>
      <c r="G1783" s="7" t="s">
        <v>4367</v>
      </c>
      <c r="H1783" s="5" t="s">
        <v>257</v>
      </c>
      <c r="I1783" s="6" t="s">
        <v>258</v>
      </c>
      <c r="J1783" s="7" t="s">
        <v>11</v>
      </c>
      <c r="K1783" s="36">
        <v>0.72</v>
      </c>
      <c r="L1783" s="37">
        <v>709</v>
      </c>
    </row>
    <row r="1784" spans="1:12" ht="19.95" customHeight="1" x14ac:dyDescent="0.3">
      <c r="A1784" s="2" t="s">
        <v>4417</v>
      </c>
      <c r="B1784" s="3" t="s">
        <v>4418</v>
      </c>
      <c r="C1784" s="2" t="s">
        <v>4976</v>
      </c>
      <c r="D1784" s="3" t="s">
        <v>4988</v>
      </c>
      <c r="E1784" s="2" t="s">
        <v>4989</v>
      </c>
      <c r="F1784" s="3" t="s">
        <v>4990</v>
      </c>
      <c r="G1784" s="3" t="s">
        <v>4367</v>
      </c>
      <c r="H1784" s="1" t="s">
        <v>209</v>
      </c>
      <c r="I1784" s="2" t="s">
        <v>210</v>
      </c>
      <c r="J1784" s="3" t="s">
        <v>11</v>
      </c>
      <c r="K1784" s="38">
        <v>7.0000000000000007E-2</v>
      </c>
      <c r="L1784" s="39">
        <v>558</v>
      </c>
    </row>
    <row r="1785" spans="1:12" ht="19.95" customHeight="1" x14ac:dyDescent="0.3">
      <c r="A1785" s="6" t="s">
        <v>4417</v>
      </c>
      <c r="B1785" s="7" t="s">
        <v>4418</v>
      </c>
      <c r="C1785" s="6" t="s">
        <v>4976</v>
      </c>
      <c r="D1785" s="7" t="s">
        <v>4991</v>
      </c>
      <c r="E1785" s="6" t="s">
        <v>4992</v>
      </c>
      <c r="F1785" s="7" t="s">
        <v>4990</v>
      </c>
      <c r="G1785" s="7" t="s">
        <v>4367</v>
      </c>
      <c r="H1785" s="5" t="s">
        <v>257</v>
      </c>
      <c r="I1785" s="6" t="s">
        <v>258</v>
      </c>
      <c r="J1785" s="7" t="s">
        <v>11</v>
      </c>
      <c r="K1785" s="36">
        <v>0.72</v>
      </c>
      <c r="L1785" s="37">
        <v>709</v>
      </c>
    </row>
    <row r="1786" spans="1:12" ht="19.95" customHeight="1" x14ac:dyDescent="0.3">
      <c r="A1786" s="2" t="s">
        <v>4417</v>
      </c>
      <c r="B1786" s="3" t="s">
        <v>4418</v>
      </c>
      <c r="C1786" s="2" t="s">
        <v>4976</v>
      </c>
      <c r="D1786" s="3" t="s">
        <v>4991</v>
      </c>
      <c r="E1786" s="2" t="s">
        <v>4992</v>
      </c>
      <c r="F1786" s="3" t="s">
        <v>4990</v>
      </c>
      <c r="G1786" s="3" t="s">
        <v>4367</v>
      </c>
      <c r="H1786" s="1" t="s">
        <v>209</v>
      </c>
      <c r="I1786" s="2" t="s">
        <v>210</v>
      </c>
      <c r="J1786" s="3" t="s">
        <v>11</v>
      </c>
      <c r="K1786" s="38">
        <v>7.0000000000000007E-2</v>
      </c>
      <c r="L1786" s="39">
        <v>558</v>
      </c>
    </row>
    <row r="1787" spans="1:12" ht="19.95" customHeight="1" x14ac:dyDescent="0.3">
      <c r="A1787" s="6" t="s">
        <v>4417</v>
      </c>
      <c r="B1787" s="7" t="s">
        <v>4418</v>
      </c>
      <c r="C1787" s="6" t="s">
        <v>4976</v>
      </c>
      <c r="D1787" s="7" t="s">
        <v>4993</v>
      </c>
      <c r="E1787" s="6" t="s">
        <v>4994</v>
      </c>
      <c r="F1787" s="7" t="s">
        <v>4990</v>
      </c>
      <c r="G1787" s="7" t="s">
        <v>4367</v>
      </c>
      <c r="H1787" s="5" t="s">
        <v>257</v>
      </c>
      <c r="I1787" s="6" t="s">
        <v>258</v>
      </c>
      <c r="J1787" s="7" t="s">
        <v>11</v>
      </c>
      <c r="K1787" s="36">
        <v>0.72</v>
      </c>
      <c r="L1787" s="37">
        <v>709</v>
      </c>
    </row>
    <row r="1788" spans="1:12" ht="19.95" customHeight="1" x14ac:dyDescent="0.3">
      <c r="A1788" s="2" t="s">
        <v>4417</v>
      </c>
      <c r="B1788" s="3" t="s">
        <v>4418</v>
      </c>
      <c r="C1788" s="2" t="s">
        <v>4976</v>
      </c>
      <c r="D1788" s="3" t="s">
        <v>4993</v>
      </c>
      <c r="E1788" s="2" t="s">
        <v>4994</v>
      </c>
      <c r="F1788" s="3" t="s">
        <v>4990</v>
      </c>
      <c r="G1788" s="3" t="s">
        <v>4367</v>
      </c>
      <c r="H1788" s="1" t="s">
        <v>209</v>
      </c>
      <c r="I1788" s="2" t="s">
        <v>210</v>
      </c>
      <c r="J1788" s="3" t="s">
        <v>11</v>
      </c>
      <c r="K1788" s="38">
        <v>7.0000000000000007E-2</v>
      </c>
      <c r="L1788" s="39">
        <v>558</v>
      </c>
    </row>
    <row r="1789" spans="1:12" ht="19.95" customHeight="1" x14ac:dyDescent="0.3">
      <c r="A1789" s="6" t="s">
        <v>4417</v>
      </c>
      <c r="B1789" s="7" t="s">
        <v>4418</v>
      </c>
      <c r="C1789" s="6" t="s">
        <v>4976</v>
      </c>
      <c r="D1789" s="7" t="s">
        <v>4995</v>
      </c>
      <c r="E1789" s="6" t="s">
        <v>4996</v>
      </c>
      <c r="F1789" s="7" t="s">
        <v>4368</v>
      </c>
      <c r="G1789" s="7" t="s">
        <v>4367</v>
      </c>
      <c r="H1789" s="5" t="s">
        <v>257</v>
      </c>
      <c r="I1789" s="6" t="s">
        <v>258</v>
      </c>
      <c r="J1789" s="7" t="s">
        <v>11</v>
      </c>
      <c r="K1789" s="36">
        <v>0.52</v>
      </c>
      <c r="L1789" s="37">
        <v>709</v>
      </c>
    </row>
    <row r="1790" spans="1:12" ht="19.95" customHeight="1" x14ac:dyDescent="0.3">
      <c r="A1790" s="2" t="s">
        <v>4417</v>
      </c>
      <c r="B1790" s="3" t="s">
        <v>4418</v>
      </c>
      <c r="C1790" s="2" t="s">
        <v>4976</v>
      </c>
      <c r="D1790" s="3" t="s">
        <v>4995</v>
      </c>
      <c r="E1790" s="2" t="s">
        <v>4996</v>
      </c>
      <c r="F1790" s="3" t="s">
        <v>4368</v>
      </c>
      <c r="G1790" s="3" t="s">
        <v>4367</v>
      </c>
      <c r="H1790" s="1" t="s">
        <v>209</v>
      </c>
      <c r="I1790" s="2" t="s">
        <v>210</v>
      </c>
      <c r="J1790" s="3" t="s">
        <v>11</v>
      </c>
      <c r="K1790" s="38">
        <v>0.6</v>
      </c>
      <c r="L1790" s="39">
        <v>368</v>
      </c>
    </row>
    <row r="1791" spans="1:12" ht="19.95" customHeight="1" x14ac:dyDescent="0.3">
      <c r="A1791" s="6" t="s">
        <v>4417</v>
      </c>
      <c r="B1791" s="7" t="s">
        <v>4418</v>
      </c>
      <c r="C1791" s="6" t="s">
        <v>4976</v>
      </c>
      <c r="D1791" s="7" t="s">
        <v>4997</v>
      </c>
      <c r="E1791" s="6" t="s">
        <v>4998</v>
      </c>
      <c r="F1791" s="7" t="s">
        <v>4419</v>
      </c>
      <c r="G1791" s="7" t="s">
        <v>4367</v>
      </c>
      <c r="H1791" s="5" t="s">
        <v>203</v>
      </c>
      <c r="I1791" s="6" t="s">
        <v>204</v>
      </c>
      <c r="J1791" s="7" t="s">
        <v>11</v>
      </c>
      <c r="K1791" s="36">
        <v>0.06</v>
      </c>
      <c r="L1791" s="37">
        <v>738</v>
      </c>
    </row>
    <row r="1792" spans="1:12" ht="19.95" customHeight="1" x14ac:dyDescent="0.3">
      <c r="A1792" s="2" t="s">
        <v>4417</v>
      </c>
      <c r="B1792" s="3" t="s">
        <v>4418</v>
      </c>
      <c r="C1792" s="2" t="s">
        <v>4976</v>
      </c>
      <c r="D1792" s="3" t="s">
        <v>4999</v>
      </c>
      <c r="E1792" s="2" t="s">
        <v>5000</v>
      </c>
      <c r="F1792" s="3" t="s">
        <v>4419</v>
      </c>
      <c r="G1792" s="3" t="s">
        <v>4367</v>
      </c>
      <c r="H1792" s="1" t="s">
        <v>203</v>
      </c>
      <c r="I1792" s="2" t="s">
        <v>204</v>
      </c>
      <c r="J1792" s="3" t="s">
        <v>11</v>
      </c>
      <c r="K1792" s="38">
        <v>0.06</v>
      </c>
      <c r="L1792" s="39">
        <v>738</v>
      </c>
    </row>
    <row r="1793" spans="1:12" ht="19.95" customHeight="1" x14ac:dyDescent="0.3">
      <c r="A1793" s="6" t="s">
        <v>4417</v>
      </c>
      <c r="B1793" s="7" t="s">
        <v>4418</v>
      </c>
      <c r="C1793" s="6" t="s">
        <v>4976</v>
      </c>
      <c r="D1793" s="7" t="s">
        <v>5001</v>
      </c>
      <c r="E1793" s="6" t="s">
        <v>5002</v>
      </c>
      <c r="F1793" s="7" t="s">
        <v>4419</v>
      </c>
      <c r="G1793" s="7" t="s">
        <v>4367</v>
      </c>
      <c r="H1793" s="5" t="s">
        <v>203</v>
      </c>
      <c r="I1793" s="6" t="s">
        <v>204</v>
      </c>
      <c r="J1793" s="7" t="s">
        <v>11</v>
      </c>
      <c r="K1793" s="36">
        <v>0.06</v>
      </c>
      <c r="L1793" s="37">
        <v>738</v>
      </c>
    </row>
    <row r="1794" spans="1:12" ht="19.95" customHeight="1" x14ac:dyDescent="0.3">
      <c r="A1794" s="2" t="s">
        <v>4417</v>
      </c>
      <c r="B1794" s="3" t="s">
        <v>4418</v>
      </c>
      <c r="C1794" s="2" t="s">
        <v>4976</v>
      </c>
      <c r="D1794" s="3" t="s">
        <v>5003</v>
      </c>
      <c r="E1794" s="2" t="s">
        <v>5004</v>
      </c>
      <c r="F1794" s="3" t="s">
        <v>4419</v>
      </c>
      <c r="G1794" s="3" t="s">
        <v>4367</v>
      </c>
      <c r="H1794" s="1" t="s">
        <v>203</v>
      </c>
      <c r="I1794" s="2" t="s">
        <v>204</v>
      </c>
      <c r="J1794" s="3" t="s">
        <v>11</v>
      </c>
      <c r="K1794" s="38">
        <v>0.03</v>
      </c>
      <c r="L1794" s="39">
        <v>738</v>
      </c>
    </row>
    <row r="1795" spans="1:12" ht="19.95" customHeight="1" x14ac:dyDescent="0.3">
      <c r="A1795" s="6" t="s">
        <v>4417</v>
      </c>
      <c r="B1795" s="7" t="s">
        <v>4418</v>
      </c>
      <c r="C1795" s="6" t="s">
        <v>4976</v>
      </c>
      <c r="D1795" s="7" t="s">
        <v>5005</v>
      </c>
      <c r="E1795" s="6" t="s">
        <v>5006</v>
      </c>
      <c r="F1795" s="7" t="s">
        <v>4419</v>
      </c>
      <c r="G1795" s="7" t="s">
        <v>4367</v>
      </c>
      <c r="H1795" s="5" t="s">
        <v>203</v>
      </c>
      <c r="I1795" s="6" t="s">
        <v>204</v>
      </c>
      <c r="J1795" s="7" t="s">
        <v>11</v>
      </c>
      <c r="K1795" s="36">
        <v>0.03</v>
      </c>
      <c r="L1795" s="37">
        <v>738</v>
      </c>
    </row>
    <row r="1796" spans="1:12" ht="19.95" customHeight="1" x14ac:dyDescent="0.3">
      <c r="A1796" s="2" t="s">
        <v>4417</v>
      </c>
      <c r="B1796" s="3" t="s">
        <v>4418</v>
      </c>
      <c r="C1796" s="2" t="s">
        <v>4976</v>
      </c>
      <c r="D1796" s="3" t="s">
        <v>5007</v>
      </c>
      <c r="E1796" s="2" t="s">
        <v>5008</v>
      </c>
      <c r="F1796" s="3" t="s">
        <v>4419</v>
      </c>
      <c r="G1796" s="3" t="s">
        <v>4367</v>
      </c>
      <c r="H1796" s="1" t="s">
        <v>203</v>
      </c>
      <c r="I1796" s="2" t="s">
        <v>204</v>
      </c>
      <c r="J1796" s="3" t="s">
        <v>11</v>
      </c>
      <c r="K1796" s="38">
        <v>0.1</v>
      </c>
      <c r="L1796" s="39">
        <v>738</v>
      </c>
    </row>
    <row r="1797" spans="1:12" ht="19.95" customHeight="1" x14ac:dyDescent="0.3">
      <c r="A1797" s="6" t="s">
        <v>4417</v>
      </c>
      <c r="B1797" s="7" t="s">
        <v>4418</v>
      </c>
      <c r="C1797" s="6" t="s">
        <v>4976</v>
      </c>
      <c r="D1797" s="7" t="s">
        <v>5009</v>
      </c>
      <c r="E1797" s="6" t="s">
        <v>5010</v>
      </c>
      <c r="F1797" s="7" t="s">
        <v>5011</v>
      </c>
      <c r="G1797" s="7" t="s">
        <v>4367</v>
      </c>
      <c r="H1797" s="5" t="s">
        <v>203</v>
      </c>
      <c r="I1797" s="6" t="s">
        <v>204</v>
      </c>
      <c r="J1797" s="7" t="s">
        <v>11</v>
      </c>
      <c r="K1797" s="36">
        <v>0.17</v>
      </c>
      <c r="L1797" s="37">
        <v>738</v>
      </c>
    </row>
    <row r="1798" spans="1:12" ht="19.95" customHeight="1" x14ac:dyDescent="0.3">
      <c r="A1798" s="2" t="s">
        <v>4417</v>
      </c>
      <c r="B1798" s="3" t="s">
        <v>4418</v>
      </c>
      <c r="C1798" s="2" t="s">
        <v>4976</v>
      </c>
      <c r="D1798" s="3" t="s">
        <v>5012</v>
      </c>
      <c r="E1798" s="2" t="s">
        <v>5013</v>
      </c>
      <c r="F1798" s="3" t="s">
        <v>5014</v>
      </c>
      <c r="G1798" s="3" t="s">
        <v>4367</v>
      </c>
      <c r="H1798" s="1" t="s">
        <v>203</v>
      </c>
      <c r="I1798" s="2" t="s">
        <v>204</v>
      </c>
      <c r="J1798" s="3" t="s">
        <v>11</v>
      </c>
      <c r="K1798" s="38">
        <v>6.57</v>
      </c>
      <c r="L1798" s="39">
        <v>738</v>
      </c>
    </row>
    <row r="1799" spans="1:12" ht="19.95" customHeight="1" x14ac:dyDescent="0.3">
      <c r="A1799" s="6" t="s">
        <v>4417</v>
      </c>
      <c r="B1799" s="7" t="s">
        <v>4418</v>
      </c>
      <c r="C1799" s="6" t="s">
        <v>4976</v>
      </c>
      <c r="D1799" s="7" t="s">
        <v>5012</v>
      </c>
      <c r="E1799" s="6" t="s">
        <v>5013</v>
      </c>
      <c r="F1799" s="7" t="s">
        <v>5014</v>
      </c>
      <c r="G1799" s="7" t="s">
        <v>4367</v>
      </c>
      <c r="H1799" s="5" t="s">
        <v>205</v>
      </c>
      <c r="I1799" s="6" t="s">
        <v>206</v>
      </c>
      <c r="J1799" s="7" t="s">
        <v>11</v>
      </c>
      <c r="K1799" s="36">
        <v>2.847</v>
      </c>
      <c r="L1799" s="37">
        <v>679</v>
      </c>
    </row>
    <row r="1800" spans="1:12" ht="19.95" customHeight="1" x14ac:dyDescent="0.3">
      <c r="A1800" s="2" t="s">
        <v>4417</v>
      </c>
      <c r="B1800" s="3" t="s">
        <v>4418</v>
      </c>
      <c r="C1800" s="2" t="s">
        <v>4976</v>
      </c>
      <c r="D1800" s="3" t="s">
        <v>5012</v>
      </c>
      <c r="E1800" s="2" t="s">
        <v>5013</v>
      </c>
      <c r="F1800" s="3" t="s">
        <v>5014</v>
      </c>
      <c r="G1800" s="3" t="s">
        <v>4367</v>
      </c>
      <c r="H1800" s="1" t="s">
        <v>209</v>
      </c>
      <c r="I1800" s="2" t="s">
        <v>210</v>
      </c>
      <c r="J1800" s="3" t="s">
        <v>11</v>
      </c>
      <c r="K1800" s="38">
        <v>7.665</v>
      </c>
      <c r="L1800" s="39">
        <v>558</v>
      </c>
    </row>
    <row r="1801" spans="1:12" ht="19.95" customHeight="1" x14ac:dyDescent="0.3">
      <c r="A1801" s="6" t="s">
        <v>4417</v>
      </c>
      <c r="B1801" s="7" t="s">
        <v>4418</v>
      </c>
      <c r="C1801" s="6" t="s">
        <v>4976</v>
      </c>
      <c r="D1801" s="7" t="s">
        <v>5015</v>
      </c>
      <c r="E1801" s="6" t="s">
        <v>5016</v>
      </c>
      <c r="F1801" s="7" t="s">
        <v>5014</v>
      </c>
      <c r="G1801" s="7" t="s">
        <v>4367</v>
      </c>
      <c r="H1801" s="5" t="s">
        <v>203</v>
      </c>
      <c r="I1801" s="6" t="s">
        <v>204</v>
      </c>
      <c r="J1801" s="7" t="s">
        <v>11</v>
      </c>
      <c r="K1801" s="36">
        <v>6.57</v>
      </c>
      <c r="L1801" s="37">
        <v>738</v>
      </c>
    </row>
    <row r="1802" spans="1:12" ht="19.95" customHeight="1" x14ac:dyDescent="0.3">
      <c r="A1802" s="2" t="s">
        <v>4417</v>
      </c>
      <c r="B1802" s="3" t="s">
        <v>4418</v>
      </c>
      <c r="C1802" s="2" t="s">
        <v>4976</v>
      </c>
      <c r="D1802" s="3" t="s">
        <v>5015</v>
      </c>
      <c r="E1802" s="2" t="s">
        <v>5016</v>
      </c>
      <c r="F1802" s="3" t="s">
        <v>5014</v>
      </c>
      <c r="G1802" s="3" t="s">
        <v>4367</v>
      </c>
      <c r="H1802" s="1" t="s">
        <v>205</v>
      </c>
      <c r="I1802" s="2" t="s">
        <v>206</v>
      </c>
      <c r="J1802" s="3" t="s">
        <v>11</v>
      </c>
      <c r="K1802" s="38">
        <v>2.847</v>
      </c>
      <c r="L1802" s="39">
        <v>679</v>
      </c>
    </row>
    <row r="1803" spans="1:12" ht="19.95" customHeight="1" x14ac:dyDescent="0.3">
      <c r="A1803" s="6" t="s">
        <v>4417</v>
      </c>
      <c r="B1803" s="7" t="s">
        <v>4418</v>
      </c>
      <c r="C1803" s="6" t="s">
        <v>4976</v>
      </c>
      <c r="D1803" s="7" t="s">
        <v>5015</v>
      </c>
      <c r="E1803" s="6" t="s">
        <v>5016</v>
      </c>
      <c r="F1803" s="7" t="s">
        <v>5014</v>
      </c>
      <c r="G1803" s="7" t="s">
        <v>4367</v>
      </c>
      <c r="H1803" s="5" t="s">
        <v>209</v>
      </c>
      <c r="I1803" s="6" t="s">
        <v>210</v>
      </c>
      <c r="J1803" s="7" t="s">
        <v>11</v>
      </c>
      <c r="K1803" s="36">
        <v>7.665</v>
      </c>
      <c r="L1803" s="37">
        <v>558</v>
      </c>
    </row>
    <row r="1804" spans="1:12" ht="19.95" customHeight="1" x14ac:dyDescent="0.3">
      <c r="A1804" s="2" t="s">
        <v>4417</v>
      </c>
      <c r="B1804" s="3" t="s">
        <v>4418</v>
      </c>
      <c r="C1804" s="2" t="s">
        <v>4976</v>
      </c>
      <c r="D1804" s="3" t="s">
        <v>5017</v>
      </c>
      <c r="E1804" s="2" t="s">
        <v>5018</v>
      </c>
      <c r="F1804" s="3" t="s">
        <v>5014</v>
      </c>
      <c r="G1804" s="3" t="s">
        <v>4367</v>
      </c>
      <c r="H1804" s="1" t="s">
        <v>203</v>
      </c>
      <c r="I1804" s="2" t="s">
        <v>204</v>
      </c>
      <c r="J1804" s="3" t="s">
        <v>11</v>
      </c>
      <c r="K1804" s="38">
        <v>6.57</v>
      </c>
      <c r="L1804" s="39">
        <v>738</v>
      </c>
    </row>
    <row r="1805" spans="1:12" ht="19.95" customHeight="1" x14ac:dyDescent="0.3">
      <c r="A1805" s="6" t="s">
        <v>4417</v>
      </c>
      <c r="B1805" s="7" t="s">
        <v>4418</v>
      </c>
      <c r="C1805" s="6" t="s">
        <v>4976</v>
      </c>
      <c r="D1805" s="7" t="s">
        <v>5017</v>
      </c>
      <c r="E1805" s="6" t="s">
        <v>5018</v>
      </c>
      <c r="F1805" s="7" t="s">
        <v>5014</v>
      </c>
      <c r="G1805" s="7" t="s">
        <v>4367</v>
      </c>
      <c r="H1805" s="5" t="s">
        <v>205</v>
      </c>
      <c r="I1805" s="6" t="s">
        <v>206</v>
      </c>
      <c r="J1805" s="7" t="s">
        <v>11</v>
      </c>
      <c r="K1805" s="36">
        <v>2.847</v>
      </c>
      <c r="L1805" s="37">
        <v>679</v>
      </c>
    </row>
    <row r="1806" spans="1:12" ht="19.95" customHeight="1" x14ac:dyDescent="0.3">
      <c r="A1806" s="2" t="s">
        <v>4417</v>
      </c>
      <c r="B1806" s="3" t="s">
        <v>4418</v>
      </c>
      <c r="C1806" s="2" t="s">
        <v>4976</v>
      </c>
      <c r="D1806" s="3" t="s">
        <v>5017</v>
      </c>
      <c r="E1806" s="2" t="s">
        <v>5018</v>
      </c>
      <c r="F1806" s="3" t="s">
        <v>5014</v>
      </c>
      <c r="G1806" s="3" t="s">
        <v>4367</v>
      </c>
      <c r="H1806" s="1" t="s">
        <v>209</v>
      </c>
      <c r="I1806" s="2" t="s">
        <v>210</v>
      </c>
      <c r="J1806" s="3" t="s">
        <v>11</v>
      </c>
      <c r="K1806" s="38">
        <v>7.665</v>
      </c>
      <c r="L1806" s="39">
        <v>558</v>
      </c>
    </row>
    <row r="1807" spans="1:12" ht="19.95" customHeight="1" x14ac:dyDescent="0.3">
      <c r="A1807" s="6" t="s">
        <v>4417</v>
      </c>
      <c r="B1807" s="7" t="s">
        <v>4418</v>
      </c>
      <c r="C1807" s="6" t="s">
        <v>4976</v>
      </c>
      <c r="D1807" s="7" t="s">
        <v>5019</v>
      </c>
      <c r="E1807" s="6" t="s">
        <v>5020</v>
      </c>
      <c r="F1807" s="7" t="s">
        <v>5014</v>
      </c>
      <c r="G1807" s="7" t="s">
        <v>4367</v>
      </c>
      <c r="H1807" s="5" t="s">
        <v>203</v>
      </c>
      <c r="I1807" s="6" t="s">
        <v>204</v>
      </c>
      <c r="J1807" s="7" t="s">
        <v>11</v>
      </c>
      <c r="K1807" s="36">
        <v>6.57</v>
      </c>
      <c r="L1807" s="37">
        <v>738</v>
      </c>
    </row>
    <row r="1808" spans="1:12" ht="19.95" customHeight="1" x14ac:dyDescent="0.3">
      <c r="A1808" s="2" t="s">
        <v>4417</v>
      </c>
      <c r="B1808" s="3" t="s">
        <v>4418</v>
      </c>
      <c r="C1808" s="2" t="s">
        <v>4976</v>
      </c>
      <c r="D1808" s="3" t="s">
        <v>5019</v>
      </c>
      <c r="E1808" s="2" t="s">
        <v>5020</v>
      </c>
      <c r="F1808" s="3" t="s">
        <v>5014</v>
      </c>
      <c r="G1808" s="3" t="s">
        <v>4367</v>
      </c>
      <c r="H1808" s="1" t="s">
        <v>205</v>
      </c>
      <c r="I1808" s="2" t="s">
        <v>206</v>
      </c>
      <c r="J1808" s="3" t="s">
        <v>11</v>
      </c>
      <c r="K1808" s="38">
        <v>2.847</v>
      </c>
      <c r="L1808" s="39">
        <v>679</v>
      </c>
    </row>
    <row r="1809" spans="1:12" ht="19.95" customHeight="1" x14ac:dyDescent="0.3">
      <c r="A1809" s="6" t="s">
        <v>4417</v>
      </c>
      <c r="B1809" s="7" t="s">
        <v>4418</v>
      </c>
      <c r="C1809" s="6" t="s">
        <v>4976</v>
      </c>
      <c r="D1809" s="7" t="s">
        <v>5019</v>
      </c>
      <c r="E1809" s="6" t="s">
        <v>5020</v>
      </c>
      <c r="F1809" s="7" t="s">
        <v>5014</v>
      </c>
      <c r="G1809" s="7" t="s">
        <v>4367</v>
      </c>
      <c r="H1809" s="5" t="s">
        <v>209</v>
      </c>
      <c r="I1809" s="6" t="s">
        <v>210</v>
      </c>
      <c r="J1809" s="7" t="s">
        <v>11</v>
      </c>
      <c r="K1809" s="36">
        <v>7.665</v>
      </c>
      <c r="L1809" s="37">
        <v>558</v>
      </c>
    </row>
    <row r="1810" spans="1:12" ht="19.95" customHeight="1" x14ac:dyDescent="0.3">
      <c r="A1810" s="2" t="s">
        <v>4417</v>
      </c>
      <c r="B1810" s="3" t="s">
        <v>4418</v>
      </c>
      <c r="C1810" s="2" t="s">
        <v>4976</v>
      </c>
      <c r="D1810" s="3" t="s">
        <v>5021</v>
      </c>
      <c r="E1810" s="2" t="s">
        <v>5022</v>
      </c>
      <c r="F1810" s="3" t="s">
        <v>5023</v>
      </c>
      <c r="G1810" s="3" t="s">
        <v>4367</v>
      </c>
      <c r="H1810" s="1" t="s">
        <v>203</v>
      </c>
      <c r="I1810" s="2" t="s">
        <v>5024</v>
      </c>
      <c r="J1810" s="3" t="s">
        <v>11</v>
      </c>
      <c r="K1810" s="38">
        <v>6.57</v>
      </c>
      <c r="L1810" s="39">
        <v>738</v>
      </c>
    </row>
    <row r="1811" spans="1:12" ht="19.95" customHeight="1" x14ac:dyDescent="0.3">
      <c r="A1811" s="6" t="s">
        <v>4417</v>
      </c>
      <c r="B1811" s="7" t="s">
        <v>4418</v>
      </c>
      <c r="C1811" s="6" t="s">
        <v>4976</v>
      </c>
      <c r="D1811" s="7" t="s">
        <v>5021</v>
      </c>
      <c r="E1811" s="6" t="s">
        <v>5022</v>
      </c>
      <c r="F1811" s="7" t="s">
        <v>5023</v>
      </c>
      <c r="G1811" s="7" t="s">
        <v>4367</v>
      </c>
      <c r="H1811" s="5" t="s">
        <v>205</v>
      </c>
      <c r="I1811" s="6" t="s">
        <v>206</v>
      </c>
      <c r="J1811" s="7" t="s">
        <v>11</v>
      </c>
      <c r="K1811" s="36">
        <v>2.847</v>
      </c>
      <c r="L1811" s="37">
        <v>679</v>
      </c>
    </row>
    <row r="1812" spans="1:12" ht="19.95" customHeight="1" x14ac:dyDescent="0.3">
      <c r="A1812" s="2" t="s">
        <v>4417</v>
      </c>
      <c r="B1812" s="3" t="s">
        <v>4418</v>
      </c>
      <c r="C1812" s="2" t="s">
        <v>4976</v>
      </c>
      <c r="D1812" s="3" t="s">
        <v>5021</v>
      </c>
      <c r="E1812" s="2" t="s">
        <v>5022</v>
      </c>
      <c r="F1812" s="3" t="s">
        <v>5023</v>
      </c>
      <c r="G1812" s="3" t="s">
        <v>4367</v>
      </c>
      <c r="H1812" s="1" t="s">
        <v>209</v>
      </c>
      <c r="I1812" s="2" t="s">
        <v>210</v>
      </c>
      <c r="J1812" s="3" t="s">
        <v>11</v>
      </c>
      <c r="K1812" s="38">
        <v>7.665</v>
      </c>
      <c r="L1812" s="39">
        <v>558</v>
      </c>
    </row>
    <row r="1813" spans="1:12" ht="19.95" customHeight="1" x14ac:dyDescent="0.3">
      <c r="A1813" s="6" t="s">
        <v>4417</v>
      </c>
      <c r="B1813" s="7" t="s">
        <v>4418</v>
      </c>
      <c r="C1813" s="6" t="s">
        <v>4976</v>
      </c>
      <c r="D1813" s="7" t="s">
        <v>5025</v>
      </c>
      <c r="E1813" s="6" t="s">
        <v>5026</v>
      </c>
      <c r="F1813" s="7" t="s">
        <v>5027</v>
      </c>
      <c r="G1813" s="7" t="s">
        <v>4367</v>
      </c>
      <c r="H1813" s="5" t="s">
        <v>205</v>
      </c>
      <c r="I1813" s="6" t="s">
        <v>206</v>
      </c>
      <c r="J1813" s="7" t="s">
        <v>11</v>
      </c>
      <c r="K1813" s="36">
        <v>0.06</v>
      </c>
      <c r="L1813" s="37">
        <v>679</v>
      </c>
    </row>
    <row r="1814" spans="1:12" ht="19.95" customHeight="1" x14ac:dyDescent="0.3">
      <c r="A1814" s="2" t="s">
        <v>4417</v>
      </c>
      <c r="B1814" s="3" t="s">
        <v>4418</v>
      </c>
      <c r="C1814" s="2" t="s">
        <v>4976</v>
      </c>
      <c r="D1814" s="3" t="s">
        <v>5028</v>
      </c>
      <c r="E1814" s="2" t="s">
        <v>5029</v>
      </c>
      <c r="F1814" s="3" t="s">
        <v>5027</v>
      </c>
      <c r="G1814" s="3" t="s">
        <v>4367</v>
      </c>
      <c r="H1814" s="1" t="s">
        <v>205</v>
      </c>
      <c r="I1814" s="2" t="s">
        <v>206</v>
      </c>
      <c r="J1814" s="3" t="s">
        <v>11</v>
      </c>
      <c r="K1814" s="38">
        <v>0.06</v>
      </c>
      <c r="L1814" s="39">
        <v>679</v>
      </c>
    </row>
    <row r="1815" spans="1:12" ht="19.95" customHeight="1" x14ac:dyDescent="0.3">
      <c r="A1815" s="6" t="s">
        <v>4417</v>
      </c>
      <c r="B1815" s="7" t="s">
        <v>4418</v>
      </c>
      <c r="C1815" s="6" t="s">
        <v>4976</v>
      </c>
      <c r="D1815" s="7" t="s">
        <v>5030</v>
      </c>
      <c r="E1815" s="6" t="s">
        <v>5031</v>
      </c>
      <c r="F1815" s="7" t="s">
        <v>5027</v>
      </c>
      <c r="G1815" s="7" t="s">
        <v>4367</v>
      </c>
      <c r="H1815" s="5" t="s">
        <v>205</v>
      </c>
      <c r="I1815" s="6" t="s">
        <v>206</v>
      </c>
      <c r="J1815" s="7" t="s">
        <v>11</v>
      </c>
      <c r="K1815" s="36">
        <v>0.14000000000000001</v>
      </c>
      <c r="L1815" s="37">
        <v>679</v>
      </c>
    </row>
    <row r="1816" spans="1:12" ht="19.95" customHeight="1" x14ac:dyDescent="0.3">
      <c r="A1816" s="2" t="s">
        <v>4417</v>
      </c>
      <c r="B1816" s="3" t="s">
        <v>4418</v>
      </c>
      <c r="C1816" s="2" t="s">
        <v>4976</v>
      </c>
      <c r="D1816" s="3" t="s">
        <v>5030</v>
      </c>
      <c r="E1816" s="2" t="s">
        <v>5031</v>
      </c>
      <c r="F1816" s="3" t="s">
        <v>5027</v>
      </c>
      <c r="G1816" s="3" t="s">
        <v>4367</v>
      </c>
      <c r="H1816" s="1" t="s">
        <v>209</v>
      </c>
      <c r="I1816" s="2" t="s">
        <v>210</v>
      </c>
      <c r="J1816" s="3" t="s">
        <v>11</v>
      </c>
      <c r="K1816" s="38">
        <v>0.09</v>
      </c>
      <c r="L1816" s="39">
        <v>558</v>
      </c>
    </row>
    <row r="1817" spans="1:12" ht="19.95" customHeight="1" x14ac:dyDescent="0.3">
      <c r="A1817" s="6" t="s">
        <v>4417</v>
      </c>
      <c r="B1817" s="7" t="s">
        <v>4418</v>
      </c>
      <c r="C1817" s="6" t="s">
        <v>4976</v>
      </c>
      <c r="D1817" s="7" t="s">
        <v>5032</v>
      </c>
      <c r="E1817" s="6" t="s">
        <v>5033</v>
      </c>
      <c r="F1817" s="7" t="s">
        <v>5027</v>
      </c>
      <c r="G1817" s="7" t="s">
        <v>4367</v>
      </c>
      <c r="H1817" s="5" t="s">
        <v>205</v>
      </c>
      <c r="I1817" s="6" t="s">
        <v>206</v>
      </c>
      <c r="J1817" s="7" t="s">
        <v>11</v>
      </c>
      <c r="K1817" s="36">
        <v>0.14000000000000001</v>
      </c>
      <c r="L1817" s="37">
        <v>679</v>
      </c>
    </row>
    <row r="1818" spans="1:12" ht="19.95" customHeight="1" x14ac:dyDescent="0.3">
      <c r="A1818" s="2" t="s">
        <v>4417</v>
      </c>
      <c r="B1818" s="3" t="s">
        <v>4418</v>
      </c>
      <c r="C1818" s="2" t="s">
        <v>4976</v>
      </c>
      <c r="D1818" s="3" t="s">
        <v>5032</v>
      </c>
      <c r="E1818" s="2" t="s">
        <v>5033</v>
      </c>
      <c r="F1818" s="3" t="s">
        <v>5027</v>
      </c>
      <c r="G1818" s="3" t="s">
        <v>4367</v>
      </c>
      <c r="H1818" s="1" t="s">
        <v>209</v>
      </c>
      <c r="I1818" s="2" t="s">
        <v>210</v>
      </c>
      <c r="J1818" s="3" t="s">
        <v>11</v>
      </c>
      <c r="K1818" s="38">
        <v>0.09</v>
      </c>
      <c r="L1818" s="39">
        <v>558</v>
      </c>
    </row>
    <row r="1819" spans="1:12" ht="19.95" customHeight="1" x14ac:dyDescent="0.3">
      <c r="A1819" s="6" t="s">
        <v>4417</v>
      </c>
      <c r="B1819" s="7" t="s">
        <v>4418</v>
      </c>
      <c r="C1819" s="6" t="s">
        <v>4976</v>
      </c>
      <c r="D1819" s="7" t="s">
        <v>5034</v>
      </c>
      <c r="E1819" s="6" t="s">
        <v>5035</v>
      </c>
      <c r="F1819" s="7" t="s">
        <v>5027</v>
      </c>
      <c r="G1819" s="7" t="s">
        <v>4367</v>
      </c>
      <c r="H1819" s="5" t="s">
        <v>205</v>
      </c>
      <c r="I1819" s="6" t="s">
        <v>206</v>
      </c>
      <c r="J1819" s="7" t="s">
        <v>11</v>
      </c>
      <c r="K1819" s="36">
        <v>0.08</v>
      </c>
      <c r="L1819" s="37">
        <v>679</v>
      </c>
    </row>
    <row r="1820" spans="1:12" ht="19.95" customHeight="1" x14ac:dyDescent="0.3">
      <c r="A1820" s="2" t="s">
        <v>4417</v>
      </c>
      <c r="B1820" s="3" t="s">
        <v>4418</v>
      </c>
      <c r="C1820" s="2" t="s">
        <v>4976</v>
      </c>
      <c r="D1820" s="3" t="s">
        <v>5036</v>
      </c>
      <c r="E1820" s="2" t="s">
        <v>5037</v>
      </c>
      <c r="F1820" s="3" t="s">
        <v>5027</v>
      </c>
      <c r="G1820" s="3" t="s">
        <v>4367</v>
      </c>
      <c r="H1820" s="1" t="s">
        <v>205</v>
      </c>
      <c r="I1820" s="2" t="s">
        <v>206</v>
      </c>
      <c r="J1820" s="3" t="s">
        <v>11</v>
      </c>
      <c r="K1820" s="38">
        <v>0.1</v>
      </c>
      <c r="L1820" s="39">
        <v>679</v>
      </c>
    </row>
    <row r="1821" spans="1:12" ht="19.95" customHeight="1" x14ac:dyDescent="0.3">
      <c r="A1821" s="6" t="s">
        <v>4417</v>
      </c>
      <c r="B1821" s="7" t="s">
        <v>4418</v>
      </c>
      <c r="C1821" s="6" t="s">
        <v>4976</v>
      </c>
      <c r="D1821" s="7" t="s">
        <v>5038</v>
      </c>
      <c r="E1821" s="6" t="s">
        <v>5039</v>
      </c>
      <c r="F1821" s="7" t="s">
        <v>5027</v>
      </c>
      <c r="G1821" s="7" t="s">
        <v>4367</v>
      </c>
      <c r="H1821" s="5" t="s">
        <v>203</v>
      </c>
      <c r="I1821" s="6" t="s">
        <v>204</v>
      </c>
      <c r="J1821" s="7" t="s">
        <v>11</v>
      </c>
      <c r="K1821" s="36">
        <v>0.03</v>
      </c>
      <c r="L1821" s="37">
        <v>738</v>
      </c>
    </row>
    <row r="1822" spans="1:12" ht="19.95" customHeight="1" x14ac:dyDescent="0.3">
      <c r="A1822" s="2" t="s">
        <v>4417</v>
      </c>
      <c r="B1822" s="3" t="s">
        <v>4418</v>
      </c>
      <c r="C1822" s="2" t="s">
        <v>4976</v>
      </c>
      <c r="D1822" s="3" t="s">
        <v>5040</v>
      </c>
      <c r="E1822" s="2" t="s">
        <v>5041</v>
      </c>
      <c r="F1822" s="3" t="s">
        <v>4344</v>
      </c>
      <c r="G1822" s="3" t="s">
        <v>4367</v>
      </c>
      <c r="H1822" s="1" t="s">
        <v>205</v>
      </c>
      <c r="I1822" s="2" t="s">
        <v>206</v>
      </c>
      <c r="J1822" s="3" t="s">
        <v>11</v>
      </c>
      <c r="K1822" s="38">
        <v>0.25</v>
      </c>
      <c r="L1822" s="39">
        <v>679</v>
      </c>
    </row>
    <row r="1823" spans="1:12" ht="19.95" customHeight="1" x14ac:dyDescent="0.3">
      <c r="A1823" s="6" t="s">
        <v>4417</v>
      </c>
      <c r="B1823" s="7" t="s">
        <v>4418</v>
      </c>
      <c r="C1823" s="6" t="s">
        <v>4976</v>
      </c>
      <c r="D1823" s="7" t="s">
        <v>5040</v>
      </c>
      <c r="E1823" s="6" t="s">
        <v>5041</v>
      </c>
      <c r="F1823" s="7" t="s">
        <v>4344</v>
      </c>
      <c r="G1823" s="7" t="s">
        <v>4367</v>
      </c>
      <c r="H1823" s="5" t="s">
        <v>209</v>
      </c>
      <c r="I1823" s="6" t="s">
        <v>210</v>
      </c>
      <c r="J1823" s="7" t="s">
        <v>11</v>
      </c>
      <c r="K1823" s="36">
        <v>0.25</v>
      </c>
      <c r="L1823" s="37">
        <v>558</v>
      </c>
    </row>
    <row r="1824" spans="1:12" ht="19.95" customHeight="1" x14ac:dyDescent="0.3">
      <c r="A1824" s="2" t="s">
        <v>4417</v>
      </c>
      <c r="B1824" s="3" t="s">
        <v>4418</v>
      </c>
      <c r="C1824" s="2" t="s">
        <v>4976</v>
      </c>
      <c r="D1824" s="3" t="s">
        <v>5042</v>
      </c>
      <c r="E1824" s="2" t="s">
        <v>5043</v>
      </c>
      <c r="F1824" s="3" t="s">
        <v>5044</v>
      </c>
      <c r="G1824" s="3" t="s">
        <v>4367</v>
      </c>
      <c r="H1824" s="1" t="s">
        <v>203</v>
      </c>
      <c r="I1824" s="2" t="s">
        <v>204</v>
      </c>
      <c r="J1824" s="3" t="s">
        <v>11</v>
      </c>
      <c r="K1824" s="38">
        <v>0.13</v>
      </c>
      <c r="L1824" s="39">
        <v>738</v>
      </c>
    </row>
    <row r="1825" spans="1:12" ht="19.95" customHeight="1" x14ac:dyDescent="0.3">
      <c r="A1825" s="6" t="s">
        <v>4417</v>
      </c>
      <c r="B1825" s="7" t="s">
        <v>4418</v>
      </c>
      <c r="C1825" s="6" t="s">
        <v>4976</v>
      </c>
      <c r="D1825" s="7" t="s">
        <v>5045</v>
      </c>
      <c r="E1825" s="6" t="s">
        <v>5046</v>
      </c>
      <c r="F1825" s="7" t="s">
        <v>4368</v>
      </c>
      <c r="G1825" s="7" t="s">
        <v>4367</v>
      </c>
      <c r="H1825" s="5" t="s">
        <v>257</v>
      </c>
      <c r="I1825" s="6" t="s">
        <v>258</v>
      </c>
      <c r="J1825" s="7" t="s">
        <v>11</v>
      </c>
      <c r="K1825" s="36">
        <v>0.15</v>
      </c>
      <c r="L1825" s="37">
        <v>709</v>
      </c>
    </row>
    <row r="1826" spans="1:12" ht="19.95" customHeight="1" x14ac:dyDescent="0.3">
      <c r="A1826" s="2" t="s">
        <v>4417</v>
      </c>
      <c r="B1826" s="3" t="s">
        <v>4418</v>
      </c>
      <c r="C1826" s="2" t="s">
        <v>4976</v>
      </c>
      <c r="D1826" s="3" t="s">
        <v>5045</v>
      </c>
      <c r="E1826" s="2" t="s">
        <v>5046</v>
      </c>
      <c r="F1826" s="3" t="s">
        <v>4368</v>
      </c>
      <c r="G1826" s="3" t="s">
        <v>4367</v>
      </c>
      <c r="H1826" s="1" t="s">
        <v>209</v>
      </c>
      <c r="I1826" s="2" t="s">
        <v>210</v>
      </c>
      <c r="J1826" s="3" t="s">
        <v>11</v>
      </c>
      <c r="K1826" s="38">
        <v>0.15</v>
      </c>
      <c r="L1826" s="39">
        <v>558</v>
      </c>
    </row>
    <row r="1827" spans="1:12" ht="19.95" customHeight="1" x14ac:dyDescent="0.3">
      <c r="A1827" s="6" t="s">
        <v>4417</v>
      </c>
      <c r="B1827" s="7" t="s">
        <v>4418</v>
      </c>
      <c r="C1827" s="6" t="s">
        <v>4976</v>
      </c>
      <c r="D1827" s="7" t="s">
        <v>5047</v>
      </c>
      <c r="E1827" s="6" t="s">
        <v>5048</v>
      </c>
      <c r="F1827" s="7" t="s">
        <v>4368</v>
      </c>
      <c r="G1827" s="7" t="s">
        <v>4367</v>
      </c>
      <c r="H1827" s="5" t="s">
        <v>257</v>
      </c>
      <c r="I1827" s="6" t="s">
        <v>258</v>
      </c>
      <c r="J1827" s="7" t="s">
        <v>11</v>
      </c>
      <c r="K1827" s="36">
        <v>0.15</v>
      </c>
      <c r="L1827" s="37">
        <v>709</v>
      </c>
    </row>
    <row r="1828" spans="1:12" ht="19.95" customHeight="1" x14ac:dyDescent="0.3">
      <c r="A1828" s="2" t="s">
        <v>4417</v>
      </c>
      <c r="B1828" s="3" t="s">
        <v>4418</v>
      </c>
      <c r="C1828" s="2" t="s">
        <v>4976</v>
      </c>
      <c r="D1828" s="3" t="s">
        <v>5047</v>
      </c>
      <c r="E1828" s="2" t="s">
        <v>5048</v>
      </c>
      <c r="F1828" s="3" t="s">
        <v>4368</v>
      </c>
      <c r="G1828" s="3" t="s">
        <v>4367</v>
      </c>
      <c r="H1828" s="1" t="s">
        <v>209</v>
      </c>
      <c r="I1828" s="2" t="s">
        <v>210</v>
      </c>
      <c r="J1828" s="3" t="s">
        <v>11</v>
      </c>
      <c r="K1828" s="38">
        <v>0.15</v>
      </c>
      <c r="L1828" s="39">
        <v>558</v>
      </c>
    </row>
    <row r="1829" spans="1:12" ht="19.95" customHeight="1" x14ac:dyDescent="0.3">
      <c r="A1829" s="6" t="s">
        <v>4417</v>
      </c>
      <c r="B1829" s="7" t="s">
        <v>4418</v>
      </c>
      <c r="C1829" s="6" t="s">
        <v>4976</v>
      </c>
      <c r="D1829" s="7" t="s">
        <v>5049</v>
      </c>
      <c r="E1829" s="6" t="s">
        <v>5050</v>
      </c>
      <c r="F1829" s="7" t="s">
        <v>5051</v>
      </c>
      <c r="G1829" s="7" t="s">
        <v>4367</v>
      </c>
      <c r="H1829" s="5" t="s">
        <v>257</v>
      </c>
      <c r="I1829" s="6" t="s">
        <v>258</v>
      </c>
      <c r="J1829" s="7" t="s">
        <v>11</v>
      </c>
      <c r="K1829" s="36">
        <v>0.15</v>
      </c>
      <c r="L1829" s="37">
        <v>709</v>
      </c>
    </row>
    <row r="1830" spans="1:12" ht="19.95" customHeight="1" x14ac:dyDescent="0.3">
      <c r="A1830" s="2" t="s">
        <v>4417</v>
      </c>
      <c r="B1830" s="3" t="s">
        <v>4418</v>
      </c>
      <c r="C1830" s="2" t="s">
        <v>4976</v>
      </c>
      <c r="D1830" s="3" t="s">
        <v>5049</v>
      </c>
      <c r="E1830" s="2" t="s">
        <v>5050</v>
      </c>
      <c r="F1830" s="3" t="s">
        <v>5051</v>
      </c>
      <c r="G1830" s="3" t="s">
        <v>4367</v>
      </c>
      <c r="H1830" s="1" t="s">
        <v>209</v>
      </c>
      <c r="I1830" s="2" t="s">
        <v>210</v>
      </c>
      <c r="J1830" s="3" t="s">
        <v>11</v>
      </c>
      <c r="K1830" s="38">
        <v>0.15</v>
      </c>
      <c r="L1830" s="39">
        <v>558</v>
      </c>
    </row>
    <row r="1831" spans="1:12" ht="19.95" customHeight="1" x14ac:dyDescent="0.3">
      <c r="A1831" s="6" t="s">
        <v>4417</v>
      </c>
      <c r="B1831" s="7" t="s">
        <v>4418</v>
      </c>
      <c r="C1831" s="6" t="s">
        <v>4976</v>
      </c>
      <c r="D1831" s="7" t="s">
        <v>5052</v>
      </c>
      <c r="E1831" s="6" t="s">
        <v>5053</v>
      </c>
      <c r="F1831" s="7" t="s">
        <v>5051</v>
      </c>
      <c r="G1831" s="7" t="s">
        <v>4367</v>
      </c>
      <c r="H1831" s="5" t="s">
        <v>257</v>
      </c>
      <c r="I1831" s="6" t="s">
        <v>258</v>
      </c>
      <c r="J1831" s="7" t="s">
        <v>11</v>
      </c>
      <c r="K1831" s="36">
        <v>0.15</v>
      </c>
      <c r="L1831" s="37">
        <v>709</v>
      </c>
    </row>
    <row r="1832" spans="1:12" ht="19.95" customHeight="1" x14ac:dyDescent="0.3">
      <c r="A1832" s="2" t="s">
        <v>4417</v>
      </c>
      <c r="B1832" s="3" t="s">
        <v>4418</v>
      </c>
      <c r="C1832" s="2" t="s">
        <v>4976</v>
      </c>
      <c r="D1832" s="3" t="s">
        <v>5052</v>
      </c>
      <c r="E1832" s="2" t="s">
        <v>5053</v>
      </c>
      <c r="F1832" s="3" t="s">
        <v>5051</v>
      </c>
      <c r="G1832" s="3" t="s">
        <v>4367</v>
      </c>
      <c r="H1832" s="1" t="s">
        <v>209</v>
      </c>
      <c r="I1832" s="2" t="s">
        <v>210</v>
      </c>
      <c r="J1832" s="3" t="s">
        <v>11</v>
      </c>
      <c r="K1832" s="38">
        <v>0.15</v>
      </c>
      <c r="L1832" s="39">
        <v>558</v>
      </c>
    </row>
    <row r="1833" spans="1:12" ht="19.95" customHeight="1" x14ac:dyDescent="0.3">
      <c r="A1833" s="6" t="s">
        <v>4417</v>
      </c>
      <c r="B1833" s="7" t="s">
        <v>4418</v>
      </c>
      <c r="C1833" s="6" t="s">
        <v>4976</v>
      </c>
      <c r="D1833" s="7" t="s">
        <v>5054</v>
      </c>
      <c r="E1833" s="6" t="s">
        <v>5055</v>
      </c>
      <c r="F1833" s="7" t="s">
        <v>4426</v>
      </c>
      <c r="G1833" s="7" t="s">
        <v>4367</v>
      </c>
      <c r="H1833" s="5" t="s">
        <v>257</v>
      </c>
      <c r="I1833" s="6" t="s">
        <v>258</v>
      </c>
      <c r="J1833" s="7" t="s">
        <v>11</v>
      </c>
      <c r="K1833" s="36">
        <v>0.4</v>
      </c>
      <c r="L1833" s="37">
        <v>709</v>
      </c>
    </row>
    <row r="1834" spans="1:12" ht="19.95" customHeight="1" x14ac:dyDescent="0.3">
      <c r="A1834" s="2" t="s">
        <v>4417</v>
      </c>
      <c r="B1834" s="3" t="s">
        <v>4418</v>
      </c>
      <c r="C1834" s="2" t="s">
        <v>4976</v>
      </c>
      <c r="D1834" s="3" t="s">
        <v>5054</v>
      </c>
      <c r="E1834" s="2" t="s">
        <v>5055</v>
      </c>
      <c r="F1834" s="3" t="s">
        <v>4426</v>
      </c>
      <c r="G1834" s="3" t="s">
        <v>4367</v>
      </c>
      <c r="H1834" s="1" t="s">
        <v>209</v>
      </c>
      <c r="I1834" s="2" t="s">
        <v>210</v>
      </c>
      <c r="J1834" s="3" t="s">
        <v>11</v>
      </c>
      <c r="K1834" s="38">
        <v>0.4</v>
      </c>
      <c r="L1834" s="39">
        <v>558</v>
      </c>
    </row>
    <row r="1835" spans="1:12" ht="19.95" customHeight="1" x14ac:dyDescent="0.3">
      <c r="A1835" s="6" t="s">
        <v>4417</v>
      </c>
      <c r="B1835" s="7" t="s">
        <v>4418</v>
      </c>
      <c r="C1835" s="6" t="s">
        <v>4976</v>
      </c>
      <c r="D1835" s="7" t="s">
        <v>5056</v>
      </c>
      <c r="E1835" s="6" t="s">
        <v>5057</v>
      </c>
      <c r="F1835" s="7" t="s">
        <v>4426</v>
      </c>
      <c r="G1835" s="7" t="s">
        <v>4367</v>
      </c>
      <c r="H1835" s="5" t="s">
        <v>257</v>
      </c>
      <c r="I1835" s="6" t="s">
        <v>258</v>
      </c>
      <c r="J1835" s="7" t="s">
        <v>11</v>
      </c>
      <c r="K1835" s="36">
        <v>0.4</v>
      </c>
      <c r="L1835" s="37">
        <v>709</v>
      </c>
    </row>
    <row r="1836" spans="1:12" ht="19.95" customHeight="1" x14ac:dyDescent="0.3">
      <c r="A1836" s="2" t="s">
        <v>4417</v>
      </c>
      <c r="B1836" s="3" t="s">
        <v>4418</v>
      </c>
      <c r="C1836" s="2" t="s">
        <v>4976</v>
      </c>
      <c r="D1836" s="3" t="s">
        <v>5056</v>
      </c>
      <c r="E1836" s="2" t="s">
        <v>5057</v>
      </c>
      <c r="F1836" s="3" t="s">
        <v>4426</v>
      </c>
      <c r="G1836" s="3" t="s">
        <v>4367</v>
      </c>
      <c r="H1836" s="1" t="s">
        <v>209</v>
      </c>
      <c r="I1836" s="2" t="s">
        <v>210</v>
      </c>
      <c r="J1836" s="3" t="s">
        <v>11</v>
      </c>
      <c r="K1836" s="38">
        <v>0.4</v>
      </c>
      <c r="L1836" s="39">
        <v>558</v>
      </c>
    </row>
    <row r="1837" spans="1:12" ht="19.95" customHeight="1" x14ac:dyDescent="0.3">
      <c r="A1837" s="6" t="s">
        <v>4417</v>
      </c>
      <c r="B1837" s="7" t="s">
        <v>4418</v>
      </c>
      <c r="C1837" s="6" t="s">
        <v>4976</v>
      </c>
      <c r="D1837" s="7" t="s">
        <v>5058</v>
      </c>
      <c r="E1837" s="6" t="s">
        <v>5059</v>
      </c>
      <c r="F1837" s="7" t="s">
        <v>5060</v>
      </c>
      <c r="G1837" s="7" t="s">
        <v>4367</v>
      </c>
      <c r="H1837" s="5" t="s">
        <v>203</v>
      </c>
      <c r="I1837" s="6" t="s">
        <v>204</v>
      </c>
      <c r="J1837" s="7" t="s">
        <v>11</v>
      </c>
      <c r="K1837" s="36">
        <v>0.56999999999999995</v>
      </c>
      <c r="L1837" s="37">
        <v>738</v>
      </c>
    </row>
    <row r="1838" spans="1:12" ht="19.95" customHeight="1" x14ac:dyDescent="0.3">
      <c r="A1838" s="2" t="s">
        <v>4417</v>
      </c>
      <c r="B1838" s="3" t="s">
        <v>4418</v>
      </c>
      <c r="C1838" s="2" t="s">
        <v>4976</v>
      </c>
      <c r="D1838" s="3" t="s">
        <v>5061</v>
      </c>
      <c r="E1838" s="2" t="s">
        <v>5062</v>
      </c>
      <c r="F1838" s="3" t="s">
        <v>5060</v>
      </c>
      <c r="G1838" s="3" t="s">
        <v>4367</v>
      </c>
      <c r="H1838" s="1" t="s">
        <v>203</v>
      </c>
      <c r="I1838" s="2" t="s">
        <v>204</v>
      </c>
      <c r="J1838" s="3" t="s">
        <v>11</v>
      </c>
      <c r="K1838" s="38">
        <v>0.56999999999999995</v>
      </c>
      <c r="L1838" s="39">
        <v>738</v>
      </c>
    </row>
    <row r="1839" spans="1:12" ht="19.95" customHeight="1" x14ac:dyDescent="0.3">
      <c r="A1839" s="6" t="s">
        <v>4417</v>
      </c>
      <c r="B1839" s="7" t="s">
        <v>4418</v>
      </c>
      <c r="C1839" s="6" t="s">
        <v>4976</v>
      </c>
      <c r="D1839" s="7" t="s">
        <v>5063</v>
      </c>
      <c r="E1839" s="6" t="s">
        <v>5064</v>
      </c>
      <c r="F1839" s="7" t="s">
        <v>4406</v>
      </c>
      <c r="G1839" s="7" t="s">
        <v>4367</v>
      </c>
      <c r="H1839" s="5" t="s">
        <v>203</v>
      </c>
      <c r="I1839" s="6" t="s">
        <v>204</v>
      </c>
      <c r="J1839" s="7" t="s">
        <v>11</v>
      </c>
      <c r="K1839" s="36">
        <v>0.5</v>
      </c>
      <c r="L1839" s="37">
        <v>738</v>
      </c>
    </row>
    <row r="1840" spans="1:12" ht="19.95" customHeight="1" x14ac:dyDescent="0.3">
      <c r="A1840" s="2" t="s">
        <v>4417</v>
      </c>
      <c r="B1840" s="3" t="s">
        <v>4418</v>
      </c>
      <c r="C1840" s="2" t="s">
        <v>4976</v>
      </c>
      <c r="D1840" s="3" t="s">
        <v>5063</v>
      </c>
      <c r="E1840" s="2" t="s">
        <v>5064</v>
      </c>
      <c r="F1840" s="3" t="s">
        <v>4406</v>
      </c>
      <c r="G1840" s="3" t="s">
        <v>4367</v>
      </c>
      <c r="H1840" s="1" t="s">
        <v>209</v>
      </c>
      <c r="I1840" s="2" t="s">
        <v>210</v>
      </c>
      <c r="J1840" s="3" t="s">
        <v>11</v>
      </c>
      <c r="K1840" s="38">
        <v>0.5</v>
      </c>
      <c r="L1840" s="39">
        <v>558</v>
      </c>
    </row>
    <row r="1841" spans="1:12" ht="19.95" customHeight="1" x14ac:dyDescent="0.3">
      <c r="A1841" s="6" t="s">
        <v>4417</v>
      </c>
      <c r="B1841" s="7" t="s">
        <v>4418</v>
      </c>
      <c r="C1841" s="6" t="s">
        <v>4976</v>
      </c>
      <c r="D1841" s="7" t="s">
        <v>5065</v>
      </c>
      <c r="E1841" s="6" t="s">
        <v>5066</v>
      </c>
      <c r="F1841" s="7" t="s">
        <v>4406</v>
      </c>
      <c r="G1841" s="7" t="s">
        <v>4367</v>
      </c>
      <c r="H1841" s="5" t="s">
        <v>203</v>
      </c>
      <c r="I1841" s="6" t="s">
        <v>204</v>
      </c>
      <c r="J1841" s="7" t="s">
        <v>11</v>
      </c>
      <c r="K1841" s="36">
        <v>0.5</v>
      </c>
      <c r="L1841" s="37">
        <v>738</v>
      </c>
    </row>
    <row r="1842" spans="1:12" ht="19.95" customHeight="1" x14ac:dyDescent="0.3">
      <c r="A1842" s="2" t="s">
        <v>4417</v>
      </c>
      <c r="B1842" s="3" t="s">
        <v>4418</v>
      </c>
      <c r="C1842" s="2" t="s">
        <v>4976</v>
      </c>
      <c r="D1842" s="3" t="s">
        <v>5065</v>
      </c>
      <c r="E1842" s="2" t="s">
        <v>5066</v>
      </c>
      <c r="F1842" s="3" t="s">
        <v>4406</v>
      </c>
      <c r="G1842" s="3" t="s">
        <v>4367</v>
      </c>
      <c r="H1842" s="1" t="s">
        <v>209</v>
      </c>
      <c r="I1842" s="2" t="s">
        <v>210</v>
      </c>
      <c r="J1842" s="3" t="s">
        <v>11</v>
      </c>
      <c r="K1842" s="38">
        <v>0.5</v>
      </c>
      <c r="L1842" s="39">
        <v>558</v>
      </c>
    </row>
    <row r="1843" spans="1:12" ht="19.95" customHeight="1" x14ac:dyDescent="0.3">
      <c r="A1843" s="6" t="s">
        <v>4417</v>
      </c>
      <c r="B1843" s="7" t="s">
        <v>4418</v>
      </c>
      <c r="C1843" s="6" t="s">
        <v>4976</v>
      </c>
      <c r="D1843" s="7" t="s">
        <v>5067</v>
      </c>
      <c r="E1843" s="6" t="s">
        <v>5068</v>
      </c>
      <c r="F1843" s="7" t="s">
        <v>5069</v>
      </c>
      <c r="G1843" s="7" t="s">
        <v>4367</v>
      </c>
      <c r="H1843" s="5" t="s">
        <v>203</v>
      </c>
      <c r="I1843" s="6" t="s">
        <v>204</v>
      </c>
      <c r="J1843" s="7" t="s">
        <v>11</v>
      </c>
      <c r="K1843" s="36">
        <v>0.5</v>
      </c>
      <c r="L1843" s="37">
        <v>738</v>
      </c>
    </row>
    <row r="1844" spans="1:12" ht="19.95" customHeight="1" x14ac:dyDescent="0.3">
      <c r="A1844" s="2" t="s">
        <v>4417</v>
      </c>
      <c r="B1844" s="3" t="s">
        <v>4418</v>
      </c>
      <c r="C1844" s="2" t="s">
        <v>4976</v>
      </c>
      <c r="D1844" s="3" t="s">
        <v>5067</v>
      </c>
      <c r="E1844" s="2" t="s">
        <v>5068</v>
      </c>
      <c r="F1844" s="3" t="s">
        <v>5069</v>
      </c>
      <c r="G1844" s="3" t="s">
        <v>4367</v>
      </c>
      <c r="H1844" s="1" t="s">
        <v>209</v>
      </c>
      <c r="I1844" s="2" t="s">
        <v>210</v>
      </c>
      <c r="J1844" s="3" t="s">
        <v>11</v>
      </c>
      <c r="K1844" s="38">
        <v>0.5</v>
      </c>
      <c r="L1844" s="39">
        <v>558</v>
      </c>
    </row>
    <row r="1845" spans="1:12" ht="19.95" customHeight="1" x14ac:dyDescent="0.3">
      <c r="A1845" s="6" t="s">
        <v>4417</v>
      </c>
      <c r="B1845" s="7" t="s">
        <v>4418</v>
      </c>
      <c r="C1845" s="6" t="s">
        <v>4976</v>
      </c>
      <c r="D1845" s="7" t="s">
        <v>5067</v>
      </c>
      <c r="E1845" s="6" t="s">
        <v>5068</v>
      </c>
      <c r="F1845" s="7" t="s">
        <v>5069</v>
      </c>
      <c r="G1845" s="7" t="s">
        <v>4367</v>
      </c>
      <c r="H1845" s="5" t="s">
        <v>235</v>
      </c>
      <c r="I1845" s="6" t="s">
        <v>236</v>
      </c>
      <c r="J1845" s="7" t="s">
        <v>11</v>
      </c>
      <c r="K1845" s="36">
        <v>7.0000000000000007E-2</v>
      </c>
      <c r="L1845" s="37">
        <v>738</v>
      </c>
    </row>
    <row r="1846" spans="1:12" ht="19.95" customHeight="1" x14ac:dyDescent="0.3">
      <c r="A1846" s="2" t="s">
        <v>4417</v>
      </c>
      <c r="B1846" s="3" t="s">
        <v>4418</v>
      </c>
      <c r="C1846" s="2" t="s">
        <v>4976</v>
      </c>
      <c r="D1846" s="3" t="s">
        <v>5070</v>
      </c>
      <c r="E1846" s="2" t="s">
        <v>5071</v>
      </c>
      <c r="F1846" s="3" t="s">
        <v>5069</v>
      </c>
      <c r="G1846" s="3" t="s">
        <v>4367</v>
      </c>
      <c r="H1846" s="1" t="s">
        <v>203</v>
      </c>
      <c r="I1846" s="2" t="s">
        <v>204</v>
      </c>
      <c r="J1846" s="3" t="s">
        <v>11</v>
      </c>
      <c r="K1846" s="38">
        <v>0.5</v>
      </c>
      <c r="L1846" s="39">
        <v>738</v>
      </c>
    </row>
    <row r="1847" spans="1:12" ht="19.95" customHeight="1" x14ac:dyDescent="0.3">
      <c r="A1847" s="6" t="s">
        <v>4417</v>
      </c>
      <c r="B1847" s="7" t="s">
        <v>4418</v>
      </c>
      <c r="C1847" s="6" t="s">
        <v>4976</v>
      </c>
      <c r="D1847" s="7" t="s">
        <v>5070</v>
      </c>
      <c r="E1847" s="6" t="s">
        <v>5071</v>
      </c>
      <c r="F1847" s="7" t="s">
        <v>5069</v>
      </c>
      <c r="G1847" s="7" t="s">
        <v>4367</v>
      </c>
      <c r="H1847" s="5" t="s">
        <v>209</v>
      </c>
      <c r="I1847" s="6" t="s">
        <v>210</v>
      </c>
      <c r="J1847" s="7" t="s">
        <v>11</v>
      </c>
      <c r="K1847" s="36">
        <v>0.5</v>
      </c>
      <c r="L1847" s="37">
        <v>558</v>
      </c>
    </row>
    <row r="1848" spans="1:12" ht="19.95" customHeight="1" x14ac:dyDescent="0.3">
      <c r="A1848" s="2" t="s">
        <v>4417</v>
      </c>
      <c r="B1848" s="3" t="s">
        <v>4418</v>
      </c>
      <c r="C1848" s="2" t="s">
        <v>4976</v>
      </c>
      <c r="D1848" s="3" t="s">
        <v>5070</v>
      </c>
      <c r="E1848" s="2" t="s">
        <v>5071</v>
      </c>
      <c r="F1848" s="3" t="s">
        <v>5069</v>
      </c>
      <c r="G1848" s="3" t="s">
        <v>4367</v>
      </c>
      <c r="H1848" s="1" t="s">
        <v>235</v>
      </c>
      <c r="I1848" s="2" t="s">
        <v>236</v>
      </c>
      <c r="J1848" s="3" t="s">
        <v>11</v>
      </c>
      <c r="K1848" s="38">
        <v>7.0000000000000007E-2</v>
      </c>
      <c r="L1848" s="39">
        <v>738</v>
      </c>
    </row>
    <row r="1849" spans="1:12" ht="19.95" customHeight="1" x14ac:dyDescent="0.3">
      <c r="A1849" s="6" t="s">
        <v>4417</v>
      </c>
      <c r="B1849" s="7" t="s">
        <v>4418</v>
      </c>
      <c r="C1849" s="6" t="s">
        <v>4976</v>
      </c>
      <c r="D1849" s="7" t="s">
        <v>5072</v>
      </c>
      <c r="E1849" s="6" t="s">
        <v>5073</v>
      </c>
      <c r="F1849" s="7" t="s">
        <v>5069</v>
      </c>
      <c r="G1849" s="7" t="s">
        <v>4367</v>
      </c>
      <c r="H1849" s="5" t="s">
        <v>203</v>
      </c>
      <c r="I1849" s="6" t="s">
        <v>204</v>
      </c>
      <c r="J1849" s="7" t="s">
        <v>11</v>
      </c>
      <c r="K1849" s="36">
        <v>0.5</v>
      </c>
      <c r="L1849" s="37">
        <v>738</v>
      </c>
    </row>
    <row r="1850" spans="1:12" ht="19.95" customHeight="1" x14ac:dyDescent="0.3">
      <c r="A1850" s="2" t="s">
        <v>4417</v>
      </c>
      <c r="B1850" s="3" t="s">
        <v>4418</v>
      </c>
      <c r="C1850" s="2" t="s">
        <v>4976</v>
      </c>
      <c r="D1850" s="3" t="s">
        <v>5072</v>
      </c>
      <c r="E1850" s="2" t="s">
        <v>5073</v>
      </c>
      <c r="F1850" s="3" t="s">
        <v>5069</v>
      </c>
      <c r="G1850" s="3" t="s">
        <v>4367</v>
      </c>
      <c r="H1850" s="1" t="s">
        <v>209</v>
      </c>
      <c r="I1850" s="2" t="s">
        <v>210</v>
      </c>
      <c r="J1850" s="3" t="s">
        <v>11</v>
      </c>
      <c r="K1850" s="38">
        <v>0.5</v>
      </c>
      <c r="L1850" s="39">
        <v>558</v>
      </c>
    </row>
    <row r="1851" spans="1:12" ht="19.95" customHeight="1" x14ac:dyDescent="0.3">
      <c r="A1851" s="6" t="s">
        <v>4417</v>
      </c>
      <c r="B1851" s="7" t="s">
        <v>4418</v>
      </c>
      <c r="C1851" s="6" t="s">
        <v>4976</v>
      </c>
      <c r="D1851" s="7" t="s">
        <v>5072</v>
      </c>
      <c r="E1851" s="6" t="s">
        <v>5073</v>
      </c>
      <c r="F1851" s="7" t="s">
        <v>5069</v>
      </c>
      <c r="G1851" s="7" t="s">
        <v>4367</v>
      </c>
      <c r="H1851" s="5" t="s">
        <v>235</v>
      </c>
      <c r="I1851" s="6" t="s">
        <v>236</v>
      </c>
      <c r="J1851" s="7" t="s">
        <v>11</v>
      </c>
      <c r="K1851" s="36">
        <v>7.0000000000000007E-2</v>
      </c>
      <c r="L1851" s="37">
        <v>738</v>
      </c>
    </row>
    <row r="1852" spans="1:12" ht="19.95" customHeight="1" x14ac:dyDescent="0.3">
      <c r="A1852" s="2" t="s">
        <v>4417</v>
      </c>
      <c r="B1852" s="3" t="s">
        <v>4418</v>
      </c>
      <c r="C1852" s="2" t="s">
        <v>4976</v>
      </c>
      <c r="D1852" s="3" t="s">
        <v>5074</v>
      </c>
      <c r="E1852" s="2" t="s">
        <v>5075</v>
      </c>
      <c r="F1852" s="3" t="s">
        <v>4440</v>
      </c>
      <c r="G1852" s="3" t="s">
        <v>4367</v>
      </c>
      <c r="H1852" s="1" t="s">
        <v>205</v>
      </c>
      <c r="I1852" s="2" t="s">
        <v>206</v>
      </c>
      <c r="J1852" s="3" t="s">
        <v>11</v>
      </c>
      <c r="K1852" s="38">
        <v>0.27</v>
      </c>
      <c r="L1852" s="39">
        <v>679</v>
      </c>
    </row>
    <row r="1853" spans="1:12" ht="19.95" customHeight="1" x14ac:dyDescent="0.3">
      <c r="A1853" s="6" t="s">
        <v>4417</v>
      </c>
      <c r="B1853" s="7" t="s">
        <v>4418</v>
      </c>
      <c r="C1853" s="6" t="s">
        <v>4976</v>
      </c>
      <c r="D1853" s="7" t="s">
        <v>5074</v>
      </c>
      <c r="E1853" s="6" t="s">
        <v>5075</v>
      </c>
      <c r="F1853" s="7" t="s">
        <v>4440</v>
      </c>
      <c r="G1853" s="7" t="s">
        <v>4367</v>
      </c>
      <c r="H1853" s="5" t="s">
        <v>209</v>
      </c>
      <c r="I1853" s="6" t="s">
        <v>210</v>
      </c>
      <c r="J1853" s="7" t="s">
        <v>11</v>
      </c>
      <c r="K1853" s="36">
        <v>0.3</v>
      </c>
      <c r="L1853" s="37">
        <v>558</v>
      </c>
    </row>
    <row r="1854" spans="1:12" ht="19.95" customHeight="1" x14ac:dyDescent="0.3">
      <c r="A1854" s="2" t="s">
        <v>4417</v>
      </c>
      <c r="B1854" s="3" t="s">
        <v>4418</v>
      </c>
      <c r="C1854" s="2" t="s">
        <v>4976</v>
      </c>
      <c r="D1854" s="3" t="s">
        <v>5076</v>
      </c>
      <c r="E1854" s="2" t="s">
        <v>5077</v>
      </c>
      <c r="F1854" s="3" t="s">
        <v>4371</v>
      </c>
      <c r="G1854" s="3" t="s">
        <v>4367</v>
      </c>
      <c r="H1854" s="1" t="s">
        <v>203</v>
      </c>
      <c r="I1854" s="2" t="s">
        <v>204</v>
      </c>
      <c r="J1854" s="3" t="s">
        <v>11</v>
      </c>
      <c r="K1854" s="38">
        <v>3.8</v>
      </c>
      <c r="L1854" s="39">
        <v>738</v>
      </c>
    </row>
    <row r="1855" spans="1:12" ht="19.95" customHeight="1" x14ac:dyDescent="0.3">
      <c r="A1855" s="6" t="s">
        <v>4417</v>
      </c>
      <c r="B1855" s="7" t="s">
        <v>4418</v>
      </c>
      <c r="C1855" s="6" t="s">
        <v>4976</v>
      </c>
      <c r="D1855" s="7" t="s">
        <v>5076</v>
      </c>
      <c r="E1855" s="6" t="s">
        <v>5077</v>
      </c>
      <c r="F1855" s="7" t="s">
        <v>4371</v>
      </c>
      <c r="G1855" s="7" t="s">
        <v>4367</v>
      </c>
      <c r="H1855" s="5" t="s">
        <v>209</v>
      </c>
      <c r="I1855" s="6" t="s">
        <v>210</v>
      </c>
      <c r="J1855" s="7" t="s">
        <v>11</v>
      </c>
      <c r="K1855" s="36">
        <v>4.5999999999999996</v>
      </c>
      <c r="L1855" s="37">
        <v>558</v>
      </c>
    </row>
    <row r="1856" spans="1:12" ht="19.95" customHeight="1" x14ac:dyDescent="0.3">
      <c r="A1856" s="2" t="s">
        <v>4417</v>
      </c>
      <c r="B1856" s="3" t="s">
        <v>4418</v>
      </c>
      <c r="C1856" s="2" t="s">
        <v>4976</v>
      </c>
      <c r="D1856" s="3" t="s">
        <v>5078</v>
      </c>
      <c r="E1856" s="2" t="s">
        <v>5079</v>
      </c>
      <c r="F1856" s="3" t="s">
        <v>4371</v>
      </c>
      <c r="G1856" s="3" t="s">
        <v>4367</v>
      </c>
      <c r="H1856" s="1" t="s">
        <v>203</v>
      </c>
      <c r="I1856" s="2" t="s">
        <v>204</v>
      </c>
      <c r="J1856" s="3" t="s">
        <v>11</v>
      </c>
      <c r="K1856" s="38">
        <v>3.8</v>
      </c>
      <c r="L1856" s="39">
        <v>738</v>
      </c>
    </row>
    <row r="1857" spans="1:12" ht="19.95" customHeight="1" x14ac:dyDescent="0.3">
      <c r="A1857" s="6" t="s">
        <v>4417</v>
      </c>
      <c r="B1857" s="7" t="s">
        <v>4418</v>
      </c>
      <c r="C1857" s="6" t="s">
        <v>4976</v>
      </c>
      <c r="D1857" s="7" t="s">
        <v>5078</v>
      </c>
      <c r="E1857" s="6" t="s">
        <v>5079</v>
      </c>
      <c r="F1857" s="7" t="s">
        <v>4371</v>
      </c>
      <c r="G1857" s="7" t="s">
        <v>4367</v>
      </c>
      <c r="H1857" s="5" t="s">
        <v>209</v>
      </c>
      <c r="I1857" s="6" t="s">
        <v>210</v>
      </c>
      <c r="J1857" s="7" t="s">
        <v>11</v>
      </c>
      <c r="K1857" s="36">
        <v>4.5999999999999996</v>
      </c>
      <c r="L1857" s="37">
        <v>558</v>
      </c>
    </row>
    <row r="1858" spans="1:12" ht="19.95" customHeight="1" x14ac:dyDescent="0.3">
      <c r="A1858" s="2" t="s">
        <v>4417</v>
      </c>
      <c r="B1858" s="3" t="s">
        <v>4418</v>
      </c>
      <c r="C1858" s="2" t="s">
        <v>4976</v>
      </c>
      <c r="D1858" s="3" t="s">
        <v>5078</v>
      </c>
      <c r="E1858" s="2" t="s">
        <v>5079</v>
      </c>
      <c r="F1858" s="3" t="s">
        <v>4371</v>
      </c>
      <c r="G1858" s="3" t="s">
        <v>4367</v>
      </c>
      <c r="H1858" s="1" t="s">
        <v>203</v>
      </c>
      <c r="I1858" s="2" t="s">
        <v>5024</v>
      </c>
      <c r="J1858" s="3" t="s">
        <v>11</v>
      </c>
      <c r="K1858" s="38">
        <v>3.8</v>
      </c>
      <c r="L1858" s="39">
        <v>738</v>
      </c>
    </row>
    <row r="1859" spans="1:12" ht="19.95" customHeight="1" x14ac:dyDescent="0.3">
      <c r="A1859" s="6" t="s">
        <v>4417</v>
      </c>
      <c r="B1859" s="7" t="s">
        <v>4418</v>
      </c>
      <c r="C1859" s="6" t="s">
        <v>4976</v>
      </c>
      <c r="D1859" s="7" t="s">
        <v>5078</v>
      </c>
      <c r="E1859" s="6" t="s">
        <v>5079</v>
      </c>
      <c r="F1859" s="7" t="s">
        <v>4371</v>
      </c>
      <c r="G1859" s="7" t="s">
        <v>4367</v>
      </c>
      <c r="H1859" s="5" t="s">
        <v>209</v>
      </c>
      <c r="I1859" s="6" t="s">
        <v>210</v>
      </c>
      <c r="J1859" s="7" t="s">
        <v>11</v>
      </c>
      <c r="K1859" s="36">
        <v>4.5999999999999996</v>
      </c>
      <c r="L1859" s="37">
        <v>558</v>
      </c>
    </row>
    <row r="1860" spans="1:12" ht="19.95" customHeight="1" x14ac:dyDescent="0.3">
      <c r="A1860" s="2" t="s">
        <v>4417</v>
      </c>
      <c r="B1860" s="3" t="s">
        <v>4418</v>
      </c>
      <c r="C1860" s="2" t="s">
        <v>4976</v>
      </c>
      <c r="D1860" s="3" t="s">
        <v>5080</v>
      </c>
      <c r="E1860" s="2" t="s">
        <v>5081</v>
      </c>
      <c r="F1860" s="3" t="s">
        <v>4371</v>
      </c>
      <c r="G1860" s="3" t="s">
        <v>4367</v>
      </c>
      <c r="H1860" s="1" t="s">
        <v>203</v>
      </c>
      <c r="I1860" s="2" t="s">
        <v>204</v>
      </c>
      <c r="J1860" s="3" t="s">
        <v>11</v>
      </c>
      <c r="K1860" s="38">
        <v>3.8</v>
      </c>
      <c r="L1860" s="39">
        <v>738</v>
      </c>
    </row>
    <row r="1861" spans="1:12" ht="19.95" customHeight="1" x14ac:dyDescent="0.3">
      <c r="A1861" s="6" t="s">
        <v>4417</v>
      </c>
      <c r="B1861" s="7" t="s">
        <v>4418</v>
      </c>
      <c r="C1861" s="6" t="s">
        <v>4976</v>
      </c>
      <c r="D1861" s="7" t="s">
        <v>5080</v>
      </c>
      <c r="E1861" s="6" t="s">
        <v>5081</v>
      </c>
      <c r="F1861" s="7" t="s">
        <v>4371</v>
      </c>
      <c r="G1861" s="7" t="s">
        <v>4367</v>
      </c>
      <c r="H1861" s="5" t="s">
        <v>209</v>
      </c>
      <c r="I1861" s="6" t="s">
        <v>210</v>
      </c>
      <c r="J1861" s="7" t="s">
        <v>11</v>
      </c>
      <c r="K1861" s="36">
        <v>4.5999999999999996</v>
      </c>
      <c r="L1861" s="37">
        <v>558</v>
      </c>
    </row>
    <row r="1862" spans="1:12" ht="19.95" customHeight="1" x14ac:dyDescent="0.3">
      <c r="A1862" s="2" t="s">
        <v>4417</v>
      </c>
      <c r="B1862" s="3" t="s">
        <v>4418</v>
      </c>
      <c r="C1862" s="2" t="s">
        <v>4976</v>
      </c>
      <c r="D1862" s="3" t="s">
        <v>5082</v>
      </c>
      <c r="E1862" s="2" t="s">
        <v>5083</v>
      </c>
      <c r="F1862" s="3" t="s">
        <v>4420</v>
      </c>
      <c r="G1862" s="3" t="s">
        <v>4367</v>
      </c>
      <c r="H1862" s="1" t="s">
        <v>203</v>
      </c>
      <c r="I1862" s="2" t="s">
        <v>204</v>
      </c>
      <c r="J1862" s="3" t="s">
        <v>11</v>
      </c>
      <c r="K1862" s="38">
        <v>1.3</v>
      </c>
      <c r="L1862" s="39">
        <v>738</v>
      </c>
    </row>
    <row r="1863" spans="1:12" ht="19.95" customHeight="1" x14ac:dyDescent="0.3">
      <c r="A1863" s="6" t="s">
        <v>4417</v>
      </c>
      <c r="B1863" s="7" t="s">
        <v>4418</v>
      </c>
      <c r="C1863" s="6" t="s">
        <v>4976</v>
      </c>
      <c r="D1863" s="7" t="s">
        <v>5082</v>
      </c>
      <c r="E1863" s="6" t="s">
        <v>5083</v>
      </c>
      <c r="F1863" s="7" t="s">
        <v>4420</v>
      </c>
      <c r="G1863" s="7" t="s">
        <v>4367</v>
      </c>
      <c r="H1863" s="5" t="s">
        <v>205</v>
      </c>
      <c r="I1863" s="6" t="s">
        <v>206</v>
      </c>
      <c r="J1863" s="7" t="s">
        <v>11</v>
      </c>
      <c r="K1863" s="36">
        <v>0.9</v>
      </c>
      <c r="L1863" s="37">
        <v>679</v>
      </c>
    </row>
    <row r="1864" spans="1:12" ht="19.95" customHeight="1" x14ac:dyDescent="0.3">
      <c r="A1864" s="2" t="s">
        <v>4417</v>
      </c>
      <c r="B1864" s="3" t="s">
        <v>4418</v>
      </c>
      <c r="C1864" s="2" t="s">
        <v>4976</v>
      </c>
      <c r="D1864" s="3" t="s">
        <v>5082</v>
      </c>
      <c r="E1864" s="2" t="s">
        <v>5083</v>
      </c>
      <c r="F1864" s="3" t="s">
        <v>4420</v>
      </c>
      <c r="G1864" s="3" t="s">
        <v>4367</v>
      </c>
      <c r="H1864" s="1" t="s">
        <v>209</v>
      </c>
      <c r="I1864" s="2" t="s">
        <v>210</v>
      </c>
      <c r="J1864" s="3" t="s">
        <v>11</v>
      </c>
      <c r="K1864" s="38">
        <v>1.05</v>
      </c>
      <c r="L1864" s="39">
        <v>558</v>
      </c>
    </row>
    <row r="1865" spans="1:12" ht="19.95" customHeight="1" x14ac:dyDescent="0.3">
      <c r="A1865" s="6" t="s">
        <v>4417</v>
      </c>
      <c r="B1865" s="7" t="s">
        <v>4418</v>
      </c>
      <c r="C1865" s="6" t="s">
        <v>4976</v>
      </c>
      <c r="D1865" s="7" t="s">
        <v>5082</v>
      </c>
      <c r="E1865" s="6" t="s">
        <v>5083</v>
      </c>
      <c r="F1865" s="7" t="s">
        <v>4420</v>
      </c>
      <c r="G1865" s="7" t="s">
        <v>4367</v>
      </c>
      <c r="H1865" s="5" t="s">
        <v>235</v>
      </c>
      <c r="I1865" s="6" t="s">
        <v>236</v>
      </c>
      <c r="J1865" s="7" t="s">
        <v>11</v>
      </c>
      <c r="K1865" s="36">
        <v>0.105</v>
      </c>
      <c r="L1865" s="37">
        <v>738</v>
      </c>
    </row>
    <row r="1866" spans="1:12" ht="19.95" customHeight="1" x14ac:dyDescent="0.3">
      <c r="A1866" s="2" t="s">
        <v>4417</v>
      </c>
      <c r="B1866" s="3" t="s">
        <v>4418</v>
      </c>
      <c r="C1866" s="2" t="s">
        <v>4976</v>
      </c>
      <c r="D1866" s="3" t="s">
        <v>5082</v>
      </c>
      <c r="E1866" s="2" t="s">
        <v>5083</v>
      </c>
      <c r="F1866" s="3" t="s">
        <v>4420</v>
      </c>
      <c r="G1866" s="3" t="s">
        <v>4367</v>
      </c>
      <c r="H1866" s="1" t="s">
        <v>203</v>
      </c>
      <c r="I1866" s="2" t="s">
        <v>204</v>
      </c>
      <c r="J1866" s="3" t="s">
        <v>11</v>
      </c>
      <c r="K1866" s="38">
        <v>1.3</v>
      </c>
      <c r="L1866" s="39">
        <v>738</v>
      </c>
    </row>
    <row r="1867" spans="1:12" ht="19.95" customHeight="1" x14ac:dyDescent="0.3">
      <c r="A1867" s="6" t="s">
        <v>4417</v>
      </c>
      <c r="B1867" s="7" t="s">
        <v>4418</v>
      </c>
      <c r="C1867" s="6" t="s">
        <v>4976</v>
      </c>
      <c r="D1867" s="7" t="s">
        <v>5082</v>
      </c>
      <c r="E1867" s="6" t="s">
        <v>5083</v>
      </c>
      <c r="F1867" s="7" t="s">
        <v>4420</v>
      </c>
      <c r="G1867" s="7" t="s">
        <v>4367</v>
      </c>
      <c r="H1867" s="5" t="s">
        <v>205</v>
      </c>
      <c r="I1867" s="6" t="s">
        <v>206</v>
      </c>
      <c r="J1867" s="7" t="s">
        <v>11</v>
      </c>
      <c r="K1867" s="36">
        <v>0.9</v>
      </c>
      <c r="L1867" s="37">
        <v>679</v>
      </c>
    </row>
    <row r="1868" spans="1:12" ht="19.95" customHeight="1" x14ac:dyDescent="0.3">
      <c r="A1868" s="2" t="s">
        <v>4417</v>
      </c>
      <c r="B1868" s="3" t="s">
        <v>4418</v>
      </c>
      <c r="C1868" s="2" t="s">
        <v>4976</v>
      </c>
      <c r="D1868" s="3" t="s">
        <v>5082</v>
      </c>
      <c r="E1868" s="2" t="s">
        <v>5083</v>
      </c>
      <c r="F1868" s="3" t="s">
        <v>4420</v>
      </c>
      <c r="G1868" s="3" t="s">
        <v>4367</v>
      </c>
      <c r="H1868" s="1" t="s">
        <v>209</v>
      </c>
      <c r="I1868" s="2" t="s">
        <v>210</v>
      </c>
      <c r="J1868" s="3" t="s">
        <v>11</v>
      </c>
      <c r="K1868" s="38">
        <v>1.05</v>
      </c>
      <c r="L1868" s="39">
        <v>558</v>
      </c>
    </row>
    <row r="1869" spans="1:12" ht="19.95" customHeight="1" x14ac:dyDescent="0.3">
      <c r="A1869" s="6" t="s">
        <v>4417</v>
      </c>
      <c r="B1869" s="7" t="s">
        <v>4418</v>
      </c>
      <c r="C1869" s="6" t="s">
        <v>4976</v>
      </c>
      <c r="D1869" s="7" t="s">
        <v>5082</v>
      </c>
      <c r="E1869" s="6" t="s">
        <v>5083</v>
      </c>
      <c r="F1869" s="7" t="s">
        <v>4420</v>
      </c>
      <c r="G1869" s="7" t="s">
        <v>4367</v>
      </c>
      <c r="H1869" s="5" t="s">
        <v>235</v>
      </c>
      <c r="I1869" s="6" t="s">
        <v>236</v>
      </c>
      <c r="J1869" s="7" t="s">
        <v>11</v>
      </c>
      <c r="K1869" s="36">
        <v>0.105</v>
      </c>
      <c r="L1869" s="37">
        <v>738</v>
      </c>
    </row>
    <row r="1870" spans="1:12" ht="19.95" customHeight="1" x14ac:dyDescent="0.3">
      <c r="A1870" s="2" t="s">
        <v>4417</v>
      </c>
      <c r="B1870" s="3" t="s">
        <v>4418</v>
      </c>
      <c r="C1870" s="2" t="s">
        <v>4976</v>
      </c>
      <c r="D1870" s="3" t="s">
        <v>5082</v>
      </c>
      <c r="E1870" s="2" t="s">
        <v>5083</v>
      </c>
      <c r="F1870" s="3" t="s">
        <v>4420</v>
      </c>
      <c r="G1870" s="3" t="s">
        <v>4367</v>
      </c>
      <c r="H1870" s="1" t="s">
        <v>203</v>
      </c>
      <c r="I1870" s="2" t="s">
        <v>204</v>
      </c>
      <c r="J1870" s="3" t="s">
        <v>11</v>
      </c>
      <c r="K1870" s="38">
        <v>1.3</v>
      </c>
      <c r="L1870" s="39">
        <v>738</v>
      </c>
    </row>
    <row r="1871" spans="1:12" ht="19.95" customHeight="1" x14ac:dyDescent="0.3">
      <c r="A1871" s="6" t="s">
        <v>4417</v>
      </c>
      <c r="B1871" s="7" t="s">
        <v>4418</v>
      </c>
      <c r="C1871" s="6" t="s">
        <v>4976</v>
      </c>
      <c r="D1871" s="7" t="s">
        <v>5082</v>
      </c>
      <c r="E1871" s="6" t="s">
        <v>5083</v>
      </c>
      <c r="F1871" s="7" t="s">
        <v>4420</v>
      </c>
      <c r="G1871" s="7" t="s">
        <v>4367</v>
      </c>
      <c r="H1871" s="5" t="s">
        <v>205</v>
      </c>
      <c r="I1871" s="6" t="s">
        <v>206</v>
      </c>
      <c r="J1871" s="7" t="s">
        <v>11</v>
      </c>
      <c r="K1871" s="36">
        <v>0.9</v>
      </c>
      <c r="L1871" s="37">
        <v>679</v>
      </c>
    </row>
    <row r="1872" spans="1:12" ht="19.95" customHeight="1" x14ac:dyDescent="0.3">
      <c r="A1872" s="2" t="s">
        <v>4417</v>
      </c>
      <c r="B1872" s="3" t="s">
        <v>4418</v>
      </c>
      <c r="C1872" s="2" t="s">
        <v>4976</v>
      </c>
      <c r="D1872" s="3" t="s">
        <v>5082</v>
      </c>
      <c r="E1872" s="2" t="s">
        <v>5083</v>
      </c>
      <c r="F1872" s="3" t="s">
        <v>4420</v>
      </c>
      <c r="G1872" s="3" t="s">
        <v>4367</v>
      </c>
      <c r="H1872" s="1" t="s">
        <v>209</v>
      </c>
      <c r="I1872" s="2" t="s">
        <v>210</v>
      </c>
      <c r="J1872" s="3" t="s">
        <v>11</v>
      </c>
      <c r="K1872" s="38">
        <v>1.05</v>
      </c>
      <c r="L1872" s="39">
        <v>558</v>
      </c>
    </row>
    <row r="1873" spans="1:12" ht="19.95" customHeight="1" x14ac:dyDescent="0.3">
      <c r="A1873" s="6" t="s">
        <v>4417</v>
      </c>
      <c r="B1873" s="7" t="s">
        <v>4418</v>
      </c>
      <c r="C1873" s="6" t="s">
        <v>4976</v>
      </c>
      <c r="D1873" s="7" t="s">
        <v>5082</v>
      </c>
      <c r="E1873" s="6" t="s">
        <v>5083</v>
      </c>
      <c r="F1873" s="7" t="s">
        <v>4420</v>
      </c>
      <c r="G1873" s="7" t="s">
        <v>4367</v>
      </c>
      <c r="H1873" s="5" t="s">
        <v>235</v>
      </c>
      <c r="I1873" s="6" t="s">
        <v>236</v>
      </c>
      <c r="J1873" s="7" t="s">
        <v>11</v>
      </c>
      <c r="K1873" s="36">
        <v>0.105</v>
      </c>
      <c r="L1873" s="37">
        <v>738</v>
      </c>
    </row>
    <row r="1874" spans="1:12" ht="19.95" customHeight="1" x14ac:dyDescent="0.3">
      <c r="A1874" s="2" t="s">
        <v>4417</v>
      </c>
      <c r="B1874" s="3" t="s">
        <v>4418</v>
      </c>
      <c r="C1874" s="2" t="s">
        <v>4976</v>
      </c>
      <c r="D1874" s="3" t="s">
        <v>5082</v>
      </c>
      <c r="E1874" s="2" t="s">
        <v>5083</v>
      </c>
      <c r="F1874" s="3" t="s">
        <v>4420</v>
      </c>
      <c r="G1874" s="3" t="s">
        <v>4367</v>
      </c>
      <c r="H1874" s="1" t="s">
        <v>203</v>
      </c>
      <c r="I1874" s="2" t="s">
        <v>204</v>
      </c>
      <c r="J1874" s="3" t="s">
        <v>11</v>
      </c>
      <c r="K1874" s="38">
        <v>1.3</v>
      </c>
      <c r="L1874" s="39">
        <v>738</v>
      </c>
    </row>
    <row r="1875" spans="1:12" ht="19.95" customHeight="1" x14ac:dyDescent="0.3">
      <c r="A1875" s="6" t="s">
        <v>4417</v>
      </c>
      <c r="B1875" s="7" t="s">
        <v>4418</v>
      </c>
      <c r="C1875" s="6" t="s">
        <v>4976</v>
      </c>
      <c r="D1875" s="7" t="s">
        <v>5082</v>
      </c>
      <c r="E1875" s="6" t="s">
        <v>5083</v>
      </c>
      <c r="F1875" s="7" t="s">
        <v>4420</v>
      </c>
      <c r="G1875" s="7" t="s">
        <v>4367</v>
      </c>
      <c r="H1875" s="5" t="s">
        <v>205</v>
      </c>
      <c r="I1875" s="6" t="s">
        <v>206</v>
      </c>
      <c r="J1875" s="7" t="s">
        <v>11</v>
      </c>
      <c r="K1875" s="36">
        <v>0.9</v>
      </c>
      <c r="L1875" s="37">
        <v>679</v>
      </c>
    </row>
    <row r="1876" spans="1:12" ht="19.95" customHeight="1" x14ac:dyDescent="0.3">
      <c r="A1876" s="2" t="s">
        <v>4417</v>
      </c>
      <c r="B1876" s="3" t="s">
        <v>4418</v>
      </c>
      <c r="C1876" s="2" t="s">
        <v>4976</v>
      </c>
      <c r="D1876" s="3" t="s">
        <v>5082</v>
      </c>
      <c r="E1876" s="2" t="s">
        <v>5083</v>
      </c>
      <c r="F1876" s="3" t="s">
        <v>4420</v>
      </c>
      <c r="G1876" s="3" t="s">
        <v>4367</v>
      </c>
      <c r="H1876" s="1" t="s">
        <v>209</v>
      </c>
      <c r="I1876" s="2" t="s">
        <v>210</v>
      </c>
      <c r="J1876" s="3" t="s">
        <v>11</v>
      </c>
      <c r="K1876" s="38">
        <v>1.05</v>
      </c>
      <c r="L1876" s="39">
        <v>558</v>
      </c>
    </row>
    <row r="1877" spans="1:12" ht="19.95" customHeight="1" x14ac:dyDescent="0.3">
      <c r="A1877" s="6" t="s">
        <v>4417</v>
      </c>
      <c r="B1877" s="7" t="s">
        <v>4418</v>
      </c>
      <c r="C1877" s="6" t="s">
        <v>4976</v>
      </c>
      <c r="D1877" s="7" t="s">
        <v>5082</v>
      </c>
      <c r="E1877" s="6" t="s">
        <v>5083</v>
      </c>
      <c r="F1877" s="7" t="s">
        <v>4420</v>
      </c>
      <c r="G1877" s="7" t="s">
        <v>4367</v>
      </c>
      <c r="H1877" s="5" t="s">
        <v>235</v>
      </c>
      <c r="I1877" s="6" t="s">
        <v>236</v>
      </c>
      <c r="J1877" s="7" t="s">
        <v>11</v>
      </c>
      <c r="K1877" s="36">
        <v>0.105</v>
      </c>
      <c r="L1877" s="37">
        <v>738</v>
      </c>
    </row>
    <row r="1878" spans="1:12" ht="19.95" customHeight="1" x14ac:dyDescent="0.3">
      <c r="A1878" s="2" t="s">
        <v>4417</v>
      </c>
      <c r="B1878" s="3" t="s">
        <v>4418</v>
      </c>
      <c r="C1878" s="2" t="s">
        <v>4976</v>
      </c>
      <c r="D1878" s="3" t="s">
        <v>5082</v>
      </c>
      <c r="E1878" s="2" t="s">
        <v>5083</v>
      </c>
      <c r="F1878" s="3" t="s">
        <v>4420</v>
      </c>
      <c r="G1878" s="3" t="s">
        <v>4367</v>
      </c>
      <c r="H1878" s="1" t="s">
        <v>203</v>
      </c>
      <c r="I1878" s="2" t="s">
        <v>204</v>
      </c>
      <c r="J1878" s="3" t="s">
        <v>11</v>
      </c>
      <c r="K1878" s="38">
        <v>1.3</v>
      </c>
      <c r="L1878" s="39">
        <v>738</v>
      </c>
    </row>
    <row r="1879" spans="1:12" ht="19.95" customHeight="1" x14ac:dyDescent="0.3">
      <c r="A1879" s="6" t="s">
        <v>4417</v>
      </c>
      <c r="B1879" s="7" t="s">
        <v>4418</v>
      </c>
      <c r="C1879" s="6" t="s">
        <v>4976</v>
      </c>
      <c r="D1879" s="7" t="s">
        <v>5082</v>
      </c>
      <c r="E1879" s="6" t="s">
        <v>5083</v>
      </c>
      <c r="F1879" s="7" t="s">
        <v>4420</v>
      </c>
      <c r="G1879" s="7" t="s">
        <v>4367</v>
      </c>
      <c r="H1879" s="5" t="s">
        <v>205</v>
      </c>
      <c r="I1879" s="6" t="s">
        <v>206</v>
      </c>
      <c r="J1879" s="7" t="s">
        <v>11</v>
      </c>
      <c r="K1879" s="36">
        <v>0.9</v>
      </c>
      <c r="L1879" s="37">
        <v>679</v>
      </c>
    </row>
    <row r="1880" spans="1:12" ht="19.95" customHeight="1" x14ac:dyDescent="0.3">
      <c r="A1880" s="2" t="s">
        <v>4417</v>
      </c>
      <c r="B1880" s="3" t="s">
        <v>4418</v>
      </c>
      <c r="C1880" s="2" t="s">
        <v>4976</v>
      </c>
      <c r="D1880" s="3" t="s">
        <v>5082</v>
      </c>
      <c r="E1880" s="2" t="s">
        <v>5083</v>
      </c>
      <c r="F1880" s="3" t="s">
        <v>4420</v>
      </c>
      <c r="G1880" s="3" t="s">
        <v>4367</v>
      </c>
      <c r="H1880" s="1" t="s">
        <v>209</v>
      </c>
      <c r="I1880" s="2" t="s">
        <v>210</v>
      </c>
      <c r="J1880" s="3" t="s">
        <v>11</v>
      </c>
      <c r="K1880" s="38">
        <v>1.05</v>
      </c>
      <c r="L1880" s="39">
        <v>558</v>
      </c>
    </row>
    <row r="1881" spans="1:12" ht="19.95" customHeight="1" x14ac:dyDescent="0.3">
      <c r="A1881" s="6" t="s">
        <v>4417</v>
      </c>
      <c r="B1881" s="7" t="s">
        <v>4418</v>
      </c>
      <c r="C1881" s="6" t="s">
        <v>4976</v>
      </c>
      <c r="D1881" s="7" t="s">
        <v>5082</v>
      </c>
      <c r="E1881" s="6" t="s">
        <v>5083</v>
      </c>
      <c r="F1881" s="7" t="s">
        <v>4420</v>
      </c>
      <c r="G1881" s="7" t="s">
        <v>4367</v>
      </c>
      <c r="H1881" s="5" t="s">
        <v>235</v>
      </c>
      <c r="I1881" s="6" t="s">
        <v>236</v>
      </c>
      <c r="J1881" s="7" t="s">
        <v>11</v>
      </c>
      <c r="K1881" s="36">
        <v>0.105</v>
      </c>
      <c r="L1881" s="37">
        <v>738</v>
      </c>
    </row>
    <row r="1882" spans="1:12" ht="19.95" customHeight="1" x14ac:dyDescent="0.3">
      <c r="A1882" s="2" t="s">
        <v>4417</v>
      </c>
      <c r="B1882" s="3" t="s">
        <v>4418</v>
      </c>
      <c r="C1882" s="2" t="s">
        <v>4976</v>
      </c>
      <c r="D1882" s="3" t="s">
        <v>5082</v>
      </c>
      <c r="E1882" s="2" t="s">
        <v>5083</v>
      </c>
      <c r="F1882" s="3" t="s">
        <v>4420</v>
      </c>
      <c r="G1882" s="3" t="s">
        <v>4367</v>
      </c>
      <c r="H1882" s="1" t="s">
        <v>203</v>
      </c>
      <c r="I1882" s="2" t="s">
        <v>204</v>
      </c>
      <c r="J1882" s="3" t="s">
        <v>11</v>
      </c>
      <c r="K1882" s="38">
        <v>1.3</v>
      </c>
      <c r="L1882" s="39">
        <v>738</v>
      </c>
    </row>
    <row r="1883" spans="1:12" ht="19.95" customHeight="1" x14ac:dyDescent="0.3">
      <c r="A1883" s="6" t="s">
        <v>4417</v>
      </c>
      <c r="B1883" s="7" t="s">
        <v>4418</v>
      </c>
      <c r="C1883" s="6" t="s">
        <v>4976</v>
      </c>
      <c r="D1883" s="7" t="s">
        <v>5082</v>
      </c>
      <c r="E1883" s="6" t="s">
        <v>5083</v>
      </c>
      <c r="F1883" s="7" t="s">
        <v>4420</v>
      </c>
      <c r="G1883" s="7" t="s">
        <v>4367</v>
      </c>
      <c r="H1883" s="5" t="s">
        <v>205</v>
      </c>
      <c r="I1883" s="6" t="s">
        <v>206</v>
      </c>
      <c r="J1883" s="7" t="s">
        <v>11</v>
      </c>
      <c r="K1883" s="36">
        <v>0.9</v>
      </c>
      <c r="L1883" s="37">
        <v>679</v>
      </c>
    </row>
    <row r="1884" spans="1:12" ht="19.95" customHeight="1" x14ac:dyDescent="0.3">
      <c r="A1884" s="2" t="s">
        <v>4417</v>
      </c>
      <c r="B1884" s="3" t="s">
        <v>4418</v>
      </c>
      <c r="C1884" s="2" t="s">
        <v>4976</v>
      </c>
      <c r="D1884" s="3" t="s">
        <v>5082</v>
      </c>
      <c r="E1884" s="2" t="s">
        <v>5083</v>
      </c>
      <c r="F1884" s="3" t="s">
        <v>4420</v>
      </c>
      <c r="G1884" s="3" t="s">
        <v>4367</v>
      </c>
      <c r="H1884" s="1" t="s">
        <v>209</v>
      </c>
      <c r="I1884" s="2" t="s">
        <v>210</v>
      </c>
      <c r="J1884" s="3" t="s">
        <v>11</v>
      </c>
      <c r="K1884" s="38">
        <v>1.05</v>
      </c>
      <c r="L1884" s="39">
        <v>558</v>
      </c>
    </row>
    <row r="1885" spans="1:12" ht="19.95" customHeight="1" x14ac:dyDescent="0.3">
      <c r="A1885" s="6" t="s">
        <v>4417</v>
      </c>
      <c r="B1885" s="7" t="s">
        <v>4418</v>
      </c>
      <c r="C1885" s="6" t="s">
        <v>4976</v>
      </c>
      <c r="D1885" s="7" t="s">
        <v>5082</v>
      </c>
      <c r="E1885" s="6" t="s">
        <v>5083</v>
      </c>
      <c r="F1885" s="7" t="s">
        <v>4420</v>
      </c>
      <c r="G1885" s="7" t="s">
        <v>4367</v>
      </c>
      <c r="H1885" s="5" t="s">
        <v>235</v>
      </c>
      <c r="I1885" s="6" t="s">
        <v>236</v>
      </c>
      <c r="J1885" s="7" t="s">
        <v>11</v>
      </c>
      <c r="K1885" s="36">
        <v>0.105</v>
      </c>
      <c r="L1885" s="37">
        <v>738</v>
      </c>
    </row>
    <row r="1886" spans="1:12" ht="19.95" customHeight="1" x14ac:dyDescent="0.3">
      <c r="A1886" s="2" t="s">
        <v>4417</v>
      </c>
      <c r="B1886" s="3" t="s">
        <v>4418</v>
      </c>
      <c r="C1886" s="2" t="s">
        <v>4976</v>
      </c>
      <c r="D1886" s="3" t="s">
        <v>5084</v>
      </c>
      <c r="E1886" s="2" t="s">
        <v>5085</v>
      </c>
      <c r="F1886" s="3" t="s">
        <v>4420</v>
      </c>
      <c r="G1886" s="3" t="s">
        <v>4367</v>
      </c>
      <c r="H1886" s="1" t="s">
        <v>203</v>
      </c>
      <c r="I1886" s="2" t="s">
        <v>204</v>
      </c>
      <c r="J1886" s="3" t="s">
        <v>11</v>
      </c>
      <c r="K1886" s="38">
        <v>1.2</v>
      </c>
      <c r="L1886" s="39">
        <v>738</v>
      </c>
    </row>
    <row r="1887" spans="1:12" ht="19.95" customHeight="1" x14ac:dyDescent="0.3">
      <c r="A1887" s="6" t="s">
        <v>4417</v>
      </c>
      <c r="B1887" s="7" t="s">
        <v>4418</v>
      </c>
      <c r="C1887" s="6" t="s">
        <v>4976</v>
      </c>
      <c r="D1887" s="7" t="s">
        <v>5084</v>
      </c>
      <c r="E1887" s="6" t="s">
        <v>5085</v>
      </c>
      <c r="F1887" s="7" t="s">
        <v>4420</v>
      </c>
      <c r="G1887" s="7" t="s">
        <v>4367</v>
      </c>
      <c r="H1887" s="5" t="s">
        <v>205</v>
      </c>
      <c r="I1887" s="6" t="s">
        <v>206</v>
      </c>
      <c r="J1887" s="7" t="s">
        <v>11</v>
      </c>
      <c r="K1887" s="36">
        <v>0.8</v>
      </c>
      <c r="L1887" s="37">
        <v>679</v>
      </c>
    </row>
    <row r="1888" spans="1:12" ht="19.95" customHeight="1" x14ac:dyDescent="0.3">
      <c r="A1888" s="2" t="s">
        <v>4417</v>
      </c>
      <c r="B1888" s="3" t="s">
        <v>4418</v>
      </c>
      <c r="C1888" s="2" t="s">
        <v>4976</v>
      </c>
      <c r="D1888" s="3" t="s">
        <v>5084</v>
      </c>
      <c r="E1888" s="2" t="s">
        <v>5085</v>
      </c>
      <c r="F1888" s="3" t="s">
        <v>4420</v>
      </c>
      <c r="G1888" s="3" t="s">
        <v>4367</v>
      </c>
      <c r="H1888" s="1" t="s">
        <v>209</v>
      </c>
      <c r="I1888" s="2" t="s">
        <v>210</v>
      </c>
      <c r="J1888" s="3" t="s">
        <v>11</v>
      </c>
      <c r="K1888" s="38">
        <v>1</v>
      </c>
      <c r="L1888" s="39">
        <v>558</v>
      </c>
    </row>
    <row r="1889" spans="1:12" ht="19.95" customHeight="1" x14ac:dyDescent="0.3">
      <c r="A1889" s="6" t="s">
        <v>4417</v>
      </c>
      <c r="B1889" s="7" t="s">
        <v>4418</v>
      </c>
      <c r="C1889" s="6" t="s">
        <v>4976</v>
      </c>
      <c r="D1889" s="7" t="s">
        <v>5084</v>
      </c>
      <c r="E1889" s="6" t="s">
        <v>5085</v>
      </c>
      <c r="F1889" s="7" t="s">
        <v>4420</v>
      </c>
      <c r="G1889" s="7" t="s">
        <v>4367</v>
      </c>
      <c r="H1889" s="5" t="s">
        <v>235</v>
      </c>
      <c r="I1889" s="6" t="s">
        <v>236</v>
      </c>
      <c r="J1889" s="7" t="s">
        <v>11</v>
      </c>
      <c r="K1889" s="36">
        <v>0.1</v>
      </c>
      <c r="L1889" s="37">
        <v>738</v>
      </c>
    </row>
    <row r="1890" spans="1:12" ht="19.95" customHeight="1" x14ac:dyDescent="0.3">
      <c r="A1890" s="2" t="s">
        <v>4417</v>
      </c>
      <c r="B1890" s="3" t="s">
        <v>4418</v>
      </c>
      <c r="C1890" s="2" t="s">
        <v>4976</v>
      </c>
      <c r="D1890" s="3" t="s">
        <v>5084</v>
      </c>
      <c r="E1890" s="2" t="s">
        <v>5085</v>
      </c>
      <c r="F1890" s="3" t="s">
        <v>4420</v>
      </c>
      <c r="G1890" s="3" t="s">
        <v>4367</v>
      </c>
      <c r="H1890" s="1" t="s">
        <v>203</v>
      </c>
      <c r="I1890" s="2" t="s">
        <v>204</v>
      </c>
      <c r="J1890" s="3" t="s">
        <v>11</v>
      </c>
      <c r="K1890" s="38">
        <v>1.2</v>
      </c>
      <c r="L1890" s="39">
        <v>738</v>
      </c>
    </row>
    <row r="1891" spans="1:12" ht="19.95" customHeight="1" x14ac:dyDescent="0.3">
      <c r="A1891" s="6" t="s">
        <v>4417</v>
      </c>
      <c r="B1891" s="7" t="s">
        <v>4418</v>
      </c>
      <c r="C1891" s="6" t="s">
        <v>4976</v>
      </c>
      <c r="D1891" s="7" t="s">
        <v>5084</v>
      </c>
      <c r="E1891" s="6" t="s">
        <v>5085</v>
      </c>
      <c r="F1891" s="7" t="s">
        <v>4420</v>
      </c>
      <c r="G1891" s="7" t="s">
        <v>4367</v>
      </c>
      <c r="H1891" s="5" t="s">
        <v>205</v>
      </c>
      <c r="I1891" s="6" t="s">
        <v>206</v>
      </c>
      <c r="J1891" s="7" t="s">
        <v>11</v>
      </c>
      <c r="K1891" s="36">
        <v>0.8</v>
      </c>
      <c r="L1891" s="37">
        <v>679</v>
      </c>
    </row>
    <row r="1892" spans="1:12" ht="19.95" customHeight="1" x14ac:dyDescent="0.3">
      <c r="A1892" s="2" t="s">
        <v>4417</v>
      </c>
      <c r="B1892" s="3" t="s">
        <v>4418</v>
      </c>
      <c r="C1892" s="2" t="s">
        <v>4976</v>
      </c>
      <c r="D1892" s="3" t="s">
        <v>5084</v>
      </c>
      <c r="E1892" s="2" t="s">
        <v>5085</v>
      </c>
      <c r="F1892" s="3" t="s">
        <v>4420</v>
      </c>
      <c r="G1892" s="3" t="s">
        <v>4367</v>
      </c>
      <c r="H1892" s="1" t="s">
        <v>209</v>
      </c>
      <c r="I1892" s="2" t="s">
        <v>210</v>
      </c>
      <c r="J1892" s="3" t="s">
        <v>11</v>
      </c>
      <c r="K1892" s="38">
        <v>1</v>
      </c>
      <c r="L1892" s="39">
        <v>558</v>
      </c>
    </row>
    <row r="1893" spans="1:12" ht="19.95" customHeight="1" x14ac:dyDescent="0.3">
      <c r="A1893" s="6" t="s">
        <v>4417</v>
      </c>
      <c r="B1893" s="7" t="s">
        <v>4418</v>
      </c>
      <c r="C1893" s="6" t="s">
        <v>4976</v>
      </c>
      <c r="D1893" s="7" t="s">
        <v>5084</v>
      </c>
      <c r="E1893" s="6" t="s">
        <v>5085</v>
      </c>
      <c r="F1893" s="7" t="s">
        <v>4420</v>
      </c>
      <c r="G1893" s="7" t="s">
        <v>4367</v>
      </c>
      <c r="H1893" s="5" t="s">
        <v>235</v>
      </c>
      <c r="I1893" s="6" t="s">
        <v>236</v>
      </c>
      <c r="J1893" s="7" t="s">
        <v>11</v>
      </c>
      <c r="K1893" s="36">
        <v>0.1</v>
      </c>
      <c r="L1893" s="37">
        <v>738</v>
      </c>
    </row>
    <row r="1894" spans="1:12" ht="19.95" customHeight="1" x14ac:dyDescent="0.3">
      <c r="A1894" s="2" t="s">
        <v>4417</v>
      </c>
      <c r="B1894" s="3" t="s">
        <v>4418</v>
      </c>
      <c r="C1894" s="2" t="s">
        <v>4976</v>
      </c>
      <c r="D1894" s="3" t="s">
        <v>5084</v>
      </c>
      <c r="E1894" s="2" t="s">
        <v>5085</v>
      </c>
      <c r="F1894" s="3" t="s">
        <v>4420</v>
      </c>
      <c r="G1894" s="3" t="s">
        <v>4367</v>
      </c>
      <c r="H1894" s="1" t="s">
        <v>203</v>
      </c>
      <c r="I1894" s="2" t="s">
        <v>204</v>
      </c>
      <c r="J1894" s="3" t="s">
        <v>11</v>
      </c>
      <c r="K1894" s="38">
        <v>1.2</v>
      </c>
      <c r="L1894" s="39">
        <v>738</v>
      </c>
    </row>
    <row r="1895" spans="1:12" ht="19.95" customHeight="1" x14ac:dyDescent="0.3">
      <c r="A1895" s="6" t="s">
        <v>4417</v>
      </c>
      <c r="B1895" s="7" t="s">
        <v>4418</v>
      </c>
      <c r="C1895" s="6" t="s">
        <v>4976</v>
      </c>
      <c r="D1895" s="7" t="s">
        <v>5084</v>
      </c>
      <c r="E1895" s="6" t="s">
        <v>5085</v>
      </c>
      <c r="F1895" s="7" t="s">
        <v>4420</v>
      </c>
      <c r="G1895" s="7" t="s">
        <v>4367</v>
      </c>
      <c r="H1895" s="5" t="s">
        <v>205</v>
      </c>
      <c r="I1895" s="6" t="s">
        <v>206</v>
      </c>
      <c r="J1895" s="7" t="s">
        <v>11</v>
      </c>
      <c r="K1895" s="36">
        <v>0.8</v>
      </c>
      <c r="L1895" s="37">
        <v>679</v>
      </c>
    </row>
    <row r="1896" spans="1:12" ht="19.95" customHeight="1" x14ac:dyDescent="0.3">
      <c r="A1896" s="2" t="s">
        <v>4417</v>
      </c>
      <c r="B1896" s="3" t="s">
        <v>4418</v>
      </c>
      <c r="C1896" s="2" t="s">
        <v>4976</v>
      </c>
      <c r="D1896" s="3" t="s">
        <v>5084</v>
      </c>
      <c r="E1896" s="2" t="s">
        <v>5085</v>
      </c>
      <c r="F1896" s="3" t="s">
        <v>4420</v>
      </c>
      <c r="G1896" s="3" t="s">
        <v>4367</v>
      </c>
      <c r="H1896" s="1" t="s">
        <v>209</v>
      </c>
      <c r="I1896" s="2" t="s">
        <v>210</v>
      </c>
      <c r="J1896" s="3" t="s">
        <v>11</v>
      </c>
      <c r="K1896" s="38">
        <v>1</v>
      </c>
      <c r="L1896" s="39">
        <v>558</v>
      </c>
    </row>
    <row r="1897" spans="1:12" ht="19.95" customHeight="1" x14ac:dyDescent="0.3">
      <c r="A1897" s="6" t="s">
        <v>4417</v>
      </c>
      <c r="B1897" s="7" t="s">
        <v>4418</v>
      </c>
      <c r="C1897" s="6" t="s">
        <v>4976</v>
      </c>
      <c r="D1897" s="7" t="s">
        <v>5084</v>
      </c>
      <c r="E1897" s="6" t="s">
        <v>5085</v>
      </c>
      <c r="F1897" s="7" t="s">
        <v>4420</v>
      </c>
      <c r="G1897" s="7" t="s">
        <v>4367</v>
      </c>
      <c r="H1897" s="5" t="s">
        <v>235</v>
      </c>
      <c r="I1897" s="6" t="s">
        <v>236</v>
      </c>
      <c r="J1897" s="7" t="s">
        <v>11</v>
      </c>
      <c r="K1897" s="36">
        <v>0.1</v>
      </c>
      <c r="L1897" s="37">
        <v>738</v>
      </c>
    </row>
    <row r="1898" spans="1:12" ht="19.95" customHeight="1" x14ac:dyDescent="0.3">
      <c r="A1898" s="2" t="s">
        <v>4417</v>
      </c>
      <c r="B1898" s="3" t="s">
        <v>4418</v>
      </c>
      <c r="C1898" s="2" t="s">
        <v>4976</v>
      </c>
      <c r="D1898" s="3" t="s">
        <v>5084</v>
      </c>
      <c r="E1898" s="2" t="s">
        <v>5085</v>
      </c>
      <c r="F1898" s="3" t="s">
        <v>4420</v>
      </c>
      <c r="G1898" s="3" t="s">
        <v>4367</v>
      </c>
      <c r="H1898" s="1" t="s">
        <v>203</v>
      </c>
      <c r="I1898" s="2" t="s">
        <v>204</v>
      </c>
      <c r="J1898" s="3" t="s">
        <v>11</v>
      </c>
      <c r="K1898" s="38">
        <v>1.2</v>
      </c>
      <c r="L1898" s="39">
        <v>738</v>
      </c>
    </row>
    <row r="1899" spans="1:12" ht="19.95" customHeight="1" x14ac:dyDescent="0.3">
      <c r="A1899" s="6" t="s">
        <v>4417</v>
      </c>
      <c r="B1899" s="7" t="s">
        <v>4418</v>
      </c>
      <c r="C1899" s="6" t="s">
        <v>4976</v>
      </c>
      <c r="D1899" s="7" t="s">
        <v>5084</v>
      </c>
      <c r="E1899" s="6" t="s">
        <v>5085</v>
      </c>
      <c r="F1899" s="7" t="s">
        <v>4420</v>
      </c>
      <c r="G1899" s="7" t="s">
        <v>4367</v>
      </c>
      <c r="H1899" s="5" t="s">
        <v>205</v>
      </c>
      <c r="I1899" s="6" t="s">
        <v>206</v>
      </c>
      <c r="J1899" s="7" t="s">
        <v>11</v>
      </c>
      <c r="K1899" s="36">
        <v>0.8</v>
      </c>
      <c r="L1899" s="37">
        <v>679</v>
      </c>
    </row>
    <row r="1900" spans="1:12" ht="19.95" customHeight="1" x14ac:dyDescent="0.3">
      <c r="A1900" s="2" t="s">
        <v>4417</v>
      </c>
      <c r="B1900" s="3" t="s">
        <v>4418</v>
      </c>
      <c r="C1900" s="2" t="s">
        <v>4976</v>
      </c>
      <c r="D1900" s="3" t="s">
        <v>5084</v>
      </c>
      <c r="E1900" s="2" t="s">
        <v>5085</v>
      </c>
      <c r="F1900" s="3" t="s">
        <v>4420</v>
      </c>
      <c r="G1900" s="3" t="s">
        <v>4367</v>
      </c>
      <c r="H1900" s="1" t="s">
        <v>209</v>
      </c>
      <c r="I1900" s="2" t="s">
        <v>210</v>
      </c>
      <c r="J1900" s="3" t="s">
        <v>11</v>
      </c>
      <c r="K1900" s="38">
        <v>1</v>
      </c>
      <c r="L1900" s="39">
        <v>558</v>
      </c>
    </row>
    <row r="1901" spans="1:12" ht="19.95" customHeight="1" x14ac:dyDescent="0.3">
      <c r="A1901" s="6" t="s">
        <v>4417</v>
      </c>
      <c r="B1901" s="7" t="s">
        <v>4418</v>
      </c>
      <c r="C1901" s="6" t="s">
        <v>4976</v>
      </c>
      <c r="D1901" s="7" t="s">
        <v>5084</v>
      </c>
      <c r="E1901" s="6" t="s">
        <v>5085</v>
      </c>
      <c r="F1901" s="7" t="s">
        <v>4420</v>
      </c>
      <c r="G1901" s="7" t="s">
        <v>4367</v>
      </c>
      <c r="H1901" s="5" t="s">
        <v>235</v>
      </c>
      <c r="I1901" s="6" t="s">
        <v>236</v>
      </c>
      <c r="J1901" s="7" t="s">
        <v>11</v>
      </c>
      <c r="K1901" s="36">
        <v>0.1</v>
      </c>
      <c r="L1901" s="37">
        <v>738</v>
      </c>
    </row>
    <row r="1902" spans="1:12" ht="19.95" customHeight="1" x14ac:dyDescent="0.3">
      <c r="A1902" s="2" t="s">
        <v>4417</v>
      </c>
      <c r="B1902" s="3" t="s">
        <v>4418</v>
      </c>
      <c r="C1902" s="2" t="s">
        <v>4976</v>
      </c>
      <c r="D1902" s="3" t="s">
        <v>5084</v>
      </c>
      <c r="E1902" s="2" t="s">
        <v>5085</v>
      </c>
      <c r="F1902" s="3" t="s">
        <v>4420</v>
      </c>
      <c r="G1902" s="3" t="s">
        <v>4367</v>
      </c>
      <c r="H1902" s="1" t="s">
        <v>203</v>
      </c>
      <c r="I1902" s="2" t="s">
        <v>204</v>
      </c>
      <c r="J1902" s="3" t="s">
        <v>11</v>
      </c>
      <c r="K1902" s="38">
        <v>1.2</v>
      </c>
      <c r="L1902" s="39">
        <v>738</v>
      </c>
    </row>
    <row r="1903" spans="1:12" ht="19.95" customHeight="1" x14ac:dyDescent="0.3">
      <c r="A1903" s="6" t="s">
        <v>4417</v>
      </c>
      <c r="B1903" s="7" t="s">
        <v>4418</v>
      </c>
      <c r="C1903" s="6" t="s">
        <v>4976</v>
      </c>
      <c r="D1903" s="7" t="s">
        <v>5084</v>
      </c>
      <c r="E1903" s="6" t="s">
        <v>5085</v>
      </c>
      <c r="F1903" s="7" t="s">
        <v>4420</v>
      </c>
      <c r="G1903" s="7" t="s">
        <v>4367</v>
      </c>
      <c r="H1903" s="5" t="s">
        <v>205</v>
      </c>
      <c r="I1903" s="6" t="s">
        <v>206</v>
      </c>
      <c r="J1903" s="7" t="s">
        <v>11</v>
      </c>
      <c r="K1903" s="36">
        <v>0.8</v>
      </c>
      <c r="L1903" s="37">
        <v>679</v>
      </c>
    </row>
    <row r="1904" spans="1:12" ht="19.95" customHeight="1" x14ac:dyDescent="0.3">
      <c r="A1904" s="2" t="s">
        <v>4417</v>
      </c>
      <c r="B1904" s="3" t="s">
        <v>4418</v>
      </c>
      <c r="C1904" s="2" t="s">
        <v>4976</v>
      </c>
      <c r="D1904" s="3" t="s">
        <v>5084</v>
      </c>
      <c r="E1904" s="2" t="s">
        <v>5085</v>
      </c>
      <c r="F1904" s="3" t="s">
        <v>4420</v>
      </c>
      <c r="G1904" s="3" t="s">
        <v>4367</v>
      </c>
      <c r="H1904" s="1" t="s">
        <v>209</v>
      </c>
      <c r="I1904" s="2" t="s">
        <v>210</v>
      </c>
      <c r="J1904" s="3" t="s">
        <v>11</v>
      </c>
      <c r="K1904" s="38">
        <v>1</v>
      </c>
      <c r="L1904" s="39">
        <v>558</v>
      </c>
    </row>
    <row r="1905" spans="1:12" ht="19.95" customHeight="1" x14ac:dyDescent="0.3">
      <c r="A1905" s="6" t="s">
        <v>4417</v>
      </c>
      <c r="B1905" s="7" t="s">
        <v>4418</v>
      </c>
      <c r="C1905" s="6" t="s">
        <v>4976</v>
      </c>
      <c r="D1905" s="7" t="s">
        <v>5084</v>
      </c>
      <c r="E1905" s="6" t="s">
        <v>5085</v>
      </c>
      <c r="F1905" s="7" t="s">
        <v>4420</v>
      </c>
      <c r="G1905" s="7" t="s">
        <v>4367</v>
      </c>
      <c r="H1905" s="5" t="s">
        <v>235</v>
      </c>
      <c r="I1905" s="6" t="s">
        <v>236</v>
      </c>
      <c r="J1905" s="7" t="s">
        <v>11</v>
      </c>
      <c r="K1905" s="36">
        <v>0.1</v>
      </c>
      <c r="L1905" s="37">
        <v>738</v>
      </c>
    </row>
    <row r="1906" spans="1:12" ht="19.95" customHeight="1" x14ac:dyDescent="0.3">
      <c r="A1906" s="2" t="s">
        <v>4417</v>
      </c>
      <c r="B1906" s="3" t="s">
        <v>4418</v>
      </c>
      <c r="C1906" s="2" t="s">
        <v>4976</v>
      </c>
      <c r="D1906" s="3" t="s">
        <v>5084</v>
      </c>
      <c r="E1906" s="2" t="s">
        <v>5085</v>
      </c>
      <c r="F1906" s="3" t="s">
        <v>4420</v>
      </c>
      <c r="G1906" s="3" t="s">
        <v>4367</v>
      </c>
      <c r="H1906" s="1" t="s">
        <v>203</v>
      </c>
      <c r="I1906" s="2" t="s">
        <v>204</v>
      </c>
      <c r="J1906" s="3" t="s">
        <v>11</v>
      </c>
      <c r="K1906" s="38">
        <v>1.2</v>
      </c>
      <c r="L1906" s="39">
        <v>738</v>
      </c>
    </row>
    <row r="1907" spans="1:12" ht="19.95" customHeight="1" x14ac:dyDescent="0.3">
      <c r="A1907" s="6" t="s">
        <v>4417</v>
      </c>
      <c r="B1907" s="7" t="s">
        <v>4418</v>
      </c>
      <c r="C1907" s="6" t="s">
        <v>4976</v>
      </c>
      <c r="D1907" s="7" t="s">
        <v>5084</v>
      </c>
      <c r="E1907" s="6" t="s">
        <v>5085</v>
      </c>
      <c r="F1907" s="7" t="s">
        <v>4420</v>
      </c>
      <c r="G1907" s="7" t="s">
        <v>4367</v>
      </c>
      <c r="H1907" s="5" t="s">
        <v>205</v>
      </c>
      <c r="I1907" s="6" t="s">
        <v>206</v>
      </c>
      <c r="J1907" s="7" t="s">
        <v>11</v>
      </c>
      <c r="K1907" s="36">
        <v>0.8</v>
      </c>
      <c r="L1907" s="37">
        <v>679</v>
      </c>
    </row>
    <row r="1908" spans="1:12" ht="19.95" customHeight="1" x14ac:dyDescent="0.3">
      <c r="A1908" s="2" t="s">
        <v>4417</v>
      </c>
      <c r="B1908" s="3" t="s">
        <v>4418</v>
      </c>
      <c r="C1908" s="2" t="s">
        <v>4976</v>
      </c>
      <c r="D1908" s="3" t="s">
        <v>5084</v>
      </c>
      <c r="E1908" s="2" t="s">
        <v>5085</v>
      </c>
      <c r="F1908" s="3" t="s">
        <v>4420</v>
      </c>
      <c r="G1908" s="3" t="s">
        <v>4367</v>
      </c>
      <c r="H1908" s="1" t="s">
        <v>209</v>
      </c>
      <c r="I1908" s="2" t="s">
        <v>210</v>
      </c>
      <c r="J1908" s="3" t="s">
        <v>11</v>
      </c>
      <c r="K1908" s="38">
        <v>1</v>
      </c>
      <c r="L1908" s="39">
        <v>558</v>
      </c>
    </row>
    <row r="1909" spans="1:12" ht="19.95" customHeight="1" x14ac:dyDescent="0.3">
      <c r="A1909" s="6" t="s">
        <v>4417</v>
      </c>
      <c r="B1909" s="7" t="s">
        <v>4418</v>
      </c>
      <c r="C1909" s="6" t="s">
        <v>4976</v>
      </c>
      <c r="D1909" s="7" t="s">
        <v>5084</v>
      </c>
      <c r="E1909" s="6" t="s">
        <v>5085</v>
      </c>
      <c r="F1909" s="7" t="s">
        <v>4420</v>
      </c>
      <c r="G1909" s="7" t="s">
        <v>4367</v>
      </c>
      <c r="H1909" s="5" t="s">
        <v>235</v>
      </c>
      <c r="I1909" s="6" t="s">
        <v>236</v>
      </c>
      <c r="J1909" s="7" t="s">
        <v>11</v>
      </c>
      <c r="K1909" s="36">
        <v>0.1</v>
      </c>
      <c r="L1909" s="37">
        <v>738</v>
      </c>
    </row>
    <row r="1910" spans="1:12" ht="19.95" customHeight="1" x14ac:dyDescent="0.3">
      <c r="A1910" s="2" t="s">
        <v>4417</v>
      </c>
      <c r="B1910" s="3" t="s">
        <v>4418</v>
      </c>
      <c r="C1910" s="2" t="s">
        <v>4976</v>
      </c>
      <c r="D1910" s="3" t="s">
        <v>5086</v>
      </c>
      <c r="E1910" s="2" t="s">
        <v>5087</v>
      </c>
      <c r="F1910" s="3" t="s">
        <v>5088</v>
      </c>
      <c r="G1910" s="3" t="s">
        <v>4367</v>
      </c>
      <c r="H1910" s="1" t="s">
        <v>205</v>
      </c>
      <c r="I1910" s="2" t="s">
        <v>206</v>
      </c>
      <c r="J1910" s="3" t="s">
        <v>11</v>
      </c>
      <c r="K1910" s="38">
        <v>0.33</v>
      </c>
      <c r="L1910" s="39">
        <v>679</v>
      </c>
    </row>
    <row r="1911" spans="1:12" ht="19.95" customHeight="1" x14ac:dyDescent="0.3">
      <c r="A1911" s="6" t="s">
        <v>4417</v>
      </c>
      <c r="B1911" s="7" t="s">
        <v>4418</v>
      </c>
      <c r="C1911" s="6" t="s">
        <v>4976</v>
      </c>
      <c r="D1911" s="7" t="s">
        <v>5086</v>
      </c>
      <c r="E1911" s="6" t="s">
        <v>5087</v>
      </c>
      <c r="F1911" s="7" t="s">
        <v>5088</v>
      </c>
      <c r="G1911" s="7" t="s">
        <v>4367</v>
      </c>
      <c r="H1911" s="5" t="s">
        <v>209</v>
      </c>
      <c r="I1911" s="6" t="s">
        <v>210</v>
      </c>
      <c r="J1911" s="7" t="s">
        <v>11</v>
      </c>
      <c r="K1911" s="36">
        <v>0.25</v>
      </c>
      <c r="L1911" s="37">
        <v>558</v>
      </c>
    </row>
    <row r="1912" spans="1:12" ht="19.95" customHeight="1" x14ac:dyDescent="0.3">
      <c r="A1912" s="2" t="s">
        <v>4417</v>
      </c>
      <c r="B1912" s="3" t="s">
        <v>4418</v>
      </c>
      <c r="C1912" s="2" t="s">
        <v>4976</v>
      </c>
      <c r="D1912" s="3" t="s">
        <v>5089</v>
      </c>
      <c r="E1912" s="2" t="s">
        <v>5090</v>
      </c>
      <c r="F1912" s="3" t="s">
        <v>5088</v>
      </c>
      <c r="G1912" s="3" t="s">
        <v>4367</v>
      </c>
      <c r="H1912" s="1" t="s">
        <v>205</v>
      </c>
      <c r="I1912" s="2" t="s">
        <v>206</v>
      </c>
      <c r="J1912" s="3" t="s">
        <v>11</v>
      </c>
      <c r="K1912" s="38">
        <v>0.33</v>
      </c>
      <c r="L1912" s="39">
        <v>679</v>
      </c>
    </row>
    <row r="1913" spans="1:12" ht="19.95" customHeight="1" x14ac:dyDescent="0.3">
      <c r="A1913" s="6" t="s">
        <v>4417</v>
      </c>
      <c r="B1913" s="7" t="s">
        <v>4418</v>
      </c>
      <c r="C1913" s="6" t="s">
        <v>4976</v>
      </c>
      <c r="D1913" s="7" t="s">
        <v>5089</v>
      </c>
      <c r="E1913" s="6" t="s">
        <v>5090</v>
      </c>
      <c r="F1913" s="7" t="s">
        <v>5088</v>
      </c>
      <c r="G1913" s="7" t="s">
        <v>4367</v>
      </c>
      <c r="H1913" s="5" t="s">
        <v>209</v>
      </c>
      <c r="I1913" s="6" t="s">
        <v>210</v>
      </c>
      <c r="J1913" s="7" t="s">
        <v>11</v>
      </c>
      <c r="K1913" s="36">
        <v>0.25</v>
      </c>
      <c r="L1913" s="37">
        <v>558</v>
      </c>
    </row>
    <row r="1914" spans="1:12" ht="19.95" customHeight="1" x14ac:dyDescent="0.3">
      <c r="A1914" s="2" t="s">
        <v>4417</v>
      </c>
      <c r="B1914" s="3" t="s">
        <v>4418</v>
      </c>
      <c r="C1914" s="2" t="s">
        <v>4976</v>
      </c>
      <c r="D1914" s="3" t="s">
        <v>5091</v>
      </c>
      <c r="E1914" s="2" t="s">
        <v>5092</v>
      </c>
      <c r="F1914" s="3" t="s">
        <v>5093</v>
      </c>
      <c r="G1914" s="3" t="s">
        <v>4367</v>
      </c>
      <c r="H1914" s="1" t="s">
        <v>203</v>
      </c>
      <c r="I1914" s="2" t="s">
        <v>204</v>
      </c>
      <c r="J1914" s="3" t="s">
        <v>11</v>
      </c>
      <c r="K1914" s="38">
        <v>0.17</v>
      </c>
      <c r="L1914" s="39">
        <v>738</v>
      </c>
    </row>
    <row r="1915" spans="1:12" ht="19.95" customHeight="1" x14ac:dyDescent="0.3">
      <c r="A1915" s="6" t="s">
        <v>4417</v>
      </c>
      <c r="B1915" s="7" t="s">
        <v>4418</v>
      </c>
      <c r="C1915" s="6" t="s">
        <v>4976</v>
      </c>
      <c r="D1915" s="7" t="s">
        <v>5094</v>
      </c>
      <c r="E1915" s="6" t="s">
        <v>5095</v>
      </c>
      <c r="F1915" s="7" t="s">
        <v>4424</v>
      </c>
      <c r="G1915" s="7" t="s">
        <v>4367</v>
      </c>
      <c r="H1915" s="5" t="s">
        <v>257</v>
      </c>
      <c r="I1915" s="6" t="s">
        <v>258</v>
      </c>
      <c r="J1915" s="7" t="s">
        <v>11</v>
      </c>
      <c r="K1915" s="36">
        <v>0.4</v>
      </c>
      <c r="L1915" s="37">
        <v>709</v>
      </c>
    </row>
    <row r="1916" spans="1:12" ht="19.95" customHeight="1" x14ac:dyDescent="0.3">
      <c r="A1916" s="2" t="s">
        <v>4417</v>
      </c>
      <c r="B1916" s="3" t="s">
        <v>4418</v>
      </c>
      <c r="C1916" s="2" t="s">
        <v>4976</v>
      </c>
      <c r="D1916" s="3" t="s">
        <v>5094</v>
      </c>
      <c r="E1916" s="2" t="s">
        <v>5095</v>
      </c>
      <c r="F1916" s="3" t="s">
        <v>4424</v>
      </c>
      <c r="G1916" s="3" t="s">
        <v>4367</v>
      </c>
      <c r="H1916" s="1" t="s">
        <v>209</v>
      </c>
      <c r="I1916" s="2" t="s">
        <v>210</v>
      </c>
      <c r="J1916" s="3" t="s">
        <v>11</v>
      </c>
      <c r="K1916" s="38">
        <v>0.4</v>
      </c>
      <c r="L1916" s="39">
        <v>558</v>
      </c>
    </row>
    <row r="1917" spans="1:12" ht="19.95" customHeight="1" x14ac:dyDescent="0.3">
      <c r="A1917" s="6" t="s">
        <v>4417</v>
      </c>
      <c r="B1917" s="7" t="s">
        <v>4418</v>
      </c>
      <c r="C1917" s="6" t="s">
        <v>4976</v>
      </c>
      <c r="D1917" s="7" t="s">
        <v>5096</v>
      </c>
      <c r="E1917" s="6" t="s">
        <v>5097</v>
      </c>
      <c r="F1917" s="7" t="s">
        <v>4424</v>
      </c>
      <c r="G1917" s="7" t="s">
        <v>4367</v>
      </c>
      <c r="H1917" s="5" t="s">
        <v>257</v>
      </c>
      <c r="I1917" s="6" t="s">
        <v>258</v>
      </c>
      <c r="J1917" s="7" t="s">
        <v>11</v>
      </c>
      <c r="K1917" s="36">
        <v>0.4</v>
      </c>
      <c r="L1917" s="37">
        <v>709</v>
      </c>
    </row>
    <row r="1918" spans="1:12" ht="19.95" customHeight="1" x14ac:dyDescent="0.3">
      <c r="A1918" s="2" t="s">
        <v>4417</v>
      </c>
      <c r="B1918" s="3" t="s">
        <v>4418</v>
      </c>
      <c r="C1918" s="2" t="s">
        <v>4976</v>
      </c>
      <c r="D1918" s="3" t="s">
        <v>5096</v>
      </c>
      <c r="E1918" s="2" t="s">
        <v>5097</v>
      </c>
      <c r="F1918" s="3" t="s">
        <v>4424</v>
      </c>
      <c r="G1918" s="3" t="s">
        <v>4367</v>
      </c>
      <c r="H1918" s="1" t="s">
        <v>209</v>
      </c>
      <c r="I1918" s="2" t="s">
        <v>210</v>
      </c>
      <c r="J1918" s="3" t="s">
        <v>11</v>
      </c>
      <c r="K1918" s="38">
        <v>0.4</v>
      </c>
      <c r="L1918" s="39">
        <v>558</v>
      </c>
    </row>
    <row r="1919" spans="1:12" ht="19.95" customHeight="1" x14ac:dyDescent="0.3">
      <c r="A1919" s="6" t="s">
        <v>4417</v>
      </c>
      <c r="B1919" s="7" t="s">
        <v>4418</v>
      </c>
      <c r="C1919" s="6" t="s">
        <v>4976</v>
      </c>
      <c r="D1919" s="7" t="s">
        <v>5098</v>
      </c>
      <c r="E1919" s="6" t="s">
        <v>5099</v>
      </c>
      <c r="F1919" s="7" t="s">
        <v>279</v>
      </c>
      <c r="G1919" s="7" t="s">
        <v>4367</v>
      </c>
      <c r="H1919" s="5" t="s">
        <v>205</v>
      </c>
      <c r="I1919" s="6" t="s">
        <v>206</v>
      </c>
      <c r="J1919" s="7" t="s">
        <v>11</v>
      </c>
      <c r="K1919" s="36">
        <v>0.14000000000000001</v>
      </c>
      <c r="L1919" s="37">
        <v>679</v>
      </c>
    </row>
    <row r="1920" spans="1:12" ht="19.95" customHeight="1" x14ac:dyDescent="0.3">
      <c r="A1920" s="2" t="s">
        <v>4417</v>
      </c>
      <c r="B1920" s="3" t="s">
        <v>4418</v>
      </c>
      <c r="C1920" s="2" t="s">
        <v>4976</v>
      </c>
      <c r="D1920" s="3" t="s">
        <v>5098</v>
      </c>
      <c r="E1920" s="2" t="s">
        <v>5099</v>
      </c>
      <c r="F1920" s="3" t="s">
        <v>279</v>
      </c>
      <c r="G1920" s="3" t="s">
        <v>4367</v>
      </c>
      <c r="H1920" s="1" t="s">
        <v>209</v>
      </c>
      <c r="I1920" s="2" t="s">
        <v>210</v>
      </c>
      <c r="J1920" s="3" t="s">
        <v>11</v>
      </c>
      <c r="K1920" s="38">
        <v>0.14000000000000001</v>
      </c>
      <c r="L1920" s="39">
        <v>558</v>
      </c>
    </row>
    <row r="1921" spans="1:12" ht="19.95" customHeight="1" x14ac:dyDescent="0.3">
      <c r="A1921" s="6" t="s">
        <v>4417</v>
      </c>
      <c r="B1921" s="7" t="s">
        <v>4418</v>
      </c>
      <c r="C1921" s="6" t="s">
        <v>4976</v>
      </c>
      <c r="D1921" s="7" t="s">
        <v>5100</v>
      </c>
      <c r="E1921" s="6" t="s">
        <v>5101</v>
      </c>
      <c r="F1921" s="7" t="s">
        <v>279</v>
      </c>
      <c r="G1921" s="7" t="s">
        <v>4367</v>
      </c>
      <c r="H1921" s="5" t="s">
        <v>205</v>
      </c>
      <c r="I1921" s="6" t="s">
        <v>206</v>
      </c>
      <c r="J1921" s="7" t="s">
        <v>11</v>
      </c>
      <c r="K1921" s="36">
        <v>0.14000000000000001</v>
      </c>
      <c r="L1921" s="37">
        <v>679</v>
      </c>
    </row>
    <row r="1922" spans="1:12" ht="19.95" customHeight="1" x14ac:dyDescent="0.3">
      <c r="A1922" s="2" t="s">
        <v>4417</v>
      </c>
      <c r="B1922" s="3" t="s">
        <v>4418</v>
      </c>
      <c r="C1922" s="2" t="s">
        <v>4976</v>
      </c>
      <c r="D1922" s="3" t="s">
        <v>5100</v>
      </c>
      <c r="E1922" s="2" t="s">
        <v>5101</v>
      </c>
      <c r="F1922" s="3" t="s">
        <v>279</v>
      </c>
      <c r="G1922" s="3" t="s">
        <v>4367</v>
      </c>
      <c r="H1922" s="1" t="s">
        <v>209</v>
      </c>
      <c r="I1922" s="2" t="s">
        <v>210</v>
      </c>
      <c r="J1922" s="3" t="s">
        <v>11</v>
      </c>
      <c r="K1922" s="38">
        <v>0.14000000000000001</v>
      </c>
      <c r="L1922" s="39">
        <v>558</v>
      </c>
    </row>
    <row r="1923" spans="1:12" ht="19.95" customHeight="1" x14ac:dyDescent="0.3">
      <c r="A1923" s="6" t="s">
        <v>4417</v>
      </c>
      <c r="B1923" s="7" t="s">
        <v>4418</v>
      </c>
      <c r="C1923" s="6" t="s">
        <v>4976</v>
      </c>
      <c r="D1923" s="7" t="s">
        <v>5102</v>
      </c>
      <c r="E1923" s="6" t="s">
        <v>5103</v>
      </c>
      <c r="F1923" s="7" t="s">
        <v>279</v>
      </c>
      <c r="G1923" s="7" t="s">
        <v>4367</v>
      </c>
      <c r="H1923" s="5" t="s">
        <v>205</v>
      </c>
      <c r="I1923" s="6" t="s">
        <v>206</v>
      </c>
      <c r="J1923" s="7" t="s">
        <v>11</v>
      </c>
      <c r="K1923" s="36">
        <v>0.14000000000000001</v>
      </c>
      <c r="L1923" s="37">
        <v>679</v>
      </c>
    </row>
    <row r="1924" spans="1:12" ht="19.95" customHeight="1" x14ac:dyDescent="0.3">
      <c r="A1924" s="2" t="s">
        <v>4417</v>
      </c>
      <c r="B1924" s="3" t="s">
        <v>4418</v>
      </c>
      <c r="C1924" s="2" t="s">
        <v>4976</v>
      </c>
      <c r="D1924" s="3" t="s">
        <v>5102</v>
      </c>
      <c r="E1924" s="2" t="s">
        <v>5103</v>
      </c>
      <c r="F1924" s="3" t="s">
        <v>279</v>
      </c>
      <c r="G1924" s="3" t="s">
        <v>4367</v>
      </c>
      <c r="H1924" s="1" t="s">
        <v>209</v>
      </c>
      <c r="I1924" s="2" t="s">
        <v>210</v>
      </c>
      <c r="J1924" s="3" t="s">
        <v>11</v>
      </c>
      <c r="K1924" s="38">
        <v>0.14000000000000001</v>
      </c>
      <c r="L1924" s="39">
        <v>558</v>
      </c>
    </row>
    <row r="1925" spans="1:12" ht="19.95" customHeight="1" x14ac:dyDescent="0.3">
      <c r="A1925" s="6" t="s">
        <v>4417</v>
      </c>
      <c r="B1925" s="7" t="s">
        <v>4418</v>
      </c>
      <c r="C1925" s="6" t="s">
        <v>4976</v>
      </c>
      <c r="D1925" s="7" t="s">
        <v>5104</v>
      </c>
      <c r="E1925" s="6" t="s">
        <v>5105</v>
      </c>
      <c r="F1925" s="7" t="s">
        <v>279</v>
      </c>
      <c r="G1925" s="7" t="s">
        <v>4367</v>
      </c>
      <c r="H1925" s="5" t="s">
        <v>205</v>
      </c>
      <c r="I1925" s="6" t="s">
        <v>206</v>
      </c>
      <c r="J1925" s="7" t="s">
        <v>11</v>
      </c>
      <c r="K1925" s="36">
        <v>0.14000000000000001</v>
      </c>
      <c r="L1925" s="37">
        <v>679</v>
      </c>
    </row>
    <row r="1926" spans="1:12" ht="19.95" customHeight="1" x14ac:dyDescent="0.3">
      <c r="A1926" s="2" t="s">
        <v>4417</v>
      </c>
      <c r="B1926" s="3" t="s">
        <v>4418</v>
      </c>
      <c r="C1926" s="2" t="s">
        <v>4976</v>
      </c>
      <c r="D1926" s="3" t="s">
        <v>5104</v>
      </c>
      <c r="E1926" s="2" t="s">
        <v>5105</v>
      </c>
      <c r="F1926" s="3" t="s">
        <v>279</v>
      </c>
      <c r="G1926" s="3" t="s">
        <v>4367</v>
      </c>
      <c r="H1926" s="1" t="s">
        <v>209</v>
      </c>
      <c r="I1926" s="2" t="s">
        <v>210</v>
      </c>
      <c r="J1926" s="3" t="s">
        <v>11</v>
      </c>
      <c r="K1926" s="38">
        <v>0.14000000000000001</v>
      </c>
      <c r="L1926" s="39">
        <v>558</v>
      </c>
    </row>
    <row r="1927" spans="1:12" ht="19.95" customHeight="1" x14ac:dyDescent="0.3">
      <c r="A1927" s="6" t="s">
        <v>4417</v>
      </c>
      <c r="B1927" s="7" t="s">
        <v>4418</v>
      </c>
      <c r="C1927" s="6" t="s">
        <v>4976</v>
      </c>
      <c r="D1927" s="7" t="s">
        <v>5106</v>
      </c>
      <c r="E1927" s="6" t="s">
        <v>5107</v>
      </c>
      <c r="F1927" s="7" t="s">
        <v>279</v>
      </c>
      <c r="G1927" s="7" t="s">
        <v>4367</v>
      </c>
      <c r="H1927" s="5" t="s">
        <v>205</v>
      </c>
      <c r="I1927" s="6" t="s">
        <v>206</v>
      </c>
      <c r="J1927" s="7" t="s">
        <v>11</v>
      </c>
      <c r="K1927" s="36">
        <v>0.14000000000000001</v>
      </c>
      <c r="L1927" s="37">
        <v>679</v>
      </c>
    </row>
    <row r="1928" spans="1:12" ht="19.95" customHeight="1" x14ac:dyDescent="0.3">
      <c r="A1928" s="2" t="s">
        <v>4417</v>
      </c>
      <c r="B1928" s="3" t="s">
        <v>4418</v>
      </c>
      <c r="C1928" s="2" t="s">
        <v>4976</v>
      </c>
      <c r="D1928" s="3" t="s">
        <v>5106</v>
      </c>
      <c r="E1928" s="2" t="s">
        <v>5107</v>
      </c>
      <c r="F1928" s="3" t="s">
        <v>279</v>
      </c>
      <c r="G1928" s="3" t="s">
        <v>4367</v>
      </c>
      <c r="H1928" s="1" t="s">
        <v>209</v>
      </c>
      <c r="I1928" s="2" t="s">
        <v>210</v>
      </c>
      <c r="J1928" s="3" t="s">
        <v>11</v>
      </c>
      <c r="K1928" s="38">
        <v>0.14000000000000001</v>
      </c>
      <c r="L1928" s="39">
        <v>558</v>
      </c>
    </row>
    <row r="1929" spans="1:12" ht="19.95" customHeight="1" x14ac:dyDescent="0.3">
      <c r="A1929" s="6" t="s">
        <v>4417</v>
      </c>
      <c r="B1929" s="7" t="s">
        <v>4418</v>
      </c>
      <c r="C1929" s="6" t="s">
        <v>4976</v>
      </c>
      <c r="D1929" s="7" t="s">
        <v>5108</v>
      </c>
      <c r="E1929" s="6" t="s">
        <v>5109</v>
      </c>
      <c r="F1929" s="7" t="s">
        <v>5110</v>
      </c>
      <c r="G1929" s="7" t="s">
        <v>4367</v>
      </c>
      <c r="H1929" s="5" t="s">
        <v>203</v>
      </c>
      <c r="I1929" s="6" t="s">
        <v>5024</v>
      </c>
      <c r="J1929" s="7" t="s">
        <v>11</v>
      </c>
      <c r="K1929" s="36">
        <v>0.56999999999999995</v>
      </c>
      <c r="L1929" s="37">
        <v>738</v>
      </c>
    </row>
    <row r="1930" spans="1:12" ht="19.95" customHeight="1" x14ac:dyDescent="0.3">
      <c r="A1930" s="2" t="s">
        <v>4417</v>
      </c>
      <c r="B1930" s="3" t="s">
        <v>4418</v>
      </c>
      <c r="C1930" s="2" t="s">
        <v>4976</v>
      </c>
      <c r="D1930" s="3" t="s">
        <v>5111</v>
      </c>
      <c r="E1930" s="2" t="s">
        <v>5112</v>
      </c>
      <c r="F1930" s="3" t="s">
        <v>5113</v>
      </c>
      <c r="G1930" s="3" t="s">
        <v>4367</v>
      </c>
      <c r="H1930" s="1" t="s">
        <v>205</v>
      </c>
      <c r="I1930" s="2" t="s">
        <v>206</v>
      </c>
      <c r="J1930" s="3" t="s">
        <v>11</v>
      </c>
      <c r="K1930" s="38">
        <v>0.9</v>
      </c>
      <c r="L1930" s="39">
        <v>679</v>
      </c>
    </row>
    <row r="1931" spans="1:12" ht="19.95" customHeight="1" x14ac:dyDescent="0.3">
      <c r="A1931" s="6" t="s">
        <v>4417</v>
      </c>
      <c r="B1931" s="7" t="s">
        <v>4418</v>
      </c>
      <c r="C1931" s="6" t="s">
        <v>4976</v>
      </c>
      <c r="D1931" s="7" t="s">
        <v>5111</v>
      </c>
      <c r="E1931" s="6" t="s">
        <v>5112</v>
      </c>
      <c r="F1931" s="7" t="s">
        <v>5113</v>
      </c>
      <c r="G1931" s="7" t="s">
        <v>4367</v>
      </c>
      <c r="H1931" s="5" t="s">
        <v>209</v>
      </c>
      <c r="I1931" s="6" t="s">
        <v>210</v>
      </c>
      <c r="J1931" s="7" t="s">
        <v>11</v>
      </c>
      <c r="K1931" s="36">
        <v>1</v>
      </c>
      <c r="L1931" s="37">
        <v>558</v>
      </c>
    </row>
    <row r="1932" spans="1:12" ht="19.95" customHeight="1" x14ac:dyDescent="0.3">
      <c r="A1932" s="2" t="s">
        <v>4417</v>
      </c>
      <c r="B1932" s="3" t="s">
        <v>4418</v>
      </c>
      <c r="C1932" s="2" t="s">
        <v>4976</v>
      </c>
      <c r="D1932" s="3" t="s">
        <v>5114</v>
      </c>
      <c r="E1932" s="2" t="s">
        <v>5115</v>
      </c>
      <c r="F1932" s="3" t="s">
        <v>4368</v>
      </c>
      <c r="G1932" s="3" t="s">
        <v>4367</v>
      </c>
      <c r="H1932" s="1" t="s">
        <v>205</v>
      </c>
      <c r="I1932" s="2" t="s">
        <v>206</v>
      </c>
      <c r="J1932" s="3" t="s">
        <v>11</v>
      </c>
      <c r="K1932" s="38">
        <v>0.9</v>
      </c>
      <c r="L1932" s="39">
        <v>679</v>
      </c>
    </row>
    <row r="1933" spans="1:12" ht="19.95" customHeight="1" x14ac:dyDescent="0.3">
      <c r="A1933" s="6" t="s">
        <v>4417</v>
      </c>
      <c r="B1933" s="7" t="s">
        <v>4418</v>
      </c>
      <c r="C1933" s="6" t="s">
        <v>4976</v>
      </c>
      <c r="D1933" s="7" t="s">
        <v>5114</v>
      </c>
      <c r="E1933" s="6" t="s">
        <v>5115</v>
      </c>
      <c r="F1933" s="7" t="s">
        <v>4368</v>
      </c>
      <c r="G1933" s="7" t="s">
        <v>4367</v>
      </c>
      <c r="H1933" s="5" t="s">
        <v>209</v>
      </c>
      <c r="I1933" s="6" t="s">
        <v>210</v>
      </c>
      <c r="J1933" s="7" t="s">
        <v>11</v>
      </c>
      <c r="K1933" s="36">
        <v>1</v>
      </c>
      <c r="L1933" s="37">
        <v>558</v>
      </c>
    </row>
    <row r="1934" spans="1:12" ht="19.95" customHeight="1" x14ac:dyDescent="0.3">
      <c r="A1934" s="2" t="s">
        <v>4417</v>
      </c>
      <c r="B1934" s="3" t="s">
        <v>4418</v>
      </c>
      <c r="C1934" s="2" t="s">
        <v>4976</v>
      </c>
      <c r="D1934" s="3" t="s">
        <v>5116</v>
      </c>
      <c r="E1934" s="2" t="s">
        <v>5117</v>
      </c>
      <c r="F1934" s="3" t="s">
        <v>5110</v>
      </c>
      <c r="G1934" s="3" t="s">
        <v>4367</v>
      </c>
      <c r="H1934" s="1" t="s">
        <v>205</v>
      </c>
      <c r="I1934" s="2" t="s">
        <v>206</v>
      </c>
      <c r="J1934" s="3" t="s">
        <v>11</v>
      </c>
      <c r="K1934" s="38">
        <v>0.11</v>
      </c>
      <c r="L1934" s="39">
        <v>679</v>
      </c>
    </row>
    <row r="1935" spans="1:12" ht="19.95" customHeight="1" x14ac:dyDescent="0.3">
      <c r="A1935" s="6" t="s">
        <v>4417</v>
      </c>
      <c r="B1935" s="7" t="s">
        <v>4418</v>
      </c>
      <c r="C1935" s="6" t="s">
        <v>4976</v>
      </c>
      <c r="D1935" s="7" t="s">
        <v>5116</v>
      </c>
      <c r="E1935" s="6" t="s">
        <v>5117</v>
      </c>
      <c r="F1935" s="7" t="s">
        <v>5110</v>
      </c>
      <c r="G1935" s="7" t="s">
        <v>4367</v>
      </c>
      <c r="H1935" s="5" t="s">
        <v>209</v>
      </c>
      <c r="I1935" s="6" t="s">
        <v>210</v>
      </c>
      <c r="J1935" s="7" t="s">
        <v>11</v>
      </c>
      <c r="K1935" s="36">
        <v>0.06</v>
      </c>
      <c r="L1935" s="37">
        <v>558</v>
      </c>
    </row>
    <row r="1936" spans="1:12" ht="19.95" customHeight="1" x14ac:dyDescent="0.3">
      <c r="A1936" s="2" t="s">
        <v>4417</v>
      </c>
      <c r="B1936" s="3" t="s">
        <v>4418</v>
      </c>
      <c r="C1936" s="2" t="s">
        <v>4976</v>
      </c>
      <c r="D1936" s="3" t="s">
        <v>5118</v>
      </c>
      <c r="E1936" s="2" t="s">
        <v>5117</v>
      </c>
      <c r="F1936" s="3" t="s">
        <v>5110</v>
      </c>
      <c r="G1936" s="3" t="s">
        <v>4367</v>
      </c>
      <c r="H1936" s="1" t="s">
        <v>205</v>
      </c>
      <c r="I1936" s="2" t="s">
        <v>206</v>
      </c>
      <c r="J1936" s="3" t="s">
        <v>11</v>
      </c>
      <c r="K1936" s="38">
        <v>0.11</v>
      </c>
      <c r="L1936" s="39">
        <v>679</v>
      </c>
    </row>
    <row r="1937" spans="1:12" ht="19.95" customHeight="1" x14ac:dyDescent="0.3">
      <c r="A1937" s="6" t="s">
        <v>4417</v>
      </c>
      <c r="B1937" s="7" t="s">
        <v>4418</v>
      </c>
      <c r="C1937" s="6" t="s">
        <v>4976</v>
      </c>
      <c r="D1937" s="7" t="s">
        <v>5118</v>
      </c>
      <c r="E1937" s="6" t="s">
        <v>5117</v>
      </c>
      <c r="F1937" s="7" t="s">
        <v>5110</v>
      </c>
      <c r="G1937" s="7" t="s">
        <v>4367</v>
      </c>
      <c r="H1937" s="5" t="s">
        <v>209</v>
      </c>
      <c r="I1937" s="6" t="s">
        <v>210</v>
      </c>
      <c r="J1937" s="7" t="s">
        <v>11</v>
      </c>
      <c r="K1937" s="36">
        <v>0.06</v>
      </c>
      <c r="L1937" s="37">
        <v>558</v>
      </c>
    </row>
    <row r="1938" spans="1:12" ht="19.95" customHeight="1" x14ac:dyDescent="0.3">
      <c r="A1938" s="2" t="s">
        <v>4417</v>
      </c>
      <c r="B1938" s="3" t="s">
        <v>4418</v>
      </c>
      <c r="C1938" s="2" t="s">
        <v>4976</v>
      </c>
      <c r="D1938" s="3" t="s">
        <v>5119</v>
      </c>
      <c r="E1938" s="2" t="s">
        <v>5120</v>
      </c>
      <c r="F1938" s="3" t="s">
        <v>4344</v>
      </c>
      <c r="G1938" s="3" t="s">
        <v>4367</v>
      </c>
      <c r="H1938" s="1" t="s">
        <v>205</v>
      </c>
      <c r="I1938" s="2" t="s">
        <v>206</v>
      </c>
      <c r="J1938" s="3" t="s">
        <v>11</v>
      </c>
      <c r="K1938" s="38">
        <v>1.28</v>
      </c>
      <c r="L1938" s="39">
        <v>679</v>
      </c>
    </row>
    <row r="1939" spans="1:12" ht="19.95" customHeight="1" x14ac:dyDescent="0.3">
      <c r="A1939" s="6" t="s">
        <v>4417</v>
      </c>
      <c r="B1939" s="7" t="s">
        <v>4418</v>
      </c>
      <c r="C1939" s="6" t="s">
        <v>4976</v>
      </c>
      <c r="D1939" s="7" t="s">
        <v>5119</v>
      </c>
      <c r="E1939" s="6" t="s">
        <v>5120</v>
      </c>
      <c r="F1939" s="7" t="s">
        <v>4344</v>
      </c>
      <c r="G1939" s="7" t="s">
        <v>4367</v>
      </c>
      <c r="H1939" s="5" t="s">
        <v>209</v>
      </c>
      <c r="I1939" s="6" t="s">
        <v>210</v>
      </c>
      <c r="J1939" s="7" t="s">
        <v>11</v>
      </c>
      <c r="K1939" s="36">
        <v>1.43</v>
      </c>
      <c r="L1939" s="37">
        <v>558</v>
      </c>
    </row>
    <row r="1940" spans="1:12" ht="19.95" customHeight="1" x14ac:dyDescent="0.3">
      <c r="A1940" s="2" t="s">
        <v>4417</v>
      </c>
      <c r="B1940" s="3" t="s">
        <v>4418</v>
      </c>
      <c r="C1940" s="2" t="s">
        <v>4976</v>
      </c>
      <c r="D1940" s="3" t="s">
        <v>5121</v>
      </c>
      <c r="E1940" s="2" t="s">
        <v>5122</v>
      </c>
      <c r="F1940" s="3" t="s">
        <v>4344</v>
      </c>
      <c r="G1940" s="3" t="s">
        <v>4367</v>
      </c>
      <c r="H1940" s="1" t="s">
        <v>205</v>
      </c>
      <c r="I1940" s="2" t="s">
        <v>206</v>
      </c>
      <c r="J1940" s="3" t="s">
        <v>11</v>
      </c>
      <c r="K1940" s="38">
        <v>1.28</v>
      </c>
      <c r="L1940" s="39">
        <v>679</v>
      </c>
    </row>
    <row r="1941" spans="1:12" ht="19.95" customHeight="1" x14ac:dyDescent="0.3">
      <c r="A1941" s="6" t="s">
        <v>4417</v>
      </c>
      <c r="B1941" s="7" t="s">
        <v>4418</v>
      </c>
      <c r="C1941" s="6" t="s">
        <v>4976</v>
      </c>
      <c r="D1941" s="7" t="s">
        <v>5121</v>
      </c>
      <c r="E1941" s="6" t="s">
        <v>5122</v>
      </c>
      <c r="F1941" s="7" t="s">
        <v>4344</v>
      </c>
      <c r="G1941" s="7" t="s">
        <v>4367</v>
      </c>
      <c r="H1941" s="5" t="s">
        <v>209</v>
      </c>
      <c r="I1941" s="6" t="s">
        <v>210</v>
      </c>
      <c r="J1941" s="7" t="s">
        <v>11</v>
      </c>
      <c r="K1941" s="36">
        <v>1.43</v>
      </c>
      <c r="L1941" s="37">
        <v>558</v>
      </c>
    </row>
    <row r="1942" spans="1:12" ht="19.95" customHeight="1" x14ac:dyDescent="0.3">
      <c r="A1942" s="2" t="s">
        <v>4417</v>
      </c>
      <c r="B1942" s="3" t="s">
        <v>4418</v>
      </c>
      <c r="C1942" s="2" t="s">
        <v>4976</v>
      </c>
      <c r="D1942" s="3" t="s">
        <v>5123</v>
      </c>
      <c r="E1942" s="2" t="s">
        <v>5124</v>
      </c>
      <c r="F1942" s="3" t="s">
        <v>4344</v>
      </c>
      <c r="G1942" s="3" t="s">
        <v>4367</v>
      </c>
      <c r="H1942" s="1" t="s">
        <v>205</v>
      </c>
      <c r="I1942" s="2" t="s">
        <v>206</v>
      </c>
      <c r="J1942" s="3" t="s">
        <v>11</v>
      </c>
      <c r="K1942" s="38">
        <v>1.28</v>
      </c>
      <c r="L1942" s="39">
        <v>679</v>
      </c>
    </row>
    <row r="1943" spans="1:12" ht="19.95" customHeight="1" x14ac:dyDescent="0.3">
      <c r="A1943" s="6" t="s">
        <v>4417</v>
      </c>
      <c r="B1943" s="7" t="s">
        <v>4418</v>
      </c>
      <c r="C1943" s="6" t="s">
        <v>4976</v>
      </c>
      <c r="D1943" s="7" t="s">
        <v>5123</v>
      </c>
      <c r="E1943" s="6" t="s">
        <v>5124</v>
      </c>
      <c r="F1943" s="7" t="s">
        <v>4344</v>
      </c>
      <c r="G1943" s="7" t="s">
        <v>4367</v>
      </c>
      <c r="H1943" s="5" t="s">
        <v>209</v>
      </c>
      <c r="I1943" s="6" t="s">
        <v>210</v>
      </c>
      <c r="J1943" s="7" t="s">
        <v>11</v>
      </c>
      <c r="K1943" s="36">
        <v>1.43</v>
      </c>
      <c r="L1943" s="37">
        <v>558</v>
      </c>
    </row>
    <row r="1944" spans="1:12" ht="19.95" customHeight="1" x14ac:dyDescent="0.3">
      <c r="A1944" s="2" t="s">
        <v>4417</v>
      </c>
      <c r="B1944" s="3" t="s">
        <v>4418</v>
      </c>
      <c r="C1944" s="2" t="s">
        <v>4976</v>
      </c>
      <c r="D1944" s="3" t="s">
        <v>5125</v>
      </c>
      <c r="E1944" s="2" t="s">
        <v>5126</v>
      </c>
      <c r="F1944" s="3" t="s">
        <v>4440</v>
      </c>
      <c r="G1944" s="3" t="s">
        <v>4367</v>
      </c>
      <c r="H1944" s="1" t="s">
        <v>257</v>
      </c>
      <c r="I1944" s="2" t="s">
        <v>258</v>
      </c>
      <c r="J1944" s="3" t="s">
        <v>11</v>
      </c>
      <c r="K1944" s="38">
        <v>0.55000000000000004</v>
      </c>
      <c r="L1944" s="39">
        <v>709</v>
      </c>
    </row>
    <row r="1945" spans="1:12" ht="19.95" customHeight="1" x14ac:dyDescent="0.3">
      <c r="A1945" s="6" t="s">
        <v>4417</v>
      </c>
      <c r="B1945" s="7" t="s">
        <v>4418</v>
      </c>
      <c r="C1945" s="6" t="s">
        <v>4976</v>
      </c>
      <c r="D1945" s="7" t="s">
        <v>5125</v>
      </c>
      <c r="E1945" s="6" t="s">
        <v>5126</v>
      </c>
      <c r="F1945" s="7" t="s">
        <v>4440</v>
      </c>
      <c r="G1945" s="7" t="s">
        <v>4367</v>
      </c>
      <c r="H1945" s="5" t="s">
        <v>209</v>
      </c>
      <c r="I1945" s="6" t="s">
        <v>210</v>
      </c>
      <c r="J1945" s="7" t="s">
        <v>11</v>
      </c>
      <c r="K1945" s="36">
        <v>0.55000000000000004</v>
      </c>
      <c r="L1945" s="37">
        <v>558</v>
      </c>
    </row>
    <row r="1946" spans="1:12" ht="19.95" customHeight="1" x14ac:dyDescent="0.3">
      <c r="A1946" s="2" t="s">
        <v>4417</v>
      </c>
      <c r="B1946" s="3" t="s">
        <v>4418</v>
      </c>
      <c r="C1946" s="2" t="s">
        <v>4976</v>
      </c>
      <c r="D1946" s="3" t="s">
        <v>5127</v>
      </c>
      <c r="E1946" s="2" t="s">
        <v>5128</v>
      </c>
      <c r="F1946" s="3" t="s">
        <v>5129</v>
      </c>
      <c r="G1946" s="3" t="s">
        <v>4367</v>
      </c>
      <c r="H1946" s="1" t="s">
        <v>203</v>
      </c>
      <c r="I1946" s="2" t="s">
        <v>204</v>
      </c>
      <c r="J1946" s="3" t="s">
        <v>11</v>
      </c>
      <c r="K1946" s="38">
        <v>2.4</v>
      </c>
      <c r="L1946" s="39">
        <v>738</v>
      </c>
    </row>
    <row r="1947" spans="1:12" ht="19.95" customHeight="1" x14ac:dyDescent="0.3">
      <c r="A1947" s="6" t="s">
        <v>4417</v>
      </c>
      <c r="B1947" s="7" t="s">
        <v>4418</v>
      </c>
      <c r="C1947" s="6" t="s">
        <v>4976</v>
      </c>
      <c r="D1947" s="7" t="s">
        <v>5127</v>
      </c>
      <c r="E1947" s="6" t="s">
        <v>5128</v>
      </c>
      <c r="F1947" s="7" t="s">
        <v>5129</v>
      </c>
      <c r="G1947" s="7" t="s">
        <v>4367</v>
      </c>
      <c r="H1947" s="5" t="s">
        <v>217</v>
      </c>
      <c r="I1947" s="6" t="s">
        <v>218</v>
      </c>
      <c r="J1947" s="7" t="s">
        <v>11</v>
      </c>
      <c r="K1947" s="36">
        <v>0.18</v>
      </c>
      <c r="L1947" s="37">
        <v>679</v>
      </c>
    </row>
    <row r="1948" spans="1:12" ht="19.95" customHeight="1" x14ac:dyDescent="0.3">
      <c r="A1948" s="2" t="s">
        <v>4417</v>
      </c>
      <c r="B1948" s="3" t="s">
        <v>4418</v>
      </c>
      <c r="C1948" s="2" t="s">
        <v>4976</v>
      </c>
      <c r="D1948" s="3" t="s">
        <v>5127</v>
      </c>
      <c r="E1948" s="2" t="s">
        <v>5128</v>
      </c>
      <c r="F1948" s="3" t="s">
        <v>5129</v>
      </c>
      <c r="G1948" s="3" t="s">
        <v>4367</v>
      </c>
      <c r="H1948" s="1" t="s">
        <v>209</v>
      </c>
      <c r="I1948" s="2" t="s">
        <v>210</v>
      </c>
      <c r="J1948" s="3" t="s">
        <v>11</v>
      </c>
      <c r="K1948" s="38">
        <v>0.77</v>
      </c>
      <c r="L1948" s="39">
        <v>558</v>
      </c>
    </row>
    <row r="1949" spans="1:12" ht="19.95" customHeight="1" x14ac:dyDescent="0.3">
      <c r="A1949" s="6" t="s">
        <v>4417</v>
      </c>
      <c r="B1949" s="7" t="s">
        <v>4418</v>
      </c>
      <c r="C1949" s="6" t="s">
        <v>4976</v>
      </c>
      <c r="D1949" s="7" t="s">
        <v>5127</v>
      </c>
      <c r="E1949" s="6" t="s">
        <v>5128</v>
      </c>
      <c r="F1949" s="7" t="s">
        <v>5129</v>
      </c>
      <c r="G1949" s="7" t="s">
        <v>4367</v>
      </c>
      <c r="H1949" s="5" t="s">
        <v>203</v>
      </c>
      <c r="I1949" s="6" t="s">
        <v>204</v>
      </c>
      <c r="J1949" s="7" t="s">
        <v>11</v>
      </c>
      <c r="K1949" s="36">
        <v>2.4</v>
      </c>
      <c r="L1949" s="37">
        <v>738</v>
      </c>
    </row>
    <row r="1950" spans="1:12" ht="19.95" customHeight="1" x14ac:dyDescent="0.3">
      <c r="A1950" s="2" t="s">
        <v>4417</v>
      </c>
      <c r="B1950" s="3" t="s">
        <v>4418</v>
      </c>
      <c r="C1950" s="2" t="s">
        <v>4976</v>
      </c>
      <c r="D1950" s="3" t="s">
        <v>5127</v>
      </c>
      <c r="E1950" s="2" t="s">
        <v>5128</v>
      </c>
      <c r="F1950" s="3" t="s">
        <v>5129</v>
      </c>
      <c r="G1950" s="3" t="s">
        <v>4367</v>
      </c>
      <c r="H1950" s="1" t="s">
        <v>217</v>
      </c>
      <c r="I1950" s="2" t="s">
        <v>218</v>
      </c>
      <c r="J1950" s="3" t="s">
        <v>11</v>
      </c>
      <c r="K1950" s="38">
        <v>0.18</v>
      </c>
      <c r="L1950" s="39">
        <v>679</v>
      </c>
    </row>
    <row r="1951" spans="1:12" ht="19.95" customHeight="1" x14ac:dyDescent="0.3">
      <c r="A1951" s="6" t="s">
        <v>4417</v>
      </c>
      <c r="B1951" s="7" t="s">
        <v>4418</v>
      </c>
      <c r="C1951" s="6" t="s">
        <v>4976</v>
      </c>
      <c r="D1951" s="7" t="s">
        <v>5127</v>
      </c>
      <c r="E1951" s="6" t="s">
        <v>5128</v>
      </c>
      <c r="F1951" s="7" t="s">
        <v>5129</v>
      </c>
      <c r="G1951" s="7" t="s">
        <v>4367</v>
      </c>
      <c r="H1951" s="5" t="s">
        <v>209</v>
      </c>
      <c r="I1951" s="6" t="s">
        <v>210</v>
      </c>
      <c r="J1951" s="7" t="s">
        <v>11</v>
      </c>
      <c r="K1951" s="36">
        <v>0.77</v>
      </c>
      <c r="L1951" s="37">
        <v>558</v>
      </c>
    </row>
    <row r="1952" spans="1:12" ht="19.95" customHeight="1" x14ac:dyDescent="0.3">
      <c r="A1952" s="2" t="s">
        <v>4417</v>
      </c>
      <c r="B1952" s="3" t="s">
        <v>4418</v>
      </c>
      <c r="C1952" s="2" t="s">
        <v>4976</v>
      </c>
      <c r="D1952" s="3" t="s">
        <v>5130</v>
      </c>
      <c r="E1952" s="2" t="s">
        <v>5131</v>
      </c>
      <c r="F1952" s="3" t="s">
        <v>5132</v>
      </c>
      <c r="G1952" s="3" t="s">
        <v>4367</v>
      </c>
      <c r="H1952" s="1" t="s">
        <v>257</v>
      </c>
      <c r="I1952" s="2" t="s">
        <v>258</v>
      </c>
      <c r="J1952" s="3" t="s">
        <v>11</v>
      </c>
      <c r="K1952" s="38">
        <v>1.83</v>
      </c>
      <c r="L1952" s="39">
        <v>709</v>
      </c>
    </row>
    <row r="1953" spans="1:12" ht="19.95" customHeight="1" x14ac:dyDescent="0.3">
      <c r="A1953" s="6" t="s">
        <v>4417</v>
      </c>
      <c r="B1953" s="7" t="s">
        <v>4418</v>
      </c>
      <c r="C1953" s="6" t="s">
        <v>4976</v>
      </c>
      <c r="D1953" s="7" t="s">
        <v>5130</v>
      </c>
      <c r="E1953" s="6" t="s">
        <v>5131</v>
      </c>
      <c r="F1953" s="7" t="s">
        <v>5132</v>
      </c>
      <c r="G1953" s="7" t="s">
        <v>4367</v>
      </c>
      <c r="H1953" s="5" t="s">
        <v>217</v>
      </c>
      <c r="I1953" s="6" t="s">
        <v>218</v>
      </c>
      <c r="J1953" s="7" t="s">
        <v>11</v>
      </c>
      <c r="K1953" s="36">
        <v>0.23</v>
      </c>
      <c r="L1953" s="37">
        <v>679</v>
      </c>
    </row>
    <row r="1954" spans="1:12" ht="19.95" customHeight="1" x14ac:dyDescent="0.3">
      <c r="A1954" s="2" t="s">
        <v>4417</v>
      </c>
      <c r="B1954" s="3" t="s">
        <v>4418</v>
      </c>
      <c r="C1954" s="2" t="s">
        <v>4976</v>
      </c>
      <c r="D1954" s="3" t="s">
        <v>5130</v>
      </c>
      <c r="E1954" s="2" t="s">
        <v>5131</v>
      </c>
      <c r="F1954" s="3" t="s">
        <v>5132</v>
      </c>
      <c r="G1954" s="3" t="s">
        <v>4367</v>
      </c>
      <c r="H1954" s="1" t="s">
        <v>209</v>
      </c>
      <c r="I1954" s="2" t="s">
        <v>210</v>
      </c>
      <c r="J1954" s="3" t="s">
        <v>11</v>
      </c>
      <c r="K1954" s="38">
        <v>0.77</v>
      </c>
      <c r="L1954" s="39">
        <v>558</v>
      </c>
    </row>
    <row r="1955" spans="1:12" ht="19.95" customHeight="1" x14ac:dyDescent="0.3">
      <c r="A1955" s="6" t="s">
        <v>4417</v>
      </c>
      <c r="B1955" s="7" t="s">
        <v>4418</v>
      </c>
      <c r="C1955" s="6" t="s">
        <v>4976</v>
      </c>
      <c r="D1955" s="7" t="s">
        <v>5130</v>
      </c>
      <c r="E1955" s="6" t="s">
        <v>5131</v>
      </c>
      <c r="F1955" s="7" t="s">
        <v>5132</v>
      </c>
      <c r="G1955" s="7" t="s">
        <v>4367</v>
      </c>
      <c r="H1955" s="5" t="s">
        <v>257</v>
      </c>
      <c r="I1955" s="6" t="s">
        <v>258</v>
      </c>
      <c r="J1955" s="7" t="s">
        <v>11</v>
      </c>
      <c r="K1955" s="36">
        <v>1.83</v>
      </c>
      <c r="L1955" s="37">
        <v>709</v>
      </c>
    </row>
    <row r="1956" spans="1:12" ht="19.95" customHeight="1" x14ac:dyDescent="0.3">
      <c r="A1956" s="2" t="s">
        <v>4417</v>
      </c>
      <c r="B1956" s="3" t="s">
        <v>4418</v>
      </c>
      <c r="C1956" s="2" t="s">
        <v>4976</v>
      </c>
      <c r="D1956" s="3" t="s">
        <v>5130</v>
      </c>
      <c r="E1956" s="2" t="s">
        <v>5131</v>
      </c>
      <c r="F1956" s="3" t="s">
        <v>5132</v>
      </c>
      <c r="G1956" s="3" t="s">
        <v>4367</v>
      </c>
      <c r="H1956" s="1" t="s">
        <v>217</v>
      </c>
      <c r="I1956" s="2" t="s">
        <v>218</v>
      </c>
      <c r="J1956" s="3" t="s">
        <v>11</v>
      </c>
      <c r="K1956" s="38">
        <v>0.23</v>
      </c>
      <c r="L1956" s="39">
        <v>679</v>
      </c>
    </row>
    <row r="1957" spans="1:12" ht="19.95" customHeight="1" x14ac:dyDescent="0.3">
      <c r="A1957" s="6" t="s">
        <v>4417</v>
      </c>
      <c r="B1957" s="7" t="s">
        <v>4418</v>
      </c>
      <c r="C1957" s="6" t="s">
        <v>4976</v>
      </c>
      <c r="D1957" s="7" t="s">
        <v>5130</v>
      </c>
      <c r="E1957" s="6" t="s">
        <v>5131</v>
      </c>
      <c r="F1957" s="7" t="s">
        <v>5132</v>
      </c>
      <c r="G1957" s="7" t="s">
        <v>4367</v>
      </c>
      <c r="H1957" s="5" t="s">
        <v>209</v>
      </c>
      <c r="I1957" s="6" t="s">
        <v>210</v>
      </c>
      <c r="J1957" s="7" t="s">
        <v>11</v>
      </c>
      <c r="K1957" s="36">
        <v>0.77</v>
      </c>
      <c r="L1957" s="37">
        <v>558</v>
      </c>
    </row>
    <row r="1958" spans="1:12" ht="19.95" customHeight="1" x14ac:dyDescent="0.3">
      <c r="A1958" s="2" t="s">
        <v>4417</v>
      </c>
      <c r="B1958" s="3" t="s">
        <v>4418</v>
      </c>
      <c r="C1958" s="2" t="s">
        <v>4976</v>
      </c>
      <c r="D1958" s="3" t="s">
        <v>5133</v>
      </c>
      <c r="E1958" s="2" t="s">
        <v>5134</v>
      </c>
      <c r="F1958" s="3" t="s">
        <v>5014</v>
      </c>
      <c r="G1958" s="3" t="s">
        <v>4367</v>
      </c>
      <c r="H1958" s="1" t="s">
        <v>205</v>
      </c>
      <c r="I1958" s="2" t="s">
        <v>206</v>
      </c>
      <c r="J1958" s="3" t="s">
        <v>11</v>
      </c>
      <c r="K1958" s="38">
        <v>0.77</v>
      </c>
      <c r="L1958" s="39">
        <v>679</v>
      </c>
    </row>
    <row r="1959" spans="1:12" ht="19.95" customHeight="1" x14ac:dyDescent="0.3">
      <c r="A1959" s="6" t="s">
        <v>4417</v>
      </c>
      <c r="B1959" s="7" t="s">
        <v>4418</v>
      </c>
      <c r="C1959" s="6" t="s">
        <v>4976</v>
      </c>
      <c r="D1959" s="7" t="s">
        <v>5133</v>
      </c>
      <c r="E1959" s="6" t="s">
        <v>5134</v>
      </c>
      <c r="F1959" s="7" t="s">
        <v>5014</v>
      </c>
      <c r="G1959" s="7" t="s">
        <v>4367</v>
      </c>
      <c r="H1959" s="5" t="s">
        <v>209</v>
      </c>
      <c r="I1959" s="6" t="s">
        <v>210</v>
      </c>
      <c r="J1959" s="7" t="s">
        <v>11</v>
      </c>
      <c r="K1959" s="36">
        <v>0.86</v>
      </c>
      <c r="L1959" s="37">
        <v>558</v>
      </c>
    </row>
    <row r="1960" spans="1:12" ht="19.95" customHeight="1" x14ac:dyDescent="0.3">
      <c r="A1960" s="2" t="s">
        <v>4417</v>
      </c>
      <c r="B1960" s="3" t="s">
        <v>4418</v>
      </c>
      <c r="C1960" s="2" t="s">
        <v>4976</v>
      </c>
      <c r="D1960" s="3" t="s">
        <v>5135</v>
      </c>
      <c r="E1960" s="2" t="s">
        <v>5136</v>
      </c>
      <c r="F1960" s="3" t="s">
        <v>5014</v>
      </c>
      <c r="G1960" s="3" t="s">
        <v>4367</v>
      </c>
      <c r="H1960" s="1" t="s">
        <v>205</v>
      </c>
      <c r="I1960" s="2" t="s">
        <v>206</v>
      </c>
      <c r="J1960" s="3" t="s">
        <v>11</v>
      </c>
      <c r="K1960" s="38">
        <v>0.77</v>
      </c>
      <c r="L1960" s="39">
        <v>679</v>
      </c>
    </row>
    <row r="1961" spans="1:12" ht="19.95" customHeight="1" x14ac:dyDescent="0.3">
      <c r="A1961" s="6" t="s">
        <v>4417</v>
      </c>
      <c r="B1961" s="7" t="s">
        <v>4418</v>
      </c>
      <c r="C1961" s="6" t="s">
        <v>4976</v>
      </c>
      <c r="D1961" s="7" t="s">
        <v>5135</v>
      </c>
      <c r="E1961" s="6" t="s">
        <v>5136</v>
      </c>
      <c r="F1961" s="7" t="s">
        <v>5014</v>
      </c>
      <c r="G1961" s="7" t="s">
        <v>4367</v>
      </c>
      <c r="H1961" s="5" t="s">
        <v>209</v>
      </c>
      <c r="I1961" s="6" t="s">
        <v>210</v>
      </c>
      <c r="J1961" s="7" t="s">
        <v>11</v>
      </c>
      <c r="K1961" s="36">
        <v>0.86</v>
      </c>
      <c r="L1961" s="37">
        <v>558</v>
      </c>
    </row>
    <row r="1962" spans="1:12" ht="19.95" customHeight="1" x14ac:dyDescent="0.3">
      <c r="A1962" s="2" t="s">
        <v>4417</v>
      </c>
      <c r="B1962" s="3" t="s">
        <v>4418</v>
      </c>
      <c r="C1962" s="2" t="s">
        <v>4976</v>
      </c>
      <c r="D1962" s="3" t="s">
        <v>5137</v>
      </c>
      <c r="E1962" s="2" t="s">
        <v>5138</v>
      </c>
      <c r="F1962" s="3" t="s">
        <v>5139</v>
      </c>
      <c r="G1962" s="3" t="s">
        <v>4367</v>
      </c>
      <c r="H1962" s="1" t="s">
        <v>203</v>
      </c>
      <c r="I1962" s="2" t="s">
        <v>204</v>
      </c>
      <c r="J1962" s="3" t="s">
        <v>11</v>
      </c>
      <c r="K1962" s="38">
        <v>0.06</v>
      </c>
      <c r="L1962" s="39">
        <v>738</v>
      </c>
    </row>
    <row r="1963" spans="1:12" ht="19.95" customHeight="1" x14ac:dyDescent="0.3">
      <c r="A1963" s="6" t="s">
        <v>4417</v>
      </c>
      <c r="B1963" s="7" t="s">
        <v>4418</v>
      </c>
      <c r="C1963" s="6" t="s">
        <v>4976</v>
      </c>
      <c r="D1963" s="7" t="s">
        <v>5140</v>
      </c>
      <c r="E1963" s="6" t="s">
        <v>5141</v>
      </c>
      <c r="F1963" s="7" t="s">
        <v>5142</v>
      </c>
      <c r="G1963" s="7" t="s">
        <v>4367</v>
      </c>
      <c r="H1963" s="5" t="s">
        <v>203</v>
      </c>
      <c r="I1963" s="6" t="s">
        <v>204</v>
      </c>
      <c r="J1963" s="7" t="s">
        <v>11</v>
      </c>
      <c r="K1963" s="36">
        <v>0.06</v>
      </c>
      <c r="L1963" s="37">
        <v>738</v>
      </c>
    </row>
    <row r="1964" spans="1:12" ht="19.95" customHeight="1" x14ac:dyDescent="0.3">
      <c r="A1964" s="2" t="s">
        <v>4417</v>
      </c>
      <c r="B1964" s="3" t="s">
        <v>4418</v>
      </c>
      <c r="C1964" s="2" t="s">
        <v>4976</v>
      </c>
      <c r="D1964" s="3" t="s">
        <v>5143</v>
      </c>
      <c r="E1964" s="2" t="s">
        <v>5144</v>
      </c>
      <c r="F1964" s="3" t="s">
        <v>5145</v>
      </c>
      <c r="G1964" s="3" t="s">
        <v>4367</v>
      </c>
      <c r="H1964" s="1" t="s">
        <v>203</v>
      </c>
      <c r="I1964" s="2" t="s">
        <v>204</v>
      </c>
      <c r="J1964" s="3" t="s">
        <v>11</v>
      </c>
      <c r="K1964" s="38">
        <v>0.06</v>
      </c>
      <c r="L1964" s="39">
        <v>738</v>
      </c>
    </row>
    <row r="1965" spans="1:12" ht="19.95" customHeight="1" x14ac:dyDescent="0.3">
      <c r="A1965" s="6" t="s">
        <v>4417</v>
      </c>
      <c r="B1965" s="7" t="s">
        <v>4418</v>
      </c>
      <c r="C1965" s="6" t="s">
        <v>4976</v>
      </c>
      <c r="D1965" s="7" t="s">
        <v>5146</v>
      </c>
      <c r="E1965" s="6" t="s">
        <v>5147</v>
      </c>
      <c r="F1965" s="7" t="s">
        <v>5148</v>
      </c>
      <c r="G1965" s="7" t="s">
        <v>4367</v>
      </c>
      <c r="H1965" s="5" t="s">
        <v>205</v>
      </c>
      <c r="I1965" s="6" t="s">
        <v>206</v>
      </c>
      <c r="J1965" s="7" t="s">
        <v>11</v>
      </c>
      <c r="K1965" s="36">
        <v>0.9</v>
      </c>
      <c r="L1965" s="37">
        <v>679</v>
      </c>
    </row>
    <row r="1966" spans="1:12" ht="19.95" customHeight="1" x14ac:dyDescent="0.3">
      <c r="A1966" s="2" t="s">
        <v>4417</v>
      </c>
      <c r="B1966" s="3" t="s">
        <v>4418</v>
      </c>
      <c r="C1966" s="2" t="s">
        <v>4976</v>
      </c>
      <c r="D1966" s="3" t="s">
        <v>5146</v>
      </c>
      <c r="E1966" s="2" t="s">
        <v>5147</v>
      </c>
      <c r="F1966" s="3" t="s">
        <v>5148</v>
      </c>
      <c r="G1966" s="3" t="s">
        <v>4367</v>
      </c>
      <c r="H1966" s="1" t="s">
        <v>209</v>
      </c>
      <c r="I1966" s="2" t="s">
        <v>210</v>
      </c>
      <c r="J1966" s="3" t="s">
        <v>11</v>
      </c>
      <c r="K1966" s="38">
        <v>1</v>
      </c>
      <c r="L1966" s="39">
        <v>558</v>
      </c>
    </row>
    <row r="1967" spans="1:12" ht="19.95" customHeight="1" x14ac:dyDescent="0.3">
      <c r="A1967" s="6" t="s">
        <v>4417</v>
      </c>
      <c r="B1967" s="7" t="s">
        <v>4418</v>
      </c>
      <c r="C1967" s="6" t="s">
        <v>4976</v>
      </c>
      <c r="D1967" s="7" t="s">
        <v>5149</v>
      </c>
      <c r="E1967" s="6" t="s">
        <v>5150</v>
      </c>
      <c r="F1967" s="7" t="s">
        <v>5148</v>
      </c>
      <c r="G1967" s="7" t="s">
        <v>4367</v>
      </c>
      <c r="H1967" s="5" t="s">
        <v>205</v>
      </c>
      <c r="I1967" s="6" t="s">
        <v>206</v>
      </c>
      <c r="J1967" s="7" t="s">
        <v>11</v>
      </c>
      <c r="K1967" s="36">
        <v>0.9</v>
      </c>
      <c r="L1967" s="37">
        <v>679</v>
      </c>
    </row>
    <row r="1968" spans="1:12" ht="19.95" customHeight="1" x14ac:dyDescent="0.3">
      <c r="A1968" s="2" t="s">
        <v>4417</v>
      </c>
      <c r="B1968" s="3" t="s">
        <v>4418</v>
      </c>
      <c r="C1968" s="2" t="s">
        <v>4976</v>
      </c>
      <c r="D1968" s="3" t="s">
        <v>5149</v>
      </c>
      <c r="E1968" s="2" t="s">
        <v>5150</v>
      </c>
      <c r="F1968" s="3" t="s">
        <v>5148</v>
      </c>
      <c r="G1968" s="3" t="s">
        <v>4367</v>
      </c>
      <c r="H1968" s="1" t="s">
        <v>209</v>
      </c>
      <c r="I1968" s="2" t="s">
        <v>210</v>
      </c>
      <c r="J1968" s="3" t="s">
        <v>11</v>
      </c>
      <c r="K1968" s="38">
        <v>1</v>
      </c>
      <c r="L1968" s="39">
        <v>558</v>
      </c>
    </row>
    <row r="1969" spans="1:12" ht="19.95" customHeight="1" x14ac:dyDescent="0.3">
      <c r="A1969" s="6" t="s">
        <v>4417</v>
      </c>
      <c r="B1969" s="7" t="s">
        <v>4418</v>
      </c>
      <c r="C1969" s="6" t="s">
        <v>4976</v>
      </c>
      <c r="D1969" s="7" t="s">
        <v>5151</v>
      </c>
      <c r="E1969" s="6" t="s">
        <v>5152</v>
      </c>
      <c r="F1969" s="7" t="s">
        <v>5153</v>
      </c>
      <c r="G1969" s="7" t="s">
        <v>4367</v>
      </c>
      <c r="H1969" s="5" t="s">
        <v>205</v>
      </c>
      <c r="I1969" s="6" t="s">
        <v>206</v>
      </c>
      <c r="J1969" s="7" t="s">
        <v>11</v>
      </c>
      <c r="K1969" s="36">
        <v>0.11</v>
      </c>
      <c r="L1969" s="37">
        <v>679</v>
      </c>
    </row>
    <row r="1970" spans="1:12" ht="19.95" customHeight="1" x14ac:dyDescent="0.3">
      <c r="A1970" s="2" t="s">
        <v>4417</v>
      </c>
      <c r="B1970" s="3" t="s">
        <v>4418</v>
      </c>
      <c r="C1970" s="2" t="s">
        <v>4976</v>
      </c>
      <c r="D1970" s="3" t="s">
        <v>5151</v>
      </c>
      <c r="E1970" s="2" t="s">
        <v>5152</v>
      </c>
      <c r="F1970" s="3" t="s">
        <v>5153</v>
      </c>
      <c r="G1970" s="3" t="s">
        <v>4367</v>
      </c>
      <c r="H1970" s="1" t="s">
        <v>209</v>
      </c>
      <c r="I1970" s="2" t="s">
        <v>210</v>
      </c>
      <c r="J1970" s="3" t="s">
        <v>11</v>
      </c>
      <c r="K1970" s="38">
        <v>0.06</v>
      </c>
      <c r="L1970" s="39">
        <v>558</v>
      </c>
    </row>
    <row r="1971" spans="1:12" ht="19.95" customHeight="1" x14ac:dyDescent="0.3">
      <c r="A1971" s="6" t="s">
        <v>4417</v>
      </c>
      <c r="B1971" s="7" t="s">
        <v>4418</v>
      </c>
      <c r="C1971" s="6" t="s">
        <v>4976</v>
      </c>
      <c r="D1971" s="7" t="s">
        <v>5154</v>
      </c>
      <c r="E1971" s="6" t="s">
        <v>5155</v>
      </c>
      <c r="F1971" s="7" t="s">
        <v>5153</v>
      </c>
      <c r="G1971" s="7" t="s">
        <v>4367</v>
      </c>
      <c r="H1971" s="5" t="s">
        <v>205</v>
      </c>
      <c r="I1971" s="6" t="s">
        <v>206</v>
      </c>
      <c r="J1971" s="7" t="s">
        <v>11</v>
      </c>
      <c r="K1971" s="36">
        <v>0.11</v>
      </c>
      <c r="L1971" s="37">
        <v>679</v>
      </c>
    </row>
    <row r="1972" spans="1:12" ht="19.95" customHeight="1" x14ac:dyDescent="0.3">
      <c r="A1972" s="2" t="s">
        <v>4417</v>
      </c>
      <c r="B1972" s="3" t="s">
        <v>4418</v>
      </c>
      <c r="C1972" s="2" t="s">
        <v>4976</v>
      </c>
      <c r="D1972" s="3" t="s">
        <v>5154</v>
      </c>
      <c r="E1972" s="2" t="s">
        <v>5155</v>
      </c>
      <c r="F1972" s="3" t="s">
        <v>5153</v>
      </c>
      <c r="G1972" s="3" t="s">
        <v>4367</v>
      </c>
      <c r="H1972" s="1" t="s">
        <v>209</v>
      </c>
      <c r="I1972" s="2" t="s">
        <v>210</v>
      </c>
      <c r="J1972" s="3" t="s">
        <v>11</v>
      </c>
      <c r="K1972" s="38">
        <v>0.06</v>
      </c>
      <c r="L1972" s="39">
        <v>558</v>
      </c>
    </row>
    <row r="1973" spans="1:12" ht="19.95" customHeight="1" x14ac:dyDescent="0.3">
      <c r="A1973" s="6" t="s">
        <v>4417</v>
      </c>
      <c r="B1973" s="7" t="s">
        <v>4418</v>
      </c>
      <c r="C1973" s="6" t="s">
        <v>4976</v>
      </c>
      <c r="D1973" s="7" t="s">
        <v>5156</v>
      </c>
      <c r="E1973" s="6" t="s">
        <v>5157</v>
      </c>
      <c r="F1973" s="7" t="s">
        <v>4990</v>
      </c>
      <c r="G1973" s="7" t="s">
        <v>4367</v>
      </c>
      <c r="H1973" s="5" t="s">
        <v>203</v>
      </c>
      <c r="I1973" s="6" t="s">
        <v>204</v>
      </c>
      <c r="J1973" s="7" t="s">
        <v>11</v>
      </c>
      <c r="K1973" s="36">
        <v>0.2</v>
      </c>
      <c r="L1973" s="37">
        <v>738</v>
      </c>
    </row>
    <row r="1974" spans="1:12" ht="19.95" customHeight="1" x14ac:dyDescent="0.3">
      <c r="A1974" s="2" t="s">
        <v>4417</v>
      </c>
      <c r="B1974" s="3" t="s">
        <v>4418</v>
      </c>
      <c r="C1974" s="2" t="s">
        <v>4976</v>
      </c>
      <c r="D1974" s="3" t="s">
        <v>5156</v>
      </c>
      <c r="E1974" s="2" t="s">
        <v>5157</v>
      </c>
      <c r="F1974" s="3" t="s">
        <v>4990</v>
      </c>
      <c r="G1974" s="3" t="s">
        <v>4367</v>
      </c>
      <c r="H1974" s="1" t="s">
        <v>205</v>
      </c>
      <c r="I1974" s="2" t="s">
        <v>206</v>
      </c>
      <c r="J1974" s="3" t="s">
        <v>11</v>
      </c>
      <c r="K1974" s="38">
        <v>0.2</v>
      </c>
      <c r="L1974" s="39">
        <v>679</v>
      </c>
    </row>
    <row r="1975" spans="1:12" ht="19.95" customHeight="1" x14ac:dyDescent="0.3">
      <c r="A1975" s="6" t="s">
        <v>4417</v>
      </c>
      <c r="B1975" s="7" t="s">
        <v>4418</v>
      </c>
      <c r="C1975" s="6" t="s">
        <v>4976</v>
      </c>
      <c r="D1975" s="7" t="s">
        <v>5156</v>
      </c>
      <c r="E1975" s="6" t="s">
        <v>5157</v>
      </c>
      <c r="F1975" s="7" t="s">
        <v>4990</v>
      </c>
      <c r="G1975" s="7" t="s">
        <v>4367</v>
      </c>
      <c r="H1975" s="5" t="s">
        <v>209</v>
      </c>
      <c r="I1975" s="6" t="s">
        <v>210</v>
      </c>
      <c r="J1975" s="7" t="s">
        <v>11</v>
      </c>
      <c r="K1975" s="36">
        <v>0.2</v>
      </c>
      <c r="L1975" s="37">
        <v>558</v>
      </c>
    </row>
    <row r="1976" spans="1:12" ht="19.95" customHeight="1" x14ac:dyDescent="0.3">
      <c r="A1976" s="2" t="s">
        <v>4417</v>
      </c>
      <c r="B1976" s="3" t="s">
        <v>4418</v>
      </c>
      <c r="C1976" s="2" t="s">
        <v>4976</v>
      </c>
      <c r="D1976" s="3" t="s">
        <v>5158</v>
      </c>
      <c r="E1976" s="2" t="s">
        <v>5159</v>
      </c>
      <c r="F1976" s="3" t="s">
        <v>4440</v>
      </c>
      <c r="G1976" s="3" t="s">
        <v>4367</v>
      </c>
      <c r="H1976" s="1" t="s">
        <v>257</v>
      </c>
      <c r="I1976" s="2" t="s">
        <v>258</v>
      </c>
      <c r="J1976" s="3" t="s">
        <v>11</v>
      </c>
      <c r="K1976" s="38">
        <v>0.55000000000000004</v>
      </c>
      <c r="L1976" s="39">
        <v>709</v>
      </c>
    </row>
    <row r="1977" spans="1:12" ht="19.95" customHeight="1" x14ac:dyDescent="0.3">
      <c r="A1977" s="6" t="s">
        <v>4417</v>
      </c>
      <c r="B1977" s="7" t="s">
        <v>4418</v>
      </c>
      <c r="C1977" s="6" t="s">
        <v>4976</v>
      </c>
      <c r="D1977" s="7" t="s">
        <v>5158</v>
      </c>
      <c r="E1977" s="6" t="s">
        <v>5159</v>
      </c>
      <c r="F1977" s="7" t="s">
        <v>4440</v>
      </c>
      <c r="G1977" s="7" t="s">
        <v>4367</v>
      </c>
      <c r="H1977" s="5" t="s">
        <v>209</v>
      </c>
      <c r="I1977" s="6" t="s">
        <v>210</v>
      </c>
      <c r="J1977" s="7" t="s">
        <v>11</v>
      </c>
      <c r="K1977" s="36">
        <v>0.55000000000000004</v>
      </c>
      <c r="L1977" s="37">
        <v>558</v>
      </c>
    </row>
    <row r="1978" spans="1:12" ht="19.95" customHeight="1" x14ac:dyDescent="0.3">
      <c r="A1978" s="2" t="s">
        <v>4417</v>
      </c>
      <c r="B1978" s="3" t="s">
        <v>4418</v>
      </c>
      <c r="C1978" s="2" t="s">
        <v>4976</v>
      </c>
      <c r="D1978" s="3" t="s">
        <v>5160</v>
      </c>
      <c r="E1978" s="2" t="s">
        <v>5161</v>
      </c>
      <c r="F1978" s="3" t="s">
        <v>4440</v>
      </c>
      <c r="G1978" s="3" t="s">
        <v>4367</v>
      </c>
      <c r="H1978" s="1" t="s">
        <v>257</v>
      </c>
      <c r="I1978" s="2" t="s">
        <v>258</v>
      </c>
      <c r="J1978" s="3" t="s">
        <v>11</v>
      </c>
      <c r="K1978" s="38">
        <v>0.55000000000000004</v>
      </c>
      <c r="L1978" s="39">
        <v>709</v>
      </c>
    </row>
    <row r="1979" spans="1:12" ht="19.95" customHeight="1" x14ac:dyDescent="0.3">
      <c r="A1979" s="6" t="s">
        <v>4417</v>
      </c>
      <c r="B1979" s="7" t="s">
        <v>4418</v>
      </c>
      <c r="C1979" s="6" t="s">
        <v>4976</v>
      </c>
      <c r="D1979" s="7" t="s">
        <v>5160</v>
      </c>
      <c r="E1979" s="6" t="s">
        <v>5161</v>
      </c>
      <c r="F1979" s="7" t="s">
        <v>4440</v>
      </c>
      <c r="G1979" s="7" t="s">
        <v>4367</v>
      </c>
      <c r="H1979" s="5" t="s">
        <v>209</v>
      </c>
      <c r="I1979" s="6" t="s">
        <v>210</v>
      </c>
      <c r="J1979" s="7" t="s">
        <v>11</v>
      </c>
      <c r="K1979" s="36">
        <v>0.55000000000000004</v>
      </c>
      <c r="L1979" s="37">
        <v>558</v>
      </c>
    </row>
    <row r="1980" spans="1:12" ht="19.95" customHeight="1" x14ac:dyDescent="0.3">
      <c r="A1980" s="2" t="s">
        <v>4417</v>
      </c>
      <c r="B1980" s="3" t="s">
        <v>4418</v>
      </c>
      <c r="C1980" s="2" t="s">
        <v>4976</v>
      </c>
      <c r="D1980" s="3" t="s">
        <v>5162</v>
      </c>
      <c r="E1980" s="2" t="s">
        <v>5163</v>
      </c>
      <c r="F1980" s="3" t="s">
        <v>4440</v>
      </c>
      <c r="G1980" s="3" t="s">
        <v>4367</v>
      </c>
      <c r="H1980" s="1" t="s">
        <v>257</v>
      </c>
      <c r="I1980" s="2" t="s">
        <v>258</v>
      </c>
      <c r="J1980" s="3" t="s">
        <v>11</v>
      </c>
      <c r="K1980" s="38">
        <v>0.55000000000000004</v>
      </c>
      <c r="L1980" s="39">
        <v>709</v>
      </c>
    </row>
    <row r="1981" spans="1:12" ht="19.95" customHeight="1" x14ac:dyDescent="0.3">
      <c r="A1981" s="6" t="s">
        <v>4417</v>
      </c>
      <c r="B1981" s="7" t="s">
        <v>4418</v>
      </c>
      <c r="C1981" s="6" t="s">
        <v>4976</v>
      </c>
      <c r="D1981" s="7" t="s">
        <v>5162</v>
      </c>
      <c r="E1981" s="6" t="s">
        <v>5163</v>
      </c>
      <c r="F1981" s="7" t="s">
        <v>4440</v>
      </c>
      <c r="G1981" s="7" t="s">
        <v>4367</v>
      </c>
      <c r="H1981" s="5" t="s">
        <v>209</v>
      </c>
      <c r="I1981" s="6" t="s">
        <v>210</v>
      </c>
      <c r="J1981" s="7" t="s">
        <v>11</v>
      </c>
      <c r="K1981" s="36">
        <v>0.55000000000000004</v>
      </c>
      <c r="L1981" s="37">
        <v>558</v>
      </c>
    </row>
    <row r="1982" spans="1:12" ht="19.95" customHeight="1" x14ac:dyDescent="0.3">
      <c r="A1982" s="2" t="s">
        <v>4417</v>
      </c>
      <c r="B1982" s="3" t="s">
        <v>4418</v>
      </c>
      <c r="C1982" s="2" t="s">
        <v>4976</v>
      </c>
      <c r="D1982" s="3" t="s">
        <v>5164</v>
      </c>
      <c r="E1982" s="2" t="s">
        <v>5159</v>
      </c>
      <c r="F1982" s="3" t="s">
        <v>4440</v>
      </c>
      <c r="G1982" s="3" t="s">
        <v>4367</v>
      </c>
      <c r="H1982" s="1" t="s">
        <v>257</v>
      </c>
      <c r="I1982" s="2" t="s">
        <v>258</v>
      </c>
      <c r="J1982" s="3" t="s">
        <v>11</v>
      </c>
      <c r="K1982" s="38">
        <v>0.55000000000000004</v>
      </c>
      <c r="L1982" s="39">
        <v>709</v>
      </c>
    </row>
    <row r="1983" spans="1:12" ht="19.95" customHeight="1" x14ac:dyDescent="0.3">
      <c r="A1983" s="6" t="s">
        <v>4417</v>
      </c>
      <c r="B1983" s="7" t="s">
        <v>4418</v>
      </c>
      <c r="C1983" s="6" t="s">
        <v>4976</v>
      </c>
      <c r="D1983" s="7" t="s">
        <v>5164</v>
      </c>
      <c r="E1983" s="6" t="s">
        <v>5159</v>
      </c>
      <c r="F1983" s="7" t="s">
        <v>4440</v>
      </c>
      <c r="G1983" s="7" t="s">
        <v>4367</v>
      </c>
      <c r="H1983" s="5" t="s">
        <v>209</v>
      </c>
      <c r="I1983" s="6" t="s">
        <v>210</v>
      </c>
      <c r="J1983" s="7" t="s">
        <v>11</v>
      </c>
      <c r="K1983" s="36">
        <v>0.55000000000000004</v>
      </c>
      <c r="L1983" s="37">
        <v>558</v>
      </c>
    </row>
    <row r="1984" spans="1:12" ht="19.95" customHeight="1" x14ac:dyDescent="0.3">
      <c r="A1984" s="2" t="s">
        <v>4417</v>
      </c>
      <c r="B1984" s="3" t="s">
        <v>4418</v>
      </c>
      <c r="C1984" s="2" t="s">
        <v>4976</v>
      </c>
      <c r="D1984" s="3" t="s">
        <v>5165</v>
      </c>
      <c r="E1984" s="2" t="s">
        <v>5161</v>
      </c>
      <c r="F1984" s="3" t="s">
        <v>4440</v>
      </c>
      <c r="G1984" s="3" t="s">
        <v>4367</v>
      </c>
      <c r="H1984" s="1" t="s">
        <v>257</v>
      </c>
      <c r="I1984" s="2" t="s">
        <v>258</v>
      </c>
      <c r="J1984" s="3" t="s">
        <v>11</v>
      </c>
      <c r="K1984" s="38">
        <v>0.55000000000000004</v>
      </c>
      <c r="L1984" s="39">
        <v>709</v>
      </c>
    </row>
    <row r="1985" spans="1:12" ht="19.95" customHeight="1" x14ac:dyDescent="0.3">
      <c r="A1985" s="6" t="s">
        <v>4417</v>
      </c>
      <c r="B1985" s="7" t="s">
        <v>4418</v>
      </c>
      <c r="C1985" s="6" t="s">
        <v>4976</v>
      </c>
      <c r="D1985" s="7" t="s">
        <v>5165</v>
      </c>
      <c r="E1985" s="6" t="s">
        <v>5161</v>
      </c>
      <c r="F1985" s="7" t="s">
        <v>4440</v>
      </c>
      <c r="G1985" s="7" t="s">
        <v>4367</v>
      </c>
      <c r="H1985" s="5" t="s">
        <v>209</v>
      </c>
      <c r="I1985" s="6" t="s">
        <v>210</v>
      </c>
      <c r="J1985" s="7" t="s">
        <v>11</v>
      </c>
      <c r="K1985" s="36">
        <v>0.55000000000000004</v>
      </c>
      <c r="L1985" s="37">
        <v>558</v>
      </c>
    </row>
    <row r="1986" spans="1:12" ht="19.95" customHeight="1" x14ac:dyDescent="0.3">
      <c r="A1986" s="2" t="s">
        <v>4417</v>
      </c>
      <c r="B1986" s="3" t="s">
        <v>4418</v>
      </c>
      <c r="C1986" s="2" t="s">
        <v>4976</v>
      </c>
      <c r="D1986" s="3" t="s">
        <v>5166</v>
      </c>
      <c r="E1986" s="2" t="s">
        <v>5167</v>
      </c>
      <c r="F1986" s="3" t="s">
        <v>4440</v>
      </c>
      <c r="G1986" s="3" t="s">
        <v>4367</v>
      </c>
      <c r="H1986" s="1" t="s">
        <v>257</v>
      </c>
      <c r="I1986" s="2" t="s">
        <v>258</v>
      </c>
      <c r="J1986" s="3" t="s">
        <v>11</v>
      </c>
      <c r="K1986" s="38">
        <v>0.55000000000000004</v>
      </c>
      <c r="L1986" s="39">
        <v>709</v>
      </c>
    </row>
    <row r="1987" spans="1:12" ht="19.95" customHeight="1" x14ac:dyDescent="0.3">
      <c r="A1987" s="6" t="s">
        <v>4417</v>
      </c>
      <c r="B1987" s="7" t="s">
        <v>4418</v>
      </c>
      <c r="C1987" s="6" t="s">
        <v>4976</v>
      </c>
      <c r="D1987" s="7" t="s">
        <v>5166</v>
      </c>
      <c r="E1987" s="6" t="s">
        <v>5167</v>
      </c>
      <c r="F1987" s="7" t="s">
        <v>4440</v>
      </c>
      <c r="G1987" s="7" t="s">
        <v>4367</v>
      </c>
      <c r="H1987" s="5" t="s">
        <v>209</v>
      </c>
      <c r="I1987" s="6" t="s">
        <v>210</v>
      </c>
      <c r="J1987" s="7" t="s">
        <v>11</v>
      </c>
      <c r="K1987" s="36">
        <v>0.55000000000000004</v>
      </c>
      <c r="L1987" s="37">
        <v>558</v>
      </c>
    </row>
    <row r="1988" spans="1:12" ht="19.95" customHeight="1" x14ac:dyDescent="0.3">
      <c r="A1988" s="2" t="s">
        <v>4417</v>
      </c>
      <c r="B1988" s="3" t="s">
        <v>4418</v>
      </c>
      <c r="C1988" s="2" t="s">
        <v>4976</v>
      </c>
      <c r="D1988" s="3" t="s">
        <v>5168</v>
      </c>
      <c r="E1988" s="2" t="s">
        <v>5083</v>
      </c>
      <c r="F1988" s="3" t="s">
        <v>4420</v>
      </c>
      <c r="G1988" s="3" t="s">
        <v>4367</v>
      </c>
      <c r="H1988" s="1" t="s">
        <v>203</v>
      </c>
      <c r="I1988" s="2" t="s">
        <v>204</v>
      </c>
      <c r="J1988" s="3" t="s">
        <v>11</v>
      </c>
      <c r="K1988" s="38">
        <v>1.3</v>
      </c>
      <c r="L1988" s="39">
        <v>738</v>
      </c>
    </row>
    <row r="1989" spans="1:12" ht="19.95" customHeight="1" x14ac:dyDescent="0.3">
      <c r="A1989" s="6" t="s">
        <v>4417</v>
      </c>
      <c r="B1989" s="7" t="s">
        <v>4418</v>
      </c>
      <c r="C1989" s="6" t="s">
        <v>4976</v>
      </c>
      <c r="D1989" s="7" t="s">
        <v>5168</v>
      </c>
      <c r="E1989" s="6" t="s">
        <v>5083</v>
      </c>
      <c r="F1989" s="7" t="s">
        <v>4420</v>
      </c>
      <c r="G1989" s="7" t="s">
        <v>4367</v>
      </c>
      <c r="H1989" s="5" t="s">
        <v>205</v>
      </c>
      <c r="I1989" s="6" t="s">
        <v>206</v>
      </c>
      <c r="J1989" s="7" t="s">
        <v>11</v>
      </c>
      <c r="K1989" s="36">
        <v>0.9</v>
      </c>
      <c r="L1989" s="37">
        <v>679</v>
      </c>
    </row>
    <row r="1990" spans="1:12" ht="19.95" customHeight="1" x14ac:dyDescent="0.3">
      <c r="A1990" s="2" t="s">
        <v>4417</v>
      </c>
      <c r="B1990" s="3" t="s">
        <v>4418</v>
      </c>
      <c r="C1990" s="2" t="s">
        <v>4976</v>
      </c>
      <c r="D1990" s="3" t="s">
        <v>5168</v>
      </c>
      <c r="E1990" s="2" t="s">
        <v>5083</v>
      </c>
      <c r="F1990" s="3" t="s">
        <v>4420</v>
      </c>
      <c r="G1990" s="3" t="s">
        <v>4367</v>
      </c>
      <c r="H1990" s="1" t="s">
        <v>209</v>
      </c>
      <c r="I1990" s="2" t="s">
        <v>210</v>
      </c>
      <c r="J1990" s="3" t="s">
        <v>11</v>
      </c>
      <c r="K1990" s="38">
        <v>1.05</v>
      </c>
      <c r="L1990" s="39">
        <v>558</v>
      </c>
    </row>
    <row r="1991" spans="1:12" ht="19.95" customHeight="1" x14ac:dyDescent="0.3">
      <c r="A1991" s="6" t="s">
        <v>4417</v>
      </c>
      <c r="B1991" s="7" t="s">
        <v>4418</v>
      </c>
      <c r="C1991" s="6" t="s">
        <v>4976</v>
      </c>
      <c r="D1991" s="7" t="s">
        <v>5168</v>
      </c>
      <c r="E1991" s="6" t="s">
        <v>5083</v>
      </c>
      <c r="F1991" s="7" t="s">
        <v>4420</v>
      </c>
      <c r="G1991" s="7" t="s">
        <v>4367</v>
      </c>
      <c r="H1991" s="5" t="s">
        <v>235</v>
      </c>
      <c r="I1991" s="6" t="s">
        <v>236</v>
      </c>
      <c r="J1991" s="7" t="s">
        <v>11</v>
      </c>
      <c r="K1991" s="36">
        <v>0.105</v>
      </c>
      <c r="L1991" s="37">
        <v>738</v>
      </c>
    </row>
    <row r="1992" spans="1:12" ht="19.95" customHeight="1" x14ac:dyDescent="0.3">
      <c r="A1992" s="2" t="s">
        <v>4417</v>
      </c>
      <c r="B1992" s="3" t="s">
        <v>4418</v>
      </c>
      <c r="C1992" s="2" t="s">
        <v>4976</v>
      </c>
      <c r="D1992" s="3" t="s">
        <v>5168</v>
      </c>
      <c r="E1992" s="2" t="s">
        <v>5083</v>
      </c>
      <c r="F1992" s="3" t="s">
        <v>4420</v>
      </c>
      <c r="G1992" s="3" t="s">
        <v>4367</v>
      </c>
      <c r="H1992" s="1" t="s">
        <v>203</v>
      </c>
      <c r="I1992" s="2" t="s">
        <v>204</v>
      </c>
      <c r="J1992" s="3" t="s">
        <v>11</v>
      </c>
      <c r="K1992" s="38">
        <v>1.3</v>
      </c>
      <c r="L1992" s="39">
        <v>738</v>
      </c>
    </row>
    <row r="1993" spans="1:12" ht="19.95" customHeight="1" x14ac:dyDescent="0.3">
      <c r="A1993" s="6" t="s">
        <v>4417</v>
      </c>
      <c r="B1993" s="7" t="s">
        <v>4418</v>
      </c>
      <c r="C1993" s="6" t="s">
        <v>4976</v>
      </c>
      <c r="D1993" s="7" t="s">
        <v>5168</v>
      </c>
      <c r="E1993" s="6" t="s">
        <v>5083</v>
      </c>
      <c r="F1993" s="7" t="s">
        <v>4420</v>
      </c>
      <c r="G1993" s="7" t="s">
        <v>4367</v>
      </c>
      <c r="H1993" s="5" t="s">
        <v>205</v>
      </c>
      <c r="I1993" s="6" t="s">
        <v>206</v>
      </c>
      <c r="J1993" s="7" t="s">
        <v>11</v>
      </c>
      <c r="K1993" s="36">
        <v>0.9</v>
      </c>
      <c r="L1993" s="37">
        <v>679</v>
      </c>
    </row>
    <row r="1994" spans="1:12" ht="19.95" customHeight="1" x14ac:dyDescent="0.3">
      <c r="A1994" s="2" t="s">
        <v>4417</v>
      </c>
      <c r="B1994" s="3" t="s">
        <v>4418</v>
      </c>
      <c r="C1994" s="2" t="s">
        <v>4976</v>
      </c>
      <c r="D1994" s="3" t="s">
        <v>5168</v>
      </c>
      <c r="E1994" s="2" t="s">
        <v>5083</v>
      </c>
      <c r="F1994" s="3" t="s">
        <v>4420</v>
      </c>
      <c r="G1994" s="3" t="s">
        <v>4367</v>
      </c>
      <c r="H1994" s="1" t="s">
        <v>209</v>
      </c>
      <c r="I1994" s="2" t="s">
        <v>210</v>
      </c>
      <c r="J1994" s="3" t="s">
        <v>11</v>
      </c>
      <c r="K1994" s="38">
        <v>1.05</v>
      </c>
      <c r="L1994" s="39">
        <v>558</v>
      </c>
    </row>
    <row r="1995" spans="1:12" ht="19.95" customHeight="1" x14ac:dyDescent="0.3">
      <c r="A1995" s="6" t="s">
        <v>4417</v>
      </c>
      <c r="B1995" s="7" t="s">
        <v>4418</v>
      </c>
      <c r="C1995" s="6" t="s">
        <v>4976</v>
      </c>
      <c r="D1995" s="7" t="s">
        <v>5168</v>
      </c>
      <c r="E1995" s="6" t="s">
        <v>5083</v>
      </c>
      <c r="F1995" s="7" t="s">
        <v>4420</v>
      </c>
      <c r="G1995" s="7" t="s">
        <v>4367</v>
      </c>
      <c r="H1995" s="5" t="s">
        <v>235</v>
      </c>
      <c r="I1995" s="6" t="s">
        <v>236</v>
      </c>
      <c r="J1995" s="7" t="s">
        <v>11</v>
      </c>
      <c r="K1995" s="36">
        <v>0.105</v>
      </c>
      <c r="L1995" s="37">
        <v>738</v>
      </c>
    </row>
    <row r="1996" spans="1:12" ht="19.95" customHeight="1" x14ac:dyDescent="0.3">
      <c r="A1996" s="2" t="s">
        <v>4417</v>
      </c>
      <c r="B1996" s="3" t="s">
        <v>4418</v>
      </c>
      <c r="C1996" s="2" t="s">
        <v>4976</v>
      </c>
      <c r="D1996" s="3" t="s">
        <v>5168</v>
      </c>
      <c r="E1996" s="2" t="s">
        <v>5083</v>
      </c>
      <c r="F1996" s="3" t="s">
        <v>4420</v>
      </c>
      <c r="G1996" s="3" t="s">
        <v>4367</v>
      </c>
      <c r="H1996" s="1" t="s">
        <v>203</v>
      </c>
      <c r="I1996" s="2" t="s">
        <v>204</v>
      </c>
      <c r="J1996" s="3" t="s">
        <v>11</v>
      </c>
      <c r="K1996" s="38">
        <v>1.3</v>
      </c>
      <c r="L1996" s="39">
        <v>738</v>
      </c>
    </row>
    <row r="1997" spans="1:12" ht="19.95" customHeight="1" x14ac:dyDescent="0.3">
      <c r="A1997" s="6" t="s">
        <v>4417</v>
      </c>
      <c r="B1997" s="7" t="s">
        <v>4418</v>
      </c>
      <c r="C1997" s="6" t="s">
        <v>4976</v>
      </c>
      <c r="D1997" s="7" t="s">
        <v>5168</v>
      </c>
      <c r="E1997" s="6" t="s">
        <v>5083</v>
      </c>
      <c r="F1997" s="7" t="s">
        <v>4420</v>
      </c>
      <c r="G1997" s="7" t="s">
        <v>4367</v>
      </c>
      <c r="H1997" s="5" t="s">
        <v>205</v>
      </c>
      <c r="I1997" s="6" t="s">
        <v>206</v>
      </c>
      <c r="J1997" s="7" t="s">
        <v>11</v>
      </c>
      <c r="K1997" s="36">
        <v>0.9</v>
      </c>
      <c r="L1997" s="37">
        <v>679</v>
      </c>
    </row>
    <row r="1998" spans="1:12" ht="19.95" customHeight="1" x14ac:dyDescent="0.3">
      <c r="A1998" s="2" t="s">
        <v>4417</v>
      </c>
      <c r="B1998" s="3" t="s">
        <v>4418</v>
      </c>
      <c r="C1998" s="2" t="s">
        <v>4976</v>
      </c>
      <c r="D1998" s="3" t="s">
        <v>5168</v>
      </c>
      <c r="E1998" s="2" t="s">
        <v>5083</v>
      </c>
      <c r="F1998" s="3" t="s">
        <v>4420</v>
      </c>
      <c r="G1998" s="3" t="s">
        <v>4367</v>
      </c>
      <c r="H1998" s="1" t="s">
        <v>209</v>
      </c>
      <c r="I1998" s="2" t="s">
        <v>210</v>
      </c>
      <c r="J1998" s="3" t="s">
        <v>11</v>
      </c>
      <c r="K1998" s="38">
        <v>1.05</v>
      </c>
      <c r="L1998" s="39">
        <v>558</v>
      </c>
    </row>
    <row r="1999" spans="1:12" ht="19.95" customHeight="1" x14ac:dyDescent="0.3">
      <c r="A1999" s="6" t="s">
        <v>4417</v>
      </c>
      <c r="B1999" s="7" t="s">
        <v>4418</v>
      </c>
      <c r="C1999" s="6" t="s">
        <v>4976</v>
      </c>
      <c r="D1999" s="7" t="s">
        <v>5168</v>
      </c>
      <c r="E1999" s="6" t="s">
        <v>5083</v>
      </c>
      <c r="F1999" s="7" t="s">
        <v>4420</v>
      </c>
      <c r="G1999" s="7" t="s">
        <v>4367</v>
      </c>
      <c r="H1999" s="5" t="s">
        <v>235</v>
      </c>
      <c r="I1999" s="6" t="s">
        <v>236</v>
      </c>
      <c r="J1999" s="7" t="s">
        <v>11</v>
      </c>
      <c r="K1999" s="36">
        <v>0.105</v>
      </c>
      <c r="L1999" s="37">
        <v>738</v>
      </c>
    </row>
    <row r="2000" spans="1:12" ht="19.95" customHeight="1" x14ac:dyDescent="0.3">
      <c r="A2000" s="2" t="s">
        <v>4417</v>
      </c>
      <c r="B2000" s="3" t="s">
        <v>4418</v>
      </c>
      <c r="C2000" s="2" t="s">
        <v>4976</v>
      </c>
      <c r="D2000" s="3" t="s">
        <v>5168</v>
      </c>
      <c r="E2000" s="2" t="s">
        <v>5083</v>
      </c>
      <c r="F2000" s="3" t="s">
        <v>4420</v>
      </c>
      <c r="G2000" s="3" t="s">
        <v>4367</v>
      </c>
      <c r="H2000" s="1" t="s">
        <v>203</v>
      </c>
      <c r="I2000" s="2" t="s">
        <v>204</v>
      </c>
      <c r="J2000" s="3" t="s">
        <v>11</v>
      </c>
      <c r="K2000" s="38">
        <v>1.3</v>
      </c>
      <c r="L2000" s="39">
        <v>738</v>
      </c>
    </row>
    <row r="2001" spans="1:12" ht="19.95" customHeight="1" x14ac:dyDescent="0.3">
      <c r="A2001" s="6" t="s">
        <v>4417</v>
      </c>
      <c r="B2001" s="7" t="s">
        <v>4418</v>
      </c>
      <c r="C2001" s="6" t="s">
        <v>4976</v>
      </c>
      <c r="D2001" s="7" t="s">
        <v>5168</v>
      </c>
      <c r="E2001" s="6" t="s">
        <v>5083</v>
      </c>
      <c r="F2001" s="7" t="s">
        <v>4420</v>
      </c>
      <c r="G2001" s="7" t="s">
        <v>4367</v>
      </c>
      <c r="H2001" s="5" t="s">
        <v>205</v>
      </c>
      <c r="I2001" s="6" t="s">
        <v>206</v>
      </c>
      <c r="J2001" s="7" t="s">
        <v>11</v>
      </c>
      <c r="K2001" s="36">
        <v>0.9</v>
      </c>
      <c r="L2001" s="37">
        <v>679</v>
      </c>
    </row>
    <row r="2002" spans="1:12" ht="19.95" customHeight="1" x14ac:dyDescent="0.3">
      <c r="A2002" s="2" t="s">
        <v>4417</v>
      </c>
      <c r="B2002" s="3" t="s">
        <v>4418</v>
      </c>
      <c r="C2002" s="2" t="s">
        <v>4976</v>
      </c>
      <c r="D2002" s="3" t="s">
        <v>5168</v>
      </c>
      <c r="E2002" s="2" t="s">
        <v>5083</v>
      </c>
      <c r="F2002" s="3" t="s">
        <v>4420</v>
      </c>
      <c r="G2002" s="3" t="s">
        <v>4367</v>
      </c>
      <c r="H2002" s="1" t="s">
        <v>209</v>
      </c>
      <c r="I2002" s="2" t="s">
        <v>210</v>
      </c>
      <c r="J2002" s="3" t="s">
        <v>11</v>
      </c>
      <c r="K2002" s="38">
        <v>1.05</v>
      </c>
      <c r="L2002" s="39">
        <v>558</v>
      </c>
    </row>
    <row r="2003" spans="1:12" ht="19.95" customHeight="1" x14ac:dyDescent="0.3">
      <c r="A2003" s="6" t="s">
        <v>4417</v>
      </c>
      <c r="B2003" s="7" t="s">
        <v>4418</v>
      </c>
      <c r="C2003" s="6" t="s">
        <v>4976</v>
      </c>
      <c r="D2003" s="7" t="s">
        <v>5168</v>
      </c>
      <c r="E2003" s="6" t="s">
        <v>5083</v>
      </c>
      <c r="F2003" s="7" t="s">
        <v>4420</v>
      </c>
      <c r="G2003" s="7" t="s">
        <v>4367</v>
      </c>
      <c r="H2003" s="5" t="s">
        <v>235</v>
      </c>
      <c r="I2003" s="6" t="s">
        <v>236</v>
      </c>
      <c r="J2003" s="7" t="s">
        <v>11</v>
      </c>
      <c r="K2003" s="36">
        <v>0.105</v>
      </c>
      <c r="L2003" s="37">
        <v>738</v>
      </c>
    </row>
    <row r="2004" spans="1:12" ht="19.95" customHeight="1" x14ac:dyDescent="0.3">
      <c r="A2004" s="2" t="s">
        <v>4417</v>
      </c>
      <c r="B2004" s="3" t="s">
        <v>4418</v>
      </c>
      <c r="C2004" s="2" t="s">
        <v>4976</v>
      </c>
      <c r="D2004" s="3" t="s">
        <v>5168</v>
      </c>
      <c r="E2004" s="2" t="s">
        <v>5083</v>
      </c>
      <c r="F2004" s="3" t="s">
        <v>4420</v>
      </c>
      <c r="G2004" s="3" t="s">
        <v>4367</v>
      </c>
      <c r="H2004" s="1" t="s">
        <v>203</v>
      </c>
      <c r="I2004" s="2" t="s">
        <v>204</v>
      </c>
      <c r="J2004" s="3" t="s">
        <v>11</v>
      </c>
      <c r="K2004" s="38">
        <v>1.3</v>
      </c>
      <c r="L2004" s="39">
        <v>738</v>
      </c>
    </row>
    <row r="2005" spans="1:12" ht="19.95" customHeight="1" x14ac:dyDescent="0.3">
      <c r="A2005" s="6" t="s">
        <v>4417</v>
      </c>
      <c r="B2005" s="7" t="s">
        <v>4418</v>
      </c>
      <c r="C2005" s="6" t="s">
        <v>4976</v>
      </c>
      <c r="D2005" s="7" t="s">
        <v>5168</v>
      </c>
      <c r="E2005" s="6" t="s">
        <v>5083</v>
      </c>
      <c r="F2005" s="7" t="s">
        <v>4420</v>
      </c>
      <c r="G2005" s="7" t="s">
        <v>4367</v>
      </c>
      <c r="H2005" s="5" t="s">
        <v>205</v>
      </c>
      <c r="I2005" s="6" t="s">
        <v>206</v>
      </c>
      <c r="J2005" s="7" t="s">
        <v>11</v>
      </c>
      <c r="K2005" s="36">
        <v>0.9</v>
      </c>
      <c r="L2005" s="37">
        <v>679</v>
      </c>
    </row>
    <row r="2006" spans="1:12" ht="19.95" customHeight="1" x14ac:dyDescent="0.3">
      <c r="A2006" s="2" t="s">
        <v>4417</v>
      </c>
      <c r="B2006" s="3" t="s">
        <v>4418</v>
      </c>
      <c r="C2006" s="2" t="s">
        <v>4976</v>
      </c>
      <c r="D2006" s="3" t="s">
        <v>5168</v>
      </c>
      <c r="E2006" s="2" t="s">
        <v>5083</v>
      </c>
      <c r="F2006" s="3" t="s">
        <v>4420</v>
      </c>
      <c r="G2006" s="3" t="s">
        <v>4367</v>
      </c>
      <c r="H2006" s="1" t="s">
        <v>209</v>
      </c>
      <c r="I2006" s="2" t="s">
        <v>210</v>
      </c>
      <c r="J2006" s="3" t="s">
        <v>11</v>
      </c>
      <c r="K2006" s="38">
        <v>1.05</v>
      </c>
      <c r="L2006" s="39">
        <v>558</v>
      </c>
    </row>
    <row r="2007" spans="1:12" ht="19.95" customHeight="1" x14ac:dyDescent="0.3">
      <c r="A2007" s="6" t="s">
        <v>4417</v>
      </c>
      <c r="B2007" s="7" t="s">
        <v>4418</v>
      </c>
      <c r="C2007" s="6" t="s">
        <v>4976</v>
      </c>
      <c r="D2007" s="7" t="s">
        <v>5168</v>
      </c>
      <c r="E2007" s="6" t="s">
        <v>5083</v>
      </c>
      <c r="F2007" s="7" t="s">
        <v>4420</v>
      </c>
      <c r="G2007" s="7" t="s">
        <v>4367</v>
      </c>
      <c r="H2007" s="5" t="s">
        <v>235</v>
      </c>
      <c r="I2007" s="6" t="s">
        <v>236</v>
      </c>
      <c r="J2007" s="7" t="s">
        <v>11</v>
      </c>
      <c r="K2007" s="36">
        <v>0.105</v>
      </c>
      <c r="L2007" s="37">
        <v>738</v>
      </c>
    </row>
    <row r="2008" spans="1:12" ht="19.95" customHeight="1" x14ac:dyDescent="0.3">
      <c r="A2008" s="2" t="s">
        <v>4417</v>
      </c>
      <c r="B2008" s="3" t="s">
        <v>4418</v>
      </c>
      <c r="C2008" s="2" t="s">
        <v>4976</v>
      </c>
      <c r="D2008" s="3" t="s">
        <v>5168</v>
      </c>
      <c r="E2008" s="2" t="s">
        <v>5083</v>
      </c>
      <c r="F2008" s="3" t="s">
        <v>4420</v>
      </c>
      <c r="G2008" s="3" t="s">
        <v>4367</v>
      </c>
      <c r="H2008" s="1" t="s">
        <v>203</v>
      </c>
      <c r="I2008" s="2" t="s">
        <v>204</v>
      </c>
      <c r="J2008" s="3" t="s">
        <v>11</v>
      </c>
      <c r="K2008" s="38">
        <v>1.3</v>
      </c>
      <c r="L2008" s="39">
        <v>738</v>
      </c>
    </row>
    <row r="2009" spans="1:12" ht="19.95" customHeight="1" x14ac:dyDescent="0.3">
      <c r="A2009" s="6" t="s">
        <v>4417</v>
      </c>
      <c r="B2009" s="7" t="s">
        <v>4418</v>
      </c>
      <c r="C2009" s="6" t="s">
        <v>4976</v>
      </c>
      <c r="D2009" s="7" t="s">
        <v>5168</v>
      </c>
      <c r="E2009" s="6" t="s">
        <v>5083</v>
      </c>
      <c r="F2009" s="7" t="s">
        <v>4420</v>
      </c>
      <c r="G2009" s="7" t="s">
        <v>4367</v>
      </c>
      <c r="H2009" s="5" t="s">
        <v>205</v>
      </c>
      <c r="I2009" s="6" t="s">
        <v>206</v>
      </c>
      <c r="J2009" s="7" t="s">
        <v>11</v>
      </c>
      <c r="K2009" s="36">
        <v>0.9</v>
      </c>
      <c r="L2009" s="37">
        <v>679</v>
      </c>
    </row>
    <row r="2010" spans="1:12" ht="19.95" customHeight="1" x14ac:dyDescent="0.3">
      <c r="A2010" s="2" t="s">
        <v>4417</v>
      </c>
      <c r="B2010" s="3" t="s">
        <v>4418</v>
      </c>
      <c r="C2010" s="2" t="s">
        <v>4976</v>
      </c>
      <c r="D2010" s="3" t="s">
        <v>5168</v>
      </c>
      <c r="E2010" s="2" t="s">
        <v>5083</v>
      </c>
      <c r="F2010" s="3" t="s">
        <v>4420</v>
      </c>
      <c r="G2010" s="3" t="s">
        <v>4367</v>
      </c>
      <c r="H2010" s="1" t="s">
        <v>209</v>
      </c>
      <c r="I2010" s="2" t="s">
        <v>210</v>
      </c>
      <c r="J2010" s="3" t="s">
        <v>11</v>
      </c>
      <c r="K2010" s="38">
        <v>1.05</v>
      </c>
      <c r="L2010" s="39">
        <v>558</v>
      </c>
    </row>
    <row r="2011" spans="1:12" ht="19.95" customHeight="1" x14ac:dyDescent="0.3">
      <c r="A2011" s="6" t="s">
        <v>4417</v>
      </c>
      <c r="B2011" s="7" t="s">
        <v>4418</v>
      </c>
      <c r="C2011" s="6" t="s">
        <v>4976</v>
      </c>
      <c r="D2011" s="7" t="s">
        <v>5168</v>
      </c>
      <c r="E2011" s="6" t="s">
        <v>5083</v>
      </c>
      <c r="F2011" s="7" t="s">
        <v>4420</v>
      </c>
      <c r="G2011" s="7" t="s">
        <v>4367</v>
      </c>
      <c r="H2011" s="5" t="s">
        <v>235</v>
      </c>
      <c r="I2011" s="6" t="s">
        <v>236</v>
      </c>
      <c r="J2011" s="7" t="s">
        <v>11</v>
      </c>
      <c r="K2011" s="36">
        <v>0.105</v>
      </c>
      <c r="L2011" s="37">
        <v>738</v>
      </c>
    </row>
    <row r="2012" spans="1:12" ht="19.95" customHeight="1" x14ac:dyDescent="0.3">
      <c r="A2012" s="2" t="s">
        <v>4417</v>
      </c>
      <c r="B2012" s="3" t="s">
        <v>4418</v>
      </c>
      <c r="C2012" s="2" t="s">
        <v>4976</v>
      </c>
      <c r="D2012" s="3" t="s">
        <v>5169</v>
      </c>
      <c r="E2012" s="2" t="s">
        <v>5085</v>
      </c>
      <c r="F2012" s="3" t="s">
        <v>4420</v>
      </c>
      <c r="G2012" s="3" t="s">
        <v>4367</v>
      </c>
      <c r="H2012" s="1" t="s">
        <v>203</v>
      </c>
      <c r="I2012" s="2" t="s">
        <v>204</v>
      </c>
      <c r="J2012" s="3" t="s">
        <v>11</v>
      </c>
      <c r="K2012" s="38">
        <v>1.2</v>
      </c>
      <c r="L2012" s="39">
        <v>738</v>
      </c>
    </row>
    <row r="2013" spans="1:12" ht="19.95" customHeight="1" x14ac:dyDescent="0.3">
      <c r="A2013" s="6" t="s">
        <v>4417</v>
      </c>
      <c r="B2013" s="7" t="s">
        <v>4418</v>
      </c>
      <c r="C2013" s="6" t="s">
        <v>4976</v>
      </c>
      <c r="D2013" s="7" t="s">
        <v>5169</v>
      </c>
      <c r="E2013" s="6" t="s">
        <v>5085</v>
      </c>
      <c r="F2013" s="7" t="s">
        <v>4420</v>
      </c>
      <c r="G2013" s="7" t="s">
        <v>4367</v>
      </c>
      <c r="H2013" s="5" t="s">
        <v>205</v>
      </c>
      <c r="I2013" s="6" t="s">
        <v>206</v>
      </c>
      <c r="J2013" s="7" t="s">
        <v>11</v>
      </c>
      <c r="K2013" s="36">
        <v>0.8</v>
      </c>
      <c r="L2013" s="37">
        <v>679</v>
      </c>
    </row>
    <row r="2014" spans="1:12" ht="19.95" customHeight="1" x14ac:dyDescent="0.3">
      <c r="A2014" s="2" t="s">
        <v>4417</v>
      </c>
      <c r="B2014" s="3" t="s">
        <v>4418</v>
      </c>
      <c r="C2014" s="2" t="s">
        <v>4976</v>
      </c>
      <c r="D2014" s="3" t="s">
        <v>5169</v>
      </c>
      <c r="E2014" s="2" t="s">
        <v>5085</v>
      </c>
      <c r="F2014" s="3" t="s">
        <v>4420</v>
      </c>
      <c r="G2014" s="3" t="s">
        <v>4367</v>
      </c>
      <c r="H2014" s="1" t="s">
        <v>209</v>
      </c>
      <c r="I2014" s="2" t="s">
        <v>210</v>
      </c>
      <c r="J2014" s="3" t="s">
        <v>11</v>
      </c>
      <c r="K2014" s="38">
        <v>1</v>
      </c>
      <c r="L2014" s="39">
        <v>558</v>
      </c>
    </row>
    <row r="2015" spans="1:12" ht="19.95" customHeight="1" x14ac:dyDescent="0.3">
      <c r="A2015" s="6" t="s">
        <v>4417</v>
      </c>
      <c r="B2015" s="7" t="s">
        <v>4418</v>
      </c>
      <c r="C2015" s="6" t="s">
        <v>4976</v>
      </c>
      <c r="D2015" s="7" t="s">
        <v>5169</v>
      </c>
      <c r="E2015" s="6" t="s">
        <v>5085</v>
      </c>
      <c r="F2015" s="7" t="s">
        <v>4420</v>
      </c>
      <c r="G2015" s="7" t="s">
        <v>4367</v>
      </c>
      <c r="H2015" s="5" t="s">
        <v>235</v>
      </c>
      <c r="I2015" s="6" t="s">
        <v>236</v>
      </c>
      <c r="J2015" s="7" t="s">
        <v>11</v>
      </c>
      <c r="K2015" s="36">
        <v>0.1</v>
      </c>
      <c r="L2015" s="37">
        <v>738</v>
      </c>
    </row>
    <row r="2016" spans="1:12" ht="19.95" customHeight="1" x14ac:dyDescent="0.3">
      <c r="A2016" s="2" t="s">
        <v>4417</v>
      </c>
      <c r="B2016" s="3" t="s">
        <v>4418</v>
      </c>
      <c r="C2016" s="2" t="s">
        <v>4976</v>
      </c>
      <c r="D2016" s="3" t="s">
        <v>5169</v>
      </c>
      <c r="E2016" s="2" t="s">
        <v>5085</v>
      </c>
      <c r="F2016" s="3" t="s">
        <v>4420</v>
      </c>
      <c r="G2016" s="3" t="s">
        <v>4367</v>
      </c>
      <c r="H2016" s="1" t="s">
        <v>203</v>
      </c>
      <c r="I2016" s="2" t="s">
        <v>204</v>
      </c>
      <c r="J2016" s="3" t="s">
        <v>11</v>
      </c>
      <c r="K2016" s="38">
        <v>1.2</v>
      </c>
      <c r="L2016" s="39">
        <v>738</v>
      </c>
    </row>
    <row r="2017" spans="1:12" ht="19.95" customHeight="1" x14ac:dyDescent="0.3">
      <c r="A2017" s="6" t="s">
        <v>4417</v>
      </c>
      <c r="B2017" s="7" t="s">
        <v>4418</v>
      </c>
      <c r="C2017" s="6" t="s">
        <v>4976</v>
      </c>
      <c r="D2017" s="7" t="s">
        <v>5169</v>
      </c>
      <c r="E2017" s="6" t="s">
        <v>5085</v>
      </c>
      <c r="F2017" s="7" t="s">
        <v>4420</v>
      </c>
      <c r="G2017" s="7" t="s">
        <v>4367</v>
      </c>
      <c r="H2017" s="5" t="s">
        <v>205</v>
      </c>
      <c r="I2017" s="6" t="s">
        <v>206</v>
      </c>
      <c r="J2017" s="7" t="s">
        <v>11</v>
      </c>
      <c r="K2017" s="36">
        <v>0.8</v>
      </c>
      <c r="L2017" s="37">
        <v>679</v>
      </c>
    </row>
    <row r="2018" spans="1:12" ht="19.95" customHeight="1" x14ac:dyDescent="0.3">
      <c r="A2018" s="2" t="s">
        <v>4417</v>
      </c>
      <c r="B2018" s="3" t="s">
        <v>4418</v>
      </c>
      <c r="C2018" s="2" t="s">
        <v>4976</v>
      </c>
      <c r="D2018" s="3" t="s">
        <v>5169</v>
      </c>
      <c r="E2018" s="2" t="s">
        <v>5085</v>
      </c>
      <c r="F2018" s="3" t="s">
        <v>4420</v>
      </c>
      <c r="G2018" s="3" t="s">
        <v>4367</v>
      </c>
      <c r="H2018" s="1" t="s">
        <v>209</v>
      </c>
      <c r="I2018" s="2" t="s">
        <v>210</v>
      </c>
      <c r="J2018" s="3" t="s">
        <v>11</v>
      </c>
      <c r="K2018" s="38">
        <v>1</v>
      </c>
      <c r="L2018" s="39">
        <v>558</v>
      </c>
    </row>
    <row r="2019" spans="1:12" ht="19.95" customHeight="1" x14ac:dyDescent="0.3">
      <c r="A2019" s="6" t="s">
        <v>4417</v>
      </c>
      <c r="B2019" s="7" t="s">
        <v>4418</v>
      </c>
      <c r="C2019" s="6" t="s">
        <v>4976</v>
      </c>
      <c r="D2019" s="7" t="s">
        <v>5169</v>
      </c>
      <c r="E2019" s="6" t="s">
        <v>5085</v>
      </c>
      <c r="F2019" s="7" t="s">
        <v>4420</v>
      </c>
      <c r="G2019" s="7" t="s">
        <v>4367</v>
      </c>
      <c r="H2019" s="5" t="s">
        <v>235</v>
      </c>
      <c r="I2019" s="6" t="s">
        <v>236</v>
      </c>
      <c r="J2019" s="7" t="s">
        <v>11</v>
      </c>
      <c r="K2019" s="36">
        <v>0.1</v>
      </c>
      <c r="L2019" s="37">
        <v>738</v>
      </c>
    </row>
    <row r="2020" spans="1:12" ht="19.95" customHeight="1" x14ac:dyDescent="0.3">
      <c r="A2020" s="2" t="s">
        <v>4417</v>
      </c>
      <c r="B2020" s="3" t="s">
        <v>4418</v>
      </c>
      <c r="C2020" s="2" t="s">
        <v>4976</v>
      </c>
      <c r="D2020" s="3" t="s">
        <v>5169</v>
      </c>
      <c r="E2020" s="2" t="s">
        <v>5085</v>
      </c>
      <c r="F2020" s="3" t="s">
        <v>4420</v>
      </c>
      <c r="G2020" s="3" t="s">
        <v>4367</v>
      </c>
      <c r="H2020" s="1" t="s">
        <v>203</v>
      </c>
      <c r="I2020" s="2" t="s">
        <v>204</v>
      </c>
      <c r="J2020" s="3" t="s">
        <v>11</v>
      </c>
      <c r="K2020" s="38">
        <v>1.2</v>
      </c>
      <c r="L2020" s="39">
        <v>738</v>
      </c>
    </row>
    <row r="2021" spans="1:12" ht="19.95" customHeight="1" x14ac:dyDescent="0.3">
      <c r="A2021" s="6" t="s">
        <v>4417</v>
      </c>
      <c r="B2021" s="7" t="s">
        <v>4418</v>
      </c>
      <c r="C2021" s="6" t="s">
        <v>4976</v>
      </c>
      <c r="D2021" s="7" t="s">
        <v>5169</v>
      </c>
      <c r="E2021" s="6" t="s">
        <v>5085</v>
      </c>
      <c r="F2021" s="7" t="s">
        <v>4420</v>
      </c>
      <c r="G2021" s="7" t="s">
        <v>4367</v>
      </c>
      <c r="H2021" s="5" t="s">
        <v>205</v>
      </c>
      <c r="I2021" s="6" t="s">
        <v>206</v>
      </c>
      <c r="J2021" s="7" t="s">
        <v>11</v>
      </c>
      <c r="K2021" s="36">
        <v>0.8</v>
      </c>
      <c r="L2021" s="37">
        <v>679</v>
      </c>
    </row>
    <row r="2022" spans="1:12" ht="19.95" customHeight="1" x14ac:dyDescent="0.3">
      <c r="A2022" s="2" t="s">
        <v>4417</v>
      </c>
      <c r="B2022" s="3" t="s">
        <v>4418</v>
      </c>
      <c r="C2022" s="2" t="s">
        <v>4976</v>
      </c>
      <c r="D2022" s="3" t="s">
        <v>5169</v>
      </c>
      <c r="E2022" s="2" t="s">
        <v>5085</v>
      </c>
      <c r="F2022" s="3" t="s">
        <v>4420</v>
      </c>
      <c r="G2022" s="3" t="s">
        <v>4367</v>
      </c>
      <c r="H2022" s="1" t="s">
        <v>209</v>
      </c>
      <c r="I2022" s="2" t="s">
        <v>210</v>
      </c>
      <c r="J2022" s="3" t="s">
        <v>11</v>
      </c>
      <c r="K2022" s="38">
        <v>1</v>
      </c>
      <c r="L2022" s="39">
        <v>558</v>
      </c>
    </row>
    <row r="2023" spans="1:12" ht="19.95" customHeight="1" x14ac:dyDescent="0.3">
      <c r="A2023" s="6" t="s">
        <v>4417</v>
      </c>
      <c r="B2023" s="7" t="s">
        <v>4418</v>
      </c>
      <c r="C2023" s="6" t="s">
        <v>4976</v>
      </c>
      <c r="D2023" s="7" t="s">
        <v>5169</v>
      </c>
      <c r="E2023" s="6" t="s">
        <v>5085</v>
      </c>
      <c r="F2023" s="7" t="s">
        <v>4420</v>
      </c>
      <c r="G2023" s="7" t="s">
        <v>4367</v>
      </c>
      <c r="H2023" s="5" t="s">
        <v>235</v>
      </c>
      <c r="I2023" s="6" t="s">
        <v>236</v>
      </c>
      <c r="J2023" s="7" t="s">
        <v>11</v>
      </c>
      <c r="K2023" s="36">
        <v>0.1</v>
      </c>
      <c r="L2023" s="37">
        <v>738</v>
      </c>
    </row>
    <row r="2024" spans="1:12" ht="19.95" customHeight="1" x14ac:dyDescent="0.3">
      <c r="A2024" s="2" t="s">
        <v>4417</v>
      </c>
      <c r="B2024" s="3" t="s">
        <v>4418</v>
      </c>
      <c r="C2024" s="2" t="s">
        <v>4976</v>
      </c>
      <c r="D2024" s="3" t="s">
        <v>5169</v>
      </c>
      <c r="E2024" s="2" t="s">
        <v>5085</v>
      </c>
      <c r="F2024" s="3" t="s">
        <v>4420</v>
      </c>
      <c r="G2024" s="3" t="s">
        <v>4367</v>
      </c>
      <c r="H2024" s="1" t="s">
        <v>203</v>
      </c>
      <c r="I2024" s="2" t="s">
        <v>204</v>
      </c>
      <c r="J2024" s="3" t="s">
        <v>11</v>
      </c>
      <c r="K2024" s="38">
        <v>1.2</v>
      </c>
      <c r="L2024" s="39">
        <v>738</v>
      </c>
    </row>
    <row r="2025" spans="1:12" ht="19.95" customHeight="1" x14ac:dyDescent="0.3">
      <c r="A2025" s="6" t="s">
        <v>4417</v>
      </c>
      <c r="B2025" s="7" t="s">
        <v>4418</v>
      </c>
      <c r="C2025" s="6" t="s">
        <v>4976</v>
      </c>
      <c r="D2025" s="7" t="s">
        <v>5169</v>
      </c>
      <c r="E2025" s="6" t="s">
        <v>5085</v>
      </c>
      <c r="F2025" s="7" t="s">
        <v>4420</v>
      </c>
      <c r="G2025" s="7" t="s">
        <v>4367</v>
      </c>
      <c r="H2025" s="5" t="s">
        <v>205</v>
      </c>
      <c r="I2025" s="6" t="s">
        <v>206</v>
      </c>
      <c r="J2025" s="7" t="s">
        <v>11</v>
      </c>
      <c r="K2025" s="36">
        <v>0.8</v>
      </c>
      <c r="L2025" s="37">
        <v>679</v>
      </c>
    </row>
    <row r="2026" spans="1:12" ht="19.95" customHeight="1" x14ac:dyDescent="0.3">
      <c r="A2026" s="2" t="s">
        <v>4417</v>
      </c>
      <c r="B2026" s="3" t="s">
        <v>4418</v>
      </c>
      <c r="C2026" s="2" t="s">
        <v>4976</v>
      </c>
      <c r="D2026" s="3" t="s">
        <v>5169</v>
      </c>
      <c r="E2026" s="2" t="s">
        <v>5085</v>
      </c>
      <c r="F2026" s="3" t="s">
        <v>4420</v>
      </c>
      <c r="G2026" s="3" t="s">
        <v>4367</v>
      </c>
      <c r="H2026" s="1" t="s">
        <v>209</v>
      </c>
      <c r="I2026" s="2" t="s">
        <v>210</v>
      </c>
      <c r="J2026" s="3" t="s">
        <v>11</v>
      </c>
      <c r="K2026" s="38">
        <v>1</v>
      </c>
      <c r="L2026" s="39">
        <v>558</v>
      </c>
    </row>
    <row r="2027" spans="1:12" ht="19.95" customHeight="1" x14ac:dyDescent="0.3">
      <c r="A2027" s="6" t="s">
        <v>4417</v>
      </c>
      <c r="B2027" s="7" t="s">
        <v>4418</v>
      </c>
      <c r="C2027" s="6" t="s">
        <v>4976</v>
      </c>
      <c r="D2027" s="7" t="s">
        <v>5169</v>
      </c>
      <c r="E2027" s="6" t="s">
        <v>5085</v>
      </c>
      <c r="F2027" s="7" t="s">
        <v>4420</v>
      </c>
      <c r="G2027" s="7" t="s">
        <v>4367</v>
      </c>
      <c r="H2027" s="5" t="s">
        <v>235</v>
      </c>
      <c r="I2027" s="6" t="s">
        <v>236</v>
      </c>
      <c r="J2027" s="7" t="s">
        <v>11</v>
      </c>
      <c r="K2027" s="36">
        <v>0.1</v>
      </c>
      <c r="L2027" s="37">
        <v>738</v>
      </c>
    </row>
    <row r="2028" spans="1:12" ht="19.95" customHeight="1" x14ac:dyDescent="0.3">
      <c r="A2028" s="2" t="s">
        <v>4417</v>
      </c>
      <c r="B2028" s="3" t="s">
        <v>4418</v>
      </c>
      <c r="C2028" s="2" t="s">
        <v>4976</v>
      </c>
      <c r="D2028" s="3" t="s">
        <v>5169</v>
      </c>
      <c r="E2028" s="2" t="s">
        <v>5085</v>
      </c>
      <c r="F2028" s="3" t="s">
        <v>4420</v>
      </c>
      <c r="G2028" s="3" t="s">
        <v>4367</v>
      </c>
      <c r="H2028" s="1" t="s">
        <v>203</v>
      </c>
      <c r="I2028" s="2" t="s">
        <v>204</v>
      </c>
      <c r="J2028" s="3" t="s">
        <v>11</v>
      </c>
      <c r="K2028" s="38">
        <v>1.2</v>
      </c>
      <c r="L2028" s="39">
        <v>738</v>
      </c>
    </row>
    <row r="2029" spans="1:12" ht="19.95" customHeight="1" x14ac:dyDescent="0.3">
      <c r="A2029" s="6" t="s">
        <v>4417</v>
      </c>
      <c r="B2029" s="7" t="s">
        <v>4418</v>
      </c>
      <c r="C2029" s="6" t="s">
        <v>4976</v>
      </c>
      <c r="D2029" s="7" t="s">
        <v>5169</v>
      </c>
      <c r="E2029" s="6" t="s">
        <v>5085</v>
      </c>
      <c r="F2029" s="7" t="s">
        <v>4420</v>
      </c>
      <c r="G2029" s="7" t="s">
        <v>4367</v>
      </c>
      <c r="H2029" s="5" t="s">
        <v>205</v>
      </c>
      <c r="I2029" s="6" t="s">
        <v>206</v>
      </c>
      <c r="J2029" s="7" t="s">
        <v>11</v>
      </c>
      <c r="K2029" s="36">
        <v>0.8</v>
      </c>
      <c r="L2029" s="37">
        <v>679</v>
      </c>
    </row>
    <row r="2030" spans="1:12" ht="19.95" customHeight="1" x14ac:dyDescent="0.3">
      <c r="A2030" s="2" t="s">
        <v>4417</v>
      </c>
      <c r="B2030" s="3" t="s">
        <v>4418</v>
      </c>
      <c r="C2030" s="2" t="s">
        <v>4976</v>
      </c>
      <c r="D2030" s="3" t="s">
        <v>5169</v>
      </c>
      <c r="E2030" s="2" t="s">
        <v>5085</v>
      </c>
      <c r="F2030" s="3" t="s">
        <v>4420</v>
      </c>
      <c r="G2030" s="3" t="s">
        <v>4367</v>
      </c>
      <c r="H2030" s="1" t="s">
        <v>209</v>
      </c>
      <c r="I2030" s="2" t="s">
        <v>210</v>
      </c>
      <c r="J2030" s="3" t="s">
        <v>11</v>
      </c>
      <c r="K2030" s="38">
        <v>1</v>
      </c>
      <c r="L2030" s="39">
        <v>558</v>
      </c>
    </row>
    <row r="2031" spans="1:12" ht="19.95" customHeight="1" x14ac:dyDescent="0.3">
      <c r="A2031" s="6" t="s">
        <v>4417</v>
      </c>
      <c r="B2031" s="7" t="s">
        <v>4418</v>
      </c>
      <c r="C2031" s="6" t="s">
        <v>4976</v>
      </c>
      <c r="D2031" s="7" t="s">
        <v>5169</v>
      </c>
      <c r="E2031" s="6" t="s">
        <v>5085</v>
      </c>
      <c r="F2031" s="7" t="s">
        <v>4420</v>
      </c>
      <c r="G2031" s="7" t="s">
        <v>4367</v>
      </c>
      <c r="H2031" s="5" t="s">
        <v>235</v>
      </c>
      <c r="I2031" s="6" t="s">
        <v>236</v>
      </c>
      <c r="J2031" s="7" t="s">
        <v>11</v>
      </c>
      <c r="K2031" s="36">
        <v>0.1</v>
      </c>
      <c r="L2031" s="37">
        <v>738</v>
      </c>
    </row>
    <row r="2032" spans="1:12" ht="19.95" customHeight="1" x14ac:dyDescent="0.3">
      <c r="A2032" s="2" t="s">
        <v>4417</v>
      </c>
      <c r="B2032" s="3" t="s">
        <v>4418</v>
      </c>
      <c r="C2032" s="2" t="s">
        <v>4976</v>
      </c>
      <c r="D2032" s="3" t="s">
        <v>5169</v>
      </c>
      <c r="E2032" s="2" t="s">
        <v>5085</v>
      </c>
      <c r="F2032" s="3" t="s">
        <v>4420</v>
      </c>
      <c r="G2032" s="3" t="s">
        <v>4367</v>
      </c>
      <c r="H2032" s="1" t="s">
        <v>203</v>
      </c>
      <c r="I2032" s="2" t="s">
        <v>204</v>
      </c>
      <c r="J2032" s="3" t="s">
        <v>11</v>
      </c>
      <c r="K2032" s="38">
        <v>1.2</v>
      </c>
      <c r="L2032" s="39">
        <v>738</v>
      </c>
    </row>
    <row r="2033" spans="1:12" ht="19.95" customHeight="1" x14ac:dyDescent="0.3">
      <c r="A2033" s="6" t="s">
        <v>4417</v>
      </c>
      <c r="B2033" s="7" t="s">
        <v>4418</v>
      </c>
      <c r="C2033" s="6" t="s">
        <v>4976</v>
      </c>
      <c r="D2033" s="7" t="s">
        <v>5169</v>
      </c>
      <c r="E2033" s="6" t="s">
        <v>5085</v>
      </c>
      <c r="F2033" s="7" t="s">
        <v>4420</v>
      </c>
      <c r="G2033" s="7" t="s">
        <v>4367</v>
      </c>
      <c r="H2033" s="5" t="s">
        <v>205</v>
      </c>
      <c r="I2033" s="6" t="s">
        <v>206</v>
      </c>
      <c r="J2033" s="7" t="s">
        <v>11</v>
      </c>
      <c r="K2033" s="36">
        <v>0.8</v>
      </c>
      <c r="L2033" s="37">
        <v>679</v>
      </c>
    </row>
    <row r="2034" spans="1:12" ht="19.95" customHeight="1" x14ac:dyDescent="0.3">
      <c r="A2034" s="2" t="s">
        <v>4417</v>
      </c>
      <c r="B2034" s="3" t="s">
        <v>4418</v>
      </c>
      <c r="C2034" s="2" t="s">
        <v>4976</v>
      </c>
      <c r="D2034" s="3" t="s">
        <v>5169</v>
      </c>
      <c r="E2034" s="2" t="s">
        <v>5085</v>
      </c>
      <c r="F2034" s="3" t="s">
        <v>4420</v>
      </c>
      <c r="G2034" s="3" t="s">
        <v>4367</v>
      </c>
      <c r="H2034" s="1" t="s">
        <v>209</v>
      </c>
      <c r="I2034" s="2" t="s">
        <v>210</v>
      </c>
      <c r="J2034" s="3" t="s">
        <v>11</v>
      </c>
      <c r="K2034" s="38">
        <v>1</v>
      </c>
      <c r="L2034" s="39">
        <v>558</v>
      </c>
    </row>
    <row r="2035" spans="1:12" ht="19.95" customHeight="1" x14ac:dyDescent="0.3">
      <c r="A2035" s="6" t="s">
        <v>4417</v>
      </c>
      <c r="B2035" s="7" t="s">
        <v>4418</v>
      </c>
      <c r="C2035" s="6" t="s">
        <v>4976</v>
      </c>
      <c r="D2035" s="7" t="s">
        <v>5169</v>
      </c>
      <c r="E2035" s="6" t="s">
        <v>5085</v>
      </c>
      <c r="F2035" s="7" t="s">
        <v>4420</v>
      </c>
      <c r="G2035" s="7" t="s">
        <v>4367</v>
      </c>
      <c r="H2035" s="5" t="s">
        <v>235</v>
      </c>
      <c r="I2035" s="6" t="s">
        <v>236</v>
      </c>
      <c r="J2035" s="7" t="s">
        <v>11</v>
      </c>
      <c r="K2035" s="36">
        <v>0.1</v>
      </c>
      <c r="L2035" s="37">
        <v>738</v>
      </c>
    </row>
    <row r="2036" spans="1:12" ht="19.95" customHeight="1" x14ac:dyDescent="0.3">
      <c r="A2036" s="2" t="s">
        <v>4417</v>
      </c>
      <c r="B2036" s="3" t="s">
        <v>4418</v>
      </c>
      <c r="C2036" s="2" t="s">
        <v>4976</v>
      </c>
      <c r="D2036" s="3" t="s">
        <v>5170</v>
      </c>
      <c r="E2036" s="2" t="s">
        <v>5171</v>
      </c>
      <c r="F2036" s="3" t="s">
        <v>5172</v>
      </c>
      <c r="G2036" s="3" t="s">
        <v>4367</v>
      </c>
      <c r="H2036" s="1" t="s">
        <v>205</v>
      </c>
      <c r="I2036" s="2" t="s">
        <v>206</v>
      </c>
      <c r="J2036" s="3" t="s">
        <v>11</v>
      </c>
      <c r="K2036" s="38">
        <v>1</v>
      </c>
      <c r="L2036" s="39">
        <v>679</v>
      </c>
    </row>
    <row r="2037" spans="1:12" ht="19.95" customHeight="1" x14ac:dyDescent="0.3">
      <c r="A2037" s="6" t="s">
        <v>4417</v>
      </c>
      <c r="B2037" s="7" t="s">
        <v>4418</v>
      </c>
      <c r="C2037" s="6" t="s">
        <v>4976</v>
      </c>
      <c r="D2037" s="7" t="s">
        <v>5170</v>
      </c>
      <c r="E2037" s="6" t="s">
        <v>5171</v>
      </c>
      <c r="F2037" s="7" t="s">
        <v>5172</v>
      </c>
      <c r="G2037" s="7" t="s">
        <v>4367</v>
      </c>
      <c r="H2037" s="5" t="s">
        <v>209</v>
      </c>
      <c r="I2037" s="6" t="s">
        <v>210</v>
      </c>
      <c r="J2037" s="7" t="s">
        <v>11</v>
      </c>
      <c r="K2037" s="36">
        <v>1</v>
      </c>
      <c r="L2037" s="37">
        <v>558</v>
      </c>
    </row>
    <row r="2038" spans="1:12" ht="19.95" customHeight="1" x14ac:dyDescent="0.3">
      <c r="A2038" s="2" t="s">
        <v>4417</v>
      </c>
      <c r="B2038" s="3" t="s">
        <v>4418</v>
      </c>
      <c r="C2038" s="2" t="s">
        <v>4976</v>
      </c>
      <c r="D2038" s="3" t="s">
        <v>5173</v>
      </c>
      <c r="E2038" s="2" t="s">
        <v>5174</v>
      </c>
      <c r="F2038" s="3" t="s">
        <v>5172</v>
      </c>
      <c r="G2038" s="3" t="s">
        <v>4367</v>
      </c>
      <c r="H2038" s="1" t="s">
        <v>205</v>
      </c>
      <c r="I2038" s="2" t="s">
        <v>206</v>
      </c>
      <c r="J2038" s="3" t="s">
        <v>11</v>
      </c>
      <c r="K2038" s="38">
        <v>1</v>
      </c>
      <c r="L2038" s="39">
        <v>679</v>
      </c>
    </row>
    <row r="2039" spans="1:12" ht="19.95" customHeight="1" x14ac:dyDescent="0.3">
      <c r="A2039" s="6" t="s">
        <v>4417</v>
      </c>
      <c r="B2039" s="7" t="s">
        <v>4418</v>
      </c>
      <c r="C2039" s="6" t="s">
        <v>4976</v>
      </c>
      <c r="D2039" s="7" t="s">
        <v>5173</v>
      </c>
      <c r="E2039" s="6" t="s">
        <v>5174</v>
      </c>
      <c r="F2039" s="7" t="s">
        <v>5172</v>
      </c>
      <c r="G2039" s="7" t="s">
        <v>4367</v>
      </c>
      <c r="H2039" s="5" t="s">
        <v>209</v>
      </c>
      <c r="I2039" s="6" t="s">
        <v>210</v>
      </c>
      <c r="J2039" s="7" t="s">
        <v>11</v>
      </c>
      <c r="K2039" s="36">
        <v>1</v>
      </c>
      <c r="L2039" s="37">
        <v>558</v>
      </c>
    </row>
    <row r="2040" spans="1:12" ht="19.95" customHeight="1" x14ac:dyDescent="0.3">
      <c r="A2040" s="2" t="s">
        <v>4417</v>
      </c>
      <c r="B2040" s="3" t="s">
        <v>4418</v>
      </c>
      <c r="C2040" s="2" t="s">
        <v>4976</v>
      </c>
      <c r="D2040" s="3" t="s">
        <v>5175</v>
      </c>
      <c r="E2040" s="2" t="s">
        <v>5176</v>
      </c>
      <c r="F2040" s="3" t="s">
        <v>4368</v>
      </c>
      <c r="G2040" s="3" t="s">
        <v>4367</v>
      </c>
      <c r="H2040" s="1" t="s">
        <v>257</v>
      </c>
      <c r="I2040" s="2" t="s">
        <v>258</v>
      </c>
      <c r="J2040" s="3" t="s">
        <v>11</v>
      </c>
      <c r="K2040" s="38">
        <v>0.52</v>
      </c>
      <c r="L2040" s="39">
        <v>709</v>
      </c>
    </row>
    <row r="2041" spans="1:12" ht="19.95" customHeight="1" x14ac:dyDescent="0.3">
      <c r="A2041" s="6" t="s">
        <v>4417</v>
      </c>
      <c r="B2041" s="7" t="s">
        <v>4418</v>
      </c>
      <c r="C2041" s="6" t="s">
        <v>4976</v>
      </c>
      <c r="D2041" s="7" t="s">
        <v>5175</v>
      </c>
      <c r="E2041" s="6" t="s">
        <v>5176</v>
      </c>
      <c r="F2041" s="7" t="s">
        <v>4368</v>
      </c>
      <c r="G2041" s="7" t="s">
        <v>4367</v>
      </c>
      <c r="H2041" s="5" t="s">
        <v>209</v>
      </c>
      <c r="I2041" s="6" t="s">
        <v>210</v>
      </c>
      <c r="J2041" s="7" t="s">
        <v>11</v>
      </c>
      <c r="K2041" s="36">
        <v>0.6</v>
      </c>
      <c r="L2041" s="37">
        <v>558</v>
      </c>
    </row>
    <row r="2042" spans="1:12" ht="19.95" customHeight="1" x14ac:dyDescent="0.3">
      <c r="A2042" s="2" t="s">
        <v>4417</v>
      </c>
      <c r="B2042" s="3" t="s">
        <v>4418</v>
      </c>
      <c r="C2042" s="2" t="s">
        <v>4976</v>
      </c>
      <c r="D2042" s="3" t="s">
        <v>5177</v>
      </c>
      <c r="E2042" s="2" t="s">
        <v>4996</v>
      </c>
      <c r="F2042" s="3" t="s">
        <v>4368</v>
      </c>
      <c r="G2042" s="3" t="s">
        <v>4367</v>
      </c>
      <c r="H2042" s="1" t="s">
        <v>257</v>
      </c>
      <c r="I2042" s="2" t="s">
        <v>258</v>
      </c>
      <c r="J2042" s="3" t="s">
        <v>11</v>
      </c>
      <c r="K2042" s="38">
        <v>0.52</v>
      </c>
      <c r="L2042" s="39">
        <v>709</v>
      </c>
    </row>
    <row r="2043" spans="1:12" ht="19.95" customHeight="1" x14ac:dyDescent="0.3">
      <c r="A2043" s="6" t="s">
        <v>4417</v>
      </c>
      <c r="B2043" s="7" t="s">
        <v>4418</v>
      </c>
      <c r="C2043" s="6" t="s">
        <v>4976</v>
      </c>
      <c r="D2043" s="7" t="s">
        <v>5177</v>
      </c>
      <c r="E2043" s="6" t="s">
        <v>4996</v>
      </c>
      <c r="F2043" s="7" t="s">
        <v>4368</v>
      </c>
      <c r="G2043" s="7" t="s">
        <v>4367</v>
      </c>
      <c r="H2043" s="5" t="s">
        <v>209</v>
      </c>
      <c r="I2043" s="6" t="s">
        <v>210</v>
      </c>
      <c r="J2043" s="7" t="s">
        <v>11</v>
      </c>
      <c r="K2043" s="36">
        <v>0.6</v>
      </c>
      <c r="L2043" s="37">
        <v>558</v>
      </c>
    </row>
    <row r="2044" spans="1:12" ht="19.95" customHeight="1" x14ac:dyDescent="0.3">
      <c r="A2044" s="2" t="s">
        <v>4417</v>
      </c>
      <c r="B2044" s="3" t="s">
        <v>4418</v>
      </c>
      <c r="C2044" s="2" t="s">
        <v>4976</v>
      </c>
      <c r="D2044" s="3" t="s">
        <v>5178</v>
      </c>
      <c r="E2044" s="2" t="s">
        <v>5179</v>
      </c>
      <c r="F2044" s="3" t="s">
        <v>4990</v>
      </c>
      <c r="G2044" s="3" t="s">
        <v>4367</v>
      </c>
      <c r="H2044" s="1" t="s">
        <v>257</v>
      </c>
      <c r="I2044" s="2" t="s">
        <v>258</v>
      </c>
      <c r="J2044" s="3" t="s">
        <v>11</v>
      </c>
      <c r="K2044" s="38">
        <v>7.1999999999999995E-2</v>
      </c>
      <c r="L2044" s="39">
        <v>709</v>
      </c>
    </row>
    <row r="2045" spans="1:12" ht="19.95" customHeight="1" x14ac:dyDescent="0.3">
      <c r="A2045" s="6" t="s">
        <v>4417</v>
      </c>
      <c r="B2045" s="7" t="s">
        <v>4418</v>
      </c>
      <c r="C2045" s="6" t="s">
        <v>4976</v>
      </c>
      <c r="D2045" s="7" t="s">
        <v>5178</v>
      </c>
      <c r="E2045" s="6" t="s">
        <v>5179</v>
      </c>
      <c r="F2045" s="7" t="s">
        <v>4990</v>
      </c>
      <c r="G2045" s="7" t="s">
        <v>4367</v>
      </c>
      <c r="H2045" s="5" t="s">
        <v>209</v>
      </c>
      <c r="I2045" s="6" t="s">
        <v>210</v>
      </c>
      <c r="J2045" s="7" t="s">
        <v>11</v>
      </c>
      <c r="K2045" s="36">
        <v>7.0000000000000001E-3</v>
      </c>
      <c r="L2045" s="37">
        <v>558</v>
      </c>
    </row>
    <row r="2046" spans="1:12" ht="19.95" customHeight="1" x14ac:dyDescent="0.3">
      <c r="A2046" s="2" t="s">
        <v>4417</v>
      </c>
      <c r="B2046" s="3" t="s">
        <v>4418</v>
      </c>
      <c r="C2046" s="2" t="s">
        <v>4976</v>
      </c>
      <c r="D2046" s="3" t="s">
        <v>5180</v>
      </c>
      <c r="E2046" s="2" t="s">
        <v>5181</v>
      </c>
      <c r="F2046" s="3" t="s">
        <v>4990</v>
      </c>
      <c r="G2046" s="3" t="s">
        <v>4367</v>
      </c>
      <c r="H2046" s="1" t="s">
        <v>257</v>
      </c>
      <c r="I2046" s="2" t="s">
        <v>258</v>
      </c>
      <c r="J2046" s="3" t="s">
        <v>11</v>
      </c>
      <c r="K2046" s="38">
        <v>7.1999999999999995E-2</v>
      </c>
      <c r="L2046" s="39">
        <v>709</v>
      </c>
    </row>
    <row r="2047" spans="1:12" ht="19.95" customHeight="1" x14ac:dyDescent="0.3">
      <c r="A2047" s="6" t="s">
        <v>4417</v>
      </c>
      <c r="B2047" s="7" t="s">
        <v>4418</v>
      </c>
      <c r="C2047" s="6" t="s">
        <v>4976</v>
      </c>
      <c r="D2047" s="7" t="s">
        <v>5180</v>
      </c>
      <c r="E2047" s="6" t="s">
        <v>5181</v>
      </c>
      <c r="F2047" s="7" t="s">
        <v>4990</v>
      </c>
      <c r="G2047" s="7" t="s">
        <v>4367</v>
      </c>
      <c r="H2047" s="5" t="s">
        <v>209</v>
      </c>
      <c r="I2047" s="6" t="s">
        <v>210</v>
      </c>
      <c r="J2047" s="7" t="s">
        <v>11</v>
      </c>
      <c r="K2047" s="36">
        <v>7.0000000000000001E-3</v>
      </c>
      <c r="L2047" s="37">
        <v>558</v>
      </c>
    </row>
    <row r="2048" spans="1:12" ht="19.95" customHeight="1" x14ac:dyDescent="0.3">
      <c r="A2048" s="2" t="s">
        <v>4417</v>
      </c>
      <c r="B2048" s="3" t="s">
        <v>4418</v>
      </c>
      <c r="C2048" s="2" t="s">
        <v>4976</v>
      </c>
      <c r="D2048" s="3" t="s">
        <v>5182</v>
      </c>
      <c r="E2048" s="2" t="s">
        <v>4994</v>
      </c>
      <c r="F2048" s="3" t="s">
        <v>4990</v>
      </c>
      <c r="G2048" s="3" t="s">
        <v>4367</v>
      </c>
      <c r="H2048" s="1" t="s">
        <v>257</v>
      </c>
      <c r="I2048" s="2" t="s">
        <v>258</v>
      </c>
      <c r="J2048" s="3" t="s">
        <v>11</v>
      </c>
      <c r="K2048" s="38">
        <v>7.1999999999999995E-2</v>
      </c>
      <c r="L2048" s="39">
        <v>709</v>
      </c>
    </row>
    <row r="2049" spans="1:12" ht="19.95" customHeight="1" x14ac:dyDescent="0.3">
      <c r="A2049" s="6" t="s">
        <v>4417</v>
      </c>
      <c r="B2049" s="7" t="s">
        <v>4418</v>
      </c>
      <c r="C2049" s="6" t="s">
        <v>4976</v>
      </c>
      <c r="D2049" s="7" t="s">
        <v>5182</v>
      </c>
      <c r="E2049" s="6" t="s">
        <v>4994</v>
      </c>
      <c r="F2049" s="7" t="s">
        <v>4990</v>
      </c>
      <c r="G2049" s="7" t="s">
        <v>4367</v>
      </c>
      <c r="H2049" s="5" t="s">
        <v>209</v>
      </c>
      <c r="I2049" s="6" t="s">
        <v>210</v>
      </c>
      <c r="J2049" s="7" t="s">
        <v>11</v>
      </c>
      <c r="K2049" s="36">
        <v>7.0000000000000001E-3</v>
      </c>
      <c r="L2049" s="37">
        <v>558</v>
      </c>
    </row>
    <row r="2050" spans="1:12" ht="19.95" customHeight="1" x14ac:dyDescent="0.3">
      <c r="A2050" s="2" t="s">
        <v>4417</v>
      </c>
      <c r="B2050" s="3" t="s">
        <v>4418</v>
      </c>
      <c r="C2050" s="2" t="s">
        <v>4976</v>
      </c>
      <c r="D2050" s="3" t="s">
        <v>5183</v>
      </c>
      <c r="E2050" s="2" t="s">
        <v>5184</v>
      </c>
      <c r="F2050" s="3" t="s">
        <v>4368</v>
      </c>
      <c r="G2050" s="3" t="s">
        <v>4367</v>
      </c>
      <c r="H2050" s="1" t="s">
        <v>203</v>
      </c>
      <c r="I2050" s="2" t="s">
        <v>204</v>
      </c>
      <c r="J2050" s="3" t="s">
        <v>11</v>
      </c>
      <c r="K2050" s="38">
        <v>0.75</v>
      </c>
      <c r="L2050" s="39">
        <v>738</v>
      </c>
    </row>
    <row r="2051" spans="1:12" ht="19.95" customHeight="1" x14ac:dyDescent="0.3">
      <c r="A2051" s="6" t="s">
        <v>4417</v>
      </c>
      <c r="B2051" s="7" t="s">
        <v>4418</v>
      </c>
      <c r="C2051" s="6" t="s">
        <v>4976</v>
      </c>
      <c r="D2051" s="7" t="s">
        <v>5183</v>
      </c>
      <c r="E2051" s="6" t="s">
        <v>5184</v>
      </c>
      <c r="F2051" s="7" t="s">
        <v>4368</v>
      </c>
      <c r="G2051" s="7" t="s">
        <v>4367</v>
      </c>
      <c r="H2051" s="5" t="s">
        <v>205</v>
      </c>
      <c r="I2051" s="6" t="s">
        <v>206</v>
      </c>
      <c r="J2051" s="7" t="s">
        <v>11</v>
      </c>
      <c r="K2051" s="36">
        <v>1</v>
      </c>
      <c r="L2051" s="37">
        <v>679</v>
      </c>
    </row>
    <row r="2052" spans="1:12" ht="19.95" customHeight="1" x14ac:dyDescent="0.3">
      <c r="A2052" s="2" t="s">
        <v>4417</v>
      </c>
      <c r="B2052" s="3" t="s">
        <v>4418</v>
      </c>
      <c r="C2052" s="2" t="s">
        <v>4976</v>
      </c>
      <c r="D2052" s="3" t="s">
        <v>5183</v>
      </c>
      <c r="E2052" s="2" t="s">
        <v>5184</v>
      </c>
      <c r="F2052" s="3" t="s">
        <v>4368</v>
      </c>
      <c r="G2052" s="3" t="s">
        <v>4367</v>
      </c>
      <c r="H2052" s="1" t="s">
        <v>209</v>
      </c>
      <c r="I2052" s="2" t="s">
        <v>210</v>
      </c>
      <c r="J2052" s="3" t="s">
        <v>11</v>
      </c>
      <c r="K2052" s="38">
        <v>0.5</v>
      </c>
      <c r="L2052" s="39">
        <v>558</v>
      </c>
    </row>
    <row r="2053" spans="1:12" ht="19.95" customHeight="1" x14ac:dyDescent="0.3">
      <c r="A2053" s="6" t="s">
        <v>4417</v>
      </c>
      <c r="B2053" s="7" t="s">
        <v>4418</v>
      </c>
      <c r="C2053" s="6" t="s">
        <v>4976</v>
      </c>
      <c r="D2053" s="7" t="s">
        <v>5183</v>
      </c>
      <c r="E2053" s="6" t="s">
        <v>5184</v>
      </c>
      <c r="F2053" s="7" t="s">
        <v>4368</v>
      </c>
      <c r="G2053" s="7" t="s">
        <v>4367</v>
      </c>
      <c r="H2053" s="5" t="s">
        <v>235</v>
      </c>
      <c r="I2053" s="6" t="s">
        <v>236</v>
      </c>
      <c r="J2053" s="7" t="s">
        <v>11</v>
      </c>
      <c r="K2053" s="36">
        <v>0.1</v>
      </c>
      <c r="L2053" s="37">
        <v>738</v>
      </c>
    </row>
    <row r="2054" spans="1:12" ht="19.95" customHeight="1" x14ac:dyDescent="0.3">
      <c r="A2054" s="2" t="s">
        <v>4417</v>
      </c>
      <c r="B2054" s="3" t="s">
        <v>4418</v>
      </c>
      <c r="C2054" s="2" t="s">
        <v>4976</v>
      </c>
      <c r="D2054" s="3" t="s">
        <v>5185</v>
      </c>
      <c r="E2054" s="2" t="s">
        <v>5186</v>
      </c>
      <c r="F2054" s="3" t="s">
        <v>5187</v>
      </c>
      <c r="G2054" s="3" t="s">
        <v>4367</v>
      </c>
      <c r="H2054" s="1" t="s">
        <v>205</v>
      </c>
      <c r="I2054" s="2" t="s">
        <v>206</v>
      </c>
      <c r="J2054" s="3" t="s">
        <v>11</v>
      </c>
      <c r="K2054" s="38">
        <v>0.18</v>
      </c>
      <c r="L2054" s="39">
        <v>679</v>
      </c>
    </row>
    <row r="2055" spans="1:12" ht="19.95" customHeight="1" x14ac:dyDescent="0.3">
      <c r="A2055" s="6" t="s">
        <v>4417</v>
      </c>
      <c r="B2055" s="7" t="s">
        <v>4418</v>
      </c>
      <c r="C2055" s="6" t="s">
        <v>4976</v>
      </c>
      <c r="D2055" s="7" t="s">
        <v>5185</v>
      </c>
      <c r="E2055" s="6" t="s">
        <v>5186</v>
      </c>
      <c r="F2055" s="7" t="s">
        <v>5187</v>
      </c>
      <c r="G2055" s="7" t="s">
        <v>4367</v>
      </c>
      <c r="H2055" s="5" t="s">
        <v>209</v>
      </c>
      <c r="I2055" s="6" t="s">
        <v>210</v>
      </c>
      <c r="J2055" s="7" t="s">
        <v>11</v>
      </c>
      <c r="K2055" s="36">
        <v>0.18</v>
      </c>
      <c r="L2055" s="37">
        <v>558</v>
      </c>
    </row>
    <row r="2056" spans="1:12" ht="19.95" customHeight="1" x14ac:dyDescent="0.3">
      <c r="A2056" s="2" t="s">
        <v>4417</v>
      </c>
      <c r="B2056" s="3" t="s">
        <v>4418</v>
      </c>
      <c r="C2056" s="2" t="s">
        <v>4976</v>
      </c>
      <c r="D2056" s="3" t="s">
        <v>5185</v>
      </c>
      <c r="E2056" s="2" t="s">
        <v>5186</v>
      </c>
      <c r="F2056" s="3" t="s">
        <v>5187</v>
      </c>
      <c r="G2056" s="3" t="s">
        <v>4367</v>
      </c>
      <c r="H2056" s="1" t="s">
        <v>235</v>
      </c>
      <c r="I2056" s="2" t="s">
        <v>236</v>
      </c>
      <c r="J2056" s="3" t="s">
        <v>11</v>
      </c>
      <c r="K2056" s="38">
        <v>0.11</v>
      </c>
      <c r="L2056" s="39">
        <v>738</v>
      </c>
    </row>
    <row r="2057" spans="1:12" ht="19.95" customHeight="1" x14ac:dyDescent="0.3">
      <c r="A2057" s="6" t="s">
        <v>4417</v>
      </c>
      <c r="B2057" s="7" t="s">
        <v>4418</v>
      </c>
      <c r="C2057" s="6" t="s">
        <v>4976</v>
      </c>
      <c r="D2057" s="7" t="s">
        <v>5188</v>
      </c>
      <c r="E2057" s="6" t="s">
        <v>5189</v>
      </c>
      <c r="F2057" s="7" t="s">
        <v>5187</v>
      </c>
      <c r="G2057" s="7" t="s">
        <v>4367</v>
      </c>
      <c r="H2057" s="5" t="s">
        <v>205</v>
      </c>
      <c r="I2057" s="6" t="s">
        <v>206</v>
      </c>
      <c r="J2057" s="7" t="s">
        <v>11</v>
      </c>
      <c r="K2057" s="36">
        <v>0.18</v>
      </c>
      <c r="L2057" s="37">
        <v>679</v>
      </c>
    </row>
    <row r="2058" spans="1:12" ht="19.95" customHeight="1" x14ac:dyDescent="0.3">
      <c r="A2058" s="2" t="s">
        <v>4417</v>
      </c>
      <c r="B2058" s="3" t="s">
        <v>4418</v>
      </c>
      <c r="C2058" s="2" t="s">
        <v>4976</v>
      </c>
      <c r="D2058" s="3" t="s">
        <v>5188</v>
      </c>
      <c r="E2058" s="2" t="s">
        <v>5189</v>
      </c>
      <c r="F2058" s="3" t="s">
        <v>5187</v>
      </c>
      <c r="G2058" s="3" t="s">
        <v>4367</v>
      </c>
      <c r="H2058" s="1" t="s">
        <v>209</v>
      </c>
      <c r="I2058" s="2" t="s">
        <v>210</v>
      </c>
      <c r="J2058" s="3" t="s">
        <v>11</v>
      </c>
      <c r="K2058" s="38">
        <v>0.18</v>
      </c>
      <c r="L2058" s="39">
        <v>558</v>
      </c>
    </row>
    <row r="2059" spans="1:12" ht="19.95" customHeight="1" x14ac:dyDescent="0.3">
      <c r="A2059" s="6" t="s">
        <v>4417</v>
      </c>
      <c r="B2059" s="7" t="s">
        <v>4418</v>
      </c>
      <c r="C2059" s="6" t="s">
        <v>4976</v>
      </c>
      <c r="D2059" s="7" t="s">
        <v>5188</v>
      </c>
      <c r="E2059" s="6" t="s">
        <v>5189</v>
      </c>
      <c r="F2059" s="7" t="s">
        <v>5187</v>
      </c>
      <c r="G2059" s="7" t="s">
        <v>4367</v>
      </c>
      <c r="H2059" s="5" t="s">
        <v>235</v>
      </c>
      <c r="I2059" s="6" t="s">
        <v>236</v>
      </c>
      <c r="J2059" s="7" t="s">
        <v>11</v>
      </c>
      <c r="K2059" s="36">
        <v>0.11</v>
      </c>
      <c r="L2059" s="37">
        <v>738</v>
      </c>
    </row>
    <row r="2060" spans="1:12" ht="19.95" customHeight="1" x14ac:dyDescent="0.3">
      <c r="A2060" s="2" t="s">
        <v>4417</v>
      </c>
      <c r="B2060" s="3" t="s">
        <v>4418</v>
      </c>
      <c r="C2060" s="2" t="s">
        <v>4976</v>
      </c>
      <c r="D2060" s="3" t="s">
        <v>5190</v>
      </c>
      <c r="E2060" s="2" t="s">
        <v>5191</v>
      </c>
      <c r="F2060" s="3" t="s">
        <v>4441</v>
      </c>
      <c r="G2060" s="3" t="s">
        <v>4367</v>
      </c>
      <c r="H2060" s="1" t="s">
        <v>205</v>
      </c>
      <c r="I2060" s="2" t="s">
        <v>206</v>
      </c>
      <c r="J2060" s="3" t="s">
        <v>11</v>
      </c>
      <c r="K2060" s="38">
        <v>0.25</v>
      </c>
      <c r="L2060" s="39">
        <v>679</v>
      </c>
    </row>
    <row r="2061" spans="1:12" ht="19.95" customHeight="1" x14ac:dyDescent="0.3">
      <c r="A2061" s="6" t="s">
        <v>4417</v>
      </c>
      <c r="B2061" s="7" t="s">
        <v>4418</v>
      </c>
      <c r="C2061" s="6" t="s">
        <v>4976</v>
      </c>
      <c r="D2061" s="7" t="s">
        <v>5190</v>
      </c>
      <c r="E2061" s="6" t="s">
        <v>5191</v>
      </c>
      <c r="F2061" s="7" t="s">
        <v>4441</v>
      </c>
      <c r="G2061" s="7" t="s">
        <v>4367</v>
      </c>
      <c r="H2061" s="5" t="s">
        <v>209</v>
      </c>
      <c r="I2061" s="6" t="s">
        <v>210</v>
      </c>
      <c r="J2061" s="7" t="s">
        <v>11</v>
      </c>
      <c r="K2061" s="36">
        <v>0.25</v>
      </c>
      <c r="L2061" s="37">
        <v>558</v>
      </c>
    </row>
    <row r="2062" spans="1:12" ht="19.95" customHeight="1" x14ac:dyDescent="0.3">
      <c r="A2062" s="2" t="s">
        <v>4417</v>
      </c>
      <c r="B2062" s="3" t="s">
        <v>4418</v>
      </c>
      <c r="C2062" s="2" t="s">
        <v>4976</v>
      </c>
      <c r="D2062" s="3" t="s">
        <v>5192</v>
      </c>
      <c r="E2062" s="2" t="s">
        <v>5193</v>
      </c>
      <c r="F2062" s="3" t="s">
        <v>5194</v>
      </c>
      <c r="G2062" s="3" t="s">
        <v>4367</v>
      </c>
      <c r="H2062" s="1" t="s">
        <v>257</v>
      </c>
      <c r="I2062" s="2" t="s">
        <v>258</v>
      </c>
      <c r="J2062" s="3" t="s">
        <v>11</v>
      </c>
      <c r="K2062" s="38">
        <v>1.83</v>
      </c>
      <c r="L2062" s="39">
        <v>709</v>
      </c>
    </row>
    <row r="2063" spans="1:12" ht="19.95" customHeight="1" x14ac:dyDescent="0.3">
      <c r="A2063" s="6" t="s">
        <v>4417</v>
      </c>
      <c r="B2063" s="7" t="s">
        <v>4418</v>
      </c>
      <c r="C2063" s="6" t="s">
        <v>4976</v>
      </c>
      <c r="D2063" s="7" t="s">
        <v>5192</v>
      </c>
      <c r="E2063" s="6" t="s">
        <v>5193</v>
      </c>
      <c r="F2063" s="7" t="s">
        <v>5194</v>
      </c>
      <c r="G2063" s="7" t="s">
        <v>4367</v>
      </c>
      <c r="H2063" s="5" t="s">
        <v>209</v>
      </c>
      <c r="I2063" s="6" t="s">
        <v>210</v>
      </c>
      <c r="J2063" s="7" t="s">
        <v>11</v>
      </c>
      <c r="K2063" s="36">
        <v>0.76</v>
      </c>
      <c r="L2063" s="37">
        <v>558</v>
      </c>
    </row>
    <row r="2064" spans="1:12" ht="19.95" customHeight="1" x14ac:dyDescent="0.3">
      <c r="A2064" s="2" t="s">
        <v>4417</v>
      </c>
      <c r="B2064" s="3" t="s">
        <v>4418</v>
      </c>
      <c r="C2064" s="2" t="s">
        <v>4976</v>
      </c>
      <c r="D2064" s="3" t="s">
        <v>5192</v>
      </c>
      <c r="E2064" s="2" t="s">
        <v>5193</v>
      </c>
      <c r="F2064" s="3" t="s">
        <v>5195</v>
      </c>
      <c r="G2064" s="3" t="s">
        <v>4367</v>
      </c>
      <c r="H2064" s="1" t="s">
        <v>257</v>
      </c>
      <c r="I2064" s="2" t="s">
        <v>258</v>
      </c>
      <c r="J2064" s="3" t="s">
        <v>11</v>
      </c>
      <c r="K2064" s="38">
        <v>1.83</v>
      </c>
      <c r="L2064" s="39">
        <v>709</v>
      </c>
    </row>
    <row r="2065" spans="1:12" ht="19.95" customHeight="1" x14ac:dyDescent="0.3">
      <c r="A2065" s="6" t="s">
        <v>4417</v>
      </c>
      <c r="B2065" s="7" t="s">
        <v>4418</v>
      </c>
      <c r="C2065" s="6" t="s">
        <v>4976</v>
      </c>
      <c r="D2065" s="7" t="s">
        <v>5192</v>
      </c>
      <c r="E2065" s="6" t="s">
        <v>5193</v>
      </c>
      <c r="F2065" s="7" t="s">
        <v>5195</v>
      </c>
      <c r="G2065" s="7" t="s">
        <v>4367</v>
      </c>
      <c r="H2065" s="5" t="s">
        <v>209</v>
      </c>
      <c r="I2065" s="6" t="s">
        <v>210</v>
      </c>
      <c r="J2065" s="7" t="s">
        <v>11</v>
      </c>
      <c r="K2065" s="36">
        <v>0.76</v>
      </c>
      <c r="L2065" s="37">
        <v>558</v>
      </c>
    </row>
    <row r="2066" spans="1:12" ht="19.95" customHeight="1" x14ac:dyDescent="0.3">
      <c r="A2066" s="2" t="s">
        <v>4417</v>
      </c>
      <c r="B2066" s="3" t="s">
        <v>4418</v>
      </c>
      <c r="C2066" s="2" t="s">
        <v>4976</v>
      </c>
      <c r="D2066" s="3" t="s">
        <v>5196</v>
      </c>
      <c r="E2066" s="2" t="s">
        <v>5197</v>
      </c>
      <c r="F2066" s="3" t="s">
        <v>5195</v>
      </c>
      <c r="G2066" s="3" t="s">
        <v>4367</v>
      </c>
      <c r="H2066" s="1" t="s">
        <v>257</v>
      </c>
      <c r="I2066" s="2" t="s">
        <v>258</v>
      </c>
      <c r="J2066" s="3" t="s">
        <v>11</v>
      </c>
      <c r="K2066" s="38">
        <v>1.83</v>
      </c>
      <c r="L2066" s="39">
        <v>709</v>
      </c>
    </row>
    <row r="2067" spans="1:12" ht="19.95" customHeight="1" x14ac:dyDescent="0.3">
      <c r="A2067" s="6" t="s">
        <v>4417</v>
      </c>
      <c r="B2067" s="7" t="s">
        <v>4418</v>
      </c>
      <c r="C2067" s="6" t="s">
        <v>4976</v>
      </c>
      <c r="D2067" s="7" t="s">
        <v>5196</v>
      </c>
      <c r="E2067" s="6" t="s">
        <v>5197</v>
      </c>
      <c r="F2067" s="7" t="s">
        <v>5195</v>
      </c>
      <c r="G2067" s="7" t="s">
        <v>4367</v>
      </c>
      <c r="H2067" s="5" t="s">
        <v>209</v>
      </c>
      <c r="I2067" s="6" t="s">
        <v>210</v>
      </c>
      <c r="J2067" s="7" t="s">
        <v>11</v>
      </c>
      <c r="K2067" s="36">
        <v>0.76</v>
      </c>
      <c r="L2067" s="37">
        <v>558</v>
      </c>
    </row>
    <row r="2068" spans="1:12" ht="19.95" customHeight="1" x14ac:dyDescent="0.3">
      <c r="A2068" s="2" t="s">
        <v>4417</v>
      </c>
      <c r="B2068" s="3" t="s">
        <v>4418</v>
      </c>
      <c r="C2068" s="2" t="s">
        <v>4976</v>
      </c>
      <c r="D2068" s="3" t="s">
        <v>5196</v>
      </c>
      <c r="E2068" s="2" t="s">
        <v>5197</v>
      </c>
      <c r="F2068" s="3" t="s">
        <v>5198</v>
      </c>
      <c r="G2068" s="3" t="s">
        <v>4367</v>
      </c>
      <c r="H2068" s="1" t="s">
        <v>257</v>
      </c>
      <c r="I2068" s="2" t="s">
        <v>258</v>
      </c>
      <c r="J2068" s="3" t="s">
        <v>11</v>
      </c>
      <c r="K2068" s="38">
        <v>1.83</v>
      </c>
      <c r="L2068" s="39">
        <v>709</v>
      </c>
    </row>
    <row r="2069" spans="1:12" ht="19.95" customHeight="1" x14ac:dyDescent="0.3">
      <c r="A2069" s="6" t="s">
        <v>4417</v>
      </c>
      <c r="B2069" s="7" t="s">
        <v>4418</v>
      </c>
      <c r="C2069" s="6" t="s">
        <v>4976</v>
      </c>
      <c r="D2069" s="7" t="s">
        <v>5196</v>
      </c>
      <c r="E2069" s="6" t="s">
        <v>5197</v>
      </c>
      <c r="F2069" s="7" t="s">
        <v>5198</v>
      </c>
      <c r="G2069" s="7" t="s">
        <v>4367</v>
      </c>
      <c r="H2069" s="5" t="s">
        <v>209</v>
      </c>
      <c r="I2069" s="6" t="s">
        <v>210</v>
      </c>
      <c r="J2069" s="7" t="s">
        <v>11</v>
      </c>
      <c r="K2069" s="36">
        <v>0.76</v>
      </c>
      <c r="L2069" s="37">
        <v>558</v>
      </c>
    </row>
    <row r="2070" spans="1:12" ht="19.95" customHeight="1" x14ac:dyDescent="0.3">
      <c r="A2070" s="2" t="s">
        <v>4417</v>
      </c>
      <c r="B2070" s="3" t="s">
        <v>4418</v>
      </c>
      <c r="C2070" s="2" t="s">
        <v>4976</v>
      </c>
      <c r="D2070" s="3" t="s">
        <v>5199</v>
      </c>
      <c r="E2070" s="2" t="s">
        <v>5200</v>
      </c>
      <c r="F2070" s="3" t="s">
        <v>5195</v>
      </c>
      <c r="G2070" s="3" t="s">
        <v>4367</v>
      </c>
      <c r="H2070" s="1" t="s">
        <v>257</v>
      </c>
      <c r="I2070" s="2" t="s">
        <v>258</v>
      </c>
      <c r="J2070" s="3" t="s">
        <v>11</v>
      </c>
      <c r="K2070" s="38">
        <v>1.83</v>
      </c>
      <c r="L2070" s="39">
        <v>709</v>
      </c>
    </row>
    <row r="2071" spans="1:12" ht="19.95" customHeight="1" x14ac:dyDescent="0.3">
      <c r="A2071" s="6" t="s">
        <v>4417</v>
      </c>
      <c r="B2071" s="7" t="s">
        <v>4418</v>
      </c>
      <c r="C2071" s="6" t="s">
        <v>4976</v>
      </c>
      <c r="D2071" s="7" t="s">
        <v>5199</v>
      </c>
      <c r="E2071" s="6" t="s">
        <v>5200</v>
      </c>
      <c r="F2071" s="7" t="s">
        <v>5195</v>
      </c>
      <c r="G2071" s="7" t="s">
        <v>4367</v>
      </c>
      <c r="H2071" s="5" t="s">
        <v>209</v>
      </c>
      <c r="I2071" s="6" t="s">
        <v>210</v>
      </c>
      <c r="J2071" s="7" t="s">
        <v>11</v>
      </c>
      <c r="K2071" s="36">
        <v>0.76</v>
      </c>
      <c r="L2071" s="37">
        <v>558</v>
      </c>
    </row>
    <row r="2072" spans="1:12" ht="19.95" customHeight="1" x14ac:dyDescent="0.3">
      <c r="A2072" s="2" t="s">
        <v>4417</v>
      </c>
      <c r="B2072" s="3" t="s">
        <v>4418</v>
      </c>
      <c r="C2072" s="2" t="s">
        <v>4976</v>
      </c>
      <c r="D2072" s="3" t="s">
        <v>5199</v>
      </c>
      <c r="E2072" s="2" t="s">
        <v>5200</v>
      </c>
      <c r="F2072" s="3" t="s">
        <v>5201</v>
      </c>
      <c r="G2072" s="3" t="s">
        <v>4367</v>
      </c>
      <c r="H2072" s="1" t="s">
        <v>257</v>
      </c>
      <c r="I2072" s="2" t="s">
        <v>258</v>
      </c>
      <c r="J2072" s="3" t="s">
        <v>11</v>
      </c>
      <c r="K2072" s="38">
        <v>1.83</v>
      </c>
      <c r="L2072" s="39">
        <v>709</v>
      </c>
    </row>
    <row r="2073" spans="1:12" ht="19.95" customHeight="1" x14ac:dyDescent="0.3">
      <c r="A2073" s="6" t="s">
        <v>4417</v>
      </c>
      <c r="B2073" s="7" t="s">
        <v>4418</v>
      </c>
      <c r="C2073" s="6" t="s">
        <v>4976</v>
      </c>
      <c r="D2073" s="7" t="s">
        <v>5199</v>
      </c>
      <c r="E2073" s="6" t="s">
        <v>5200</v>
      </c>
      <c r="F2073" s="7" t="s">
        <v>5201</v>
      </c>
      <c r="G2073" s="7" t="s">
        <v>4367</v>
      </c>
      <c r="H2073" s="5" t="s">
        <v>209</v>
      </c>
      <c r="I2073" s="6" t="s">
        <v>210</v>
      </c>
      <c r="J2073" s="7" t="s">
        <v>11</v>
      </c>
      <c r="K2073" s="36">
        <v>0.76</v>
      </c>
      <c r="L2073" s="37">
        <v>558</v>
      </c>
    </row>
    <row r="2074" spans="1:12" ht="19.95" customHeight="1" x14ac:dyDescent="0.3">
      <c r="A2074" s="2" t="s">
        <v>4417</v>
      </c>
      <c r="B2074" s="3" t="s">
        <v>4418</v>
      </c>
      <c r="C2074" s="2" t="s">
        <v>4976</v>
      </c>
      <c r="D2074" s="3" t="s">
        <v>5202</v>
      </c>
      <c r="E2074" s="2" t="s">
        <v>5087</v>
      </c>
      <c r="F2074" s="3" t="s">
        <v>5088</v>
      </c>
      <c r="G2074" s="3" t="s">
        <v>4367</v>
      </c>
      <c r="H2074" s="1" t="s">
        <v>205</v>
      </c>
      <c r="I2074" s="2" t="s">
        <v>206</v>
      </c>
      <c r="J2074" s="3" t="s">
        <v>11</v>
      </c>
      <c r="K2074" s="38">
        <v>0.33</v>
      </c>
      <c r="L2074" s="39">
        <v>679</v>
      </c>
    </row>
    <row r="2075" spans="1:12" ht="19.95" customHeight="1" x14ac:dyDescent="0.3">
      <c r="A2075" s="6" t="s">
        <v>4417</v>
      </c>
      <c r="B2075" s="7" t="s">
        <v>4418</v>
      </c>
      <c r="C2075" s="6" t="s">
        <v>4976</v>
      </c>
      <c r="D2075" s="7" t="s">
        <v>5202</v>
      </c>
      <c r="E2075" s="6" t="s">
        <v>5087</v>
      </c>
      <c r="F2075" s="7" t="s">
        <v>5088</v>
      </c>
      <c r="G2075" s="7" t="s">
        <v>4367</v>
      </c>
      <c r="H2075" s="5" t="s">
        <v>209</v>
      </c>
      <c r="I2075" s="6" t="s">
        <v>210</v>
      </c>
      <c r="J2075" s="7" t="s">
        <v>11</v>
      </c>
      <c r="K2075" s="36">
        <v>0.25</v>
      </c>
      <c r="L2075" s="37">
        <v>558</v>
      </c>
    </row>
    <row r="2076" spans="1:12" ht="19.95" customHeight="1" x14ac:dyDescent="0.3">
      <c r="A2076" s="2" t="s">
        <v>4417</v>
      </c>
      <c r="B2076" s="3" t="s">
        <v>4418</v>
      </c>
      <c r="C2076" s="2" t="s">
        <v>4976</v>
      </c>
      <c r="D2076" s="3" t="s">
        <v>5203</v>
      </c>
      <c r="E2076" s="2" t="s">
        <v>5090</v>
      </c>
      <c r="F2076" s="3" t="s">
        <v>5088</v>
      </c>
      <c r="G2076" s="3" t="s">
        <v>4367</v>
      </c>
      <c r="H2076" s="1" t="s">
        <v>205</v>
      </c>
      <c r="I2076" s="2" t="s">
        <v>206</v>
      </c>
      <c r="J2076" s="3" t="s">
        <v>11</v>
      </c>
      <c r="K2076" s="38">
        <v>0.33</v>
      </c>
      <c r="L2076" s="39">
        <v>679</v>
      </c>
    </row>
    <row r="2077" spans="1:12" ht="19.95" customHeight="1" x14ac:dyDescent="0.3">
      <c r="A2077" s="6" t="s">
        <v>4417</v>
      </c>
      <c r="B2077" s="7" t="s">
        <v>4418</v>
      </c>
      <c r="C2077" s="6" t="s">
        <v>4976</v>
      </c>
      <c r="D2077" s="7" t="s">
        <v>5203</v>
      </c>
      <c r="E2077" s="6" t="s">
        <v>5090</v>
      </c>
      <c r="F2077" s="7" t="s">
        <v>5088</v>
      </c>
      <c r="G2077" s="7" t="s">
        <v>4367</v>
      </c>
      <c r="H2077" s="5" t="s">
        <v>209</v>
      </c>
      <c r="I2077" s="6" t="s">
        <v>210</v>
      </c>
      <c r="J2077" s="7" t="s">
        <v>11</v>
      </c>
      <c r="K2077" s="36">
        <v>0.25</v>
      </c>
      <c r="L2077" s="37">
        <v>558</v>
      </c>
    </row>
    <row r="2078" spans="1:12" ht="19.95" customHeight="1" x14ac:dyDescent="0.3">
      <c r="A2078" s="2" t="s">
        <v>4417</v>
      </c>
      <c r="B2078" s="3" t="s">
        <v>4418</v>
      </c>
      <c r="C2078" s="2" t="s">
        <v>4976</v>
      </c>
      <c r="D2078" s="3" t="s">
        <v>5204</v>
      </c>
      <c r="E2078" s="2" t="s">
        <v>5205</v>
      </c>
      <c r="F2078" s="3" t="s">
        <v>5206</v>
      </c>
      <c r="G2078" s="3" t="s">
        <v>4367</v>
      </c>
      <c r="H2078" s="1" t="s">
        <v>205</v>
      </c>
      <c r="I2078" s="2" t="s">
        <v>206</v>
      </c>
      <c r="J2078" s="3" t="s">
        <v>11</v>
      </c>
      <c r="K2078" s="38">
        <v>0.14000000000000001</v>
      </c>
      <c r="L2078" s="39">
        <v>679</v>
      </c>
    </row>
    <row r="2079" spans="1:12" ht="19.95" customHeight="1" x14ac:dyDescent="0.3">
      <c r="A2079" s="6" t="s">
        <v>4417</v>
      </c>
      <c r="B2079" s="7" t="s">
        <v>4418</v>
      </c>
      <c r="C2079" s="6" t="s">
        <v>4976</v>
      </c>
      <c r="D2079" s="7" t="s">
        <v>5204</v>
      </c>
      <c r="E2079" s="6" t="s">
        <v>5205</v>
      </c>
      <c r="F2079" s="7" t="s">
        <v>5206</v>
      </c>
      <c r="G2079" s="7" t="s">
        <v>4367</v>
      </c>
      <c r="H2079" s="5" t="s">
        <v>209</v>
      </c>
      <c r="I2079" s="6" t="s">
        <v>210</v>
      </c>
      <c r="J2079" s="7" t="s">
        <v>11</v>
      </c>
      <c r="K2079" s="36">
        <v>0.09</v>
      </c>
      <c r="L2079" s="37">
        <v>558</v>
      </c>
    </row>
    <row r="2080" spans="1:12" ht="19.95" customHeight="1" x14ac:dyDescent="0.3">
      <c r="A2080" s="2" t="s">
        <v>4417</v>
      </c>
      <c r="B2080" s="3" t="s">
        <v>4418</v>
      </c>
      <c r="C2080" s="2" t="s">
        <v>4976</v>
      </c>
      <c r="D2080" s="3" t="s">
        <v>5207</v>
      </c>
      <c r="E2080" s="2" t="s">
        <v>5208</v>
      </c>
      <c r="F2080" s="3" t="s">
        <v>5206</v>
      </c>
      <c r="G2080" s="3" t="s">
        <v>4367</v>
      </c>
      <c r="H2080" s="1" t="s">
        <v>205</v>
      </c>
      <c r="I2080" s="2" t="s">
        <v>206</v>
      </c>
      <c r="J2080" s="3" t="s">
        <v>11</v>
      </c>
      <c r="K2080" s="38">
        <v>0.14000000000000001</v>
      </c>
      <c r="L2080" s="39">
        <v>679</v>
      </c>
    </row>
    <row r="2081" spans="1:12" ht="19.95" customHeight="1" x14ac:dyDescent="0.3">
      <c r="A2081" s="6" t="s">
        <v>4417</v>
      </c>
      <c r="B2081" s="7" t="s">
        <v>4418</v>
      </c>
      <c r="C2081" s="6" t="s">
        <v>4976</v>
      </c>
      <c r="D2081" s="7" t="s">
        <v>5207</v>
      </c>
      <c r="E2081" s="6" t="s">
        <v>5208</v>
      </c>
      <c r="F2081" s="7" t="s">
        <v>5206</v>
      </c>
      <c r="G2081" s="7" t="s">
        <v>4367</v>
      </c>
      <c r="H2081" s="5" t="s">
        <v>209</v>
      </c>
      <c r="I2081" s="6" t="s">
        <v>210</v>
      </c>
      <c r="J2081" s="7" t="s">
        <v>11</v>
      </c>
      <c r="K2081" s="36">
        <v>0.09</v>
      </c>
      <c r="L2081" s="37">
        <v>558</v>
      </c>
    </row>
    <row r="2082" spans="1:12" ht="19.95" customHeight="1" x14ac:dyDescent="0.3">
      <c r="A2082" s="2" t="s">
        <v>4417</v>
      </c>
      <c r="B2082" s="3" t="s">
        <v>4418</v>
      </c>
      <c r="C2082" s="2" t="s">
        <v>4976</v>
      </c>
      <c r="D2082" s="3" t="s">
        <v>5209</v>
      </c>
      <c r="E2082" s="2" t="s">
        <v>5210</v>
      </c>
      <c r="F2082" s="3" t="s">
        <v>5206</v>
      </c>
      <c r="G2082" s="3" t="s">
        <v>4367</v>
      </c>
      <c r="H2082" s="1" t="s">
        <v>205</v>
      </c>
      <c r="I2082" s="2" t="s">
        <v>206</v>
      </c>
      <c r="J2082" s="3" t="s">
        <v>11</v>
      </c>
      <c r="K2082" s="38">
        <v>0.14000000000000001</v>
      </c>
      <c r="L2082" s="39">
        <v>679</v>
      </c>
    </row>
    <row r="2083" spans="1:12" ht="19.95" customHeight="1" x14ac:dyDescent="0.3">
      <c r="A2083" s="6" t="s">
        <v>4417</v>
      </c>
      <c r="B2083" s="7" t="s">
        <v>4418</v>
      </c>
      <c r="C2083" s="6" t="s">
        <v>4976</v>
      </c>
      <c r="D2083" s="7" t="s">
        <v>5209</v>
      </c>
      <c r="E2083" s="6" t="s">
        <v>5210</v>
      </c>
      <c r="F2083" s="7" t="s">
        <v>5206</v>
      </c>
      <c r="G2083" s="7" t="s">
        <v>4367</v>
      </c>
      <c r="H2083" s="5" t="s">
        <v>209</v>
      </c>
      <c r="I2083" s="6" t="s">
        <v>210</v>
      </c>
      <c r="J2083" s="7" t="s">
        <v>11</v>
      </c>
      <c r="K2083" s="36">
        <v>0.09</v>
      </c>
      <c r="L2083" s="37">
        <v>558</v>
      </c>
    </row>
    <row r="2084" spans="1:12" ht="19.95" customHeight="1" x14ac:dyDescent="0.3">
      <c r="A2084" s="2" t="s">
        <v>4417</v>
      </c>
      <c r="B2084" s="3" t="s">
        <v>4418</v>
      </c>
      <c r="C2084" s="2" t="s">
        <v>4976</v>
      </c>
      <c r="D2084" s="3" t="s">
        <v>5211</v>
      </c>
      <c r="E2084" s="2" t="s">
        <v>5212</v>
      </c>
      <c r="F2084" s="3" t="s">
        <v>5206</v>
      </c>
      <c r="G2084" s="3" t="s">
        <v>4367</v>
      </c>
      <c r="H2084" s="1" t="s">
        <v>205</v>
      </c>
      <c r="I2084" s="2" t="s">
        <v>206</v>
      </c>
      <c r="J2084" s="3" t="s">
        <v>11</v>
      </c>
      <c r="K2084" s="38">
        <v>0.08</v>
      </c>
      <c r="L2084" s="39">
        <v>679</v>
      </c>
    </row>
    <row r="2085" spans="1:12" ht="19.95" customHeight="1" x14ac:dyDescent="0.3">
      <c r="A2085" s="6" t="s">
        <v>4417</v>
      </c>
      <c r="B2085" s="7" t="s">
        <v>4418</v>
      </c>
      <c r="C2085" s="6" t="s">
        <v>4976</v>
      </c>
      <c r="D2085" s="7" t="s">
        <v>5213</v>
      </c>
      <c r="E2085" s="6" t="s">
        <v>5214</v>
      </c>
      <c r="F2085" s="7" t="s">
        <v>5206</v>
      </c>
      <c r="G2085" s="7" t="s">
        <v>4367</v>
      </c>
      <c r="H2085" s="5" t="s">
        <v>205</v>
      </c>
      <c r="I2085" s="6" t="s">
        <v>206</v>
      </c>
      <c r="J2085" s="7" t="s">
        <v>11</v>
      </c>
      <c r="K2085" s="36">
        <v>0.14000000000000001</v>
      </c>
      <c r="L2085" s="37">
        <v>679</v>
      </c>
    </row>
    <row r="2086" spans="1:12" ht="19.95" customHeight="1" x14ac:dyDescent="0.3">
      <c r="A2086" s="2" t="s">
        <v>4417</v>
      </c>
      <c r="B2086" s="3" t="s">
        <v>4418</v>
      </c>
      <c r="C2086" s="2" t="s">
        <v>4976</v>
      </c>
      <c r="D2086" s="3" t="s">
        <v>5213</v>
      </c>
      <c r="E2086" s="2" t="s">
        <v>5214</v>
      </c>
      <c r="F2086" s="3" t="s">
        <v>5206</v>
      </c>
      <c r="G2086" s="3" t="s">
        <v>4367</v>
      </c>
      <c r="H2086" s="1" t="s">
        <v>209</v>
      </c>
      <c r="I2086" s="2" t="s">
        <v>210</v>
      </c>
      <c r="J2086" s="3" t="s">
        <v>11</v>
      </c>
      <c r="K2086" s="38">
        <v>0.09</v>
      </c>
      <c r="L2086" s="39">
        <v>558</v>
      </c>
    </row>
    <row r="2087" spans="1:12" ht="19.95" customHeight="1" x14ac:dyDescent="0.3">
      <c r="A2087" s="6" t="s">
        <v>4417</v>
      </c>
      <c r="B2087" s="7" t="s">
        <v>4418</v>
      </c>
      <c r="C2087" s="6" t="s">
        <v>4976</v>
      </c>
      <c r="D2087" s="7" t="s">
        <v>5215</v>
      </c>
      <c r="E2087" s="6" t="s">
        <v>5216</v>
      </c>
      <c r="F2087" s="7" t="s">
        <v>5206</v>
      </c>
      <c r="G2087" s="7" t="s">
        <v>4367</v>
      </c>
      <c r="H2087" s="5" t="s">
        <v>205</v>
      </c>
      <c r="I2087" s="6" t="s">
        <v>206</v>
      </c>
      <c r="J2087" s="7" t="s">
        <v>11</v>
      </c>
      <c r="K2087" s="36">
        <v>0.14000000000000001</v>
      </c>
      <c r="L2087" s="37">
        <v>679</v>
      </c>
    </row>
    <row r="2088" spans="1:12" ht="19.95" customHeight="1" x14ac:dyDescent="0.3">
      <c r="A2088" s="2" t="s">
        <v>4417</v>
      </c>
      <c r="B2088" s="3" t="s">
        <v>4418</v>
      </c>
      <c r="C2088" s="2" t="s">
        <v>4976</v>
      </c>
      <c r="D2088" s="3" t="s">
        <v>5215</v>
      </c>
      <c r="E2088" s="2" t="s">
        <v>5216</v>
      </c>
      <c r="F2088" s="3" t="s">
        <v>5206</v>
      </c>
      <c r="G2088" s="3" t="s">
        <v>4367</v>
      </c>
      <c r="H2088" s="1" t="s">
        <v>209</v>
      </c>
      <c r="I2088" s="2" t="s">
        <v>210</v>
      </c>
      <c r="J2088" s="3" t="s">
        <v>11</v>
      </c>
      <c r="K2088" s="38">
        <v>0.09</v>
      </c>
      <c r="L2088" s="39">
        <v>558</v>
      </c>
    </row>
    <row r="2089" spans="1:12" ht="19.95" customHeight="1" x14ac:dyDescent="0.3">
      <c r="A2089" s="6" t="s">
        <v>4417</v>
      </c>
      <c r="B2089" s="7" t="s">
        <v>4418</v>
      </c>
      <c r="C2089" s="6" t="s">
        <v>4976</v>
      </c>
      <c r="D2089" s="7" t="s">
        <v>5217</v>
      </c>
      <c r="E2089" s="6" t="s">
        <v>5218</v>
      </c>
      <c r="F2089" s="7" t="s">
        <v>5206</v>
      </c>
      <c r="G2089" s="7" t="s">
        <v>4367</v>
      </c>
      <c r="H2089" s="5" t="s">
        <v>205</v>
      </c>
      <c r="I2089" s="6" t="s">
        <v>206</v>
      </c>
      <c r="J2089" s="7" t="s">
        <v>11</v>
      </c>
      <c r="K2089" s="36">
        <v>0.14000000000000001</v>
      </c>
      <c r="L2089" s="37">
        <v>679</v>
      </c>
    </row>
    <row r="2090" spans="1:12" ht="19.95" customHeight="1" x14ac:dyDescent="0.3">
      <c r="A2090" s="2" t="s">
        <v>4417</v>
      </c>
      <c r="B2090" s="3" t="s">
        <v>4418</v>
      </c>
      <c r="C2090" s="2" t="s">
        <v>4976</v>
      </c>
      <c r="D2090" s="3" t="s">
        <v>5217</v>
      </c>
      <c r="E2090" s="2" t="s">
        <v>5218</v>
      </c>
      <c r="F2090" s="3" t="s">
        <v>5206</v>
      </c>
      <c r="G2090" s="3" t="s">
        <v>4367</v>
      </c>
      <c r="H2090" s="1" t="s">
        <v>209</v>
      </c>
      <c r="I2090" s="2" t="s">
        <v>210</v>
      </c>
      <c r="J2090" s="3" t="s">
        <v>11</v>
      </c>
      <c r="K2090" s="38">
        <v>0.09</v>
      </c>
      <c r="L2090" s="39">
        <v>558</v>
      </c>
    </row>
    <row r="2091" spans="1:12" ht="19.95" customHeight="1" x14ac:dyDescent="0.3">
      <c r="A2091" s="6" t="s">
        <v>4417</v>
      </c>
      <c r="B2091" s="7" t="s">
        <v>4418</v>
      </c>
      <c r="C2091" s="6" t="s">
        <v>4976</v>
      </c>
      <c r="D2091" s="7" t="s">
        <v>5219</v>
      </c>
      <c r="E2091" s="6" t="s">
        <v>5220</v>
      </c>
      <c r="F2091" s="7" t="s">
        <v>5206</v>
      </c>
      <c r="G2091" s="7" t="s">
        <v>4367</v>
      </c>
      <c r="H2091" s="5" t="s">
        <v>205</v>
      </c>
      <c r="I2091" s="6" t="s">
        <v>206</v>
      </c>
      <c r="J2091" s="7" t="s">
        <v>11</v>
      </c>
      <c r="K2091" s="36">
        <v>0.08</v>
      </c>
      <c r="L2091" s="37">
        <v>679</v>
      </c>
    </row>
    <row r="2092" spans="1:12" ht="19.95" customHeight="1" x14ac:dyDescent="0.3">
      <c r="A2092" s="2" t="s">
        <v>4417</v>
      </c>
      <c r="B2092" s="3" t="s">
        <v>4418</v>
      </c>
      <c r="C2092" s="2" t="s">
        <v>4976</v>
      </c>
      <c r="D2092" s="3" t="s">
        <v>5221</v>
      </c>
      <c r="E2092" s="2" t="s">
        <v>5222</v>
      </c>
      <c r="F2092" s="3" t="s">
        <v>4419</v>
      </c>
      <c r="G2092" s="3" t="s">
        <v>4367</v>
      </c>
      <c r="H2092" s="1" t="s">
        <v>205</v>
      </c>
      <c r="I2092" s="2" t="s">
        <v>206</v>
      </c>
      <c r="J2092" s="3" t="s">
        <v>11</v>
      </c>
      <c r="K2092" s="38">
        <v>0.14000000000000001</v>
      </c>
      <c r="L2092" s="39">
        <v>679</v>
      </c>
    </row>
    <row r="2093" spans="1:12" ht="19.95" customHeight="1" x14ac:dyDescent="0.3">
      <c r="A2093" s="6" t="s">
        <v>4417</v>
      </c>
      <c r="B2093" s="7" t="s">
        <v>4418</v>
      </c>
      <c r="C2093" s="6" t="s">
        <v>4976</v>
      </c>
      <c r="D2093" s="7" t="s">
        <v>5221</v>
      </c>
      <c r="E2093" s="6" t="s">
        <v>5222</v>
      </c>
      <c r="F2093" s="7" t="s">
        <v>4419</v>
      </c>
      <c r="G2093" s="7" t="s">
        <v>4367</v>
      </c>
      <c r="H2093" s="5" t="s">
        <v>209</v>
      </c>
      <c r="I2093" s="6" t="s">
        <v>210</v>
      </c>
      <c r="J2093" s="7" t="s">
        <v>11</v>
      </c>
      <c r="K2093" s="36">
        <v>0.09</v>
      </c>
      <c r="L2093" s="37">
        <v>558</v>
      </c>
    </row>
    <row r="2094" spans="1:12" ht="19.95" customHeight="1" x14ac:dyDescent="0.3">
      <c r="A2094" s="2" t="s">
        <v>4417</v>
      </c>
      <c r="B2094" s="3" t="s">
        <v>4418</v>
      </c>
      <c r="C2094" s="2" t="s">
        <v>4976</v>
      </c>
      <c r="D2094" s="3" t="s">
        <v>5223</v>
      </c>
      <c r="E2094" s="2" t="s">
        <v>5224</v>
      </c>
      <c r="F2094" s="3" t="s">
        <v>4419</v>
      </c>
      <c r="G2094" s="3" t="s">
        <v>4367</v>
      </c>
      <c r="H2094" s="1" t="s">
        <v>205</v>
      </c>
      <c r="I2094" s="2" t="s">
        <v>206</v>
      </c>
      <c r="J2094" s="3" t="s">
        <v>11</v>
      </c>
      <c r="K2094" s="38">
        <v>0.14000000000000001</v>
      </c>
      <c r="L2094" s="39">
        <v>679</v>
      </c>
    </row>
    <row r="2095" spans="1:12" ht="19.95" customHeight="1" x14ac:dyDescent="0.3">
      <c r="A2095" s="6" t="s">
        <v>4417</v>
      </c>
      <c r="B2095" s="7" t="s">
        <v>4418</v>
      </c>
      <c r="C2095" s="6" t="s">
        <v>4976</v>
      </c>
      <c r="D2095" s="7" t="s">
        <v>5223</v>
      </c>
      <c r="E2095" s="6" t="s">
        <v>5224</v>
      </c>
      <c r="F2095" s="7" t="s">
        <v>4419</v>
      </c>
      <c r="G2095" s="7" t="s">
        <v>4367</v>
      </c>
      <c r="H2095" s="5" t="s">
        <v>209</v>
      </c>
      <c r="I2095" s="6" t="s">
        <v>210</v>
      </c>
      <c r="J2095" s="7" t="s">
        <v>11</v>
      </c>
      <c r="K2095" s="36">
        <v>0.09</v>
      </c>
      <c r="L2095" s="37">
        <v>558</v>
      </c>
    </row>
    <row r="2096" spans="1:12" ht="19.95" customHeight="1" x14ac:dyDescent="0.3">
      <c r="A2096" s="2" t="s">
        <v>4417</v>
      </c>
      <c r="B2096" s="3" t="s">
        <v>4418</v>
      </c>
      <c r="C2096" s="2" t="s">
        <v>4976</v>
      </c>
      <c r="D2096" s="3" t="s">
        <v>5225</v>
      </c>
      <c r="E2096" s="2" t="s">
        <v>5226</v>
      </c>
      <c r="F2096" s="3" t="s">
        <v>4419</v>
      </c>
      <c r="G2096" s="3" t="s">
        <v>4367</v>
      </c>
      <c r="H2096" s="1" t="s">
        <v>205</v>
      </c>
      <c r="I2096" s="2" t="s">
        <v>206</v>
      </c>
      <c r="J2096" s="3" t="s">
        <v>11</v>
      </c>
      <c r="K2096" s="38">
        <v>0.14000000000000001</v>
      </c>
      <c r="L2096" s="39">
        <v>679</v>
      </c>
    </row>
    <row r="2097" spans="1:12" ht="19.95" customHeight="1" x14ac:dyDescent="0.3">
      <c r="A2097" s="6" t="s">
        <v>4417</v>
      </c>
      <c r="B2097" s="7" t="s">
        <v>4418</v>
      </c>
      <c r="C2097" s="6" t="s">
        <v>4976</v>
      </c>
      <c r="D2097" s="7" t="s">
        <v>5225</v>
      </c>
      <c r="E2097" s="6" t="s">
        <v>5226</v>
      </c>
      <c r="F2097" s="7" t="s">
        <v>4419</v>
      </c>
      <c r="G2097" s="7" t="s">
        <v>4367</v>
      </c>
      <c r="H2097" s="5" t="s">
        <v>209</v>
      </c>
      <c r="I2097" s="6" t="s">
        <v>210</v>
      </c>
      <c r="J2097" s="7" t="s">
        <v>11</v>
      </c>
      <c r="K2097" s="36">
        <v>0.09</v>
      </c>
      <c r="L2097" s="37">
        <v>558</v>
      </c>
    </row>
    <row r="2098" spans="1:12" ht="19.95" customHeight="1" x14ac:dyDescent="0.3">
      <c r="A2098" s="2" t="s">
        <v>4417</v>
      </c>
      <c r="B2098" s="3" t="s">
        <v>4418</v>
      </c>
      <c r="C2098" s="2" t="s">
        <v>4976</v>
      </c>
      <c r="D2098" s="3" t="s">
        <v>5227</v>
      </c>
      <c r="E2098" s="2" t="s">
        <v>5228</v>
      </c>
      <c r="F2098" s="3" t="s">
        <v>4419</v>
      </c>
      <c r="G2098" s="3" t="s">
        <v>4367</v>
      </c>
      <c r="H2098" s="1" t="s">
        <v>205</v>
      </c>
      <c r="I2098" s="2" t="s">
        <v>206</v>
      </c>
      <c r="J2098" s="3" t="s">
        <v>11</v>
      </c>
      <c r="K2098" s="38">
        <v>0.08</v>
      </c>
      <c r="L2098" s="39">
        <v>679</v>
      </c>
    </row>
    <row r="2099" spans="1:12" ht="19.95" customHeight="1" x14ac:dyDescent="0.3">
      <c r="A2099" s="6" t="s">
        <v>4417</v>
      </c>
      <c r="B2099" s="7" t="s">
        <v>4418</v>
      </c>
      <c r="C2099" s="6" t="s">
        <v>4976</v>
      </c>
      <c r="D2099" s="7" t="s">
        <v>5229</v>
      </c>
      <c r="E2099" s="6" t="s">
        <v>5230</v>
      </c>
      <c r="F2099" s="7" t="s">
        <v>4419</v>
      </c>
      <c r="G2099" s="7" t="s">
        <v>4367</v>
      </c>
      <c r="H2099" s="5" t="s">
        <v>205</v>
      </c>
      <c r="I2099" s="6" t="s">
        <v>206</v>
      </c>
      <c r="J2099" s="7" t="s">
        <v>11</v>
      </c>
      <c r="K2099" s="36">
        <v>0.14000000000000001</v>
      </c>
      <c r="L2099" s="37">
        <v>679</v>
      </c>
    </row>
    <row r="2100" spans="1:12" ht="19.95" customHeight="1" x14ac:dyDescent="0.3">
      <c r="A2100" s="2" t="s">
        <v>4417</v>
      </c>
      <c r="B2100" s="3" t="s">
        <v>4418</v>
      </c>
      <c r="C2100" s="2" t="s">
        <v>4976</v>
      </c>
      <c r="D2100" s="3" t="s">
        <v>5229</v>
      </c>
      <c r="E2100" s="2" t="s">
        <v>5230</v>
      </c>
      <c r="F2100" s="3" t="s">
        <v>4419</v>
      </c>
      <c r="G2100" s="3" t="s">
        <v>4367</v>
      </c>
      <c r="H2100" s="1" t="s">
        <v>209</v>
      </c>
      <c r="I2100" s="2" t="s">
        <v>210</v>
      </c>
      <c r="J2100" s="3" t="s">
        <v>11</v>
      </c>
      <c r="K2100" s="38">
        <v>0.14000000000000001</v>
      </c>
      <c r="L2100" s="39">
        <v>558</v>
      </c>
    </row>
    <row r="2101" spans="1:12" ht="19.95" customHeight="1" x14ac:dyDescent="0.3">
      <c r="A2101" s="6" t="s">
        <v>4417</v>
      </c>
      <c r="B2101" s="7" t="s">
        <v>4418</v>
      </c>
      <c r="C2101" s="6" t="s">
        <v>4976</v>
      </c>
      <c r="D2101" s="7" t="s">
        <v>5231</v>
      </c>
      <c r="E2101" s="6" t="s">
        <v>5232</v>
      </c>
      <c r="F2101" s="7" t="s">
        <v>4419</v>
      </c>
      <c r="G2101" s="7" t="s">
        <v>4367</v>
      </c>
      <c r="H2101" s="5" t="s">
        <v>205</v>
      </c>
      <c r="I2101" s="6" t="s">
        <v>206</v>
      </c>
      <c r="J2101" s="7" t="s">
        <v>11</v>
      </c>
      <c r="K2101" s="36">
        <v>0.14000000000000001</v>
      </c>
      <c r="L2101" s="37">
        <v>679</v>
      </c>
    </row>
    <row r="2102" spans="1:12" ht="19.95" customHeight="1" x14ac:dyDescent="0.3">
      <c r="A2102" s="2" t="s">
        <v>4417</v>
      </c>
      <c r="B2102" s="3" t="s">
        <v>4418</v>
      </c>
      <c r="C2102" s="2" t="s">
        <v>4976</v>
      </c>
      <c r="D2102" s="3" t="s">
        <v>5231</v>
      </c>
      <c r="E2102" s="2" t="s">
        <v>5232</v>
      </c>
      <c r="F2102" s="3" t="s">
        <v>4419</v>
      </c>
      <c r="G2102" s="3" t="s">
        <v>4367</v>
      </c>
      <c r="H2102" s="1" t="s">
        <v>209</v>
      </c>
      <c r="I2102" s="2" t="s">
        <v>210</v>
      </c>
      <c r="J2102" s="3" t="s">
        <v>11</v>
      </c>
      <c r="K2102" s="38">
        <v>0.14000000000000001</v>
      </c>
      <c r="L2102" s="39">
        <v>558</v>
      </c>
    </row>
    <row r="2103" spans="1:12" ht="19.95" customHeight="1" x14ac:dyDescent="0.3">
      <c r="A2103" s="6" t="s">
        <v>4417</v>
      </c>
      <c r="B2103" s="7" t="s">
        <v>4418</v>
      </c>
      <c r="C2103" s="6" t="s">
        <v>4976</v>
      </c>
      <c r="D2103" s="7" t="s">
        <v>5233</v>
      </c>
      <c r="E2103" s="6" t="s">
        <v>5234</v>
      </c>
      <c r="F2103" s="7" t="s">
        <v>4419</v>
      </c>
      <c r="G2103" s="7" t="s">
        <v>4367</v>
      </c>
      <c r="H2103" s="5" t="s">
        <v>205</v>
      </c>
      <c r="I2103" s="6" t="s">
        <v>206</v>
      </c>
      <c r="J2103" s="7" t="s">
        <v>11</v>
      </c>
      <c r="K2103" s="36">
        <v>0.14000000000000001</v>
      </c>
      <c r="L2103" s="37">
        <v>679</v>
      </c>
    </row>
    <row r="2104" spans="1:12" ht="19.95" customHeight="1" x14ac:dyDescent="0.3">
      <c r="A2104" s="2" t="s">
        <v>4417</v>
      </c>
      <c r="B2104" s="3" t="s">
        <v>4418</v>
      </c>
      <c r="C2104" s="2" t="s">
        <v>4976</v>
      </c>
      <c r="D2104" s="3" t="s">
        <v>5233</v>
      </c>
      <c r="E2104" s="2" t="s">
        <v>5234</v>
      </c>
      <c r="F2104" s="3" t="s">
        <v>4419</v>
      </c>
      <c r="G2104" s="3" t="s">
        <v>4367</v>
      </c>
      <c r="H2104" s="1" t="s">
        <v>209</v>
      </c>
      <c r="I2104" s="2" t="s">
        <v>210</v>
      </c>
      <c r="J2104" s="3" t="s">
        <v>11</v>
      </c>
      <c r="K2104" s="38">
        <v>0.14000000000000001</v>
      </c>
      <c r="L2104" s="39">
        <v>558</v>
      </c>
    </row>
    <row r="2105" spans="1:12" ht="19.95" customHeight="1" x14ac:dyDescent="0.3">
      <c r="A2105" s="6" t="s">
        <v>4417</v>
      </c>
      <c r="B2105" s="7" t="s">
        <v>4418</v>
      </c>
      <c r="C2105" s="6" t="s">
        <v>4976</v>
      </c>
      <c r="D2105" s="7" t="s">
        <v>5235</v>
      </c>
      <c r="E2105" s="6" t="s">
        <v>5236</v>
      </c>
      <c r="F2105" s="7" t="s">
        <v>4419</v>
      </c>
      <c r="G2105" s="7" t="s">
        <v>4367</v>
      </c>
      <c r="H2105" s="5" t="s">
        <v>205</v>
      </c>
      <c r="I2105" s="6" t="s">
        <v>206</v>
      </c>
      <c r="J2105" s="7" t="s">
        <v>11</v>
      </c>
      <c r="K2105" s="36">
        <v>0.14000000000000001</v>
      </c>
      <c r="L2105" s="37">
        <v>679</v>
      </c>
    </row>
    <row r="2106" spans="1:12" ht="19.95" customHeight="1" x14ac:dyDescent="0.3">
      <c r="A2106" s="2" t="s">
        <v>4417</v>
      </c>
      <c r="B2106" s="3" t="s">
        <v>4418</v>
      </c>
      <c r="C2106" s="2" t="s">
        <v>4976</v>
      </c>
      <c r="D2106" s="3" t="s">
        <v>5235</v>
      </c>
      <c r="E2106" s="2" t="s">
        <v>5236</v>
      </c>
      <c r="F2106" s="3" t="s">
        <v>4419</v>
      </c>
      <c r="G2106" s="3" t="s">
        <v>4367</v>
      </c>
      <c r="H2106" s="1" t="s">
        <v>209</v>
      </c>
      <c r="I2106" s="2" t="s">
        <v>210</v>
      </c>
      <c r="J2106" s="3" t="s">
        <v>11</v>
      </c>
      <c r="K2106" s="38">
        <v>0.14000000000000001</v>
      </c>
      <c r="L2106" s="39">
        <v>558</v>
      </c>
    </row>
    <row r="2107" spans="1:12" ht="19.95" customHeight="1" x14ac:dyDescent="0.3">
      <c r="A2107" s="6" t="s">
        <v>4417</v>
      </c>
      <c r="B2107" s="7" t="s">
        <v>4418</v>
      </c>
      <c r="C2107" s="6" t="s">
        <v>4976</v>
      </c>
      <c r="D2107" s="7" t="s">
        <v>5237</v>
      </c>
      <c r="E2107" s="6" t="s">
        <v>5238</v>
      </c>
      <c r="F2107" s="7" t="s">
        <v>4419</v>
      </c>
      <c r="G2107" s="7" t="s">
        <v>4367</v>
      </c>
      <c r="H2107" s="5" t="s">
        <v>205</v>
      </c>
      <c r="I2107" s="6" t="s">
        <v>206</v>
      </c>
      <c r="J2107" s="7" t="s">
        <v>11</v>
      </c>
      <c r="K2107" s="36">
        <v>0.4</v>
      </c>
      <c r="L2107" s="37">
        <v>679</v>
      </c>
    </row>
    <row r="2108" spans="1:12" ht="19.95" customHeight="1" x14ac:dyDescent="0.3">
      <c r="A2108" s="2" t="s">
        <v>4417</v>
      </c>
      <c r="B2108" s="3" t="s">
        <v>4418</v>
      </c>
      <c r="C2108" s="2" t="s">
        <v>4976</v>
      </c>
      <c r="D2108" s="3" t="s">
        <v>5237</v>
      </c>
      <c r="E2108" s="2" t="s">
        <v>5238</v>
      </c>
      <c r="F2108" s="3" t="s">
        <v>4419</v>
      </c>
      <c r="G2108" s="3" t="s">
        <v>4367</v>
      </c>
      <c r="H2108" s="1" t="s">
        <v>209</v>
      </c>
      <c r="I2108" s="2" t="s">
        <v>210</v>
      </c>
      <c r="J2108" s="3" t="s">
        <v>11</v>
      </c>
      <c r="K2108" s="38">
        <v>0.2</v>
      </c>
      <c r="L2108" s="39">
        <v>558</v>
      </c>
    </row>
    <row r="2109" spans="1:12" ht="19.95" customHeight="1" x14ac:dyDescent="0.3">
      <c r="A2109" s="6" t="s">
        <v>4417</v>
      </c>
      <c r="B2109" s="7" t="s">
        <v>4418</v>
      </c>
      <c r="C2109" s="6" t="s">
        <v>4976</v>
      </c>
      <c r="D2109" s="7" t="s">
        <v>5239</v>
      </c>
      <c r="E2109" s="6" t="s">
        <v>4998</v>
      </c>
      <c r="F2109" s="7" t="s">
        <v>4419</v>
      </c>
      <c r="G2109" s="7" t="s">
        <v>4367</v>
      </c>
      <c r="H2109" s="5" t="s">
        <v>205</v>
      </c>
      <c r="I2109" s="6" t="s">
        <v>206</v>
      </c>
      <c r="J2109" s="7" t="s">
        <v>11</v>
      </c>
      <c r="K2109" s="36">
        <v>0.4</v>
      </c>
      <c r="L2109" s="37">
        <v>679</v>
      </c>
    </row>
    <row r="2110" spans="1:12" ht="19.95" customHeight="1" x14ac:dyDescent="0.3">
      <c r="A2110" s="2" t="s">
        <v>4417</v>
      </c>
      <c r="B2110" s="3" t="s">
        <v>4418</v>
      </c>
      <c r="C2110" s="2" t="s">
        <v>4976</v>
      </c>
      <c r="D2110" s="3" t="s">
        <v>5239</v>
      </c>
      <c r="E2110" s="2" t="s">
        <v>4998</v>
      </c>
      <c r="F2110" s="3" t="s">
        <v>4419</v>
      </c>
      <c r="G2110" s="3" t="s">
        <v>4367</v>
      </c>
      <c r="H2110" s="1" t="s">
        <v>209</v>
      </c>
      <c r="I2110" s="2" t="s">
        <v>210</v>
      </c>
      <c r="J2110" s="3" t="s">
        <v>11</v>
      </c>
      <c r="K2110" s="38">
        <v>0.2</v>
      </c>
      <c r="L2110" s="39">
        <v>558</v>
      </c>
    </row>
    <row r="2111" spans="1:12" ht="19.95" customHeight="1" x14ac:dyDescent="0.3">
      <c r="A2111" s="6" t="s">
        <v>4417</v>
      </c>
      <c r="B2111" s="7" t="s">
        <v>4418</v>
      </c>
      <c r="C2111" s="6" t="s">
        <v>4976</v>
      </c>
      <c r="D2111" s="7" t="s">
        <v>5240</v>
      </c>
      <c r="E2111" s="6" t="s">
        <v>5000</v>
      </c>
      <c r="F2111" s="7" t="s">
        <v>4419</v>
      </c>
      <c r="G2111" s="7" t="s">
        <v>4367</v>
      </c>
      <c r="H2111" s="5" t="s">
        <v>205</v>
      </c>
      <c r="I2111" s="6" t="s">
        <v>206</v>
      </c>
      <c r="J2111" s="7" t="s">
        <v>11</v>
      </c>
      <c r="K2111" s="36">
        <v>0.4</v>
      </c>
      <c r="L2111" s="37">
        <v>679</v>
      </c>
    </row>
    <row r="2112" spans="1:12" ht="19.95" customHeight="1" x14ac:dyDescent="0.3">
      <c r="A2112" s="2" t="s">
        <v>4417</v>
      </c>
      <c r="B2112" s="3" t="s">
        <v>4418</v>
      </c>
      <c r="C2112" s="2" t="s">
        <v>4976</v>
      </c>
      <c r="D2112" s="3" t="s">
        <v>5240</v>
      </c>
      <c r="E2112" s="2" t="s">
        <v>5000</v>
      </c>
      <c r="F2112" s="3" t="s">
        <v>4419</v>
      </c>
      <c r="G2112" s="3" t="s">
        <v>4367</v>
      </c>
      <c r="H2112" s="1" t="s">
        <v>209</v>
      </c>
      <c r="I2112" s="2" t="s">
        <v>210</v>
      </c>
      <c r="J2112" s="3" t="s">
        <v>11</v>
      </c>
      <c r="K2112" s="38">
        <v>0.2</v>
      </c>
      <c r="L2112" s="39">
        <v>558</v>
      </c>
    </row>
    <row r="2113" spans="1:12" ht="19.95" customHeight="1" x14ac:dyDescent="0.3">
      <c r="A2113" s="6" t="s">
        <v>4417</v>
      </c>
      <c r="B2113" s="7" t="s">
        <v>4418</v>
      </c>
      <c r="C2113" s="6" t="s">
        <v>4976</v>
      </c>
      <c r="D2113" s="7" t="s">
        <v>5241</v>
      </c>
      <c r="E2113" s="6" t="s">
        <v>5242</v>
      </c>
      <c r="F2113" s="7" t="s">
        <v>4368</v>
      </c>
      <c r="G2113" s="7" t="s">
        <v>4367</v>
      </c>
      <c r="H2113" s="5" t="s">
        <v>257</v>
      </c>
      <c r="I2113" s="6" t="s">
        <v>258</v>
      </c>
      <c r="J2113" s="7" t="s">
        <v>11</v>
      </c>
      <c r="K2113" s="36">
        <v>0.52</v>
      </c>
      <c r="L2113" s="37">
        <v>709</v>
      </c>
    </row>
    <row r="2114" spans="1:12" ht="19.95" customHeight="1" x14ac:dyDescent="0.3">
      <c r="A2114" s="2" t="s">
        <v>4417</v>
      </c>
      <c r="B2114" s="3" t="s">
        <v>4418</v>
      </c>
      <c r="C2114" s="2" t="s">
        <v>4976</v>
      </c>
      <c r="D2114" s="3" t="s">
        <v>5241</v>
      </c>
      <c r="E2114" s="2" t="s">
        <v>5242</v>
      </c>
      <c r="F2114" s="3" t="s">
        <v>4368</v>
      </c>
      <c r="G2114" s="3" t="s">
        <v>4367</v>
      </c>
      <c r="H2114" s="1" t="s">
        <v>209</v>
      </c>
      <c r="I2114" s="2" t="s">
        <v>210</v>
      </c>
      <c r="J2114" s="3" t="s">
        <v>11</v>
      </c>
      <c r="K2114" s="38">
        <v>0.6</v>
      </c>
      <c r="L2114" s="39">
        <v>558</v>
      </c>
    </row>
    <row r="2115" spans="1:12" ht="19.95" customHeight="1" x14ac:dyDescent="0.3">
      <c r="A2115" s="6" t="s">
        <v>4417</v>
      </c>
      <c r="B2115" s="7" t="s">
        <v>4418</v>
      </c>
      <c r="C2115" s="6" t="s">
        <v>4976</v>
      </c>
      <c r="D2115" s="7" t="s">
        <v>5243</v>
      </c>
      <c r="E2115" s="6" t="s">
        <v>5244</v>
      </c>
      <c r="F2115" s="7" t="s">
        <v>4368</v>
      </c>
      <c r="G2115" s="7" t="s">
        <v>4367</v>
      </c>
      <c r="H2115" s="5" t="s">
        <v>257</v>
      </c>
      <c r="I2115" s="6" t="s">
        <v>258</v>
      </c>
      <c r="J2115" s="7" t="s">
        <v>11</v>
      </c>
      <c r="K2115" s="36">
        <v>0.52</v>
      </c>
      <c r="L2115" s="37">
        <v>709</v>
      </c>
    </row>
    <row r="2116" spans="1:12" ht="19.95" customHeight="1" x14ac:dyDescent="0.3">
      <c r="A2116" s="2" t="s">
        <v>4417</v>
      </c>
      <c r="B2116" s="3" t="s">
        <v>4418</v>
      </c>
      <c r="C2116" s="2" t="s">
        <v>4976</v>
      </c>
      <c r="D2116" s="3" t="s">
        <v>5243</v>
      </c>
      <c r="E2116" s="2" t="s">
        <v>5244</v>
      </c>
      <c r="F2116" s="3" t="s">
        <v>4368</v>
      </c>
      <c r="G2116" s="3" t="s">
        <v>4367</v>
      </c>
      <c r="H2116" s="1" t="s">
        <v>209</v>
      </c>
      <c r="I2116" s="2" t="s">
        <v>210</v>
      </c>
      <c r="J2116" s="3" t="s">
        <v>11</v>
      </c>
      <c r="K2116" s="38">
        <v>0.6</v>
      </c>
      <c r="L2116" s="39">
        <v>558</v>
      </c>
    </row>
    <row r="2117" spans="1:12" ht="19.95" customHeight="1" x14ac:dyDescent="0.3">
      <c r="A2117" s="6" t="s">
        <v>4417</v>
      </c>
      <c r="B2117" s="7" t="s">
        <v>4418</v>
      </c>
      <c r="C2117" s="6" t="s">
        <v>4976</v>
      </c>
      <c r="D2117" s="7" t="s">
        <v>5245</v>
      </c>
      <c r="E2117" s="6" t="s">
        <v>5246</v>
      </c>
      <c r="F2117" s="7" t="s">
        <v>4368</v>
      </c>
      <c r="G2117" s="7" t="s">
        <v>4367</v>
      </c>
      <c r="H2117" s="5" t="s">
        <v>257</v>
      </c>
      <c r="I2117" s="6" t="s">
        <v>258</v>
      </c>
      <c r="J2117" s="7" t="s">
        <v>11</v>
      </c>
      <c r="K2117" s="36">
        <v>0.52</v>
      </c>
      <c r="L2117" s="37">
        <v>709</v>
      </c>
    </row>
    <row r="2118" spans="1:12" ht="19.95" customHeight="1" x14ac:dyDescent="0.3">
      <c r="A2118" s="2" t="s">
        <v>4417</v>
      </c>
      <c r="B2118" s="3" t="s">
        <v>4418</v>
      </c>
      <c r="C2118" s="2" t="s">
        <v>4976</v>
      </c>
      <c r="D2118" s="3" t="s">
        <v>5245</v>
      </c>
      <c r="E2118" s="2" t="s">
        <v>5246</v>
      </c>
      <c r="F2118" s="3" t="s">
        <v>4368</v>
      </c>
      <c r="G2118" s="3" t="s">
        <v>4367</v>
      </c>
      <c r="H2118" s="1" t="s">
        <v>209</v>
      </c>
      <c r="I2118" s="2" t="s">
        <v>210</v>
      </c>
      <c r="J2118" s="3" t="s">
        <v>11</v>
      </c>
      <c r="K2118" s="38">
        <v>0.6</v>
      </c>
      <c r="L2118" s="39">
        <v>558</v>
      </c>
    </row>
    <row r="2119" spans="1:12" ht="19.95" customHeight="1" x14ac:dyDescent="0.3">
      <c r="A2119" s="6" t="s">
        <v>4417</v>
      </c>
      <c r="B2119" s="7" t="s">
        <v>4418</v>
      </c>
      <c r="C2119" s="6" t="s">
        <v>4976</v>
      </c>
      <c r="D2119" s="7" t="s">
        <v>5247</v>
      </c>
      <c r="E2119" s="6" t="s">
        <v>5238</v>
      </c>
      <c r="F2119" s="7" t="s">
        <v>4419</v>
      </c>
      <c r="G2119" s="7" t="s">
        <v>4367</v>
      </c>
      <c r="H2119" s="5" t="s">
        <v>205</v>
      </c>
      <c r="I2119" s="6" t="s">
        <v>206</v>
      </c>
      <c r="J2119" s="7" t="s">
        <v>11</v>
      </c>
      <c r="K2119" s="36">
        <v>0.4</v>
      </c>
      <c r="L2119" s="37">
        <v>679</v>
      </c>
    </row>
    <row r="2120" spans="1:12" ht="19.95" customHeight="1" x14ac:dyDescent="0.3">
      <c r="A2120" s="2" t="s">
        <v>4417</v>
      </c>
      <c r="B2120" s="3" t="s">
        <v>4418</v>
      </c>
      <c r="C2120" s="2" t="s">
        <v>4976</v>
      </c>
      <c r="D2120" s="3" t="s">
        <v>5247</v>
      </c>
      <c r="E2120" s="2" t="s">
        <v>5238</v>
      </c>
      <c r="F2120" s="3" t="s">
        <v>4419</v>
      </c>
      <c r="G2120" s="3" t="s">
        <v>4367</v>
      </c>
      <c r="H2120" s="1" t="s">
        <v>209</v>
      </c>
      <c r="I2120" s="2" t="s">
        <v>210</v>
      </c>
      <c r="J2120" s="3" t="s">
        <v>11</v>
      </c>
      <c r="K2120" s="38">
        <v>0.2</v>
      </c>
      <c r="L2120" s="39">
        <v>558</v>
      </c>
    </row>
    <row r="2121" spans="1:12" ht="19.95" customHeight="1" x14ac:dyDescent="0.3">
      <c r="A2121" s="6" t="s">
        <v>4417</v>
      </c>
      <c r="B2121" s="7" t="s">
        <v>4418</v>
      </c>
      <c r="C2121" s="6" t="s">
        <v>4976</v>
      </c>
      <c r="D2121" s="7" t="s">
        <v>5248</v>
      </c>
      <c r="E2121" s="6" t="s">
        <v>4998</v>
      </c>
      <c r="F2121" s="7" t="s">
        <v>4419</v>
      </c>
      <c r="G2121" s="7" t="s">
        <v>4367</v>
      </c>
      <c r="H2121" s="5" t="s">
        <v>205</v>
      </c>
      <c r="I2121" s="6" t="s">
        <v>206</v>
      </c>
      <c r="J2121" s="7" t="s">
        <v>11</v>
      </c>
      <c r="K2121" s="36">
        <v>0.4</v>
      </c>
      <c r="L2121" s="37">
        <v>679</v>
      </c>
    </row>
    <row r="2122" spans="1:12" ht="19.95" customHeight="1" x14ac:dyDescent="0.3">
      <c r="A2122" s="2" t="s">
        <v>4417</v>
      </c>
      <c r="B2122" s="3" t="s">
        <v>4418</v>
      </c>
      <c r="C2122" s="2" t="s">
        <v>4976</v>
      </c>
      <c r="D2122" s="3" t="s">
        <v>5248</v>
      </c>
      <c r="E2122" s="2" t="s">
        <v>4998</v>
      </c>
      <c r="F2122" s="3" t="s">
        <v>4419</v>
      </c>
      <c r="G2122" s="3" t="s">
        <v>4367</v>
      </c>
      <c r="H2122" s="1" t="s">
        <v>209</v>
      </c>
      <c r="I2122" s="2" t="s">
        <v>210</v>
      </c>
      <c r="J2122" s="3" t="s">
        <v>11</v>
      </c>
      <c r="K2122" s="38">
        <v>0.2</v>
      </c>
      <c r="L2122" s="39">
        <v>558</v>
      </c>
    </row>
    <row r="2123" spans="1:12" ht="19.95" customHeight="1" x14ac:dyDescent="0.3">
      <c r="A2123" s="6" t="s">
        <v>4417</v>
      </c>
      <c r="B2123" s="7" t="s">
        <v>4418</v>
      </c>
      <c r="C2123" s="6" t="s">
        <v>4976</v>
      </c>
      <c r="D2123" s="7" t="s">
        <v>5249</v>
      </c>
      <c r="E2123" s="6" t="s">
        <v>5000</v>
      </c>
      <c r="F2123" s="7" t="s">
        <v>4419</v>
      </c>
      <c r="G2123" s="7" t="s">
        <v>4367</v>
      </c>
      <c r="H2123" s="5" t="s">
        <v>205</v>
      </c>
      <c r="I2123" s="6" t="s">
        <v>206</v>
      </c>
      <c r="J2123" s="7" t="s">
        <v>11</v>
      </c>
      <c r="K2123" s="36">
        <v>0.4</v>
      </c>
      <c r="L2123" s="37">
        <v>679</v>
      </c>
    </row>
    <row r="2124" spans="1:12" ht="19.95" customHeight="1" x14ac:dyDescent="0.3">
      <c r="A2124" s="2" t="s">
        <v>4417</v>
      </c>
      <c r="B2124" s="3" t="s">
        <v>4418</v>
      </c>
      <c r="C2124" s="2" t="s">
        <v>4976</v>
      </c>
      <c r="D2124" s="3" t="s">
        <v>5249</v>
      </c>
      <c r="E2124" s="2" t="s">
        <v>5000</v>
      </c>
      <c r="F2124" s="3" t="s">
        <v>4419</v>
      </c>
      <c r="G2124" s="3" t="s">
        <v>4367</v>
      </c>
      <c r="H2124" s="1" t="s">
        <v>209</v>
      </c>
      <c r="I2124" s="2" t="s">
        <v>210</v>
      </c>
      <c r="J2124" s="3" t="s">
        <v>11</v>
      </c>
      <c r="K2124" s="38">
        <v>0.2</v>
      </c>
      <c r="L2124" s="39">
        <v>558</v>
      </c>
    </row>
    <row r="2125" spans="1:12" ht="19.95" customHeight="1" x14ac:dyDescent="0.3">
      <c r="A2125" s="6" t="s">
        <v>4417</v>
      </c>
      <c r="B2125" s="7" t="s">
        <v>4418</v>
      </c>
      <c r="C2125" s="6" t="s">
        <v>4976</v>
      </c>
      <c r="D2125" s="7" t="s">
        <v>5250</v>
      </c>
      <c r="E2125" s="6" t="s">
        <v>5251</v>
      </c>
      <c r="F2125" s="7" t="s">
        <v>4733</v>
      </c>
      <c r="G2125" s="7" t="s">
        <v>4367</v>
      </c>
      <c r="H2125" s="5" t="s">
        <v>205</v>
      </c>
      <c r="I2125" s="6" t="s">
        <v>206</v>
      </c>
      <c r="J2125" s="7" t="s">
        <v>11</v>
      </c>
      <c r="K2125" s="36">
        <v>0.14000000000000001</v>
      </c>
      <c r="L2125" s="37">
        <v>679</v>
      </c>
    </row>
    <row r="2126" spans="1:12" ht="19.95" customHeight="1" x14ac:dyDescent="0.3">
      <c r="A2126" s="2" t="s">
        <v>4417</v>
      </c>
      <c r="B2126" s="3" t="s">
        <v>4418</v>
      </c>
      <c r="C2126" s="2" t="s">
        <v>4976</v>
      </c>
      <c r="D2126" s="3" t="s">
        <v>5250</v>
      </c>
      <c r="E2126" s="2" t="s">
        <v>5251</v>
      </c>
      <c r="F2126" s="3" t="s">
        <v>4733</v>
      </c>
      <c r="G2126" s="3" t="s">
        <v>4367</v>
      </c>
      <c r="H2126" s="1" t="s">
        <v>209</v>
      </c>
      <c r="I2126" s="2" t="s">
        <v>210</v>
      </c>
      <c r="J2126" s="3" t="s">
        <v>11</v>
      </c>
      <c r="K2126" s="38">
        <v>0.09</v>
      </c>
      <c r="L2126" s="39">
        <v>558</v>
      </c>
    </row>
    <row r="2127" spans="1:12" ht="19.95" customHeight="1" x14ac:dyDescent="0.3">
      <c r="A2127" s="6" t="s">
        <v>4417</v>
      </c>
      <c r="B2127" s="7" t="s">
        <v>4418</v>
      </c>
      <c r="C2127" s="6" t="s">
        <v>4976</v>
      </c>
      <c r="D2127" s="7" t="s">
        <v>5252</v>
      </c>
      <c r="E2127" s="6" t="s">
        <v>5253</v>
      </c>
      <c r="F2127" s="7" t="s">
        <v>4733</v>
      </c>
      <c r="G2127" s="7" t="s">
        <v>4367</v>
      </c>
      <c r="H2127" s="5" t="s">
        <v>205</v>
      </c>
      <c r="I2127" s="6" t="s">
        <v>206</v>
      </c>
      <c r="J2127" s="7" t="s">
        <v>11</v>
      </c>
      <c r="K2127" s="36">
        <v>0.14000000000000001</v>
      </c>
      <c r="L2127" s="37">
        <v>679</v>
      </c>
    </row>
    <row r="2128" spans="1:12" ht="19.95" customHeight="1" x14ac:dyDescent="0.3">
      <c r="A2128" s="2" t="s">
        <v>4417</v>
      </c>
      <c r="B2128" s="3" t="s">
        <v>4418</v>
      </c>
      <c r="C2128" s="2" t="s">
        <v>4976</v>
      </c>
      <c r="D2128" s="3" t="s">
        <v>5252</v>
      </c>
      <c r="E2128" s="2" t="s">
        <v>5253</v>
      </c>
      <c r="F2128" s="3" t="s">
        <v>4733</v>
      </c>
      <c r="G2128" s="3" t="s">
        <v>4367</v>
      </c>
      <c r="H2128" s="1" t="s">
        <v>209</v>
      </c>
      <c r="I2128" s="2" t="s">
        <v>210</v>
      </c>
      <c r="J2128" s="3" t="s">
        <v>11</v>
      </c>
      <c r="K2128" s="38">
        <v>0.09</v>
      </c>
      <c r="L2128" s="39">
        <v>558</v>
      </c>
    </row>
    <row r="2129" spans="1:12" ht="19.95" customHeight="1" x14ac:dyDescent="0.3">
      <c r="A2129" s="6" t="s">
        <v>4417</v>
      </c>
      <c r="B2129" s="7" t="s">
        <v>4418</v>
      </c>
      <c r="C2129" s="6" t="s">
        <v>4976</v>
      </c>
      <c r="D2129" s="7" t="s">
        <v>5254</v>
      </c>
      <c r="E2129" s="6" t="s">
        <v>5255</v>
      </c>
      <c r="F2129" s="7" t="s">
        <v>4733</v>
      </c>
      <c r="G2129" s="7" t="s">
        <v>4367</v>
      </c>
      <c r="H2129" s="5" t="s">
        <v>205</v>
      </c>
      <c r="I2129" s="6" t="s">
        <v>206</v>
      </c>
      <c r="J2129" s="7" t="s">
        <v>11</v>
      </c>
      <c r="K2129" s="36">
        <v>0.14000000000000001</v>
      </c>
      <c r="L2129" s="37">
        <v>679</v>
      </c>
    </row>
    <row r="2130" spans="1:12" ht="19.95" customHeight="1" x14ac:dyDescent="0.3">
      <c r="A2130" s="2" t="s">
        <v>4417</v>
      </c>
      <c r="B2130" s="3" t="s">
        <v>4418</v>
      </c>
      <c r="C2130" s="2" t="s">
        <v>4976</v>
      </c>
      <c r="D2130" s="3" t="s">
        <v>5254</v>
      </c>
      <c r="E2130" s="2" t="s">
        <v>5255</v>
      </c>
      <c r="F2130" s="3" t="s">
        <v>4733</v>
      </c>
      <c r="G2130" s="3" t="s">
        <v>4367</v>
      </c>
      <c r="H2130" s="1" t="s">
        <v>209</v>
      </c>
      <c r="I2130" s="2" t="s">
        <v>210</v>
      </c>
      <c r="J2130" s="3" t="s">
        <v>11</v>
      </c>
      <c r="K2130" s="38">
        <v>0.09</v>
      </c>
      <c r="L2130" s="39">
        <v>558</v>
      </c>
    </row>
    <row r="2131" spans="1:12" ht="19.95" customHeight="1" x14ac:dyDescent="0.3">
      <c r="A2131" s="6" t="s">
        <v>4417</v>
      </c>
      <c r="B2131" s="7" t="s">
        <v>4418</v>
      </c>
      <c r="C2131" s="6" t="s">
        <v>4976</v>
      </c>
      <c r="D2131" s="7" t="s">
        <v>5256</v>
      </c>
      <c r="E2131" s="6" t="s">
        <v>5257</v>
      </c>
      <c r="F2131" s="7" t="s">
        <v>4419</v>
      </c>
      <c r="G2131" s="7" t="s">
        <v>4367</v>
      </c>
      <c r="H2131" s="5" t="s">
        <v>205</v>
      </c>
      <c r="I2131" s="6" t="s">
        <v>206</v>
      </c>
      <c r="J2131" s="7" t="s">
        <v>11</v>
      </c>
      <c r="K2131" s="36">
        <v>0.25</v>
      </c>
      <c r="L2131" s="37">
        <v>679</v>
      </c>
    </row>
    <row r="2132" spans="1:12" ht="19.95" customHeight="1" x14ac:dyDescent="0.3">
      <c r="A2132" s="2" t="s">
        <v>4417</v>
      </c>
      <c r="B2132" s="3" t="s">
        <v>4418</v>
      </c>
      <c r="C2132" s="2" t="s">
        <v>4976</v>
      </c>
      <c r="D2132" s="3" t="s">
        <v>5258</v>
      </c>
      <c r="E2132" s="2" t="s">
        <v>5259</v>
      </c>
      <c r="F2132" s="3" t="s">
        <v>4419</v>
      </c>
      <c r="G2132" s="3" t="s">
        <v>4367</v>
      </c>
      <c r="H2132" s="1" t="s">
        <v>205</v>
      </c>
      <c r="I2132" s="2" t="s">
        <v>206</v>
      </c>
      <c r="J2132" s="3" t="s">
        <v>4457</v>
      </c>
      <c r="K2132" s="38">
        <v>0.25</v>
      </c>
      <c r="L2132" s="39">
        <v>679</v>
      </c>
    </row>
    <row r="2133" spans="1:12" ht="19.95" customHeight="1" x14ac:dyDescent="0.3">
      <c r="A2133" s="6" t="s">
        <v>4417</v>
      </c>
      <c r="B2133" s="7" t="s">
        <v>4418</v>
      </c>
      <c r="C2133" s="6" t="s">
        <v>4976</v>
      </c>
      <c r="D2133" s="7" t="s">
        <v>5260</v>
      </c>
      <c r="E2133" s="6" t="s">
        <v>5261</v>
      </c>
      <c r="F2133" s="7" t="s">
        <v>4419</v>
      </c>
      <c r="G2133" s="7" t="s">
        <v>4367</v>
      </c>
      <c r="H2133" s="5" t="s">
        <v>205</v>
      </c>
      <c r="I2133" s="6" t="s">
        <v>206</v>
      </c>
      <c r="J2133" s="7" t="s">
        <v>11</v>
      </c>
      <c r="K2133" s="36">
        <v>0.1</v>
      </c>
      <c r="L2133" s="37">
        <v>679</v>
      </c>
    </row>
    <row r="2134" spans="1:12" ht="19.95" customHeight="1" x14ac:dyDescent="0.3">
      <c r="A2134" s="2" t="s">
        <v>4417</v>
      </c>
      <c r="B2134" s="3" t="s">
        <v>4418</v>
      </c>
      <c r="C2134" s="2" t="s">
        <v>4976</v>
      </c>
      <c r="D2134" s="3" t="s">
        <v>5262</v>
      </c>
      <c r="E2134" s="2" t="s">
        <v>5263</v>
      </c>
      <c r="F2134" s="3" t="s">
        <v>4419</v>
      </c>
      <c r="G2134" s="3" t="s">
        <v>4367</v>
      </c>
      <c r="H2134" s="1" t="s">
        <v>205</v>
      </c>
      <c r="I2134" s="2" t="s">
        <v>206</v>
      </c>
      <c r="J2134" s="3" t="s">
        <v>11</v>
      </c>
      <c r="K2134" s="38">
        <v>0.1</v>
      </c>
      <c r="L2134" s="39">
        <v>679</v>
      </c>
    </row>
    <row r="2135" spans="1:12" ht="19.95" customHeight="1" x14ac:dyDescent="0.3">
      <c r="A2135" s="6" t="s">
        <v>4417</v>
      </c>
      <c r="B2135" s="7" t="s">
        <v>4418</v>
      </c>
      <c r="C2135" s="6" t="s">
        <v>4976</v>
      </c>
      <c r="D2135" s="7" t="s">
        <v>5264</v>
      </c>
      <c r="E2135" s="6" t="s">
        <v>5265</v>
      </c>
      <c r="F2135" s="7" t="s">
        <v>4419</v>
      </c>
      <c r="G2135" s="7" t="s">
        <v>4367</v>
      </c>
      <c r="H2135" s="5" t="s">
        <v>205</v>
      </c>
      <c r="I2135" s="6" t="s">
        <v>206</v>
      </c>
      <c r="J2135" s="7" t="s">
        <v>11</v>
      </c>
      <c r="K2135" s="36">
        <v>0.1</v>
      </c>
      <c r="L2135" s="37">
        <v>679</v>
      </c>
    </row>
    <row r="2136" spans="1:12" ht="19.95" customHeight="1" x14ac:dyDescent="0.3">
      <c r="A2136" s="2" t="s">
        <v>4417</v>
      </c>
      <c r="B2136" s="3" t="s">
        <v>4418</v>
      </c>
      <c r="C2136" s="2" t="s">
        <v>4976</v>
      </c>
      <c r="D2136" s="3" t="s">
        <v>5266</v>
      </c>
      <c r="E2136" s="2" t="s">
        <v>5267</v>
      </c>
      <c r="F2136" s="3" t="s">
        <v>4419</v>
      </c>
      <c r="G2136" s="3" t="s">
        <v>4367</v>
      </c>
      <c r="H2136" s="1" t="s">
        <v>205</v>
      </c>
      <c r="I2136" s="2" t="s">
        <v>206</v>
      </c>
      <c r="J2136" s="3" t="s">
        <v>11</v>
      </c>
      <c r="K2136" s="38">
        <v>0.08</v>
      </c>
      <c r="L2136" s="39">
        <v>679</v>
      </c>
    </row>
    <row r="2137" spans="1:12" ht="19.95" customHeight="1" x14ac:dyDescent="0.3">
      <c r="A2137" s="6" t="s">
        <v>4417</v>
      </c>
      <c r="B2137" s="7" t="s">
        <v>4418</v>
      </c>
      <c r="C2137" s="6" t="s">
        <v>4976</v>
      </c>
      <c r="D2137" s="7" t="s">
        <v>5268</v>
      </c>
      <c r="E2137" s="6" t="s">
        <v>5269</v>
      </c>
      <c r="F2137" s="7" t="s">
        <v>4419</v>
      </c>
      <c r="G2137" s="7" t="s">
        <v>4367</v>
      </c>
      <c r="H2137" s="5" t="s">
        <v>205</v>
      </c>
      <c r="I2137" s="6" t="s">
        <v>206</v>
      </c>
      <c r="J2137" s="7" t="s">
        <v>11</v>
      </c>
      <c r="K2137" s="36">
        <v>0.25</v>
      </c>
      <c r="L2137" s="37">
        <v>679</v>
      </c>
    </row>
    <row r="2138" spans="1:12" ht="19.95" customHeight="1" x14ac:dyDescent="0.3">
      <c r="A2138" s="2" t="s">
        <v>4417</v>
      </c>
      <c r="B2138" s="3" t="s">
        <v>4418</v>
      </c>
      <c r="C2138" s="2" t="s">
        <v>4976</v>
      </c>
      <c r="D2138" s="3" t="s">
        <v>5270</v>
      </c>
      <c r="E2138" s="2" t="s">
        <v>5271</v>
      </c>
      <c r="F2138" s="3" t="s">
        <v>4419</v>
      </c>
      <c r="G2138" s="3" t="s">
        <v>4367</v>
      </c>
      <c r="H2138" s="1" t="s">
        <v>205</v>
      </c>
      <c r="I2138" s="2" t="s">
        <v>206</v>
      </c>
      <c r="J2138" s="3" t="s">
        <v>11</v>
      </c>
      <c r="K2138" s="38">
        <v>0.12</v>
      </c>
      <c r="L2138" s="39">
        <v>679</v>
      </c>
    </row>
    <row r="2139" spans="1:12" ht="19.95" customHeight="1" x14ac:dyDescent="0.3">
      <c r="A2139" s="6" t="s">
        <v>4417</v>
      </c>
      <c r="B2139" s="7" t="s">
        <v>4418</v>
      </c>
      <c r="C2139" s="6" t="s">
        <v>4976</v>
      </c>
      <c r="D2139" s="7" t="s">
        <v>5272</v>
      </c>
      <c r="E2139" s="6" t="s">
        <v>5273</v>
      </c>
      <c r="F2139" s="7" t="s">
        <v>4419</v>
      </c>
      <c r="G2139" s="7" t="s">
        <v>4367</v>
      </c>
      <c r="H2139" s="5" t="s">
        <v>205</v>
      </c>
      <c r="I2139" s="6" t="s">
        <v>206</v>
      </c>
      <c r="J2139" s="7" t="s">
        <v>11</v>
      </c>
      <c r="K2139" s="36">
        <v>0.12</v>
      </c>
      <c r="L2139" s="37">
        <v>679</v>
      </c>
    </row>
    <row r="2140" spans="1:12" ht="19.95" customHeight="1" x14ac:dyDescent="0.3">
      <c r="A2140" s="2" t="s">
        <v>4417</v>
      </c>
      <c r="B2140" s="3" t="s">
        <v>4418</v>
      </c>
      <c r="C2140" s="2" t="s">
        <v>4976</v>
      </c>
      <c r="D2140" s="3" t="s">
        <v>5274</v>
      </c>
      <c r="E2140" s="2" t="s">
        <v>4998</v>
      </c>
      <c r="F2140" s="3" t="s">
        <v>4419</v>
      </c>
      <c r="G2140" s="3" t="s">
        <v>4367</v>
      </c>
      <c r="H2140" s="1" t="s">
        <v>205</v>
      </c>
      <c r="I2140" s="2" t="s">
        <v>206</v>
      </c>
      <c r="J2140" s="3" t="s">
        <v>11</v>
      </c>
      <c r="K2140" s="38">
        <v>0.06</v>
      </c>
      <c r="L2140" s="39">
        <v>679</v>
      </c>
    </row>
    <row r="2141" spans="1:12" ht="19.95" customHeight="1" x14ac:dyDescent="0.3">
      <c r="A2141" s="6" t="s">
        <v>4417</v>
      </c>
      <c r="B2141" s="7" t="s">
        <v>4418</v>
      </c>
      <c r="C2141" s="6" t="s">
        <v>4976</v>
      </c>
      <c r="D2141" s="7" t="s">
        <v>5275</v>
      </c>
      <c r="E2141" s="6" t="s">
        <v>5000</v>
      </c>
      <c r="F2141" s="7" t="s">
        <v>4419</v>
      </c>
      <c r="G2141" s="7" t="s">
        <v>4367</v>
      </c>
      <c r="H2141" s="5" t="s">
        <v>205</v>
      </c>
      <c r="I2141" s="6" t="s">
        <v>206</v>
      </c>
      <c r="J2141" s="7" t="s">
        <v>11</v>
      </c>
      <c r="K2141" s="36">
        <v>0.06</v>
      </c>
      <c r="L2141" s="37">
        <v>679</v>
      </c>
    </row>
    <row r="2142" spans="1:12" ht="19.95" customHeight="1" x14ac:dyDescent="0.3">
      <c r="A2142" s="2" t="s">
        <v>4417</v>
      </c>
      <c r="B2142" s="3" t="s">
        <v>4418</v>
      </c>
      <c r="C2142" s="2" t="s">
        <v>4976</v>
      </c>
      <c r="D2142" s="3" t="s">
        <v>5276</v>
      </c>
      <c r="E2142" s="2" t="s">
        <v>5002</v>
      </c>
      <c r="F2142" s="3" t="s">
        <v>4419</v>
      </c>
      <c r="G2142" s="3" t="s">
        <v>4367</v>
      </c>
      <c r="H2142" s="1" t="s">
        <v>205</v>
      </c>
      <c r="I2142" s="2" t="s">
        <v>206</v>
      </c>
      <c r="J2142" s="3" t="s">
        <v>11</v>
      </c>
      <c r="K2142" s="38">
        <v>0.06</v>
      </c>
      <c r="L2142" s="39">
        <v>679</v>
      </c>
    </row>
    <row r="2143" spans="1:12" ht="19.95" customHeight="1" x14ac:dyDescent="0.3">
      <c r="A2143" s="6" t="s">
        <v>4417</v>
      </c>
      <c r="B2143" s="7" t="s">
        <v>4418</v>
      </c>
      <c r="C2143" s="6" t="s">
        <v>4976</v>
      </c>
      <c r="D2143" s="7" t="s">
        <v>5277</v>
      </c>
      <c r="E2143" s="6" t="s">
        <v>5238</v>
      </c>
      <c r="F2143" s="7" t="s">
        <v>4419</v>
      </c>
      <c r="G2143" s="7" t="s">
        <v>4367</v>
      </c>
      <c r="H2143" s="5" t="s">
        <v>205</v>
      </c>
      <c r="I2143" s="6" t="s">
        <v>206</v>
      </c>
      <c r="J2143" s="7" t="s">
        <v>11</v>
      </c>
      <c r="K2143" s="36">
        <v>0.08</v>
      </c>
      <c r="L2143" s="37">
        <v>679</v>
      </c>
    </row>
    <row r="2144" spans="1:12" ht="19.95" customHeight="1" x14ac:dyDescent="0.3">
      <c r="A2144" s="2" t="s">
        <v>4417</v>
      </c>
      <c r="B2144" s="3" t="s">
        <v>4418</v>
      </c>
      <c r="C2144" s="2" t="s">
        <v>4976</v>
      </c>
      <c r="D2144" s="3" t="s">
        <v>5278</v>
      </c>
      <c r="E2144" s="2" t="s">
        <v>5279</v>
      </c>
      <c r="F2144" s="3" t="s">
        <v>4419</v>
      </c>
      <c r="G2144" s="3" t="s">
        <v>4367</v>
      </c>
      <c r="H2144" s="1" t="s">
        <v>205</v>
      </c>
      <c r="I2144" s="2" t="s">
        <v>206</v>
      </c>
      <c r="J2144" s="3" t="s">
        <v>11</v>
      </c>
      <c r="K2144" s="38">
        <v>0.08</v>
      </c>
      <c r="L2144" s="39">
        <v>679</v>
      </c>
    </row>
    <row r="2145" spans="1:12" ht="19.95" customHeight="1" x14ac:dyDescent="0.3">
      <c r="A2145" s="6" t="s">
        <v>4417</v>
      </c>
      <c r="B2145" s="7" t="s">
        <v>4418</v>
      </c>
      <c r="C2145" s="6" t="s">
        <v>4976</v>
      </c>
      <c r="D2145" s="7" t="s">
        <v>5280</v>
      </c>
      <c r="E2145" s="6" t="s">
        <v>5281</v>
      </c>
      <c r="F2145" s="7" t="s">
        <v>4419</v>
      </c>
      <c r="G2145" s="7" t="s">
        <v>4367</v>
      </c>
      <c r="H2145" s="5" t="s">
        <v>205</v>
      </c>
      <c r="I2145" s="6" t="s">
        <v>206</v>
      </c>
      <c r="J2145" s="7" t="s">
        <v>11</v>
      </c>
      <c r="K2145" s="36">
        <v>0.08</v>
      </c>
      <c r="L2145" s="37">
        <v>679</v>
      </c>
    </row>
    <row r="2146" spans="1:12" ht="19.95" customHeight="1" x14ac:dyDescent="0.3">
      <c r="A2146" s="2" t="s">
        <v>4417</v>
      </c>
      <c r="B2146" s="3" t="s">
        <v>4418</v>
      </c>
      <c r="C2146" s="2" t="s">
        <v>4976</v>
      </c>
      <c r="D2146" s="3" t="s">
        <v>5282</v>
      </c>
      <c r="E2146" s="2" t="s">
        <v>5283</v>
      </c>
      <c r="F2146" s="3" t="s">
        <v>4419</v>
      </c>
      <c r="G2146" s="3" t="s">
        <v>4367</v>
      </c>
      <c r="H2146" s="1" t="s">
        <v>205</v>
      </c>
      <c r="I2146" s="2" t="s">
        <v>206</v>
      </c>
      <c r="J2146" s="3" t="s">
        <v>11</v>
      </c>
      <c r="K2146" s="38">
        <v>0.1</v>
      </c>
      <c r="L2146" s="39">
        <v>679</v>
      </c>
    </row>
    <row r="2147" spans="1:12" ht="19.95" customHeight="1" x14ac:dyDescent="0.3">
      <c r="A2147" s="6" t="s">
        <v>4417</v>
      </c>
      <c r="B2147" s="7" t="s">
        <v>4418</v>
      </c>
      <c r="C2147" s="6" t="s">
        <v>4976</v>
      </c>
      <c r="D2147" s="7" t="s">
        <v>5284</v>
      </c>
      <c r="E2147" s="6" t="s">
        <v>5285</v>
      </c>
      <c r="F2147" s="7" t="s">
        <v>4419</v>
      </c>
      <c r="G2147" s="7" t="s">
        <v>4367</v>
      </c>
      <c r="H2147" s="5" t="s">
        <v>205</v>
      </c>
      <c r="I2147" s="6" t="s">
        <v>206</v>
      </c>
      <c r="J2147" s="7" t="s">
        <v>11</v>
      </c>
      <c r="K2147" s="36">
        <v>0.1</v>
      </c>
      <c r="L2147" s="37">
        <v>679</v>
      </c>
    </row>
    <row r="2148" spans="1:12" ht="19.95" customHeight="1" x14ac:dyDescent="0.3">
      <c r="A2148" s="2" t="s">
        <v>4417</v>
      </c>
      <c r="B2148" s="3" t="s">
        <v>4418</v>
      </c>
      <c r="C2148" s="2" t="s">
        <v>4976</v>
      </c>
      <c r="D2148" s="3" t="s">
        <v>5286</v>
      </c>
      <c r="E2148" s="2" t="s">
        <v>5287</v>
      </c>
      <c r="F2148" s="3" t="s">
        <v>4419</v>
      </c>
      <c r="G2148" s="3" t="s">
        <v>4367</v>
      </c>
      <c r="H2148" s="1" t="s">
        <v>205</v>
      </c>
      <c r="I2148" s="2" t="s">
        <v>206</v>
      </c>
      <c r="J2148" s="3" t="s">
        <v>11</v>
      </c>
      <c r="K2148" s="38">
        <v>0.1</v>
      </c>
      <c r="L2148" s="39">
        <v>679</v>
      </c>
    </row>
    <row r="2149" spans="1:12" ht="19.95" customHeight="1" x14ac:dyDescent="0.3">
      <c r="A2149" s="6" t="s">
        <v>4417</v>
      </c>
      <c r="B2149" s="7" t="s">
        <v>4418</v>
      </c>
      <c r="C2149" s="6" t="s">
        <v>4976</v>
      </c>
      <c r="D2149" s="7" t="s">
        <v>5288</v>
      </c>
      <c r="E2149" s="6" t="s">
        <v>5289</v>
      </c>
      <c r="F2149" s="7" t="s">
        <v>4419</v>
      </c>
      <c r="G2149" s="7" t="s">
        <v>4367</v>
      </c>
      <c r="H2149" s="5" t="s">
        <v>205</v>
      </c>
      <c r="I2149" s="6" t="s">
        <v>206</v>
      </c>
      <c r="J2149" s="7" t="s">
        <v>11</v>
      </c>
      <c r="K2149" s="36">
        <v>0.1</v>
      </c>
      <c r="L2149" s="37">
        <v>679</v>
      </c>
    </row>
    <row r="2150" spans="1:12" ht="19.95" customHeight="1" x14ac:dyDescent="0.3">
      <c r="A2150" s="2" t="s">
        <v>4417</v>
      </c>
      <c r="B2150" s="3" t="s">
        <v>4418</v>
      </c>
      <c r="C2150" s="2" t="s">
        <v>4976</v>
      </c>
      <c r="D2150" s="3" t="s">
        <v>5290</v>
      </c>
      <c r="E2150" s="2" t="s">
        <v>5291</v>
      </c>
      <c r="F2150" s="3" t="s">
        <v>5060</v>
      </c>
      <c r="G2150" s="3" t="s">
        <v>4367</v>
      </c>
      <c r="H2150" s="1" t="s">
        <v>203</v>
      </c>
      <c r="I2150" s="2" t="s">
        <v>204</v>
      </c>
      <c r="J2150" s="3" t="s">
        <v>11</v>
      </c>
      <c r="K2150" s="38">
        <v>0.56999999999999995</v>
      </c>
      <c r="L2150" s="39">
        <v>738</v>
      </c>
    </row>
    <row r="2151" spans="1:12" ht="19.95" customHeight="1" x14ac:dyDescent="0.3">
      <c r="A2151" s="6" t="s">
        <v>4417</v>
      </c>
      <c r="B2151" s="7" t="s">
        <v>4418</v>
      </c>
      <c r="C2151" s="6" t="s">
        <v>4976</v>
      </c>
      <c r="D2151" s="7" t="s">
        <v>5292</v>
      </c>
      <c r="E2151" s="6" t="s">
        <v>5293</v>
      </c>
      <c r="F2151" s="7" t="s">
        <v>5294</v>
      </c>
      <c r="G2151" s="7" t="s">
        <v>4367</v>
      </c>
      <c r="H2151" s="5" t="s">
        <v>203</v>
      </c>
      <c r="I2151" s="6" t="s">
        <v>204</v>
      </c>
      <c r="J2151" s="7" t="s">
        <v>11</v>
      </c>
      <c r="K2151" s="36">
        <v>0.56999999999999995</v>
      </c>
      <c r="L2151" s="37">
        <v>738</v>
      </c>
    </row>
    <row r="2152" spans="1:12" ht="19.95" customHeight="1" x14ac:dyDescent="0.3">
      <c r="A2152" s="2" t="s">
        <v>4417</v>
      </c>
      <c r="B2152" s="3" t="s">
        <v>4418</v>
      </c>
      <c r="C2152" s="2" t="s">
        <v>4976</v>
      </c>
      <c r="D2152" s="3" t="s">
        <v>5295</v>
      </c>
      <c r="E2152" s="2" t="s">
        <v>5296</v>
      </c>
      <c r="F2152" s="3" t="s">
        <v>5060</v>
      </c>
      <c r="G2152" s="3" t="s">
        <v>4367</v>
      </c>
      <c r="H2152" s="1" t="s">
        <v>203</v>
      </c>
      <c r="I2152" s="2" t="s">
        <v>204</v>
      </c>
      <c r="J2152" s="3" t="s">
        <v>11</v>
      </c>
      <c r="K2152" s="38">
        <v>0.56999999999999995</v>
      </c>
      <c r="L2152" s="39">
        <v>738</v>
      </c>
    </row>
    <row r="2153" spans="1:12" ht="19.95" customHeight="1" x14ac:dyDescent="0.3">
      <c r="A2153" s="6" t="s">
        <v>4417</v>
      </c>
      <c r="B2153" s="7" t="s">
        <v>4418</v>
      </c>
      <c r="C2153" s="6" t="s">
        <v>4976</v>
      </c>
      <c r="D2153" s="7" t="s">
        <v>5295</v>
      </c>
      <c r="E2153" s="6" t="s">
        <v>5296</v>
      </c>
      <c r="F2153" s="7" t="s">
        <v>5297</v>
      </c>
      <c r="G2153" s="7" t="s">
        <v>4367</v>
      </c>
      <c r="H2153" s="5" t="s">
        <v>203</v>
      </c>
      <c r="I2153" s="6" t="s">
        <v>204</v>
      </c>
      <c r="J2153" s="7" t="s">
        <v>11</v>
      </c>
      <c r="K2153" s="36">
        <v>0.56999999999999995</v>
      </c>
      <c r="L2153" s="37">
        <v>738</v>
      </c>
    </row>
    <row r="2154" spans="1:12" ht="19.95" customHeight="1" x14ac:dyDescent="0.3">
      <c r="A2154" s="2" t="s">
        <v>4417</v>
      </c>
      <c r="B2154" s="3" t="s">
        <v>4418</v>
      </c>
      <c r="C2154" s="2" t="s">
        <v>4976</v>
      </c>
      <c r="D2154" s="3" t="s">
        <v>5298</v>
      </c>
      <c r="E2154" s="2" t="s">
        <v>5299</v>
      </c>
      <c r="F2154" s="3" t="s">
        <v>5060</v>
      </c>
      <c r="G2154" s="3" t="s">
        <v>4367</v>
      </c>
      <c r="H2154" s="1" t="s">
        <v>203</v>
      </c>
      <c r="I2154" s="2" t="s">
        <v>204</v>
      </c>
      <c r="J2154" s="3" t="s">
        <v>11</v>
      </c>
      <c r="K2154" s="38">
        <v>0.56999999999999995</v>
      </c>
      <c r="L2154" s="39">
        <v>738</v>
      </c>
    </row>
    <row r="2155" spans="1:12" ht="19.95" customHeight="1" x14ac:dyDescent="0.3">
      <c r="A2155" s="6" t="s">
        <v>4417</v>
      </c>
      <c r="B2155" s="7" t="s">
        <v>4418</v>
      </c>
      <c r="C2155" s="6" t="s">
        <v>4976</v>
      </c>
      <c r="D2155" s="7" t="s">
        <v>5300</v>
      </c>
      <c r="E2155" s="6" t="s">
        <v>5301</v>
      </c>
      <c r="F2155" s="7" t="s">
        <v>5060</v>
      </c>
      <c r="G2155" s="7" t="s">
        <v>4367</v>
      </c>
      <c r="H2155" s="5" t="s">
        <v>203</v>
      </c>
      <c r="I2155" s="6" t="s">
        <v>204</v>
      </c>
      <c r="J2155" s="7" t="s">
        <v>11</v>
      </c>
      <c r="K2155" s="36">
        <v>0.56999999999999995</v>
      </c>
      <c r="L2155" s="37">
        <v>738</v>
      </c>
    </row>
    <row r="2156" spans="1:12" ht="19.95" customHeight="1" x14ac:dyDescent="0.3">
      <c r="A2156" s="2" t="s">
        <v>4417</v>
      </c>
      <c r="B2156" s="3" t="s">
        <v>4418</v>
      </c>
      <c r="C2156" s="2" t="s">
        <v>4976</v>
      </c>
      <c r="D2156" s="3" t="s">
        <v>5300</v>
      </c>
      <c r="E2156" s="2" t="s">
        <v>5301</v>
      </c>
      <c r="F2156" s="3" t="s">
        <v>5060</v>
      </c>
      <c r="G2156" s="3" t="s">
        <v>4367</v>
      </c>
      <c r="H2156" s="1" t="s">
        <v>203</v>
      </c>
      <c r="I2156" s="2" t="s">
        <v>204</v>
      </c>
      <c r="J2156" s="3" t="s">
        <v>11</v>
      </c>
      <c r="K2156" s="38">
        <v>0.56999999999999995</v>
      </c>
      <c r="L2156" s="39">
        <v>738</v>
      </c>
    </row>
    <row r="2157" spans="1:12" ht="19.95" customHeight="1" x14ac:dyDescent="0.3">
      <c r="A2157" s="6" t="s">
        <v>4417</v>
      </c>
      <c r="B2157" s="7" t="s">
        <v>4418</v>
      </c>
      <c r="C2157" s="6" t="s">
        <v>4976</v>
      </c>
      <c r="D2157" s="7" t="s">
        <v>5300</v>
      </c>
      <c r="E2157" s="6" t="s">
        <v>5301</v>
      </c>
      <c r="F2157" s="7" t="s">
        <v>5060</v>
      </c>
      <c r="G2157" s="7" t="s">
        <v>4367</v>
      </c>
      <c r="H2157" s="5" t="s">
        <v>203</v>
      </c>
      <c r="I2157" s="6" t="s">
        <v>204</v>
      </c>
      <c r="J2157" s="7" t="s">
        <v>11</v>
      </c>
      <c r="K2157" s="36">
        <v>0.56999999999999995</v>
      </c>
      <c r="L2157" s="37">
        <v>738</v>
      </c>
    </row>
    <row r="2158" spans="1:12" ht="19.95" customHeight="1" x14ac:dyDescent="0.3">
      <c r="A2158" s="2" t="s">
        <v>4417</v>
      </c>
      <c r="B2158" s="3" t="s">
        <v>4418</v>
      </c>
      <c r="C2158" s="2" t="s">
        <v>4976</v>
      </c>
      <c r="D2158" s="3" t="s">
        <v>5300</v>
      </c>
      <c r="E2158" s="2" t="s">
        <v>5301</v>
      </c>
      <c r="F2158" s="3" t="s">
        <v>5060</v>
      </c>
      <c r="G2158" s="3" t="s">
        <v>4367</v>
      </c>
      <c r="H2158" s="1" t="s">
        <v>203</v>
      </c>
      <c r="I2158" s="2" t="s">
        <v>204</v>
      </c>
      <c r="J2158" s="3" t="s">
        <v>11</v>
      </c>
      <c r="K2158" s="38">
        <v>0.56999999999999995</v>
      </c>
      <c r="L2158" s="39">
        <v>738</v>
      </c>
    </row>
    <row r="2159" spans="1:12" ht="19.95" customHeight="1" x14ac:dyDescent="0.3">
      <c r="A2159" s="6" t="s">
        <v>4417</v>
      </c>
      <c r="B2159" s="7" t="s">
        <v>4418</v>
      </c>
      <c r="C2159" s="6" t="s">
        <v>4976</v>
      </c>
      <c r="D2159" s="7" t="s">
        <v>5302</v>
      </c>
      <c r="E2159" s="6" t="s">
        <v>5303</v>
      </c>
      <c r="F2159" s="7" t="s">
        <v>4421</v>
      </c>
      <c r="G2159" s="7" t="s">
        <v>4367</v>
      </c>
      <c r="H2159" s="5" t="s">
        <v>203</v>
      </c>
      <c r="I2159" s="6" t="s">
        <v>204</v>
      </c>
      <c r="J2159" s="7" t="s">
        <v>11</v>
      </c>
      <c r="K2159" s="36">
        <v>0.56999999999999995</v>
      </c>
      <c r="L2159" s="37">
        <v>738</v>
      </c>
    </row>
    <row r="2160" spans="1:12" ht="19.95" customHeight="1" x14ac:dyDescent="0.3">
      <c r="A2160" s="2" t="s">
        <v>4417</v>
      </c>
      <c r="B2160" s="3" t="s">
        <v>4418</v>
      </c>
      <c r="C2160" s="2" t="s">
        <v>4976</v>
      </c>
      <c r="D2160" s="3" t="s">
        <v>5304</v>
      </c>
      <c r="E2160" s="2" t="s">
        <v>5305</v>
      </c>
      <c r="F2160" s="3" t="s">
        <v>4421</v>
      </c>
      <c r="G2160" s="3" t="s">
        <v>4367</v>
      </c>
      <c r="H2160" s="1" t="s">
        <v>257</v>
      </c>
      <c r="I2160" s="2" t="s">
        <v>258</v>
      </c>
      <c r="J2160" s="3" t="s">
        <v>11</v>
      </c>
      <c r="K2160" s="38">
        <v>0.56999999999999995</v>
      </c>
      <c r="L2160" s="39">
        <v>709</v>
      </c>
    </row>
    <row r="2161" spans="1:12" ht="19.95" customHeight="1" x14ac:dyDescent="0.3">
      <c r="A2161" s="6" t="s">
        <v>4417</v>
      </c>
      <c r="B2161" s="7" t="s">
        <v>4418</v>
      </c>
      <c r="C2161" s="6" t="s">
        <v>4976</v>
      </c>
      <c r="D2161" s="7" t="s">
        <v>5304</v>
      </c>
      <c r="E2161" s="6" t="s">
        <v>5305</v>
      </c>
      <c r="F2161" s="7" t="s">
        <v>4421</v>
      </c>
      <c r="G2161" s="7" t="s">
        <v>4367</v>
      </c>
      <c r="H2161" s="5" t="s">
        <v>217</v>
      </c>
      <c r="I2161" s="6" t="s">
        <v>218</v>
      </c>
      <c r="J2161" s="7" t="s">
        <v>11</v>
      </c>
      <c r="K2161" s="36">
        <v>0.15</v>
      </c>
      <c r="L2161" s="37">
        <v>679</v>
      </c>
    </row>
    <row r="2162" spans="1:12" ht="19.95" customHeight="1" x14ac:dyDescent="0.3">
      <c r="A2162" s="2" t="s">
        <v>4417</v>
      </c>
      <c r="B2162" s="3" t="s">
        <v>4418</v>
      </c>
      <c r="C2162" s="2" t="s">
        <v>4976</v>
      </c>
      <c r="D2162" s="3" t="s">
        <v>5304</v>
      </c>
      <c r="E2162" s="2" t="s">
        <v>5305</v>
      </c>
      <c r="F2162" s="3" t="s">
        <v>4421</v>
      </c>
      <c r="G2162" s="3" t="s">
        <v>4367</v>
      </c>
      <c r="H2162" s="1" t="s">
        <v>209</v>
      </c>
      <c r="I2162" s="2" t="s">
        <v>210</v>
      </c>
      <c r="J2162" s="3" t="s">
        <v>11</v>
      </c>
      <c r="K2162" s="38">
        <v>0.15</v>
      </c>
      <c r="L2162" s="39">
        <v>558</v>
      </c>
    </row>
    <row r="2163" spans="1:12" ht="19.95" customHeight="1" x14ac:dyDescent="0.3">
      <c r="A2163" s="6" t="s">
        <v>4417</v>
      </c>
      <c r="B2163" s="7" t="s">
        <v>4418</v>
      </c>
      <c r="C2163" s="6" t="s">
        <v>4976</v>
      </c>
      <c r="D2163" s="7" t="s">
        <v>5304</v>
      </c>
      <c r="E2163" s="6" t="s">
        <v>5305</v>
      </c>
      <c r="F2163" s="7" t="s">
        <v>4421</v>
      </c>
      <c r="G2163" s="7" t="s">
        <v>4367</v>
      </c>
      <c r="H2163" s="5" t="s">
        <v>257</v>
      </c>
      <c r="I2163" s="6" t="s">
        <v>258</v>
      </c>
      <c r="J2163" s="7" t="s">
        <v>11</v>
      </c>
      <c r="K2163" s="36">
        <v>0.56999999999999995</v>
      </c>
      <c r="L2163" s="37">
        <v>709</v>
      </c>
    </row>
    <row r="2164" spans="1:12" ht="19.95" customHeight="1" x14ac:dyDescent="0.3">
      <c r="A2164" s="2" t="s">
        <v>4417</v>
      </c>
      <c r="B2164" s="3" t="s">
        <v>4418</v>
      </c>
      <c r="C2164" s="2" t="s">
        <v>4976</v>
      </c>
      <c r="D2164" s="3" t="s">
        <v>5304</v>
      </c>
      <c r="E2164" s="2" t="s">
        <v>5305</v>
      </c>
      <c r="F2164" s="3" t="s">
        <v>4421</v>
      </c>
      <c r="G2164" s="3" t="s">
        <v>4367</v>
      </c>
      <c r="H2164" s="1" t="s">
        <v>217</v>
      </c>
      <c r="I2164" s="2" t="s">
        <v>218</v>
      </c>
      <c r="J2164" s="3" t="s">
        <v>11</v>
      </c>
      <c r="K2164" s="38">
        <v>0.15</v>
      </c>
      <c r="L2164" s="39">
        <v>679</v>
      </c>
    </row>
    <row r="2165" spans="1:12" ht="19.95" customHeight="1" x14ac:dyDescent="0.3">
      <c r="A2165" s="6" t="s">
        <v>4417</v>
      </c>
      <c r="B2165" s="7" t="s">
        <v>4418</v>
      </c>
      <c r="C2165" s="6" t="s">
        <v>4976</v>
      </c>
      <c r="D2165" s="7" t="s">
        <v>5304</v>
      </c>
      <c r="E2165" s="6" t="s">
        <v>5305</v>
      </c>
      <c r="F2165" s="7" t="s">
        <v>4421</v>
      </c>
      <c r="G2165" s="7" t="s">
        <v>4367</v>
      </c>
      <c r="H2165" s="5" t="s">
        <v>209</v>
      </c>
      <c r="I2165" s="6" t="s">
        <v>210</v>
      </c>
      <c r="J2165" s="7" t="s">
        <v>11</v>
      </c>
      <c r="K2165" s="36">
        <v>0.15</v>
      </c>
      <c r="L2165" s="37">
        <v>558</v>
      </c>
    </row>
    <row r="2166" spans="1:12" ht="19.95" customHeight="1" x14ac:dyDescent="0.3">
      <c r="A2166" s="2" t="s">
        <v>4417</v>
      </c>
      <c r="B2166" s="3" t="s">
        <v>4418</v>
      </c>
      <c r="C2166" s="2" t="s">
        <v>4976</v>
      </c>
      <c r="D2166" s="3" t="s">
        <v>5306</v>
      </c>
      <c r="E2166" s="2" t="s">
        <v>5307</v>
      </c>
      <c r="F2166" s="3" t="s">
        <v>4421</v>
      </c>
      <c r="G2166" s="3" t="s">
        <v>4367</v>
      </c>
      <c r="H2166" s="1" t="s">
        <v>205</v>
      </c>
      <c r="I2166" s="2" t="s">
        <v>206</v>
      </c>
      <c r="J2166" s="3" t="s">
        <v>11</v>
      </c>
      <c r="K2166" s="38">
        <v>0.56999999999999995</v>
      </c>
      <c r="L2166" s="39">
        <v>679</v>
      </c>
    </row>
    <row r="2167" spans="1:12" ht="19.95" customHeight="1" x14ac:dyDescent="0.3">
      <c r="A2167" s="6" t="s">
        <v>4417</v>
      </c>
      <c r="B2167" s="7" t="s">
        <v>4418</v>
      </c>
      <c r="C2167" s="6" t="s">
        <v>4976</v>
      </c>
      <c r="D2167" s="7" t="s">
        <v>5308</v>
      </c>
      <c r="E2167" s="6" t="s">
        <v>5309</v>
      </c>
      <c r="F2167" s="7" t="s">
        <v>4419</v>
      </c>
      <c r="G2167" s="7" t="s">
        <v>4367</v>
      </c>
      <c r="H2167" s="5" t="s">
        <v>205</v>
      </c>
      <c r="I2167" s="6" t="s">
        <v>206</v>
      </c>
      <c r="J2167" s="7" t="s">
        <v>11</v>
      </c>
      <c r="K2167" s="36">
        <v>0.14000000000000001</v>
      </c>
      <c r="L2167" s="37">
        <v>679</v>
      </c>
    </row>
    <row r="2168" spans="1:12" ht="19.95" customHeight="1" x14ac:dyDescent="0.3">
      <c r="A2168" s="2" t="s">
        <v>4417</v>
      </c>
      <c r="B2168" s="3" t="s">
        <v>4418</v>
      </c>
      <c r="C2168" s="2" t="s">
        <v>4976</v>
      </c>
      <c r="D2168" s="3" t="s">
        <v>5308</v>
      </c>
      <c r="E2168" s="2" t="s">
        <v>5309</v>
      </c>
      <c r="F2168" s="3" t="s">
        <v>4419</v>
      </c>
      <c r="G2168" s="3" t="s">
        <v>4367</v>
      </c>
      <c r="H2168" s="1" t="s">
        <v>209</v>
      </c>
      <c r="I2168" s="2" t="s">
        <v>210</v>
      </c>
      <c r="J2168" s="3" t="s">
        <v>11</v>
      </c>
      <c r="K2168" s="38">
        <v>0.09</v>
      </c>
      <c r="L2168" s="39">
        <v>558</v>
      </c>
    </row>
    <row r="2169" spans="1:12" ht="19.95" customHeight="1" x14ac:dyDescent="0.3">
      <c r="A2169" s="6" t="s">
        <v>4417</v>
      </c>
      <c r="B2169" s="7" t="s">
        <v>4418</v>
      </c>
      <c r="C2169" s="6" t="s">
        <v>4976</v>
      </c>
      <c r="D2169" s="7" t="s">
        <v>5310</v>
      </c>
      <c r="E2169" s="6" t="s">
        <v>5311</v>
      </c>
      <c r="F2169" s="7" t="s">
        <v>4419</v>
      </c>
      <c r="G2169" s="7" t="s">
        <v>4367</v>
      </c>
      <c r="H2169" s="5" t="s">
        <v>205</v>
      </c>
      <c r="I2169" s="6" t="s">
        <v>206</v>
      </c>
      <c r="J2169" s="7" t="s">
        <v>11</v>
      </c>
      <c r="K2169" s="36">
        <v>0.14000000000000001</v>
      </c>
      <c r="L2169" s="37">
        <v>679</v>
      </c>
    </row>
    <row r="2170" spans="1:12" ht="19.95" customHeight="1" x14ac:dyDescent="0.3">
      <c r="A2170" s="2" t="s">
        <v>4417</v>
      </c>
      <c r="B2170" s="3" t="s">
        <v>4418</v>
      </c>
      <c r="C2170" s="2" t="s">
        <v>4976</v>
      </c>
      <c r="D2170" s="3" t="s">
        <v>5310</v>
      </c>
      <c r="E2170" s="2" t="s">
        <v>5311</v>
      </c>
      <c r="F2170" s="3" t="s">
        <v>4419</v>
      </c>
      <c r="G2170" s="3" t="s">
        <v>4367</v>
      </c>
      <c r="H2170" s="1" t="s">
        <v>209</v>
      </c>
      <c r="I2170" s="2" t="s">
        <v>210</v>
      </c>
      <c r="J2170" s="3" t="s">
        <v>11</v>
      </c>
      <c r="K2170" s="38">
        <v>0.09</v>
      </c>
      <c r="L2170" s="39">
        <v>558</v>
      </c>
    </row>
    <row r="2171" spans="1:12" ht="19.95" customHeight="1" x14ac:dyDescent="0.3">
      <c r="A2171" s="6" t="s">
        <v>4417</v>
      </c>
      <c r="B2171" s="7" t="s">
        <v>4418</v>
      </c>
      <c r="C2171" s="6" t="s">
        <v>4976</v>
      </c>
      <c r="D2171" s="7" t="s">
        <v>5312</v>
      </c>
      <c r="E2171" s="6" t="s">
        <v>5313</v>
      </c>
      <c r="F2171" s="7" t="s">
        <v>4419</v>
      </c>
      <c r="G2171" s="7" t="s">
        <v>4367</v>
      </c>
      <c r="H2171" s="5" t="s">
        <v>205</v>
      </c>
      <c r="I2171" s="6" t="s">
        <v>206</v>
      </c>
      <c r="J2171" s="7" t="s">
        <v>11</v>
      </c>
      <c r="K2171" s="36">
        <v>0.14000000000000001</v>
      </c>
      <c r="L2171" s="37">
        <v>679</v>
      </c>
    </row>
    <row r="2172" spans="1:12" ht="19.95" customHeight="1" x14ac:dyDescent="0.3">
      <c r="A2172" s="2" t="s">
        <v>4417</v>
      </c>
      <c r="B2172" s="3" t="s">
        <v>4418</v>
      </c>
      <c r="C2172" s="2" t="s">
        <v>4976</v>
      </c>
      <c r="D2172" s="3" t="s">
        <v>5312</v>
      </c>
      <c r="E2172" s="2" t="s">
        <v>5313</v>
      </c>
      <c r="F2172" s="3" t="s">
        <v>4419</v>
      </c>
      <c r="G2172" s="3" t="s">
        <v>4367</v>
      </c>
      <c r="H2172" s="1" t="s">
        <v>209</v>
      </c>
      <c r="I2172" s="2" t="s">
        <v>210</v>
      </c>
      <c r="J2172" s="3" t="s">
        <v>11</v>
      </c>
      <c r="K2172" s="38">
        <v>0.09</v>
      </c>
      <c r="L2172" s="39">
        <v>558</v>
      </c>
    </row>
    <row r="2173" spans="1:12" ht="19.95" customHeight="1" x14ac:dyDescent="0.3">
      <c r="A2173" s="6" t="s">
        <v>4417</v>
      </c>
      <c r="B2173" s="7" t="s">
        <v>4418</v>
      </c>
      <c r="C2173" s="6" t="s">
        <v>4976</v>
      </c>
      <c r="D2173" s="7" t="s">
        <v>5314</v>
      </c>
      <c r="E2173" s="6" t="s">
        <v>5228</v>
      </c>
      <c r="F2173" s="7" t="s">
        <v>4419</v>
      </c>
      <c r="G2173" s="7" t="s">
        <v>4367</v>
      </c>
      <c r="H2173" s="5" t="s">
        <v>205</v>
      </c>
      <c r="I2173" s="6" t="s">
        <v>206</v>
      </c>
      <c r="J2173" s="7" t="s">
        <v>11</v>
      </c>
      <c r="K2173" s="36">
        <v>0.08</v>
      </c>
      <c r="L2173" s="37">
        <v>679</v>
      </c>
    </row>
    <row r="2174" spans="1:12" ht="19.95" customHeight="1" x14ac:dyDescent="0.3">
      <c r="A2174" s="2" t="s">
        <v>4417</v>
      </c>
      <c r="B2174" s="3" t="s">
        <v>4418</v>
      </c>
      <c r="C2174" s="2" t="s">
        <v>4976</v>
      </c>
      <c r="D2174" s="3" t="s">
        <v>5315</v>
      </c>
      <c r="E2174" s="2" t="s">
        <v>5316</v>
      </c>
      <c r="F2174" s="3" t="s">
        <v>4419</v>
      </c>
      <c r="G2174" s="3" t="s">
        <v>4367</v>
      </c>
      <c r="H2174" s="1" t="s">
        <v>205</v>
      </c>
      <c r="I2174" s="2" t="s">
        <v>206</v>
      </c>
      <c r="J2174" s="3" t="s">
        <v>11</v>
      </c>
      <c r="K2174" s="38">
        <v>0.14000000000000001</v>
      </c>
      <c r="L2174" s="39">
        <v>679</v>
      </c>
    </row>
    <row r="2175" spans="1:12" ht="19.95" customHeight="1" x14ac:dyDescent="0.3">
      <c r="A2175" s="6" t="s">
        <v>4417</v>
      </c>
      <c r="B2175" s="7" t="s">
        <v>4418</v>
      </c>
      <c r="C2175" s="6" t="s">
        <v>4976</v>
      </c>
      <c r="D2175" s="7" t="s">
        <v>5315</v>
      </c>
      <c r="E2175" s="6" t="s">
        <v>5316</v>
      </c>
      <c r="F2175" s="7" t="s">
        <v>4419</v>
      </c>
      <c r="G2175" s="7" t="s">
        <v>4367</v>
      </c>
      <c r="H2175" s="5" t="s">
        <v>209</v>
      </c>
      <c r="I2175" s="6" t="s">
        <v>210</v>
      </c>
      <c r="J2175" s="7" t="s">
        <v>11</v>
      </c>
      <c r="K2175" s="36">
        <v>0.09</v>
      </c>
      <c r="L2175" s="37">
        <v>558</v>
      </c>
    </row>
    <row r="2176" spans="1:12" ht="19.95" customHeight="1" x14ac:dyDescent="0.3">
      <c r="A2176" s="2" t="s">
        <v>4417</v>
      </c>
      <c r="B2176" s="3" t="s">
        <v>4418</v>
      </c>
      <c r="C2176" s="2" t="s">
        <v>4976</v>
      </c>
      <c r="D2176" s="3" t="s">
        <v>5317</v>
      </c>
      <c r="E2176" s="2" t="s">
        <v>5318</v>
      </c>
      <c r="F2176" s="3" t="s">
        <v>4419</v>
      </c>
      <c r="G2176" s="3" t="s">
        <v>4367</v>
      </c>
      <c r="H2176" s="1" t="s">
        <v>205</v>
      </c>
      <c r="I2176" s="2" t="s">
        <v>206</v>
      </c>
      <c r="J2176" s="3" t="s">
        <v>11</v>
      </c>
      <c r="K2176" s="38">
        <v>0.14000000000000001</v>
      </c>
      <c r="L2176" s="39">
        <v>679</v>
      </c>
    </row>
    <row r="2177" spans="1:12" ht="19.95" customHeight="1" x14ac:dyDescent="0.3">
      <c r="A2177" s="6" t="s">
        <v>4417</v>
      </c>
      <c r="B2177" s="7" t="s">
        <v>4418</v>
      </c>
      <c r="C2177" s="6" t="s">
        <v>4976</v>
      </c>
      <c r="D2177" s="7" t="s">
        <v>5317</v>
      </c>
      <c r="E2177" s="6" t="s">
        <v>5318</v>
      </c>
      <c r="F2177" s="7" t="s">
        <v>4419</v>
      </c>
      <c r="G2177" s="7" t="s">
        <v>4367</v>
      </c>
      <c r="H2177" s="5" t="s">
        <v>209</v>
      </c>
      <c r="I2177" s="6" t="s">
        <v>210</v>
      </c>
      <c r="J2177" s="7" t="s">
        <v>11</v>
      </c>
      <c r="K2177" s="36">
        <v>0.09</v>
      </c>
      <c r="L2177" s="37">
        <v>558</v>
      </c>
    </row>
    <row r="2178" spans="1:12" ht="19.95" customHeight="1" x14ac:dyDescent="0.3">
      <c r="A2178" s="2" t="s">
        <v>4417</v>
      </c>
      <c r="B2178" s="3" t="s">
        <v>4418</v>
      </c>
      <c r="C2178" s="2" t="s">
        <v>4976</v>
      </c>
      <c r="D2178" s="3" t="s">
        <v>5319</v>
      </c>
      <c r="E2178" s="2" t="s">
        <v>5320</v>
      </c>
      <c r="F2178" s="3" t="s">
        <v>4419</v>
      </c>
      <c r="G2178" s="3" t="s">
        <v>4367</v>
      </c>
      <c r="H2178" s="1" t="s">
        <v>205</v>
      </c>
      <c r="I2178" s="2" t="s">
        <v>206</v>
      </c>
      <c r="J2178" s="3" t="s">
        <v>11</v>
      </c>
      <c r="K2178" s="38">
        <v>0.14000000000000001</v>
      </c>
      <c r="L2178" s="39">
        <v>679</v>
      </c>
    </row>
    <row r="2179" spans="1:12" ht="19.95" customHeight="1" x14ac:dyDescent="0.3">
      <c r="A2179" s="6" t="s">
        <v>4417</v>
      </c>
      <c r="B2179" s="7" t="s">
        <v>4418</v>
      </c>
      <c r="C2179" s="6" t="s">
        <v>4976</v>
      </c>
      <c r="D2179" s="7" t="s">
        <v>5319</v>
      </c>
      <c r="E2179" s="6" t="s">
        <v>5320</v>
      </c>
      <c r="F2179" s="7" t="s">
        <v>4419</v>
      </c>
      <c r="G2179" s="7" t="s">
        <v>4367</v>
      </c>
      <c r="H2179" s="5" t="s">
        <v>209</v>
      </c>
      <c r="I2179" s="6" t="s">
        <v>210</v>
      </c>
      <c r="J2179" s="7" t="s">
        <v>11</v>
      </c>
      <c r="K2179" s="36">
        <v>0.09</v>
      </c>
      <c r="L2179" s="37">
        <v>558</v>
      </c>
    </row>
    <row r="2180" spans="1:12" ht="19.95" customHeight="1" x14ac:dyDescent="0.3">
      <c r="A2180" s="2" t="s">
        <v>4417</v>
      </c>
      <c r="B2180" s="3" t="s">
        <v>4418</v>
      </c>
      <c r="C2180" s="2" t="s">
        <v>4976</v>
      </c>
      <c r="D2180" s="3" t="s">
        <v>5321</v>
      </c>
      <c r="E2180" s="2" t="s">
        <v>5322</v>
      </c>
      <c r="F2180" s="3" t="s">
        <v>4419</v>
      </c>
      <c r="G2180" s="3" t="s">
        <v>4367</v>
      </c>
      <c r="H2180" s="1" t="s">
        <v>203</v>
      </c>
      <c r="I2180" s="2" t="s">
        <v>204</v>
      </c>
      <c r="J2180" s="3" t="s">
        <v>11</v>
      </c>
      <c r="K2180" s="38">
        <v>0.14000000000000001</v>
      </c>
      <c r="L2180" s="39">
        <v>738</v>
      </c>
    </row>
    <row r="2181" spans="1:12" ht="19.95" customHeight="1" x14ac:dyDescent="0.3">
      <c r="A2181" s="6" t="s">
        <v>4417</v>
      </c>
      <c r="B2181" s="7" t="s">
        <v>4418</v>
      </c>
      <c r="C2181" s="6" t="s">
        <v>4976</v>
      </c>
      <c r="D2181" s="7" t="s">
        <v>5321</v>
      </c>
      <c r="E2181" s="6" t="s">
        <v>5322</v>
      </c>
      <c r="F2181" s="7" t="s">
        <v>4419</v>
      </c>
      <c r="G2181" s="7" t="s">
        <v>4367</v>
      </c>
      <c r="H2181" s="5" t="s">
        <v>209</v>
      </c>
      <c r="I2181" s="6" t="s">
        <v>210</v>
      </c>
      <c r="J2181" s="7" t="s">
        <v>11</v>
      </c>
      <c r="K2181" s="36">
        <v>0.1</v>
      </c>
      <c r="L2181" s="37">
        <v>558</v>
      </c>
    </row>
    <row r="2182" spans="1:12" ht="19.95" customHeight="1" x14ac:dyDescent="0.3">
      <c r="A2182" s="2" t="s">
        <v>4417</v>
      </c>
      <c r="B2182" s="3" t="s">
        <v>4418</v>
      </c>
      <c r="C2182" s="2" t="s">
        <v>4976</v>
      </c>
      <c r="D2182" s="3" t="s">
        <v>5323</v>
      </c>
      <c r="E2182" s="2" t="s">
        <v>5324</v>
      </c>
      <c r="F2182" s="3" t="s">
        <v>4419</v>
      </c>
      <c r="G2182" s="3" t="s">
        <v>4367</v>
      </c>
      <c r="H2182" s="1" t="s">
        <v>203</v>
      </c>
      <c r="I2182" s="2" t="s">
        <v>204</v>
      </c>
      <c r="J2182" s="3" t="s">
        <v>11</v>
      </c>
      <c r="K2182" s="38">
        <v>0.14000000000000001</v>
      </c>
      <c r="L2182" s="39">
        <v>738</v>
      </c>
    </row>
    <row r="2183" spans="1:12" ht="19.95" customHeight="1" x14ac:dyDescent="0.3">
      <c r="A2183" s="6" t="s">
        <v>4417</v>
      </c>
      <c r="B2183" s="7" t="s">
        <v>4418</v>
      </c>
      <c r="C2183" s="6" t="s">
        <v>4976</v>
      </c>
      <c r="D2183" s="7" t="s">
        <v>5323</v>
      </c>
      <c r="E2183" s="6" t="s">
        <v>5324</v>
      </c>
      <c r="F2183" s="7" t="s">
        <v>4419</v>
      </c>
      <c r="G2183" s="7" t="s">
        <v>4367</v>
      </c>
      <c r="H2183" s="5" t="s">
        <v>209</v>
      </c>
      <c r="I2183" s="6" t="s">
        <v>210</v>
      </c>
      <c r="J2183" s="7" t="s">
        <v>11</v>
      </c>
      <c r="K2183" s="36">
        <v>0.1</v>
      </c>
      <c r="L2183" s="37">
        <v>558</v>
      </c>
    </row>
    <row r="2184" spans="1:12" ht="19.95" customHeight="1" x14ac:dyDescent="0.3">
      <c r="A2184" s="2" t="s">
        <v>4417</v>
      </c>
      <c r="B2184" s="3" t="s">
        <v>4418</v>
      </c>
      <c r="C2184" s="2" t="s">
        <v>4976</v>
      </c>
      <c r="D2184" s="3" t="s">
        <v>5325</v>
      </c>
      <c r="E2184" s="2" t="s">
        <v>5326</v>
      </c>
      <c r="F2184" s="3" t="s">
        <v>4419</v>
      </c>
      <c r="G2184" s="3" t="s">
        <v>4367</v>
      </c>
      <c r="H2184" s="1" t="s">
        <v>203</v>
      </c>
      <c r="I2184" s="2" t="s">
        <v>204</v>
      </c>
      <c r="J2184" s="3" t="s">
        <v>11</v>
      </c>
      <c r="K2184" s="38">
        <v>0.14000000000000001</v>
      </c>
      <c r="L2184" s="39">
        <v>738</v>
      </c>
    </row>
    <row r="2185" spans="1:12" ht="19.95" customHeight="1" x14ac:dyDescent="0.3">
      <c r="A2185" s="6" t="s">
        <v>4417</v>
      </c>
      <c r="B2185" s="7" t="s">
        <v>4418</v>
      </c>
      <c r="C2185" s="6" t="s">
        <v>4976</v>
      </c>
      <c r="D2185" s="7" t="s">
        <v>5325</v>
      </c>
      <c r="E2185" s="6" t="s">
        <v>5326</v>
      </c>
      <c r="F2185" s="7" t="s">
        <v>4419</v>
      </c>
      <c r="G2185" s="7" t="s">
        <v>4367</v>
      </c>
      <c r="H2185" s="5" t="s">
        <v>209</v>
      </c>
      <c r="I2185" s="6" t="s">
        <v>210</v>
      </c>
      <c r="J2185" s="7" t="s">
        <v>11</v>
      </c>
      <c r="K2185" s="36">
        <v>0.1</v>
      </c>
      <c r="L2185" s="37">
        <v>558</v>
      </c>
    </row>
    <row r="2186" spans="1:12" ht="19.95" customHeight="1" x14ac:dyDescent="0.3">
      <c r="A2186" s="2" t="s">
        <v>4417</v>
      </c>
      <c r="B2186" s="3" t="s">
        <v>4418</v>
      </c>
      <c r="C2186" s="2" t="s">
        <v>4976</v>
      </c>
      <c r="D2186" s="3" t="s">
        <v>5327</v>
      </c>
      <c r="E2186" s="2" t="s">
        <v>5328</v>
      </c>
      <c r="F2186" s="3" t="s">
        <v>4419</v>
      </c>
      <c r="G2186" s="3" t="s">
        <v>4367</v>
      </c>
      <c r="H2186" s="1" t="s">
        <v>203</v>
      </c>
      <c r="I2186" s="2" t="s">
        <v>204</v>
      </c>
      <c r="J2186" s="3" t="s">
        <v>11</v>
      </c>
      <c r="K2186" s="38">
        <v>0.14000000000000001</v>
      </c>
      <c r="L2186" s="39">
        <v>738</v>
      </c>
    </row>
    <row r="2187" spans="1:12" ht="19.95" customHeight="1" x14ac:dyDescent="0.3">
      <c r="A2187" s="6" t="s">
        <v>4417</v>
      </c>
      <c r="B2187" s="7" t="s">
        <v>4418</v>
      </c>
      <c r="C2187" s="6" t="s">
        <v>4976</v>
      </c>
      <c r="D2187" s="7" t="s">
        <v>5327</v>
      </c>
      <c r="E2187" s="6" t="s">
        <v>5328</v>
      </c>
      <c r="F2187" s="7" t="s">
        <v>4419</v>
      </c>
      <c r="G2187" s="7" t="s">
        <v>4367</v>
      </c>
      <c r="H2187" s="5" t="s">
        <v>209</v>
      </c>
      <c r="I2187" s="6" t="s">
        <v>210</v>
      </c>
      <c r="J2187" s="7" t="s">
        <v>11</v>
      </c>
      <c r="K2187" s="36">
        <v>0.1</v>
      </c>
      <c r="L2187" s="37">
        <v>558</v>
      </c>
    </row>
    <row r="2188" spans="1:12" ht="19.95" customHeight="1" x14ac:dyDescent="0.3">
      <c r="A2188" s="2" t="s">
        <v>4417</v>
      </c>
      <c r="B2188" s="3" t="s">
        <v>4418</v>
      </c>
      <c r="C2188" s="2" t="s">
        <v>4976</v>
      </c>
      <c r="D2188" s="3" t="s">
        <v>5329</v>
      </c>
      <c r="E2188" s="2" t="s">
        <v>5330</v>
      </c>
      <c r="F2188" s="3" t="s">
        <v>4419</v>
      </c>
      <c r="G2188" s="3" t="s">
        <v>4367</v>
      </c>
      <c r="H2188" s="1" t="s">
        <v>203</v>
      </c>
      <c r="I2188" s="2" t="s">
        <v>204</v>
      </c>
      <c r="J2188" s="3" t="s">
        <v>11</v>
      </c>
      <c r="K2188" s="38">
        <v>0.14000000000000001</v>
      </c>
      <c r="L2188" s="39">
        <v>738</v>
      </c>
    </row>
    <row r="2189" spans="1:12" ht="19.95" customHeight="1" x14ac:dyDescent="0.3">
      <c r="A2189" s="6" t="s">
        <v>4417</v>
      </c>
      <c r="B2189" s="7" t="s">
        <v>4418</v>
      </c>
      <c r="C2189" s="6" t="s">
        <v>4976</v>
      </c>
      <c r="D2189" s="7" t="s">
        <v>5329</v>
      </c>
      <c r="E2189" s="6" t="s">
        <v>5330</v>
      </c>
      <c r="F2189" s="7" t="s">
        <v>4419</v>
      </c>
      <c r="G2189" s="7" t="s">
        <v>4367</v>
      </c>
      <c r="H2189" s="5" t="s">
        <v>209</v>
      </c>
      <c r="I2189" s="6" t="s">
        <v>210</v>
      </c>
      <c r="J2189" s="7" t="s">
        <v>11</v>
      </c>
      <c r="K2189" s="36">
        <v>0.1</v>
      </c>
      <c r="L2189" s="37">
        <v>558</v>
      </c>
    </row>
    <row r="2190" spans="1:12" ht="19.95" customHeight="1" x14ac:dyDescent="0.3">
      <c r="A2190" s="2" t="s">
        <v>4417</v>
      </c>
      <c r="B2190" s="3" t="s">
        <v>4418</v>
      </c>
      <c r="C2190" s="2" t="s">
        <v>4976</v>
      </c>
      <c r="D2190" s="3" t="s">
        <v>5331</v>
      </c>
      <c r="E2190" s="2" t="s">
        <v>5332</v>
      </c>
      <c r="F2190" s="3" t="s">
        <v>4419</v>
      </c>
      <c r="G2190" s="3" t="s">
        <v>4367</v>
      </c>
      <c r="H2190" s="1" t="s">
        <v>203</v>
      </c>
      <c r="I2190" s="2" t="s">
        <v>204</v>
      </c>
      <c r="J2190" s="3" t="s">
        <v>11</v>
      </c>
      <c r="K2190" s="38">
        <v>0.14000000000000001</v>
      </c>
      <c r="L2190" s="39">
        <v>738</v>
      </c>
    </row>
    <row r="2191" spans="1:12" ht="19.95" customHeight="1" x14ac:dyDescent="0.3">
      <c r="A2191" s="6" t="s">
        <v>4417</v>
      </c>
      <c r="B2191" s="7" t="s">
        <v>4418</v>
      </c>
      <c r="C2191" s="6" t="s">
        <v>4976</v>
      </c>
      <c r="D2191" s="7" t="s">
        <v>5331</v>
      </c>
      <c r="E2191" s="6" t="s">
        <v>5332</v>
      </c>
      <c r="F2191" s="7" t="s">
        <v>4419</v>
      </c>
      <c r="G2191" s="7" t="s">
        <v>4367</v>
      </c>
      <c r="H2191" s="5" t="s">
        <v>209</v>
      </c>
      <c r="I2191" s="6" t="s">
        <v>210</v>
      </c>
      <c r="J2191" s="7" t="s">
        <v>11</v>
      </c>
      <c r="K2191" s="36">
        <v>0.1</v>
      </c>
      <c r="L2191" s="37">
        <v>558</v>
      </c>
    </row>
    <row r="2192" spans="1:12" ht="19.95" customHeight="1" x14ac:dyDescent="0.3">
      <c r="A2192" s="2" t="s">
        <v>4417</v>
      </c>
      <c r="B2192" s="3" t="s">
        <v>4418</v>
      </c>
      <c r="C2192" s="2" t="s">
        <v>4976</v>
      </c>
      <c r="D2192" s="3" t="s">
        <v>5333</v>
      </c>
      <c r="E2192" s="2" t="s">
        <v>5334</v>
      </c>
      <c r="F2192" s="3" t="s">
        <v>4419</v>
      </c>
      <c r="G2192" s="3" t="s">
        <v>4367</v>
      </c>
      <c r="H2192" s="1" t="s">
        <v>203</v>
      </c>
      <c r="I2192" s="2" t="s">
        <v>204</v>
      </c>
      <c r="J2192" s="3" t="s">
        <v>11</v>
      </c>
      <c r="K2192" s="38">
        <v>0.08</v>
      </c>
      <c r="L2192" s="39">
        <v>738</v>
      </c>
    </row>
    <row r="2193" spans="1:12" ht="19.95" customHeight="1" x14ac:dyDescent="0.3">
      <c r="A2193" s="6" t="s">
        <v>4417</v>
      </c>
      <c r="B2193" s="7" t="s">
        <v>4418</v>
      </c>
      <c r="C2193" s="6" t="s">
        <v>4976</v>
      </c>
      <c r="D2193" s="7" t="s">
        <v>5335</v>
      </c>
      <c r="E2193" s="6" t="s">
        <v>5336</v>
      </c>
      <c r="F2193" s="7" t="s">
        <v>4419</v>
      </c>
      <c r="G2193" s="7" t="s">
        <v>4367</v>
      </c>
      <c r="H2193" s="5" t="s">
        <v>203</v>
      </c>
      <c r="I2193" s="6" t="s">
        <v>204</v>
      </c>
      <c r="J2193" s="7" t="s">
        <v>11</v>
      </c>
      <c r="K2193" s="36">
        <v>0.14000000000000001</v>
      </c>
      <c r="L2193" s="37">
        <v>738</v>
      </c>
    </row>
    <row r="2194" spans="1:12" ht="19.95" customHeight="1" x14ac:dyDescent="0.3">
      <c r="A2194" s="2" t="s">
        <v>4417</v>
      </c>
      <c r="B2194" s="3" t="s">
        <v>4418</v>
      </c>
      <c r="C2194" s="2" t="s">
        <v>4976</v>
      </c>
      <c r="D2194" s="3" t="s">
        <v>5335</v>
      </c>
      <c r="E2194" s="2" t="s">
        <v>5336</v>
      </c>
      <c r="F2194" s="3" t="s">
        <v>4419</v>
      </c>
      <c r="G2194" s="3" t="s">
        <v>4367</v>
      </c>
      <c r="H2194" s="1" t="s">
        <v>209</v>
      </c>
      <c r="I2194" s="2" t="s">
        <v>210</v>
      </c>
      <c r="J2194" s="3" t="s">
        <v>11</v>
      </c>
      <c r="K2194" s="38">
        <v>0.14000000000000001</v>
      </c>
      <c r="L2194" s="39">
        <v>558</v>
      </c>
    </row>
    <row r="2195" spans="1:12" ht="19.95" customHeight="1" x14ac:dyDescent="0.3">
      <c r="A2195" s="6" t="s">
        <v>4417</v>
      </c>
      <c r="B2195" s="7" t="s">
        <v>4418</v>
      </c>
      <c r="C2195" s="6" t="s">
        <v>4976</v>
      </c>
      <c r="D2195" s="7" t="s">
        <v>5337</v>
      </c>
      <c r="E2195" s="6" t="s">
        <v>5338</v>
      </c>
      <c r="F2195" s="7" t="s">
        <v>4419</v>
      </c>
      <c r="G2195" s="7" t="s">
        <v>4367</v>
      </c>
      <c r="H2195" s="5" t="s">
        <v>203</v>
      </c>
      <c r="I2195" s="6" t="s">
        <v>204</v>
      </c>
      <c r="J2195" s="7" t="s">
        <v>11</v>
      </c>
      <c r="K2195" s="36">
        <v>0.14000000000000001</v>
      </c>
      <c r="L2195" s="37">
        <v>738</v>
      </c>
    </row>
    <row r="2196" spans="1:12" ht="19.95" customHeight="1" x14ac:dyDescent="0.3">
      <c r="A2196" s="2" t="s">
        <v>4417</v>
      </c>
      <c r="B2196" s="3" t="s">
        <v>4418</v>
      </c>
      <c r="C2196" s="2" t="s">
        <v>4976</v>
      </c>
      <c r="D2196" s="3" t="s">
        <v>5337</v>
      </c>
      <c r="E2196" s="2" t="s">
        <v>5338</v>
      </c>
      <c r="F2196" s="3" t="s">
        <v>4419</v>
      </c>
      <c r="G2196" s="3" t="s">
        <v>4367</v>
      </c>
      <c r="H2196" s="1" t="s">
        <v>209</v>
      </c>
      <c r="I2196" s="2" t="s">
        <v>210</v>
      </c>
      <c r="J2196" s="3" t="s">
        <v>11</v>
      </c>
      <c r="K2196" s="38">
        <v>0.14000000000000001</v>
      </c>
      <c r="L2196" s="39">
        <v>558</v>
      </c>
    </row>
    <row r="2197" spans="1:12" ht="19.95" customHeight="1" x14ac:dyDescent="0.3">
      <c r="A2197" s="6" t="s">
        <v>4417</v>
      </c>
      <c r="B2197" s="7" t="s">
        <v>4418</v>
      </c>
      <c r="C2197" s="6" t="s">
        <v>4976</v>
      </c>
      <c r="D2197" s="7" t="s">
        <v>5339</v>
      </c>
      <c r="E2197" s="6" t="s">
        <v>5340</v>
      </c>
      <c r="F2197" s="7" t="s">
        <v>4419</v>
      </c>
      <c r="G2197" s="7" t="s">
        <v>4367</v>
      </c>
      <c r="H2197" s="5" t="s">
        <v>203</v>
      </c>
      <c r="I2197" s="6" t="s">
        <v>204</v>
      </c>
      <c r="J2197" s="7" t="s">
        <v>11</v>
      </c>
      <c r="K2197" s="36">
        <v>0.14000000000000001</v>
      </c>
      <c r="L2197" s="37">
        <v>738</v>
      </c>
    </row>
    <row r="2198" spans="1:12" ht="19.95" customHeight="1" x14ac:dyDescent="0.3">
      <c r="A2198" s="2" t="s">
        <v>4417</v>
      </c>
      <c r="B2198" s="3" t="s">
        <v>4418</v>
      </c>
      <c r="C2198" s="2" t="s">
        <v>4976</v>
      </c>
      <c r="D2198" s="3" t="s">
        <v>5339</v>
      </c>
      <c r="E2198" s="2" t="s">
        <v>5340</v>
      </c>
      <c r="F2198" s="3" t="s">
        <v>4419</v>
      </c>
      <c r="G2198" s="3" t="s">
        <v>4367</v>
      </c>
      <c r="H2198" s="1" t="s">
        <v>209</v>
      </c>
      <c r="I2198" s="2" t="s">
        <v>210</v>
      </c>
      <c r="J2198" s="3" t="s">
        <v>11</v>
      </c>
      <c r="K2198" s="38">
        <v>0.14000000000000001</v>
      </c>
      <c r="L2198" s="39">
        <v>558</v>
      </c>
    </row>
    <row r="2199" spans="1:12" ht="19.95" customHeight="1" x14ac:dyDescent="0.3">
      <c r="A2199" s="6" t="s">
        <v>4417</v>
      </c>
      <c r="B2199" s="7" t="s">
        <v>4418</v>
      </c>
      <c r="C2199" s="6" t="s">
        <v>4976</v>
      </c>
      <c r="D2199" s="7" t="s">
        <v>5341</v>
      </c>
      <c r="E2199" s="6" t="s">
        <v>5342</v>
      </c>
      <c r="F2199" s="7" t="s">
        <v>4419</v>
      </c>
      <c r="G2199" s="7" t="s">
        <v>4367</v>
      </c>
      <c r="H2199" s="5" t="s">
        <v>203</v>
      </c>
      <c r="I2199" s="6" t="s">
        <v>204</v>
      </c>
      <c r="J2199" s="7" t="s">
        <v>11</v>
      </c>
      <c r="K2199" s="36">
        <v>0.14000000000000001</v>
      </c>
      <c r="L2199" s="37">
        <v>738</v>
      </c>
    </row>
    <row r="2200" spans="1:12" ht="19.95" customHeight="1" x14ac:dyDescent="0.3">
      <c r="A2200" s="2" t="s">
        <v>4417</v>
      </c>
      <c r="B2200" s="3" t="s">
        <v>4418</v>
      </c>
      <c r="C2200" s="2" t="s">
        <v>4976</v>
      </c>
      <c r="D2200" s="3" t="s">
        <v>5341</v>
      </c>
      <c r="E2200" s="2" t="s">
        <v>5342</v>
      </c>
      <c r="F2200" s="3" t="s">
        <v>4419</v>
      </c>
      <c r="G2200" s="3" t="s">
        <v>4367</v>
      </c>
      <c r="H2200" s="1" t="s">
        <v>209</v>
      </c>
      <c r="I2200" s="2" t="s">
        <v>210</v>
      </c>
      <c r="J2200" s="3" t="s">
        <v>11</v>
      </c>
      <c r="K2200" s="38">
        <v>0.14000000000000001</v>
      </c>
      <c r="L2200" s="39">
        <v>558</v>
      </c>
    </row>
    <row r="2201" spans="1:12" ht="19.95" customHeight="1" x14ac:dyDescent="0.3">
      <c r="A2201" s="6" t="s">
        <v>4417</v>
      </c>
      <c r="B2201" s="7" t="s">
        <v>4418</v>
      </c>
      <c r="C2201" s="6" t="s">
        <v>4976</v>
      </c>
      <c r="D2201" s="7" t="s">
        <v>5343</v>
      </c>
      <c r="E2201" s="6" t="s">
        <v>5261</v>
      </c>
      <c r="F2201" s="7" t="s">
        <v>4419</v>
      </c>
      <c r="G2201" s="7" t="s">
        <v>4367</v>
      </c>
      <c r="H2201" s="5" t="s">
        <v>203</v>
      </c>
      <c r="I2201" s="6" t="s">
        <v>204</v>
      </c>
      <c r="J2201" s="7" t="s">
        <v>11</v>
      </c>
      <c r="K2201" s="36">
        <v>0.1</v>
      </c>
      <c r="L2201" s="37">
        <v>738</v>
      </c>
    </row>
    <row r="2202" spans="1:12" ht="19.95" customHeight="1" x14ac:dyDescent="0.3">
      <c r="A2202" s="2" t="s">
        <v>4417</v>
      </c>
      <c r="B2202" s="3" t="s">
        <v>4418</v>
      </c>
      <c r="C2202" s="2" t="s">
        <v>4976</v>
      </c>
      <c r="D2202" s="3" t="s">
        <v>5344</v>
      </c>
      <c r="E2202" s="2" t="s">
        <v>5263</v>
      </c>
      <c r="F2202" s="3" t="s">
        <v>4419</v>
      </c>
      <c r="G2202" s="3" t="s">
        <v>4367</v>
      </c>
      <c r="H2202" s="1" t="s">
        <v>203</v>
      </c>
      <c r="I2202" s="2" t="s">
        <v>204</v>
      </c>
      <c r="J2202" s="3" t="s">
        <v>11</v>
      </c>
      <c r="K2202" s="38">
        <v>0.1</v>
      </c>
      <c r="L2202" s="39">
        <v>738</v>
      </c>
    </row>
    <row r="2203" spans="1:12" ht="19.95" customHeight="1" x14ac:dyDescent="0.3">
      <c r="A2203" s="6" t="s">
        <v>4417</v>
      </c>
      <c r="B2203" s="7" t="s">
        <v>4418</v>
      </c>
      <c r="C2203" s="6" t="s">
        <v>4976</v>
      </c>
      <c r="D2203" s="7" t="s">
        <v>5345</v>
      </c>
      <c r="E2203" s="6" t="s">
        <v>5265</v>
      </c>
      <c r="F2203" s="7" t="s">
        <v>4419</v>
      </c>
      <c r="G2203" s="7" t="s">
        <v>4367</v>
      </c>
      <c r="H2203" s="5" t="s">
        <v>203</v>
      </c>
      <c r="I2203" s="6" t="s">
        <v>204</v>
      </c>
      <c r="J2203" s="7" t="s">
        <v>11</v>
      </c>
      <c r="K2203" s="36">
        <v>0.1</v>
      </c>
      <c r="L2203" s="37">
        <v>738</v>
      </c>
    </row>
    <row r="2204" spans="1:12" ht="19.95" customHeight="1" x14ac:dyDescent="0.3">
      <c r="A2204" s="2" t="s">
        <v>4417</v>
      </c>
      <c r="B2204" s="3" t="s">
        <v>4418</v>
      </c>
      <c r="C2204" s="2" t="s">
        <v>4976</v>
      </c>
      <c r="D2204" s="3" t="s">
        <v>5346</v>
      </c>
      <c r="E2204" s="2" t="s">
        <v>5267</v>
      </c>
      <c r="F2204" s="3" t="s">
        <v>4419</v>
      </c>
      <c r="G2204" s="3" t="s">
        <v>4367</v>
      </c>
      <c r="H2204" s="1" t="s">
        <v>203</v>
      </c>
      <c r="I2204" s="2" t="s">
        <v>204</v>
      </c>
      <c r="J2204" s="3" t="s">
        <v>11</v>
      </c>
      <c r="K2204" s="38">
        <v>0.1</v>
      </c>
      <c r="L2204" s="39">
        <v>738</v>
      </c>
    </row>
    <row r="2205" spans="1:12" ht="19.95" customHeight="1" x14ac:dyDescent="0.3">
      <c r="A2205" s="6" t="s">
        <v>4417</v>
      </c>
      <c r="B2205" s="7" t="s">
        <v>4418</v>
      </c>
      <c r="C2205" s="6" t="s">
        <v>4976</v>
      </c>
      <c r="D2205" s="7" t="s">
        <v>5347</v>
      </c>
      <c r="E2205" s="6" t="s">
        <v>5348</v>
      </c>
      <c r="F2205" s="7" t="s">
        <v>4419</v>
      </c>
      <c r="G2205" s="7" t="s">
        <v>4367</v>
      </c>
      <c r="H2205" s="5" t="s">
        <v>203</v>
      </c>
      <c r="I2205" s="6" t="s">
        <v>204</v>
      </c>
      <c r="J2205" s="7" t="s">
        <v>11</v>
      </c>
      <c r="K2205" s="36">
        <v>0.12</v>
      </c>
      <c r="L2205" s="37">
        <v>738</v>
      </c>
    </row>
    <row r="2206" spans="1:12" ht="19.95" customHeight="1" x14ac:dyDescent="0.3">
      <c r="A2206" s="2" t="s">
        <v>4417</v>
      </c>
      <c r="B2206" s="3" t="s">
        <v>4418</v>
      </c>
      <c r="C2206" s="2" t="s">
        <v>4976</v>
      </c>
      <c r="D2206" s="3" t="s">
        <v>5349</v>
      </c>
      <c r="E2206" s="2" t="s">
        <v>5350</v>
      </c>
      <c r="F2206" s="3" t="s">
        <v>4419</v>
      </c>
      <c r="G2206" s="3" t="s">
        <v>4367</v>
      </c>
      <c r="H2206" s="1" t="s">
        <v>203</v>
      </c>
      <c r="I2206" s="2" t="s">
        <v>204</v>
      </c>
      <c r="J2206" s="3" t="s">
        <v>11</v>
      </c>
      <c r="K2206" s="38">
        <v>0.12</v>
      </c>
      <c r="L2206" s="39">
        <v>738</v>
      </c>
    </row>
    <row r="2207" spans="1:12" ht="19.95" customHeight="1" x14ac:dyDescent="0.3">
      <c r="A2207" s="6" t="s">
        <v>4417</v>
      </c>
      <c r="B2207" s="7" t="s">
        <v>4418</v>
      </c>
      <c r="C2207" s="6" t="s">
        <v>4976</v>
      </c>
      <c r="D2207" s="7" t="s">
        <v>5351</v>
      </c>
      <c r="E2207" s="6" t="s">
        <v>5352</v>
      </c>
      <c r="F2207" s="7" t="s">
        <v>5353</v>
      </c>
      <c r="G2207" s="7" t="s">
        <v>4367</v>
      </c>
      <c r="H2207" s="5" t="s">
        <v>203</v>
      </c>
      <c r="I2207" s="6" t="s">
        <v>204</v>
      </c>
      <c r="J2207" s="7" t="s">
        <v>11</v>
      </c>
      <c r="K2207" s="36">
        <v>0.17</v>
      </c>
      <c r="L2207" s="37">
        <v>738</v>
      </c>
    </row>
    <row r="2208" spans="1:12" ht="19.95" customHeight="1" x14ac:dyDescent="0.3">
      <c r="A2208" s="2" t="s">
        <v>4417</v>
      </c>
      <c r="B2208" s="3" t="s">
        <v>4418</v>
      </c>
      <c r="C2208" s="2" t="s">
        <v>4976</v>
      </c>
      <c r="D2208" s="3" t="s">
        <v>5354</v>
      </c>
      <c r="E2208" s="2" t="s">
        <v>5355</v>
      </c>
      <c r="F2208" s="3" t="s">
        <v>5353</v>
      </c>
      <c r="G2208" s="3" t="s">
        <v>4367</v>
      </c>
      <c r="H2208" s="1" t="s">
        <v>203</v>
      </c>
      <c r="I2208" s="2" t="s">
        <v>204</v>
      </c>
      <c r="J2208" s="3" t="s">
        <v>11</v>
      </c>
      <c r="K2208" s="38">
        <v>0.17</v>
      </c>
      <c r="L2208" s="39">
        <v>738</v>
      </c>
    </row>
    <row r="2209" spans="1:12" ht="19.95" customHeight="1" x14ac:dyDescent="0.3">
      <c r="A2209" s="6" t="s">
        <v>4417</v>
      </c>
      <c r="B2209" s="7" t="s">
        <v>4418</v>
      </c>
      <c r="C2209" s="6" t="s">
        <v>4976</v>
      </c>
      <c r="D2209" s="7" t="s">
        <v>5356</v>
      </c>
      <c r="E2209" s="6" t="s">
        <v>5357</v>
      </c>
      <c r="F2209" s="7" t="s">
        <v>5353</v>
      </c>
      <c r="G2209" s="7" t="s">
        <v>4367</v>
      </c>
      <c r="H2209" s="5" t="s">
        <v>203</v>
      </c>
      <c r="I2209" s="6" t="s">
        <v>204</v>
      </c>
      <c r="J2209" s="7" t="s">
        <v>11</v>
      </c>
      <c r="K2209" s="36">
        <v>0.17</v>
      </c>
      <c r="L2209" s="37">
        <v>738</v>
      </c>
    </row>
    <row r="2210" spans="1:12" ht="19.95" customHeight="1" x14ac:dyDescent="0.3">
      <c r="A2210" s="2" t="s">
        <v>4417</v>
      </c>
      <c r="B2210" s="3" t="s">
        <v>4418</v>
      </c>
      <c r="C2210" s="2" t="s">
        <v>4976</v>
      </c>
      <c r="D2210" s="3" t="s">
        <v>5358</v>
      </c>
      <c r="E2210" s="2" t="s">
        <v>5359</v>
      </c>
      <c r="F2210" s="3" t="s">
        <v>5353</v>
      </c>
      <c r="G2210" s="3" t="s">
        <v>4367</v>
      </c>
      <c r="H2210" s="1" t="s">
        <v>203</v>
      </c>
      <c r="I2210" s="2" t="s">
        <v>204</v>
      </c>
      <c r="J2210" s="3" t="s">
        <v>11</v>
      </c>
      <c r="K2210" s="38">
        <v>0.17</v>
      </c>
      <c r="L2210" s="39">
        <v>738</v>
      </c>
    </row>
    <row r="2211" spans="1:12" ht="19.95" customHeight="1" x14ac:dyDescent="0.3">
      <c r="A2211" s="6" t="s">
        <v>4417</v>
      </c>
      <c r="B2211" s="7" t="s">
        <v>4418</v>
      </c>
      <c r="C2211" s="6" t="s">
        <v>4976</v>
      </c>
      <c r="D2211" s="7" t="s">
        <v>5360</v>
      </c>
      <c r="E2211" s="6" t="s">
        <v>5361</v>
      </c>
      <c r="F2211" s="7" t="s">
        <v>5353</v>
      </c>
      <c r="G2211" s="7" t="s">
        <v>4367</v>
      </c>
      <c r="H2211" s="5" t="s">
        <v>203</v>
      </c>
      <c r="I2211" s="6" t="s">
        <v>204</v>
      </c>
      <c r="J2211" s="7" t="s">
        <v>11</v>
      </c>
      <c r="K2211" s="36">
        <v>0.17</v>
      </c>
      <c r="L2211" s="37">
        <v>738</v>
      </c>
    </row>
    <row r="2212" spans="1:12" ht="19.95" customHeight="1" x14ac:dyDescent="0.3">
      <c r="A2212" s="2" t="s">
        <v>4417</v>
      </c>
      <c r="B2212" s="3" t="s">
        <v>4418</v>
      </c>
      <c r="C2212" s="2" t="s">
        <v>4976</v>
      </c>
      <c r="D2212" s="3" t="s">
        <v>5362</v>
      </c>
      <c r="E2212" s="2" t="s">
        <v>5363</v>
      </c>
      <c r="F2212" s="3" t="s">
        <v>5353</v>
      </c>
      <c r="G2212" s="3" t="s">
        <v>4367</v>
      </c>
      <c r="H2212" s="1" t="s">
        <v>203</v>
      </c>
      <c r="I2212" s="2" t="s">
        <v>204</v>
      </c>
      <c r="J2212" s="3" t="s">
        <v>11</v>
      </c>
      <c r="K2212" s="38">
        <v>0.17</v>
      </c>
      <c r="L2212" s="39">
        <v>738</v>
      </c>
    </row>
    <row r="2213" spans="1:12" ht="19.95" customHeight="1" x14ac:dyDescent="0.3">
      <c r="A2213" s="6" t="s">
        <v>4417</v>
      </c>
      <c r="B2213" s="7" t="s">
        <v>4418</v>
      </c>
      <c r="C2213" s="6" t="s">
        <v>4976</v>
      </c>
      <c r="D2213" s="7" t="s">
        <v>5364</v>
      </c>
      <c r="E2213" s="6" t="s">
        <v>5365</v>
      </c>
      <c r="F2213" s="7" t="s">
        <v>5353</v>
      </c>
      <c r="G2213" s="7" t="s">
        <v>4367</v>
      </c>
      <c r="H2213" s="5" t="s">
        <v>203</v>
      </c>
      <c r="I2213" s="6" t="s">
        <v>204</v>
      </c>
      <c r="J2213" s="7" t="s">
        <v>11</v>
      </c>
      <c r="K2213" s="36">
        <v>0.17</v>
      </c>
      <c r="L2213" s="37">
        <v>738</v>
      </c>
    </row>
    <row r="2214" spans="1:12" ht="19.95" customHeight="1" x14ac:dyDescent="0.3">
      <c r="A2214" s="2" t="s">
        <v>4417</v>
      </c>
      <c r="B2214" s="3" t="s">
        <v>4418</v>
      </c>
      <c r="C2214" s="2" t="s">
        <v>4976</v>
      </c>
      <c r="D2214" s="3" t="s">
        <v>5366</v>
      </c>
      <c r="E2214" s="2" t="s">
        <v>5367</v>
      </c>
      <c r="F2214" s="3" t="s">
        <v>4419</v>
      </c>
      <c r="G2214" s="3" t="s">
        <v>4367</v>
      </c>
      <c r="H2214" s="1" t="s">
        <v>203</v>
      </c>
      <c r="I2214" s="2" t="s">
        <v>204</v>
      </c>
      <c r="J2214" s="3" t="s">
        <v>11</v>
      </c>
      <c r="K2214" s="38">
        <v>0.14000000000000001</v>
      </c>
      <c r="L2214" s="39">
        <v>738</v>
      </c>
    </row>
    <row r="2215" spans="1:12" ht="19.95" customHeight="1" x14ac:dyDescent="0.3">
      <c r="A2215" s="6" t="s">
        <v>4417</v>
      </c>
      <c r="B2215" s="7" t="s">
        <v>4418</v>
      </c>
      <c r="C2215" s="6" t="s">
        <v>4976</v>
      </c>
      <c r="D2215" s="7" t="s">
        <v>5368</v>
      </c>
      <c r="E2215" s="6" t="s">
        <v>4998</v>
      </c>
      <c r="F2215" s="7" t="s">
        <v>4419</v>
      </c>
      <c r="G2215" s="7" t="s">
        <v>4367</v>
      </c>
      <c r="H2215" s="5" t="s">
        <v>203</v>
      </c>
      <c r="I2215" s="6" t="s">
        <v>204</v>
      </c>
      <c r="J2215" s="7" t="s">
        <v>11</v>
      </c>
      <c r="K2215" s="36">
        <v>0.06</v>
      </c>
      <c r="L2215" s="37">
        <v>738</v>
      </c>
    </row>
    <row r="2216" spans="1:12" ht="19.95" customHeight="1" x14ac:dyDescent="0.3">
      <c r="A2216" s="2" t="s">
        <v>4417</v>
      </c>
      <c r="B2216" s="3" t="s">
        <v>4418</v>
      </c>
      <c r="C2216" s="2" t="s">
        <v>4976</v>
      </c>
      <c r="D2216" s="3" t="s">
        <v>5369</v>
      </c>
      <c r="E2216" s="2" t="s">
        <v>5000</v>
      </c>
      <c r="F2216" s="3" t="s">
        <v>4419</v>
      </c>
      <c r="G2216" s="3" t="s">
        <v>4367</v>
      </c>
      <c r="H2216" s="1" t="s">
        <v>203</v>
      </c>
      <c r="I2216" s="2" t="s">
        <v>204</v>
      </c>
      <c r="J2216" s="3" t="s">
        <v>11</v>
      </c>
      <c r="K2216" s="38">
        <v>0.06</v>
      </c>
      <c r="L2216" s="39">
        <v>738</v>
      </c>
    </row>
    <row r="2217" spans="1:12" ht="19.95" customHeight="1" x14ac:dyDescent="0.3">
      <c r="A2217" s="6" t="s">
        <v>4417</v>
      </c>
      <c r="B2217" s="7" t="s">
        <v>4418</v>
      </c>
      <c r="C2217" s="6" t="s">
        <v>4976</v>
      </c>
      <c r="D2217" s="7" t="s">
        <v>5370</v>
      </c>
      <c r="E2217" s="6" t="s">
        <v>5002</v>
      </c>
      <c r="F2217" s="7" t="s">
        <v>4419</v>
      </c>
      <c r="G2217" s="7" t="s">
        <v>4367</v>
      </c>
      <c r="H2217" s="5" t="s">
        <v>203</v>
      </c>
      <c r="I2217" s="6" t="s">
        <v>204</v>
      </c>
      <c r="J2217" s="7" t="s">
        <v>11</v>
      </c>
      <c r="K2217" s="36">
        <v>0.06</v>
      </c>
      <c r="L2217" s="37">
        <v>738</v>
      </c>
    </row>
    <row r="2218" spans="1:12" ht="19.95" customHeight="1" x14ac:dyDescent="0.3">
      <c r="A2218" s="2" t="s">
        <v>4417</v>
      </c>
      <c r="B2218" s="3" t="s">
        <v>4418</v>
      </c>
      <c r="C2218" s="2" t="s">
        <v>4976</v>
      </c>
      <c r="D2218" s="3" t="s">
        <v>5371</v>
      </c>
      <c r="E2218" s="2" t="s">
        <v>5372</v>
      </c>
      <c r="F2218" s="3" t="s">
        <v>5373</v>
      </c>
      <c r="G2218" s="3" t="s">
        <v>4367</v>
      </c>
      <c r="H2218" s="1" t="s">
        <v>203</v>
      </c>
      <c r="I2218" s="2" t="s">
        <v>204</v>
      </c>
      <c r="J2218" s="3" t="s">
        <v>11</v>
      </c>
      <c r="K2218" s="38">
        <v>0.03</v>
      </c>
      <c r="L2218" s="39">
        <v>738</v>
      </c>
    </row>
    <row r="2219" spans="1:12" ht="19.95" customHeight="1" x14ac:dyDescent="0.3">
      <c r="A2219" s="6" t="s">
        <v>4417</v>
      </c>
      <c r="B2219" s="7" t="s">
        <v>4418</v>
      </c>
      <c r="C2219" s="6" t="s">
        <v>4976</v>
      </c>
      <c r="D2219" s="7" t="s">
        <v>5374</v>
      </c>
      <c r="E2219" s="6" t="s">
        <v>5375</v>
      </c>
      <c r="F2219" s="7" t="s">
        <v>4419</v>
      </c>
      <c r="G2219" s="7" t="s">
        <v>4367</v>
      </c>
      <c r="H2219" s="5" t="s">
        <v>205</v>
      </c>
      <c r="I2219" s="6" t="s">
        <v>206</v>
      </c>
      <c r="J2219" s="7" t="s">
        <v>11</v>
      </c>
      <c r="K2219" s="36">
        <v>1</v>
      </c>
      <c r="L2219" s="37">
        <v>679</v>
      </c>
    </row>
    <row r="2220" spans="1:12" ht="19.95" customHeight="1" x14ac:dyDescent="0.3">
      <c r="A2220" s="2" t="s">
        <v>4417</v>
      </c>
      <c r="B2220" s="3" t="s">
        <v>4418</v>
      </c>
      <c r="C2220" s="2" t="s">
        <v>4976</v>
      </c>
      <c r="D2220" s="3" t="s">
        <v>5376</v>
      </c>
      <c r="E2220" s="2" t="s">
        <v>5377</v>
      </c>
      <c r="F2220" s="3" t="s">
        <v>4419</v>
      </c>
      <c r="G2220" s="3" t="s">
        <v>4367</v>
      </c>
      <c r="H2220" s="1" t="s">
        <v>205</v>
      </c>
      <c r="I2220" s="2" t="s">
        <v>206</v>
      </c>
      <c r="J2220" s="3" t="s">
        <v>11</v>
      </c>
      <c r="K2220" s="38">
        <v>1</v>
      </c>
      <c r="L2220" s="39">
        <v>679</v>
      </c>
    </row>
    <row r="2221" spans="1:12" ht="19.95" customHeight="1" x14ac:dyDescent="0.3">
      <c r="A2221" s="6" t="s">
        <v>4417</v>
      </c>
      <c r="B2221" s="7" t="s">
        <v>4418</v>
      </c>
      <c r="C2221" s="6" t="s">
        <v>4976</v>
      </c>
      <c r="D2221" s="7" t="s">
        <v>5378</v>
      </c>
      <c r="E2221" s="6" t="s">
        <v>5379</v>
      </c>
      <c r="F2221" s="7" t="s">
        <v>4419</v>
      </c>
      <c r="G2221" s="7" t="s">
        <v>4367</v>
      </c>
      <c r="H2221" s="5" t="s">
        <v>203</v>
      </c>
      <c r="I2221" s="6" t="s">
        <v>204</v>
      </c>
      <c r="J2221" s="7" t="s">
        <v>11</v>
      </c>
      <c r="K2221" s="36">
        <v>0.1</v>
      </c>
      <c r="L2221" s="37">
        <v>738</v>
      </c>
    </row>
    <row r="2222" spans="1:12" ht="19.95" customHeight="1" x14ac:dyDescent="0.3">
      <c r="A2222" s="2" t="s">
        <v>4417</v>
      </c>
      <c r="B2222" s="3" t="s">
        <v>4418</v>
      </c>
      <c r="C2222" s="2" t="s">
        <v>4976</v>
      </c>
      <c r="D2222" s="3" t="s">
        <v>5380</v>
      </c>
      <c r="E2222" s="2" t="s">
        <v>5381</v>
      </c>
      <c r="F2222" s="3" t="s">
        <v>4419</v>
      </c>
      <c r="G2222" s="3" t="s">
        <v>4367</v>
      </c>
      <c r="H2222" s="1" t="s">
        <v>203</v>
      </c>
      <c r="I2222" s="2" t="s">
        <v>204</v>
      </c>
      <c r="J2222" s="3" t="s">
        <v>11</v>
      </c>
      <c r="K2222" s="38">
        <v>0.1</v>
      </c>
      <c r="L2222" s="39">
        <v>738</v>
      </c>
    </row>
    <row r="2223" spans="1:12" ht="19.95" customHeight="1" x14ac:dyDescent="0.3">
      <c r="A2223" s="6" t="s">
        <v>4417</v>
      </c>
      <c r="B2223" s="7" t="s">
        <v>4418</v>
      </c>
      <c r="C2223" s="6" t="s">
        <v>4976</v>
      </c>
      <c r="D2223" s="7" t="s">
        <v>5382</v>
      </c>
      <c r="E2223" s="6" t="s">
        <v>5383</v>
      </c>
      <c r="F2223" s="7" t="s">
        <v>4419</v>
      </c>
      <c r="G2223" s="7" t="s">
        <v>4367</v>
      </c>
      <c r="H2223" s="5" t="s">
        <v>203</v>
      </c>
      <c r="I2223" s="6" t="s">
        <v>204</v>
      </c>
      <c r="J2223" s="7" t="s">
        <v>11</v>
      </c>
      <c r="K2223" s="36">
        <v>0.1</v>
      </c>
      <c r="L2223" s="37">
        <v>738</v>
      </c>
    </row>
    <row r="2224" spans="1:12" ht="19.95" customHeight="1" x14ac:dyDescent="0.3">
      <c r="A2224" s="2" t="s">
        <v>4417</v>
      </c>
      <c r="B2224" s="3" t="s">
        <v>4418</v>
      </c>
      <c r="C2224" s="2" t="s">
        <v>4976</v>
      </c>
      <c r="D2224" s="3" t="s">
        <v>5384</v>
      </c>
      <c r="E2224" s="2" t="s">
        <v>5385</v>
      </c>
      <c r="F2224" s="3" t="s">
        <v>4419</v>
      </c>
      <c r="G2224" s="3" t="s">
        <v>4367</v>
      </c>
      <c r="H2224" s="1" t="s">
        <v>203</v>
      </c>
      <c r="I2224" s="2" t="s">
        <v>204</v>
      </c>
      <c r="J2224" s="3" t="s">
        <v>11</v>
      </c>
      <c r="K2224" s="38">
        <v>0.1</v>
      </c>
      <c r="L2224" s="39">
        <v>738</v>
      </c>
    </row>
    <row r="2225" spans="1:12" ht="19.95" customHeight="1" x14ac:dyDescent="0.3">
      <c r="A2225" s="6" t="s">
        <v>4417</v>
      </c>
      <c r="B2225" s="7" t="s">
        <v>4418</v>
      </c>
      <c r="C2225" s="6" t="s">
        <v>4976</v>
      </c>
      <c r="D2225" s="7" t="s">
        <v>5386</v>
      </c>
      <c r="E2225" s="6" t="s">
        <v>5238</v>
      </c>
      <c r="F2225" s="7" t="s">
        <v>4419</v>
      </c>
      <c r="G2225" s="7" t="s">
        <v>4367</v>
      </c>
      <c r="H2225" s="5" t="s">
        <v>203</v>
      </c>
      <c r="I2225" s="6" t="s">
        <v>204</v>
      </c>
      <c r="J2225" s="7" t="s">
        <v>11</v>
      </c>
      <c r="K2225" s="36">
        <v>0.08</v>
      </c>
      <c r="L2225" s="37">
        <v>738</v>
      </c>
    </row>
    <row r="2226" spans="1:12" ht="19.95" customHeight="1" x14ac:dyDescent="0.3">
      <c r="A2226" s="2" t="s">
        <v>4417</v>
      </c>
      <c r="B2226" s="3" t="s">
        <v>4418</v>
      </c>
      <c r="C2226" s="2" t="s">
        <v>4976</v>
      </c>
      <c r="D2226" s="3" t="s">
        <v>5387</v>
      </c>
      <c r="E2226" s="2" t="s">
        <v>5279</v>
      </c>
      <c r="F2226" s="3" t="s">
        <v>4419</v>
      </c>
      <c r="G2226" s="3" t="s">
        <v>4367</v>
      </c>
      <c r="H2226" s="1" t="s">
        <v>203</v>
      </c>
      <c r="I2226" s="2" t="s">
        <v>204</v>
      </c>
      <c r="J2226" s="3" t="s">
        <v>11</v>
      </c>
      <c r="K2226" s="38">
        <v>0.08</v>
      </c>
      <c r="L2226" s="39">
        <v>738</v>
      </c>
    </row>
    <row r="2227" spans="1:12" ht="19.95" customHeight="1" x14ac:dyDescent="0.3">
      <c r="A2227" s="6" t="s">
        <v>4417</v>
      </c>
      <c r="B2227" s="7" t="s">
        <v>4418</v>
      </c>
      <c r="C2227" s="6" t="s">
        <v>4976</v>
      </c>
      <c r="D2227" s="7" t="s">
        <v>5388</v>
      </c>
      <c r="E2227" s="6" t="s">
        <v>5281</v>
      </c>
      <c r="F2227" s="7" t="s">
        <v>4419</v>
      </c>
      <c r="G2227" s="7" t="s">
        <v>4367</v>
      </c>
      <c r="H2227" s="5" t="s">
        <v>203</v>
      </c>
      <c r="I2227" s="6" t="s">
        <v>204</v>
      </c>
      <c r="J2227" s="7" t="s">
        <v>11</v>
      </c>
      <c r="K2227" s="36">
        <v>0.08</v>
      </c>
      <c r="L2227" s="37">
        <v>738</v>
      </c>
    </row>
    <row r="2228" spans="1:12" ht="19.95" customHeight="1" x14ac:dyDescent="0.3">
      <c r="A2228" s="2" t="s">
        <v>4417</v>
      </c>
      <c r="B2228" s="3" t="s">
        <v>4418</v>
      </c>
      <c r="C2228" s="2" t="s">
        <v>4976</v>
      </c>
      <c r="D2228" s="3" t="s">
        <v>5389</v>
      </c>
      <c r="E2228" s="2" t="s">
        <v>5390</v>
      </c>
      <c r="F2228" s="3" t="s">
        <v>5353</v>
      </c>
      <c r="G2228" s="3" t="s">
        <v>4367</v>
      </c>
      <c r="H2228" s="1" t="s">
        <v>203</v>
      </c>
      <c r="I2228" s="2" t="s">
        <v>204</v>
      </c>
      <c r="J2228" s="3" t="s">
        <v>11</v>
      </c>
      <c r="K2228" s="38">
        <v>0.17</v>
      </c>
      <c r="L2228" s="39">
        <v>738</v>
      </c>
    </row>
    <row r="2229" spans="1:12" ht="19.95" customHeight="1" x14ac:dyDescent="0.3">
      <c r="A2229" s="6" t="s">
        <v>4417</v>
      </c>
      <c r="B2229" s="7" t="s">
        <v>4418</v>
      </c>
      <c r="C2229" s="6" t="s">
        <v>4976</v>
      </c>
      <c r="D2229" s="7" t="s">
        <v>5391</v>
      </c>
      <c r="E2229" s="6" t="s">
        <v>5392</v>
      </c>
      <c r="F2229" s="7" t="s">
        <v>5353</v>
      </c>
      <c r="G2229" s="7" t="s">
        <v>4367</v>
      </c>
      <c r="H2229" s="5" t="s">
        <v>203</v>
      </c>
      <c r="I2229" s="6" t="s">
        <v>204</v>
      </c>
      <c r="J2229" s="7" t="s">
        <v>11</v>
      </c>
      <c r="K2229" s="36">
        <v>0.17</v>
      </c>
      <c r="L2229" s="37">
        <v>738</v>
      </c>
    </row>
    <row r="2230" spans="1:12" ht="19.95" customHeight="1" x14ac:dyDescent="0.3">
      <c r="A2230" s="2" t="s">
        <v>4417</v>
      </c>
      <c r="B2230" s="3" t="s">
        <v>4418</v>
      </c>
      <c r="C2230" s="2" t="s">
        <v>4976</v>
      </c>
      <c r="D2230" s="3" t="s">
        <v>5393</v>
      </c>
      <c r="E2230" s="2" t="s">
        <v>5193</v>
      </c>
      <c r="F2230" s="3" t="s">
        <v>5394</v>
      </c>
      <c r="G2230" s="3" t="s">
        <v>4367</v>
      </c>
      <c r="H2230" s="1" t="s">
        <v>257</v>
      </c>
      <c r="I2230" s="2" t="s">
        <v>258</v>
      </c>
      <c r="J2230" s="3" t="s">
        <v>11</v>
      </c>
      <c r="K2230" s="38">
        <v>1.83</v>
      </c>
      <c r="L2230" s="39">
        <v>709</v>
      </c>
    </row>
    <row r="2231" spans="1:12" ht="19.95" customHeight="1" x14ac:dyDescent="0.3">
      <c r="A2231" s="6" t="s">
        <v>4417</v>
      </c>
      <c r="B2231" s="7" t="s">
        <v>4418</v>
      </c>
      <c r="C2231" s="6" t="s">
        <v>4976</v>
      </c>
      <c r="D2231" s="7" t="s">
        <v>5393</v>
      </c>
      <c r="E2231" s="6" t="s">
        <v>5193</v>
      </c>
      <c r="F2231" s="7" t="s">
        <v>5394</v>
      </c>
      <c r="G2231" s="7" t="s">
        <v>4367</v>
      </c>
      <c r="H2231" s="5" t="s">
        <v>217</v>
      </c>
      <c r="I2231" s="6" t="s">
        <v>218</v>
      </c>
      <c r="J2231" s="7" t="s">
        <v>11</v>
      </c>
      <c r="K2231" s="36">
        <v>0.23</v>
      </c>
      <c r="L2231" s="37">
        <v>679</v>
      </c>
    </row>
    <row r="2232" spans="1:12" ht="19.95" customHeight="1" x14ac:dyDescent="0.3">
      <c r="A2232" s="2" t="s">
        <v>4417</v>
      </c>
      <c r="B2232" s="3" t="s">
        <v>4418</v>
      </c>
      <c r="C2232" s="2" t="s">
        <v>4976</v>
      </c>
      <c r="D2232" s="3" t="s">
        <v>5393</v>
      </c>
      <c r="E2232" s="2" t="s">
        <v>5193</v>
      </c>
      <c r="F2232" s="3" t="s">
        <v>5394</v>
      </c>
      <c r="G2232" s="3" t="s">
        <v>4367</v>
      </c>
      <c r="H2232" s="1" t="s">
        <v>209</v>
      </c>
      <c r="I2232" s="2" t="s">
        <v>210</v>
      </c>
      <c r="J2232" s="3" t="s">
        <v>11</v>
      </c>
      <c r="K2232" s="38">
        <v>0.77</v>
      </c>
      <c r="L2232" s="39">
        <v>558</v>
      </c>
    </row>
    <row r="2233" spans="1:12" ht="19.95" customHeight="1" x14ac:dyDescent="0.3">
      <c r="A2233" s="6" t="s">
        <v>4417</v>
      </c>
      <c r="B2233" s="7" t="s">
        <v>4418</v>
      </c>
      <c r="C2233" s="6" t="s">
        <v>4976</v>
      </c>
      <c r="D2233" s="7" t="s">
        <v>5393</v>
      </c>
      <c r="E2233" s="6" t="s">
        <v>5193</v>
      </c>
      <c r="F2233" s="7" t="s">
        <v>5394</v>
      </c>
      <c r="G2233" s="7" t="s">
        <v>4367</v>
      </c>
      <c r="H2233" s="5" t="s">
        <v>257</v>
      </c>
      <c r="I2233" s="6" t="s">
        <v>258</v>
      </c>
      <c r="J2233" s="7" t="s">
        <v>11</v>
      </c>
      <c r="K2233" s="36">
        <v>1.83</v>
      </c>
      <c r="L2233" s="37">
        <v>709</v>
      </c>
    </row>
    <row r="2234" spans="1:12" ht="19.95" customHeight="1" x14ac:dyDescent="0.3">
      <c r="A2234" s="2" t="s">
        <v>4417</v>
      </c>
      <c r="B2234" s="3" t="s">
        <v>4418</v>
      </c>
      <c r="C2234" s="2" t="s">
        <v>4976</v>
      </c>
      <c r="D2234" s="3" t="s">
        <v>5393</v>
      </c>
      <c r="E2234" s="2" t="s">
        <v>5193</v>
      </c>
      <c r="F2234" s="3" t="s">
        <v>5394</v>
      </c>
      <c r="G2234" s="3" t="s">
        <v>4367</v>
      </c>
      <c r="H2234" s="1" t="s">
        <v>217</v>
      </c>
      <c r="I2234" s="2" t="s">
        <v>218</v>
      </c>
      <c r="J2234" s="3" t="s">
        <v>11</v>
      </c>
      <c r="K2234" s="38">
        <v>0.23</v>
      </c>
      <c r="L2234" s="39">
        <v>679</v>
      </c>
    </row>
    <row r="2235" spans="1:12" ht="19.95" customHeight="1" x14ac:dyDescent="0.3">
      <c r="A2235" s="6" t="s">
        <v>4417</v>
      </c>
      <c r="B2235" s="7" t="s">
        <v>4418</v>
      </c>
      <c r="C2235" s="6" t="s">
        <v>4976</v>
      </c>
      <c r="D2235" s="7" t="s">
        <v>5393</v>
      </c>
      <c r="E2235" s="6" t="s">
        <v>5193</v>
      </c>
      <c r="F2235" s="7" t="s">
        <v>5394</v>
      </c>
      <c r="G2235" s="7" t="s">
        <v>4367</v>
      </c>
      <c r="H2235" s="5" t="s">
        <v>209</v>
      </c>
      <c r="I2235" s="6" t="s">
        <v>210</v>
      </c>
      <c r="J2235" s="7" t="s">
        <v>11</v>
      </c>
      <c r="K2235" s="36">
        <v>0.77</v>
      </c>
      <c r="L2235" s="37">
        <v>558</v>
      </c>
    </row>
    <row r="2236" spans="1:12" ht="19.95" customHeight="1" x14ac:dyDescent="0.3">
      <c r="A2236" s="2" t="s">
        <v>4417</v>
      </c>
      <c r="B2236" s="3" t="s">
        <v>4418</v>
      </c>
      <c r="C2236" s="2" t="s">
        <v>4976</v>
      </c>
      <c r="D2236" s="3" t="s">
        <v>5395</v>
      </c>
      <c r="E2236" s="2" t="s">
        <v>5197</v>
      </c>
      <c r="F2236" s="3" t="s">
        <v>5396</v>
      </c>
      <c r="G2236" s="3" t="s">
        <v>4367</v>
      </c>
      <c r="H2236" s="1" t="s">
        <v>257</v>
      </c>
      <c r="I2236" s="2" t="s">
        <v>258</v>
      </c>
      <c r="J2236" s="3" t="s">
        <v>11</v>
      </c>
      <c r="K2236" s="38">
        <v>1.83</v>
      </c>
      <c r="L2236" s="39">
        <v>709</v>
      </c>
    </row>
    <row r="2237" spans="1:12" ht="19.95" customHeight="1" x14ac:dyDescent="0.3">
      <c r="A2237" s="6" t="s">
        <v>4417</v>
      </c>
      <c r="B2237" s="7" t="s">
        <v>4418</v>
      </c>
      <c r="C2237" s="6" t="s">
        <v>4976</v>
      </c>
      <c r="D2237" s="7" t="s">
        <v>5395</v>
      </c>
      <c r="E2237" s="6" t="s">
        <v>5197</v>
      </c>
      <c r="F2237" s="7" t="s">
        <v>5396</v>
      </c>
      <c r="G2237" s="7" t="s">
        <v>4367</v>
      </c>
      <c r="H2237" s="5" t="s">
        <v>217</v>
      </c>
      <c r="I2237" s="6" t="s">
        <v>218</v>
      </c>
      <c r="J2237" s="7" t="s">
        <v>11</v>
      </c>
      <c r="K2237" s="36">
        <v>0.23</v>
      </c>
      <c r="L2237" s="37">
        <v>679</v>
      </c>
    </row>
    <row r="2238" spans="1:12" ht="19.95" customHeight="1" x14ac:dyDescent="0.3">
      <c r="A2238" s="2" t="s">
        <v>4417</v>
      </c>
      <c r="B2238" s="3" t="s">
        <v>4418</v>
      </c>
      <c r="C2238" s="2" t="s">
        <v>4976</v>
      </c>
      <c r="D2238" s="3" t="s">
        <v>5395</v>
      </c>
      <c r="E2238" s="2" t="s">
        <v>5197</v>
      </c>
      <c r="F2238" s="3" t="s">
        <v>5396</v>
      </c>
      <c r="G2238" s="3" t="s">
        <v>4367</v>
      </c>
      <c r="H2238" s="1" t="s">
        <v>209</v>
      </c>
      <c r="I2238" s="2" t="s">
        <v>210</v>
      </c>
      <c r="J2238" s="3" t="s">
        <v>11</v>
      </c>
      <c r="K2238" s="38">
        <v>0.77</v>
      </c>
      <c r="L2238" s="39">
        <v>558</v>
      </c>
    </row>
    <row r="2239" spans="1:12" ht="19.95" customHeight="1" x14ac:dyDescent="0.3">
      <c r="A2239" s="6" t="s">
        <v>4417</v>
      </c>
      <c r="B2239" s="7" t="s">
        <v>4418</v>
      </c>
      <c r="C2239" s="6" t="s">
        <v>4976</v>
      </c>
      <c r="D2239" s="7" t="s">
        <v>5395</v>
      </c>
      <c r="E2239" s="6" t="s">
        <v>5197</v>
      </c>
      <c r="F2239" s="7" t="s">
        <v>5397</v>
      </c>
      <c r="G2239" s="7" t="s">
        <v>4367</v>
      </c>
      <c r="H2239" s="5" t="s">
        <v>257</v>
      </c>
      <c r="I2239" s="6" t="s">
        <v>258</v>
      </c>
      <c r="J2239" s="7" t="s">
        <v>11</v>
      </c>
      <c r="K2239" s="36">
        <v>1.83</v>
      </c>
      <c r="L2239" s="37">
        <v>709</v>
      </c>
    </row>
    <row r="2240" spans="1:12" ht="19.95" customHeight="1" x14ac:dyDescent="0.3">
      <c r="A2240" s="2" t="s">
        <v>4417</v>
      </c>
      <c r="B2240" s="3" t="s">
        <v>4418</v>
      </c>
      <c r="C2240" s="2" t="s">
        <v>4976</v>
      </c>
      <c r="D2240" s="3" t="s">
        <v>5395</v>
      </c>
      <c r="E2240" s="2" t="s">
        <v>5197</v>
      </c>
      <c r="F2240" s="3" t="s">
        <v>5397</v>
      </c>
      <c r="G2240" s="3" t="s">
        <v>4367</v>
      </c>
      <c r="H2240" s="1" t="s">
        <v>217</v>
      </c>
      <c r="I2240" s="2" t="s">
        <v>218</v>
      </c>
      <c r="J2240" s="3" t="s">
        <v>11</v>
      </c>
      <c r="K2240" s="38">
        <v>0.23</v>
      </c>
      <c r="L2240" s="39">
        <v>679</v>
      </c>
    </row>
    <row r="2241" spans="1:12" ht="19.95" customHeight="1" x14ac:dyDescent="0.3">
      <c r="A2241" s="6" t="s">
        <v>4417</v>
      </c>
      <c r="B2241" s="7" t="s">
        <v>4418</v>
      </c>
      <c r="C2241" s="6" t="s">
        <v>4976</v>
      </c>
      <c r="D2241" s="7" t="s">
        <v>5395</v>
      </c>
      <c r="E2241" s="6" t="s">
        <v>5197</v>
      </c>
      <c r="F2241" s="7" t="s">
        <v>5397</v>
      </c>
      <c r="G2241" s="7" t="s">
        <v>4367</v>
      </c>
      <c r="H2241" s="5" t="s">
        <v>209</v>
      </c>
      <c r="I2241" s="6" t="s">
        <v>210</v>
      </c>
      <c r="J2241" s="7" t="s">
        <v>11</v>
      </c>
      <c r="K2241" s="36">
        <v>0.77</v>
      </c>
      <c r="L2241" s="37">
        <v>558</v>
      </c>
    </row>
    <row r="2242" spans="1:12" ht="19.95" customHeight="1" x14ac:dyDescent="0.3">
      <c r="A2242" s="2" t="s">
        <v>4417</v>
      </c>
      <c r="B2242" s="3" t="s">
        <v>4418</v>
      </c>
      <c r="C2242" s="2" t="s">
        <v>4976</v>
      </c>
      <c r="D2242" s="3" t="s">
        <v>5398</v>
      </c>
      <c r="E2242" s="2" t="s">
        <v>5200</v>
      </c>
      <c r="F2242" s="3" t="s">
        <v>5396</v>
      </c>
      <c r="G2242" s="3" t="s">
        <v>4367</v>
      </c>
      <c r="H2242" s="1" t="s">
        <v>257</v>
      </c>
      <c r="I2242" s="2" t="s">
        <v>258</v>
      </c>
      <c r="J2242" s="3" t="s">
        <v>11</v>
      </c>
      <c r="K2242" s="38">
        <v>1.83</v>
      </c>
      <c r="L2242" s="39">
        <v>709</v>
      </c>
    </row>
    <row r="2243" spans="1:12" ht="19.95" customHeight="1" x14ac:dyDescent="0.3">
      <c r="A2243" s="6" t="s">
        <v>4417</v>
      </c>
      <c r="B2243" s="7" t="s">
        <v>4418</v>
      </c>
      <c r="C2243" s="6" t="s">
        <v>4976</v>
      </c>
      <c r="D2243" s="7" t="s">
        <v>5398</v>
      </c>
      <c r="E2243" s="6" t="s">
        <v>5200</v>
      </c>
      <c r="F2243" s="7" t="s">
        <v>5396</v>
      </c>
      <c r="G2243" s="7" t="s">
        <v>4367</v>
      </c>
      <c r="H2243" s="5" t="s">
        <v>217</v>
      </c>
      <c r="I2243" s="6" t="s">
        <v>218</v>
      </c>
      <c r="J2243" s="7" t="s">
        <v>11</v>
      </c>
      <c r="K2243" s="36">
        <v>0.23</v>
      </c>
      <c r="L2243" s="37">
        <v>679</v>
      </c>
    </row>
    <row r="2244" spans="1:12" ht="19.95" customHeight="1" x14ac:dyDescent="0.3">
      <c r="A2244" s="2" t="s">
        <v>4417</v>
      </c>
      <c r="B2244" s="3" t="s">
        <v>4418</v>
      </c>
      <c r="C2244" s="2" t="s">
        <v>4976</v>
      </c>
      <c r="D2244" s="3" t="s">
        <v>5398</v>
      </c>
      <c r="E2244" s="2" t="s">
        <v>5200</v>
      </c>
      <c r="F2244" s="3" t="s">
        <v>5396</v>
      </c>
      <c r="G2244" s="3" t="s">
        <v>4367</v>
      </c>
      <c r="H2244" s="1" t="s">
        <v>209</v>
      </c>
      <c r="I2244" s="2" t="s">
        <v>210</v>
      </c>
      <c r="J2244" s="3" t="s">
        <v>11</v>
      </c>
      <c r="K2244" s="38">
        <v>0.77</v>
      </c>
      <c r="L2244" s="39">
        <v>558</v>
      </c>
    </row>
    <row r="2245" spans="1:12" ht="19.95" customHeight="1" x14ac:dyDescent="0.3">
      <c r="A2245" s="6" t="s">
        <v>4417</v>
      </c>
      <c r="B2245" s="7" t="s">
        <v>4418</v>
      </c>
      <c r="C2245" s="6" t="s">
        <v>4976</v>
      </c>
      <c r="D2245" s="7" t="s">
        <v>5398</v>
      </c>
      <c r="E2245" s="6" t="s">
        <v>5200</v>
      </c>
      <c r="F2245" s="7" t="s">
        <v>5397</v>
      </c>
      <c r="G2245" s="7" t="s">
        <v>4367</v>
      </c>
      <c r="H2245" s="5" t="s">
        <v>257</v>
      </c>
      <c r="I2245" s="6" t="s">
        <v>258</v>
      </c>
      <c r="J2245" s="7" t="s">
        <v>11</v>
      </c>
      <c r="K2245" s="36">
        <v>1.83</v>
      </c>
      <c r="L2245" s="37">
        <v>709</v>
      </c>
    </row>
    <row r="2246" spans="1:12" ht="19.95" customHeight="1" x14ac:dyDescent="0.3">
      <c r="A2246" s="2" t="s">
        <v>4417</v>
      </c>
      <c r="B2246" s="3" t="s">
        <v>4418</v>
      </c>
      <c r="C2246" s="2" t="s">
        <v>4976</v>
      </c>
      <c r="D2246" s="3" t="s">
        <v>5398</v>
      </c>
      <c r="E2246" s="2" t="s">
        <v>5200</v>
      </c>
      <c r="F2246" s="3" t="s">
        <v>5397</v>
      </c>
      <c r="G2246" s="3" t="s">
        <v>4367</v>
      </c>
      <c r="H2246" s="1" t="s">
        <v>217</v>
      </c>
      <c r="I2246" s="2" t="s">
        <v>218</v>
      </c>
      <c r="J2246" s="3" t="s">
        <v>11</v>
      </c>
      <c r="K2246" s="38">
        <v>0.23</v>
      </c>
      <c r="L2246" s="39">
        <v>679</v>
      </c>
    </row>
    <row r="2247" spans="1:12" ht="19.95" customHeight="1" x14ac:dyDescent="0.3">
      <c r="A2247" s="6" t="s">
        <v>4417</v>
      </c>
      <c r="B2247" s="7" t="s">
        <v>4418</v>
      </c>
      <c r="C2247" s="6" t="s">
        <v>4976</v>
      </c>
      <c r="D2247" s="7" t="s">
        <v>5398</v>
      </c>
      <c r="E2247" s="6" t="s">
        <v>5200</v>
      </c>
      <c r="F2247" s="7" t="s">
        <v>5397</v>
      </c>
      <c r="G2247" s="7" t="s">
        <v>4367</v>
      </c>
      <c r="H2247" s="5" t="s">
        <v>209</v>
      </c>
      <c r="I2247" s="6" t="s">
        <v>210</v>
      </c>
      <c r="J2247" s="7" t="s">
        <v>11</v>
      </c>
      <c r="K2247" s="36">
        <v>0.77</v>
      </c>
      <c r="L2247" s="37">
        <v>558</v>
      </c>
    </row>
    <row r="2248" spans="1:12" ht="19.95" customHeight="1" x14ac:dyDescent="0.3">
      <c r="A2248" s="2" t="s">
        <v>4417</v>
      </c>
      <c r="B2248" s="3" t="s">
        <v>4418</v>
      </c>
      <c r="C2248" s="2" t="s">
        <v>4976</v>
      </c>
      <c r="D2248" s="3" t="s">
        <v>5399</v>
      </c>
      <c r="E2248" s="2" t="s">
        <v>5400</v>
      </c>
      <c r="F2248" s="3" t="s">
        <v>5353</v>
      </c>
      <c r="G2248" s="3" t="s">
        <v>4367</v>
      </c>
      <c r="H2248" s="1" t="s">
        <v>203</v>
      </c>
      <c r="I2248" s="2" t="s">
        <v>204</v>
      </c>
      <c r="J2248" s="3" t="s">
        <v>11</v>
      </c>
      <c r="K2248" s="38">
        <v>0.17</v>
      </c>
      <c r="L2248" s="39">
        <v>738</v>
      </c>
    </row>
    <row r="2249" spans="1:12" ht="19.95" customHeight="1" x14ac:dyDescent="0.3">
      <c r="A2249" s="6" t="s">
        <v>4417</v>
      </c>
      <c r="B2249" s="7" t="s">
        <v>4418</v>
      </c>
      <c r="C2249" s="6" t="s">
        <v>4976</v>
      </c>
      <c r="D2249" s="7" t="s">
        <v>5401</v>
      </c>
      <c r="E2249" s="6" t="s">
        <v>5402</v>
      </c>
      <c r="F2249" s="7" t="s">
        <v>5353</v>
      </c>
      <c r="G2249" s="7" t="s">
        <v>4367</v>
      </c>
      <c r="H2249" s="5" t="s">
        <v>203</v>
      </c>
      <c r="I2249" s="6" t="s">
        <v>204</v>
      </c>
      <c r="J2249" s="7" t="s">
        <v>11</v>
      </c>
      <c r="K2249" s="36">
        <v>0.17</v>
      </c>
      <c r="L2249" s="37">
        <v>738</v>
      </c>
    </row>
    <row r="2250" spans="1:12" ht="19.95" customHeight="1" x14ac:dyDescent="0.3">
      <c r="A2250" s="2" t="s">
        <v>4417</v>
      </c>
      <c r="B2250" s="3" t="s">
        <v>4418</v>
      </c>
      <c r="C2250" s="2" t="s">
        <v>4976</v>
      </c>
      <c r="D2250" s="3" t="s">
        <v>5403</v>
      </c>
      <c r="E2250" s="2" t="s">
        <v>5404</v>
      </c>
      <c r="F2250" s="3" t="s">
        <v>5353</v>
      </c>
      <c r="G2250" s="3" t="s">
        <v>4367</v>
      </c>
      <c r="H2250" s="1" t="s">
        <v>203</v>
      </c>
      <c r="I2250" s="2" t="s">
        <v>204</v>
      </c>
      <c r="J2250" s="3" t="s">
        <v>11</v>
      </c>
      <c r="K2250" s="38">
        <v>0.17</v>
      </c>
      <c r="L2250" s="39">
        <v>738</v>
      </c>
    </row>
    <row r="2251" spans="1:12" ht="19.95" customHeight="1" x14ac:dyDescent="0.3">
      <c r="A2251" s="6" t="s">
        <v>4417</v>
      </c>
      <c r="B2251" s="7" t="s">
        <v>4418</v>
      </c>
      <c r="C2251" s="6" t="s">
        <v>4976</v>
      </c>
      <c r="D2251" s="7" t="s">
        <v>5405</v>
      </c>
      <c r="E2251" s="6" t="s">
        <v>5406</v>
      </c>
      <c r="F2251" s="7" t="s">
        <v>5407</v>
      </c>
      <c r="G2251" s="7" t="s">
        <v>4367</v>
      </c>
      <c r="H2251" s="5" t="s">
        <v>203</v>
      </c>
      <c r="I2251" s="6" t="s">
        <v>204</v>
      </c>
      <c r="J2251" s="7" t="s">
        <v>11</v>
      </c>
      <c r="K2251" s="36">
        <v>0.17</v>
      </c>
      <c r="L2251" s="37">
        <v>738</v>
      </c>
    </row>
    <row r="2252" spans="1:12" ht="19.95" customHeight="1" x14ac:dyDescent="0.3">
      <c r="A2252" s="2" t="s">
        <v>4417</v>
      </c>
      <c r="B2252" s="3" t="s">
        <v>4418</v>
      </c>
      <c r="C2252" s="2" t="s">
        <v>4976</v>
      </c>
      <c r="D2252" s="3" t="s">
        <v>5408</v>
      </c>
      <c r="E2252" s="2" t="s">
        <v>5409</v>
      </c>
      <c r="F2252" s="3" t="s">
        <v>4419</v>
      </c>
      <c r="G2252" s="3" t="s">
        <v>4367</v>
      </c>
      <c r="H2252" s="1" t="s">
        <v>203</v>
      </c>
      <c r="I2252" s="2" t="s">
        <v>204</v>
      </c>
      <c r="J2252" s="3" t="s">
        <v>11</v>
      </c>
      <c r="K2252" s="38">
        <v>0.14000000000000001</v>
      </c>
      <c r="L2252" s="39">
        <v>738</v>
      </c>
    </row>
    <row r="2253" spans="1:12" ht="19.95" customHeight="1" x14ac:dyDescent="0.3">
      <c r="A2253" s="6" t="s">
        <v>4417</v>
      </c>
      <c r="B2253" s="7" t="s">
        <v>4418</v>
      </c>
      <c r="C2253" s="6" t="s">
        <v>4976</v>
      </c>
      <c r="D2253" s="7" t="s">
        <v>5410</v>
      </c>
      <c r="E2253" s="6" t="s">
        <v>4998</v>
      </c>
      <c r="F2253" s="7" t="s">
        <v>4419</v>
      </c>
      <c r="G2253" s="7" t="s">
        <v>4367</v>
      </c>
      <c r="H2253" s="5" t="s">
        <v>203</v>
      </c>
      <c r="I2253" s="6" t="s">
        <v>204</v>
      </c>
      <c r="J2253" s="7" t="s">
        <v>11</v>
      </c>
      <c r="K2253" s="36">
        <v>0.06</v>
      </c>
      <c r="L2253" s="37">
        <v>738</v>
      </c>
    </row>
    <row r="2254" spans="1:12" ht="19.95" customHeight="1" x14ac:dyDescent="0.3">
      <c r="A2254" s="2" t="s">
        <v>4417</v>
      </c>
      <c r="B2254" s="3" t="s">
        <v>4418</v>
      </c>
      <c r="C2254" s="2" t="s">
        <v>4976</v>
      </c>
      <c r="D2254" s="3" t="s">
        <v>5411</v>
      </c>
      <c r="E2254" s="2" t="s">
        <v>5000</v>
      </c>
      <c r="F2254" s="3" t="s">
        <v>4419</v>
      </c>
      <c r="G2254" s="3" t="s">
        <v>4367</v>
      </c>
      <c r="H2254" s="1" t="s">
        <v>203</v>
      </c>
      <c r="I2254" s="2" t="s">
        <v>204</v>
      </c>
      <c r="J2254" s="3" t="s">
        <v>11</v>
      </c>
      <c r="K2254" s="38">
        <v>0.06</v>
      </c>
      <c r="L2254" s="39">
        <v>738</v>
      </c>
    </row>
    <row r="2255" spans="1:12" ht="19.95" customHeight="1" x14ac:dyDescent="0.3">
      <c r="A2255" s="6" t="s">
        <v>4417</v>
      </c>
      <c r="B2255" s="7" t="s">
        <v>4418</v>
      </c>
      <c r="C2255" s="6" t="s">
        <v>4976</v>
      </c>
      <c r="D2255" s="7" t="s">
        <v>5412</v>
      </c>
      <c r="E2255" s="6" t="s">
        <v>5002</v>
      </c>
      <c r="F2255" s="7" t="s">
        <v>4419</v>
      </c>
      <c r="G2255" s="7" t="s">
        <v>4367</v>
      </c>
      <c r="H2255" s="5" t="s">
        <v>203</v>
      </c>
      <c r="I2255" s="6" t="s">
        <v>204</v>
      </c>
      <c r="J2255" s="7" t="s">
        <v>11</v>
      </c>
      <c r="K2255" s="36">
        <v>0.06</v>
      </c>
      <c r="L2255" s="37">
        <v>738</v>
      </c>
    </row>
    <row r="2256" spans="1:12" ht="19.95" customHeight="1" x14ac:dyDescent="0.3">
      <c r="A2256" s="2" t="s">
        <v>4417</v>
      </c>
      <c r="B2256" s="3" t="s">
        <v>4418</v>
      </c>
      <c r="C2256" s="2" t="s">
        <v>4976</v>
      </c>
      <c r="D2256" s="3" t="s">
        <v>5413</v>
      </c>
      <c r="E2256" s="2" t="s">
        <v>5414</v>
      </c>
      <c r="F2256" s="3" t="s">
        <v>4419</v>
      </c>
      <c r="G2256" s="3" t="s">
        <v>4367</v>
      </c>
      <c r="H2256" s="1" t="s">
        <v>203</v>
      </c>
      <c r="I2256" s="2" t="s">
        <v>204</v>
      </c>
      <c r="J2256" s="3" t="s">
        <v>11</v>
      </c>
      <c r="K2256" s="38">
        <v>0.1</v>
      </c>
      <c r="L2256" s="39">
        <v>738</v>
      </c>
    </row>
    <row r="2257" spans="1:12" ht="19.95" customHeight="1" x14ac:dyDescent="0.3">
      <c r="A2257" s="6" t="s">
        <v>4417</v>
      </c>
      <c r="B2257" s="7" t="s">
        <v>4418</v>
      </c>
      <c r="C2257" s="6" t="s">
        <v>4976</v>
      </c>
      <c r="D2257" s="7" t="s">
        <v>5415</v>
      </c>
      <c r="E2257" s="6" t="s">
        <v>5381</v>
      </c>
      <c r="F2257" s="7" t="s">
        <v>4419</v>
      </c>
      <c r="G2257" s="7" t="s">
        <v>4367</v>
      </c>
      <c r="H2257" s="5" t="s">
        <v>203</v>
      </c>
      <c r="I2257" s="6" t="s">
        <v>204</v>
      </c>
      <c r="J2257" s="7" t="s">
        <v>11</v>
      </c>
      <c r="K2257" s="36">
        <v>0.1</v>
      </c>
      <c r="L2257" s="37">
        <v>738</v>
      </c>
    </row>
    <row r="2258" spans="1:12" ht="19.95" customHeight="1" x14ac:dyDescent="0.3">
      <c r="A2258" s="2" t="s">
        <v>4417</v>
      </c>
      <c r="B2258" s="3" t="s">
        <v>4418</v>
      </c>
      <c r="C2258" s="2" t="s">
        <v>4976</v>
      </c>
      <c r="D2258" s="3" t="s">
        <v>5416</v>
      </c>
      <c r="E2258" s="2" t="s">
        <v>5383</v>
      </c>
      <c r="F2258" s="3" t="s">
        <v>4419</v>
      </c>
      <c r="G2258" s="3" t="s">
        <v>4367</v>
      </c>
      <c r="H2258" s="1" t="s">
        <v>203</v>
      </c>
      <c r="I2258" s="2" t="s">
        <v>204</v>
      </c>
      <c r="J2258" s="3" t="s">
        <v>11</v>
      </c>
      <c r="K2258" s="38">
        <v>0.1</v>
      </c>
      <c r="L2258" s="39">
        <v>738</v>
      </c>
    </row>
    <row r="2259" spans="1:12" ht="19.95" customHeight="1" x14ac:dyDescent="0.3">
      <c r="A2259" s="6" t="s">
        <v>4417</v>
      </c>
      <c r="B2259" s="7" t="s">
        <v>4418</v>
      </c>
      <c r="C2259" s="6" t="s">
        <v>4976</v>
      </c>
      <c r="D2259" s="7" t="s">
        <v>5417</v>
      </c>
      <c r="E2259" s="6" t="s">
        <v>5385</v>
      </c>
      <c r="F2259" s="7" t="s">
        <v>4419</v>
      </c>
      <c r="G2259" s="7" t="s">
        <v>4367</v>
      </c>
      <c r="H2259" s="5" t="s">
        <v>203</v>
      </c>
      <c r="I2259" s="6" t="s">
        <v>204</v>
      </c>
      <c r="J2259" s="7" t="s">
        <v>11</v>
      </c>
      <c r="K2259" s="36">
        <v>0.1</v>
      </c>
      <c r="L2259" s="37">
        <v>738</v>
      </c>
    </row>
    <row r="2260" spans="1:12" ht="19.95" customHeight="1" x14ac:dyDescent="0.3">
      <c r="A2260" s="2" t="s">
        <v>4417</v>
      </c>
      <c r="B2260" s="3" t="s">
        <v>4418</v>
      </c>
      <c r="C2260" s="2" t="s">
        <v>4976</v>
      </c>
      <c r="D2260" s="3" t="s">
        <v>5418</v>
      </c>
      <c r="E2260" s="2" t="s">
        <v>5419</v>
      </c>
      <c r="F2260" s="3" t="s">
        <v>4419</v>
      </c>
      <c r="G2260" s="3" t="s">
        <v>4367</v>
      </c>
      <c r="H2260" s="1" t="s">
        <v>203</v>
      </c>
      <c r="I2260" s="2" t="s">
        <v>204</v>
      </c>
      <c r="J2260" s="3" t="s">
        <v>11</v>
      </c>
      <c r="K2260" s="38">
        <v>0.14000000000000001</v>
      </c>
      <c r="L2260" s="39">
        <v>738</v>
      </c>
    </row>
    <row r="2261" spans="1:12" ht="19.95" customHeight="1" x14ac:dyDescent="0.3">
      <c r="A2261" s="6" t="s">
        <v>4417</v>
      </c>
      <c r="B2261" s="7" t="s">
        <v>4418</v>
      </c>
      <c r="C2261" s="6" t="s">
        <v>4976</v>
      </c>
      <c r="D2261" s="7" t="s">
        <v>5418</v>
      </c>
      <c r="E2261" s="6" t="s">
        <v>5419</v>
      </c>
      <c r="F2261" s="7" t="s">
        <v>4419</v>
      </c>
      <c r="G2261" s="7" t="s">
        <v>4367</v>
      </c>
      <c r="H2261" s="5" t="s">
        <v>209</v>
      </c>
      <c r="I2261" s="6" t="s">
        <v>210</v>
      </c>
      <c r="J2261" s="7" t="s">
        <v>11</v>
      </c>
      <c r="K2261" s="36">
        <v>0.09</v>
      </c>
      <c r="L2261" s="37">
        <v>558</v>
      </c>
    </row>
    <row r="2262" spans="1:12" ht="19.95" customHeight="1" x14ac:dyDescent="0.3">
      <c r="A2262" s="2" t="s">
        <v>4417</v>
      </c>
      <c r="B2262" s="3" t="s">
        <v>4418</v>
      </c>
      <c r="C2262" s="2" t="s">
        <v>4976</v>
      </c>
      <c r="D2262" s="3" t="s">
        <v>5420</v>
      </c>
      <c r="E2262" s="2" t="s">
        <v>5421</v>
      </c>
      <c r="F2262" s="3" t="s">
        <v>4419</v>
      </c>
      <c r="G2262" s="3" t="s">
        <v>4367</v>
      </c>
      <c r="H2262" s="1" t="s">
        <v>203</v>
      </c>
      <c r="I2262" s="2" t="s">
        <v>204</v>
      </c>
      <c r="J2262" s="3" t="s">
        <v>11</v>
      </c>
      <c r="K2262" s="38">
        <v>0.14000000000000001</v>
      </c>
      <c r="L2262" s="39">
        <v>738</v>
      </c>
    </row>
    <row r="2263" spans="1:12" ht="19.95" customHeight="1" x14ac:dyDescent="0.3">
      <c r="A2263" s="6" t="s">
        <v>4417</v>
      </c>
      <c r="B2263" s="7" t="s">
        <v>4418</v>
      </c>
      <c r="C2263" s="6" t="s">
        <v>4976</v>
      </c>
      <c r="D2263" s="7" t="s">
        <v>5420</v>
      </c>
      <c r="E2263" s="6" t="s">
        <v>5421</v>
      </c>
      <c r="F2263" s="7" t="s">
        <v>4419</v>
      </c>
      <c r="G2263" s="7" t="s">
        <v>4367</v>
      </c>
      <c r="H2263" s="5" t="s">
        <v>209</v>
      </c>
      <c r="I2263" s="6" t="s">
        <v>210</v>
      </c>
      <c r="J2263" s="7" t="s">
        <v>11</v>
      </c>
      <c r="K2263" s="36">
        <v>0.09</v>
      </c>
      <c r="L2263" s="37">
        <v>558</v>
      </c>
    </row>
    <row r="2264" spans="1:12" ht="19.95" customHeight="1" x14ac:dyDescent="0.3">
      <c r="A2264" s="2" t="s">
        <v>4417</v>
      </c>
      <c r="B2264" s="3" t="s">
        <v>4418</v>
      </c>
      <c r="C2264" s="2" t="s">
        <v>4976</v>
      </c>
      <c r="D2264" s="3" t="s">
        <v>5422</v>
      </c>
      <c r="E2264" s="2" t="s">
        <v>5423</v>
      </c>
      <c r="F2264" s="3" t="s">
        <v>4419</v>
      </c>
      <c r="G2264" s="3" t="s">
        <v>4367</v>
      </c>
      <c r="H2264" s="1" t="s">
        <v>203</v>
      </c>
      <c r="I2264" s="2" t="s">
        <v>204</v>
      </c>
      <c r="J2264" s="3" t="s">
        <v>11</v>
      </c>
      <c r="K2264" s="38">
        <v>0.14000000000000001</v>
      </c>
      <c r="L2264" s="39">
        <v>738</v>
      </c>
    </row>
    <row r="2265" spans="1:12" ht="19.95" customHeight="1" x14ac:dyDescent="0.3">
      <c r="A2265" s="6" t="s">
        <v>4417</v>
      </c>
      <c r="B2265" s="7" t="s">
        <v>4418</v>
      </c>
      <c r="C2265" s="6" t="s">
        <v>4976</v>
      </c>
      <c r="D2265" s="7" t="s">
        <v>5422</v>
      </c>
      <c r="E2265" s="6" t="s">
        <v>5423</v>
      </c>
      <c r="F2265" s="7" t="s">
        <v>4419</v>
      </c>
      <c r="G2265" s="7" t="s">
        <v>4367</v>
      </c>
      <c r="H2265" s="5" t="s">
        <v>209</v>
      </c>
      <c r="I2265" s="6" t="s">
        <v>210</v>
      </c>
      <c r="J2265" s="7" t="s">
        <v>11</v>
      </c>
      <c r="K2265" s="36">
        <v>0.09</v>
      </c>
      <c r="L2265" s="37">
        <v>558</v>
      </c>
    </row>
    <row r="2266" spans="1:12" ht="19.95" customHeight="1" x14ac:dyDescent="0.3">
      <c r="A2266" s="2" t="s">
        <v>4417</v>
      </c>
      <c r="B2266" s="3" t="s">
        <v>4418</v>
      </c>
      <c r="C2266" s="2" t="s">
        <v>4976</v>
      </c>
      <c r="D2266" s="3" t="s">
        <v>5424</v>
      </c>
      <c r="E2266" s="2" t="s">
        <v>5425</v>
      </c>
      <c r="F2266" s="3" t="s">
        <v>4419</v>
      </c>
      <c r="G2266" s="3" t="s">
        <v>4367</v>
      </c>
      <c r="H2266" s="1" t="s">
        <v>203</v>
      </c>
      <c r="I2266" s="2" t="s">
        <v>204</v>
      </c>
      <c r="J2266" s="3" t="s">
        <v>11</v>
      </c>
      <c r="K2266" s="38">
        <v>0.14000000000000001</v>
      </c>
      <c r="L2266" s="39">
        <v>738</v>
      </c>
    </row>
    <row r="2267" spans="1:12" ht="19.95" customHeight="1" x14ac:dyDescent="0.3">
      <c r="A2267" s="6" t="s">
        <v>4417</v>
      </c>
      <c r="B2267" s="7" t="s">
        <v>4418</v>
      </c>
      <c r="C2267" s="6" t="s">
        <v>4976</v>
      </c>
      <c r="D2267" s="7" t="s">
        <v>5424</v>
      </c>
      <c r="E2267" s="6" t="s">
        <v>5425</v>
      </c>
      <c r="F2267" s="7" t="s">
        <v>4419</v>
      </c>
      <c r="G2267" s="7" t="s">
        <v>4367</v>
      </c>
      <c r="H2267" s="5" t="s">
        <v>209</v>
      </c>
      <c r="I2267" s="6" t="s">
        <v>210</v>
      </c>
      <c r="J2267" s="7" t="s">
        <v>11</v>
      </c>
      <c r="K2267" s="36">
        <v>0.09</v>
      </c>
      <c r="L2267" s="37">
        <v>558</v>
      </c>
    </row>
    <row r="2268" spans="1:12" ht="19.95" customHeight="1" x14ac:dyDescent="0.3">
      <c r="A2268" s="2" t="s">
        <v>4417</v>
      </c>
      <c r="B2268" s="3" t="s">
        <v>4418</v>
      </c>
      <c r="C2268" s="2" t="s">
        <v>4976</v>
      </c>
      <c r="D2268" s="3" t="s">
        <v>5426</v>
      </c>
      <c r="E2268" s="2" t="s">
        <v>5427</v>
      </c>
      <c r="F2268" s="3" t="s">
        <v>4419</v>
      </c>
      <c r="G2268" s="3" t="s">
        <v>4367</v>
      </c>
      <c r="H2268" s="1" t="s">
        <v>203</v>
      </c>
      <c r="I2268" s="2" t="s">
        <v>204</v>
      </c>
      <c r="J2268" s="3" t="s">
        <v>11</v>
      </c>
      <c r="K2268" s="38">
        <v>0.14000000000000001</v>
      </c>
      <c r="L2268" s="39">
        <v>738</v>
      </c>
    </row>
    <row r="2269" spans="1:12" ht="19.95" customHeight="1" x14ac:dyDescent="0.3">
      <c r="A2269" s="6" t="s">
        <v>4417</v>
      </c>
      <c r="B2269" s="7" t="s">
        <v>4418</v>
      </c>
      <c r="C2269" s="6" t="s">
        <v>4976</v>
      </c>
      <c r="D2269" s="7" t="s">
        <v>5426</v>
      </c>
      <c r="E2269" s="6" t="s">
        <v>5427</v>
      </c>
      <c r="F2269" s="7" t="s">
        <v>4419</v>
      </c>
      <c r="G2269" s="7" t="s">
        <v>4367</v>
      </c>
      <c r="H2269" s="5" t="s">
        <v>209</v>
      </c>
      <c r="I2269" s="6" t="s">
        <v>210</v>
      </c>
      <c r="J2269" s="7" t="s">
        <v>11</v>
      </c>
      <c r="K2269" s="36">
        <v>0.09</v>
      </c>
      <c r="L2269" s="37">
        <v>558</v>
      </c>
    </row>
    <row r="2270" spans="1:12" ht="19.95" customHeight="1" x14ac:dyDescent="0.3">
      <c r="A2270" s="2" t="s">
        <v>4417</v>
      </c>
      <c r="B2270" s="3" t="s">
        <v>4418</v>
      </c>
      <c r="C2270" s="2" t="s">
        <v>4976</v>
      </c>
      <c r="D2270" s="3" t="s">
        <v>5428</v>
      </c>
      <c r="E2270" s="2" t="s">
        <v>5429</v>
      </c>
      <c r="F2270" s="3" t="s">
        <v>4419</v>
      </c>
      <c r="G2270" s="3" t="s">
        <v>4367</v>
      </c>
      <c r="H2270" s="1" t="s">
        <v>203</v>
      </c>
      <c r="I2270" s="2" t="s">
        <v>204</v>
      </c>
      <c r="J2270" s="3" t="s">
        <v>11</v>
      </c>
      <c r="K2270" s="38">
        <v>0.14000000000000001</v>
      </c>
      <c r="L2270" s="39">
        <v>738</v>
      </c>
    </row>
    <row r="2271" spans="1:12" ht="19.95" customHeight="1" x14ac:dyDescent="0.3">
      <c r="A2271" s="6" t="s">
        <v>4417</v>
      </c>
      <c r="B2271" s="7" t="s">
        <v>4418</v>
      </c>
      <c r="C2271" s="6" t="s">
        <v>4976</v>
      </c>
      <c r="D2271" s="7" t="s">
        <v>5428</v>
      </c>
      <c r="E2271" s="6" t="s">
        <v>5429</v>
      </c>
      <c r="F2271" s="7" t="s">
        <v>4419</v>
      </c>
      <c r="G2271" s="7" t="s">
        <v>4367</v>
      </c>
      <c r="H2271" s="5" t="s">
        <v>209</v>
      </c>
      <c r="I2271" s="6" t="s">
        <v>210</v>
      </c>
      <c r="J2271" s="7" t="s">
        <v>11</v>
      </c>
      <c r="K2271" s="36">
        <v>0.09</v>
      </c>
      <c r="L2271" s="37">
        <v>558</v>
      </c>
    </row>
    <row r="2272" spans="1:12" ht="19.95" customHeight="1" x14ac:dyDescent="0.3">
      <c r="A2272" s="2" t="s">
        <v>4417</v>
      </c>
      <c r="B2272" s="3" t="s">
        <v>4418</v>
      </c>
      <c r="C2272" s="2" t="s">
        <v>4976</v>
      </c>
      <c r="D2272" s="3" t="s">
        <v>5430</v>
      </c>
      <c r="E2272" s="2" t="s">
        <v>5431</v>
      </c>
      <c r="F2272" s="3" t="s">
        <v>4419</v>
      </c>
      <c r="G2272" s="3" t="s">
        <v>4367</v>
      </c>
      <c r="H2272" s="1" t="s">
        <v>203</v>
      </c>
      <c r="I2272" s="2" t="s">
        <v>204</v>
      </c>
      <c r="J2272" s="3" t="s">
        <v>11</v>
      </c>
      <c r="K2272" s="38">
        <v>0.14000000000000001</v>
      </c>
      <c r="L2272" s="39">
        <v>738</v>
      </c>
    </row>
    <row r="2273" spans="1:12" ht="19.95" customHeight="1" x14ac:dyDescent="0.3">
      <c r="A2273" s="6" t="s">
        <v>4417</v>
      </c>
      <c r="B2273" s="7" t="s">
        <v>4418</v>
      </c>
      <c r="C2273" s="6" t="s">
        <v>4976</v>
      </c>
      <c r="D2273" s="7" t="s">
        <v>5430</v>
      </c>
      <c r="E2273" s="6" t="s">
        <v>5431</v>
      </c>
      <c r="F2273" s="7" t="s">
        <v>4419</v>
      </c>
      <c r="G2273" s="7" t="s">
        <v>4367</v>
      </c>
      <c r="H2273" s="5" t="s">
        <v>209</v>
      </c>
      <c r="I2273" s="6" t="s">
        <v>210</v>
      </c>
      <c r="J2273" s="7" t="s">
        <v>11</v>
      </c>
      <c r="K2273" s="36">
        <v>0.09</v>
      </c>
      <c r="L2273" s="37">
        <v>558</v>
      </c>
    </row>
    <row r="2274" spans="1:12" ht="19.95" customHeight="1" x14ac:dyDescent="0.3">
      <c r="A2274" s="2" t="s">
        <v>4417</v>
      </c>
      <c r="B2274" s="3" t="s">
        <v>4418</v>
      </c>
      <c r="C2274" s="2" t="s">
        <v>4976</v>
      </c>
      <c r="D2274" s="3" t="s">
        <v>5432</v>
      </c>
      <c r="E2274" s="2" t="s">
        <v>5433</v>
      </c>
      <c r="F2274" s="3" t="s">
        <v>4419</v>
      </c>
      <c r="G2274" s="3" t="s">
        <v>4367</v>
      </c>
      <c r="H2274" s="1" t="s">
        <v>203</v>
      </c>
      <c r="I2274" s="2" t="s">
        <v>204</v>
      </c>
      <c r="J2274" s="3" t="s">
        <v>11</v>
      </c>
      <c r="K2274" s="38">
        <v>0.14000000000000001</v>
      </c>
      <c r="L2274" s="39">
        <v>738</v>
      </c>
    </row>
    <row r="2275" spans="1:12" ht="19.95" customHeight="1" x14ac:dyDescent="0.3">
      <c r="A2275" s="6" t="s">
        <v>4417</v>
      </c>
      <c r="B2275" s="7" t="s">
        <v>4418</v>
      </c>
      <c r="C2275" s="6" t="s">
        <v>4976</v>
      </c>
      <c r="D2275" s="7" t="s">
        <v>5432</v>
      </c>
      <c r="E2275" s="6" t="s">
        <v>5433</v>
      </c>
      <c r="F2275" s="7" t="s">
        <v>4419</v>
      </c>
      <c r="G2275" s="7" t="s">
        <v>4367</v>
      </c>
      <c r="H2275" s="5" t="s">
        <v>209</v>
      </c>
      <c r="I2275" s="6" t="s">
        <v>210</v>
      </c>
      <c r="J2275" s="7" t="s">
        <v>11</v>
      </c>
      <c r="K2275" s="36">
        <v>0.09</v>
      </c>
      <c r="L2275" s="37">
        <v>558</v>
      </c>
    </row>
    <row r="2276" spans="1:12" ht="19.95" customHeight="1" x14ac:dyDescent="0.3">
      <c r="A2276" s="2" t="s">
        <v>4417</v>
      </c>
      <c r="B2276" s="3" t="s">
        <v>4418</v>
      </c>
      <c r="C2276" s="2" t="s">
        <v>4976</v>
      </c>
      <c r="D2276" s="3" t="s">
        <v>5434</v>
      </c>
      <c r="E2276" s="2" t="s">
        <v>5257</v>
      </c>
      <c r="F2276" s="3" t="s">
        <v>4419</v>
      </c>
      <c r="G2276" s="3" t="s">
        <v>4367</v>
      </c>
      <c r="H2276" s="1" t="s">
        <v>203</v>
      </c>
      <c r="I2276" s="2" t="s">
        <v>204</v>
      </c>
      <c r="J2276" s="3" t="s">
        <v>11</v>
      </c>
      <c r="K2276" s="38">
        <v>0.5</v>
      </c>
      <c r="L2276" s="39">
        <v>738</v>
      </c>
    </row>
    <row r="2277" spans="1:12" ht="19.95" customHeight="1" x14ac:dyDescent="0.3">
      <c r="A2277" s="6" t="s">
        <v>4417</v>
      </c>
      <c r="B2277" s="7" t="s">
        <v>4418</v>
      </c>
      <c r="C2277" s="6" t="s">
        <v>4976</v>
      </c>
      <c r="D2277" s="7" t="s">
        <v>5435</v>
      </c>
      <c r="E2277" s="6" t="s">
        <v>5259</v>
      </c>
      <c r="F2277" s="7" t="s">
        <v>4419</v>
      </c>
      <c r="G2277" s="7" t="s">
        <v>4367</v>
      </c>
      <c r="H2277" s="5" t="s">
        <v>203</v>
      </c>
      <c r="I2277" s="6" t="s">
        <v>204</v>
      </c>
      <c r="J2277" s="7" t="s">
        <v>11</v>
      </c>
      <c r="K2277" s="36">
        <v>0.5</v>
      </c>
      <c r="L2277" s="37">
        <v>738</v>
      </c>
    </row>
    <row r="2278" spans="1:12" ht="19.95" customHeight="1" x14ac:dyDescent="0.3">
      <c r="A2278" s="2" t="s">
        <v>4417</v>
      </c>
      <c r="B2278" s="3" t="s">
        <v>4418</v>
      </c>
      <c r="C2278" s="2" t="s">
        <v>4976</v>
      </c>
      <c r="D2278" s="3" t="s">
        <v>5436</v>
      </c>
      <c r="E2278" s="2" t="s">
        <v>5437</v>
      </c>
      <c r="F2278" s="3" t="s">
        <v>4419</v>
      </c>
      <c r="G2278" s="3" t="s">
        <v>4367</v>
      </c>
      <c r="H2278" s="1" t="s">
        <v>203</v>
      </c>
      <c r="I2278" s="2" t="s">
        <v>204</v>
      </c>
      <c r="J2278" s="3" t="s">
        <v>11</v>
      </c>
      <c r="K2278" s="38">
        <v>0.125</v>
      </c>
      <c r="L2278" s="39">
        <v>738</v>
      </c>
    </row>
    <row r="2279" spans="1:12" ht="19.95" customHeight="1" x14ac:dyDescent="0.3">
      <c r="A2279" s="6" t="s">
        <v>4417</v>
      </c>
      <c r="B2279" s="7" t="s">
        <v>4418</v>
      </c>
      <c r="C2279" s="6" t="s">
        <v>4976</v>
      </c>
      <c r="D2279" s="7" t="s">
        <v>5438</v>
      </c>
      <c r="E2279" s="6" t="s">
        <v>5261</v>
      </c>
      <c r="F2279" s="7" t="s">
        <v>4419</v>
      </c>
      <c r="G2279" s="7" t="s">
        <v>4367</v>
      </c>
      <c r="H2279" s="5" t="s">
        <v>203</v>
      </c>
      <c r="I2279" s="6" t="s">
        <v>204</v>
      </c>
      <c r="J2279" s="7" t="s">
        <v>11</v>
      </c>
      <c r="K2279" s="36">
        <v>0.125</v>
      </c>
      <c r="L2279" s="37">
        <v>738</v>
      </c>
    </row>
    <row r="2280" spans="1:12" ht="19.95" customHeight="1" x14ac:dyDescent="0.3">
      <c r="A2280" s="2" t="s">
        <v>4417</v>
      </c>
      <c r="B2280" s="3" t="s">
        <v>4418</v>
      </c>
      <c r="C2280" s="2" t="s">
        <v>4976</v>
      </c>
      <c r="D2280" s="3" t="s">
        <v>5439</v>
      </c>
      <c r="E2280" s="2" t="s">
        <v>5263</v>
      </c>
      <c r="F2280" s="3" t="s">
        <v>4419</v>
      </c>
      <c r="G2280" s="3" t="s">
        <v>4367</v>
      </c>
      <c r="H2280" s="1" t="s">
        <v>203</v>
      </c>
      <c r="I2280" s="2" t="s">
        <v>204</v>
      </c>
      <c r="J2280" s="3" t="s">
        <v>11</v>
      </c>
      <c r="K2280" s="38">
        <v>0.125</v>
      </c>
      <c r="L2280" s="39">
        <v>738</v>
      </c>
    </row>
    <row r="2281" spans="1:12" ht="19.95" customHeight="1" x14ac:dyDescent="0.3">
      <c r="A2281" s="6" t="s">
        <v>4417</v>
      </c>
      <c r="B2281" s="7" t="s">
        <v>4418</v>
      </c>
      <c r="C2281" s="6" t="s">
        <v>4976</v>
      </c>
      <c r="D2281" s="7" t="s">
        <v>5440</v>
      </c>
      <c r="E2281" s="6" t="s">
        <v>5265</v>
      </c>
      <c r="F2281" s="7" t="s">
        <v>4419</v>
      </c>
      <c r="G2281" s="7" t="s">
        <v>4367</v>
      </c>
      <c r="H2281" s="5" t="s">
        <v>203</v>
      </c>
      <c r="I2281" s="6" t="s">
        <v>204</v>
      </c>
      <c r="J2281" s="7" t="s">
        <v>11</v>
      </c>
      <c r="K2281" s="36">
        <v>0.08</v>
      </c>
      <c r="L2281" s="37">
        <v>738</v>
      </c>
    </row>
    <row r="2282" spans="1:12" ht="19.95" customHeight="1" x14ac:dyDescent="0.3">
      <c r="A2282" s="2" t="s">
        <v>4417</v>
      </c>
      <c r="B2282" s="3" t="s">
        <v>4418</v>
      </c>
      <c r="C2282" s="2" t="s">
        <v>4976</v>
      </c>
      <c r="D2282" s="3" t="s">
        <v>5441</v>
      </c>
      <c r="E2282" s="2" t="s">
        <v>5267</v>
      </c>
      <c r="F2282" s="3" t="s">
        <v>4419</v>
      </c>
      <c r="G2282" s="3" t="s">
        <v>4367</v>
      </c>
      <c r="H2282" s="1" t="s">
        <v>203</v>
      </c>
      <c r="I2282" s="2" t="s">
        <v>204</v>
      </c>
      <c r="J2282" s="3" t="s">
        <v>11</v>
      </c>
      <c r="K2282" s="38">
        <v>0.08</v>
      </c>
      <c r="L2282" s="39">
        <v>738</v>
      </c>
    </row>
    <row r="2283" spans="1:12" ht="19.95" customHeight="1" x14ac:dyDescent="0.3">
      <c r="A2283" s="6" t="s">
        <v>4417</v>
      </c>
      <c r="B2283" s="7" t="s">
        <v>4418</v>
      </c>
      <c r="C2283" s="6" t="s">
        <v>4976</v>
      </c>
      <c r="D2283" s="7" t="s">
        <v>5442</v>
      </c>
      <c r="E2283" s="6" t="s">
        <v>5443</v>
      </c>
      <c r="F2283" s="7" t="s">
        <v>5444</v>
      </c>
      <c r="G2283" s="7" t="s">
        <v>4367</v>
      </c>
      <c r="H2283" s="5" t="s">
        <v>205</v>
      </c>
      <c r="I2283" s="6" t="s">
        <v>206</v>
      </c>
      <c r="J2283" s="7" t="s">
        <v>11</v>
      </c>
      <c r="K2283" s="36">
        <v>0.25</v>
      </c>
      <c r="L2283" s="37">
        <v>679</v>
      </c>
    </row>
    <row r="2284" spans="1:12" ht="19.95" customHeight="1" x14ac:dyDescent="0.3">
      <c r="A2284" s="2" t="s">
        <v>4417</v>
      </c>
      <c r="B2284" s="3" t="s">
        <v>4418</v>
      </c>
      <c r="C2284" s="2" t="s">
        <v>4976</v>
      </c>
      <c r="D2284" s="3" t="s">
        <v>5445</v>
      </c>
      <c r="E2284" s="2" t="s">
        <v>5446</v>
      </c>
      <c r="F2284" s="3" t="s">
        <v>4419</v>
      </c>
      <c r="G2284" s="3" t="s">
        <v>4367</v>
      </c>
      <c r="H2284" s="1" t="s">
        <v>203</v>
      </c>
      <c r="I2284" s="2" t="s">
        <v>204</v>
      </c>
      <c r="J2284" s="3" t="s">
        <v>11</v>
      </c>
      <c r="K2284" s="38">
        <v>7.0000000000000007E-2</v>
      </c>
      <c r="L2284" s="39">
        <v>738</v>
      </c>
    </row>
    <row r="2285" spans="1:12" ht="19.95" customHeight="1" x14ac:dyDescent="0.3">
      <c r="A2285" s="6" t="s">
        <v>4417</v>
      </c>
      <c r="B2285" s="7" t="s">
        <v>4418</v>
      </c>
      <c r="C2285" s="6" t="s">
        <v>4976</v>
      </c>
      <c r="D2285" s="7" t="s">
        <v>5445</v>
      </c>
      <c r="E2285" s="6" t="s">
        <v>5446</v>
      </c>
      <c r="F2285" s="7" t="s">
        <v>4419</v>
      </c>
      <c r="G2285" s="7" t="s">
        <v>4367</v>
      </c>
      <c r="H2285" s="5" t="s">
        <v>209</v>
      </c>
      <c r="I2285" s="6" t="s">
        <v>210</v>
      </c>
      <c r="J2285" s="7" t="s">
        <v>11</v>
      </c>
      <c r="K2285" s="36">
        <v>0.05</v>
      </c>
      <c r="L2285" s="37">
        <v>558</v>
      </c>
    </row>
    <row r="2286" spans="1:12" ht="19.95" customHeight="1" x14ac:dyDescent="0.3">
      <c r="A2286" s="2" t="s">
        <v>4422</v>
      </c>
      <c r="B2286" s="3" t="s">
        <v>4418</v>
      </c>
      <c r="C2286" s="2" t="s">
        <v>4976</v>
      </c>
      <c r="D2286" s="3" t="s">
        <v>5447</v>
      </c>
      <c r="E2286" s="2" t="s">
        <v>5448</v>
      </c>
      <c r="F2286" s="3" t="s">
        <v>4368</v>
      </c>
      <c r="G2286" s="3" t="s">
        <v>4367</v>
      </c>
      <c r="H2286" s="1" t="s">
        <v>257</v>
      </c>
      <c r="I2286" s="2" t="s">
        <v>258</v>
      </c>
      <c r="J2286" s="3" t="s">
        <v>11</v>
      </c>
      <c r="K2286" s="38">
        <v>0.4</v>
      </c>
      <c r="L2286" s="39">
        <v>709</v>
      </c>
    </row>
    <row r="2287" spans="1:12" ht="19.95" customHeight="1" x14ac:dyDescent="0.3">
      <c r="A2287" s="6" t="s">
        <v>4422</v>
      </c>
      <c r="B2287" s="7" t="s">
        <v>4418</v>
      </c>
      <c r="C2287" s="6" t="s">
        <v>4976</v>
      </c>
      <c r="D2287" s="7" t="s">
        <v>5447</v>
      </c>
      <c r="E2287" s="6" t="s">
        <v>5448</v>
      </c>
      <c r="F2287" s="7" t="s">
        <v>4368</v>
      </c>
      <c r="G2287" s="7" t="s">
        <v>4367</v>
      </c>
      <c r="H2287" s="5" t="s">
        <v>209</v>
      </c>
      <c r="I2287" s="6" t="s">
        <v>210</v>
      </c>
      <c r="J2287" s="7" t="s">
        <v>11</v>
      </c>
      <c r="K2287" s="36">
        <v>0.4</v>
      </c>
      <c r="L2287" s="37">
        <v>558</v>
      </c>
    </row>
    <row r="2288" spans="1:12" ht="19.95" customHeight="1" x14ac:dyDescent="0.3">
      <c r="A2288" s="2" t="s">
        <v>4422</v>
      </c>
      <c r="B2288" s="3" t="s">
        <v>4418</v>
      </c>
      <c r="C2288" s="2" t="s">
        <v>4976</v>
      </c>
      <c r="D2288" s="3" t="s">
        <v>5449</v>
      </c>
      <c r="E2288" s="2" t="s">
        <v>5450</v>
      </c>
      <c r="F2288" s="3" t="s">
        <v>4368</v>
      </c>
      <c r="G2288" s="3" t="s">
        <v>4367</v>
      </c>
      <c r="H2288" s="1" t="s">
        <v>257</v>
      </c>
      <c r="I2288" s="2" t="s">
        <v>258</v>
      </c>
      <c r="J2288" s="3" t="s">
        <v>11</v>
      </c>
      <c r="K2288" s="38">
        <v>0.4</v>
      </c>
      <c r="L2288" s="39">
        <v>709</v>
      </c>
    </row>
    <row r="2289" spans="1:12" ht="19.95" customHeight="1" x14ac:dyDescent="0.3">
      <c r="A2289" s="6" t="s">
        <v>4422</v>
      </c>
      <c r="B2289" s="7" t="s">
        <v>4418</v>
      </c>
      <c r="C2289" s="6" t="s">
        <v>4976</v>
      </c>
      <c r="D2289" s="7" t="s">
        <v>5449</v>
      </c>
      <c r="E2289" s="6" t="s">
        <v>5450</v>
      </c>
      <c r="F2289" s="7" t="s">
        <v>4368</v>
      </c>
      <c r="G2289" s="7" t="s">
        <v>4367</v>
      </c>
      <c r="H2289" s="5" t="s">
        <v>209</v>
      </c>
      <c r="I2289" s="6" t="s">
        <v>210</v>
      </c>
      <c r="J2289" s="7" t="s">
        <v>11</v>
      </c>
      <c r="K2289" s="36">
        <v>0.4</v>
      </c>
      <c r="L2289" s="37">
        <v>558</v>
      </c>
    </row>
    <row r="2290" spans="1:12" ht="19.95" customHeight="1" x14ac:dyDescent="0.3">
      <c r="A2290" s="2" t="s">
        <v>4422</v>
      </c>
      <c r="B2290" s="3" t="s">
        <v>4418</v>
      </c>
      <c r="C2290" s="2" t="s">
        <v>4976</v>
      </c>
      <c r="D2290" s="3" t="s">
        <v>5451</v>
      </c>
      <c r="E2290" s="2" t="s">
        <v>5452</v>
      </c>
      <c r="F2290" s="3" t="s">
        <v>4368</v>
      </c>
      <c r="G2290" s="3" t="s">
        <v>4367</v>
      </c>
      <c r="H2290" s="1" t="s">
        <v>257</v>
      </c>
      <c r="I2290" s="2" t="s">
        <v>258</v>
      </c>
      <c r="J2290" s="3" t="s">
        <v>11</v>
      </c>
      <c r="K2290" s="38">
        <v>0.4</v>
      </c>
      <c r="L2290" s="39">
        <v>709</v>
      </c>
    </row>
    <row r="2291" spans="1:12" ht="19.95" customHeight="1" x14ac:dyDescent="0.3">
      <c r="A2291" s="6" t="s">
        <v>4422</v>
      </c>
      <c r="B2291" s="7" t="s">
        <v>4418</v>
      </c>
      <c r="C2291" s="6" t="s">
        <v>4976</v>
      </c>
      <c r="D2291" s="7" t="s">
        <v>5451</v>
      </c>
      <c r="E2291" s="6" t="s">
        <v>5452</v>
      </c>
      <c r="F2291" s="7" t="s">
        <v>4368</v>
      </c>
      <c r="G2291" s="7" t="s">
        <v>4367</v>
      </c>
      <c r="H2291" s="5" t="s">
        <v>209</v>
      </c>
      <c r="I2291" s="6" t="s">
        <v>210</v>
      </c>
      <c r="J2291" s="7" t="s">
        <v>11</v>
      </c>
      <c r="K2291" s="36">
        <v>0.4</v>
      </c>
      <c r="L2291" s="37">
        <v>558</v>
      </c>
    </row>
    <row r="2292" spans="1:12" ht="19.95" customHeight="1" x14ac:dyDescent="0.3">
      <c r="A2292" s="2" t="s">
        <v>4422</v>
      </c>
      <c r="B2292" s="3" t="s">
        <v>4418</v>
      </c>
      <c r="C2292" s="2" t="s">
        <v>4976</v>
      </c>
      <c r="D2292" s="3" t="s">
        <v>5453</v>
      </c>
      <c r="E2292" s="2" t="s">
        <v>5454</v>
      </c>
      <c r="F2292" s="3" t="s">
        <v>4426</v>
      </c>
      <c r="G2292" s="3" t="s">
        <v>4367</v>
      </c>
      <c r="H2292" s="1" t="s">
        <v>257</v>
      </c>
      <c r="I2292" s="2" t="s">
        <v>258</v>
      </c>
      <c r="J2292" s="3" t="s">
        <v>11</v>
      </c>
      <c r="K2292" s="38">
        <v>0.4</v>
      </c>
      <c r="L2292" s="39">
        <v>709</v>
      </c>
    </row>
    <row r="2293" spans="1:12" ht="19.95" customHeight="1" x14ac:dyDescent="0.3">
      <c r="A2293" s="6" t="s">
        <v>4422</v>
      </c>
      <c r="B2293" s="7" t="s">
        <v>4418</v>
      </c>
      <c r="C2293" s="6" t="s">
        <v>4976</v>
      </c>
      <c r="D2293" s="7" t="s">
        <v>5453</v>
      </c>
      <c r="E2293" s="6" t="s">
        <v>5454</v>
      </c>
      <c r="F2293" s="7" t="s">
        <v>4426</v>
      </c>
      <c r="G2293" s="7" t="s">
        <v>4367</v>
      </c>
      <c r="H2293" s="5" t="s">
        <v>209</v>
      </c>
      <c r="I2293" s="6" t="s">
        <v>210</v>
      </c>
      <c r="J2293" s="7" t="s">
        <v>11</v>
      </c>
      <c r="K2293" s="36">
        <v>0.4</v>
      </c>
      <c r="L2293" s="37">
        <v>558</v>
      </c>
    </row>
    <row r="2294" spans="1:12" ht="19.95" customHeight="1" x14ac:dyDescent="0.3">
      <c r="A2294" s="2" t="s">
        <v>4422</v>
      </c>
      <c r="B2294" s="3" t="s">
        <v>4418</v>
      </c>
      <c r="C2294" s="2" t="s">
        <v>4976</v>
      </c>
      <c r="D2294" s="3" t="s">
        <v>5455</v>
      </c>
      <c r="E2294" s="2" t="s">
        <v>5456</v>
      </c>
      <c r="F2294" s="3" t="s">
        <v>4426</v>
      </c>
      <c r="G2294" s="3" t="s">
        <v>4367</v>
      </c>
      <c r="H2294" s="1" t="s">
        <v>257</v>
      </c>
      <c r="I2294" s="2" t="s">
        <v>258</v>
      </c>
      <c r="J2294" s="3" t="s">
        <v>11</v>
      </c>
      <c r="K2294" s="38">
        <v>0.4</v>
      </c>
      <c r="L2294" s="39">
        <v>709</v>
      </c>
    </row>
    <row r="2295" spans="1:12" ht="19.95" customHeight="1" x14ac:dyDescent="0.3">
      <c r="A2295" s="6" t="s">
        <v>4422</v>
      </c>
      <c r="B2295" s="7" t="s">
        <v>4418</v>
      </c>
      <c r="C2295" s="6" t="s">
        <v>4976</v>
      </c>
      <c r="D2295" s="7" t="s">
        <v>5455</v>
      </c>
      <c r="E2295" s="6" t="s">
        <v>5456</v>
      </c>
      <c r="F2295" s="7" t="s">
        <v>4426</v>
      </c>
      <c r="G2295" s="7" t="s">
        <v>4367</v>
      </c>
      <c r="H2295" s="5" t="s">
        <v>209</v>
      </c>
      <c r="I2295" s="6" t="s">
        <v>210</v>
      </c>
      <c r="J2295" s="7" t="s">
        <v>11</v>
      </c>
      <c r="K2295" s="36">
        <v>0.4</v>
      </c>
      <c r="L2295" s="37">
        <v>558</v>
      </c>
    </row>
    <row r="2296" spans="1:12" ht="19.95" customHeight="1" x14ac:dyDescent="0.3">
      <c r="A2296" s="2" t="s">
        <v>4422</v>
      </c>
      <c r="B2296" s="3" t="s">
        <v>4418</v>
      </c>
      <c r="C2296" s="2" t="s">
        <v>4976</v>
      </c>
      <c r="D2296" s="3" t="s">
        <v>5457</v>
      </c>
      <c r="E2296" s="2" t="s">
        <v>5458</v>
      </c>
      <c r="F2296" s="3" t="s">
        <v>5051</v>
      </c>
      <c r="G2296" s="3" t="s">
        <v>4367</v>
      </c>
      <c r="H2296" s="1" t="s">
        <v>257</v>
      </c>
      <c r="I2296" s="2" t="s">
        <v>258</v>
      </c>
      <c r="J2296" s="3" t="s">
        <v>11</v>
      </c>
      <c r="K2296" s="38">
        <v>0.15</v>
      </c>
      <c r="L2296" s="39">
        <v>709</v>
      </c>
    </row>
    <row r="2297" spans="1:12" ht="19.95" customHeight="1" x14ac:dyDescent="0.3">
      <c r="A2297" s="6" t="s">
        <v>4422</v>
      </c>
      <c r="B2297" s="7" t="s">
        <v>4418</v>
      </c>
      <c r="C2297" s="6" t="s">
        <v>4976</v>
      </c>
      <c r="D2297" s="7" t="s">
        <v>5457</v>
      </c>
      <c r="E2297" s="6" t="s">
        <v>5458</v>
      </c>
      <c r="F2297" s="7" t="s">
        <v>5051</v>
      </c>
      <c r="G2297" s="7" t="s">
        <v>4367</v>
      </c>
      <c r="H2297" s="5" t="s">
        <v>209</v>
      </c>
      <c r="I2297" s="6" t="s">
        <v>210</v>
      </c>
      <c r="J2297" s="7" t="s">
        <v>11</v>
      </c>
      <c r="K2297" s="36">
        <v>0.15</v>
      </c>
      <c r="L2297" s="37">
        <v>558</v>
      </c>
    </row>
    <row r="2298" spans="1:12" ht="19.95" customHeight="1" x14ac:dyDescent="0.3">
      <c r="A2298" s="2" t="s">
        <v>4422</v>
      </c>
      <c r="B2298" s="3" t="s">
        <v>4418</v>
      </c>
      <c r="C2298" s="2" t="s">
        <v>4976</v>
      </c>
      <c r="D2298" s="3" t="s">
        <v>5459</v>
      </c>
      <c r="E2298" s="2" t="s">
        <v>5460</v>
      </c>
      <c r="F2298" s="3" t="s">
        <v>4426</v>
      </c>
      <c r="G2298" s="3" t="s">
        <v>4367</v>
      </c>
      <c r="H2298" s="1" t="s">
        <v>257</v>
      </c>
      <c r="I2298" s="2" t="s">
        <v>258</v>
      </c>
      <c r="J2298" s="3" t="s">
        <v>11</v>
      </c>
      <c r="K2298" s="38">
        <v>0.4</v>
      </c>
      <c r="L2298" s="39">
        <v>709</v>
      </c>
    </row>
    <row r="2299" spans="1:12" ht="19.95" customHeight="1" x14ac:dyDescent="0.3">
      <c r="A2299" s="6" t="s">
        <v>4422</v>
      </c>
      <c r="B2299" s="7" t="s">
        <v>4418</v>
      </c>
      <c r="C2299" s="6" t="s">
        <v>4976</v>
      </c>
      <c r="D2299" s="7" t="s">
        <v>5459</v>
      </c>
      <c r="E2299" s="6" t="s">
        <v>5460</v>
      </c>
      <c r="F2299" s="7" t="s">
        <v>4426</v>
      </c>
      <c r="G2299" s="7" t="s">
        <v>4367</v>
      </c>
      <c r="H2299" s="5" t="s">
        <v>209</v>
      </c>
      <c r="I2299" s="6" t="s">
        <v>210</v>
      </c>
      <c r="J2299" s="7" t="s">
        <v>11</v>
      </c>
      <c r="K2299" s="36">
        <v>0.4</v>
      </c>
      <c r="L2299" s="37">
        <v>558</v>
      </c>
    </row>
    <row r="2300" spans="1:12" ht="19.95" customHeight="1" x14ac:dyDescent="0.3">
      <c r="A2300" s="2" t="s">
        <v>4422</v>
      </c>
      <c r="B2300" s="3" t="s">
        <v>4418</v>
      </c>
      <c r="C2300" s="2" t="s">
        <v>4976</v>
      </c>
      <c r="D2300" s="3" t="s">
        <v>5461</v>
      </c>
      <c r="E2300" s="2" t="s">
        <v>5462</v>
      </c>
      <c r="F2300" s="3" t="s">
        <v>4426</v>
      </c>
      <c r="G2300" s="3" t="s">
        <v>4367</v>
      </c>
      <c r="H2300" s="1" t="s">
        <v>257</v>
      </c>
      <c r="I2300" s="2" t="s">
        <v>258</v>
      </c>
      <c r="J2300" s="3" t="s">
        <v>11</v>
      </c>
      <c r="K2300" s="38">
        <v>0.4</v>
      </c>
      <c r="L2300" s="39">
        <v>709</v>
      </c>
    </row>
    <row r="2301" spans="1:12" ht="19.95" customHeight="1" x14ac:dyDescent="0.3">
      <c r="A2301" s="6" t="s">
        <v>4422</v>
      </c>
      <c r="B2301" s="7" t="s">
        <v>4418</v>
      </c>
      <c r="C2301" s="6" t="s">
        <v>4976</v>
      </c>
      <c r="D2301" s="7" t="s">
        <v>5461</v>
      </c>
      <c r="E2301" s="6" t="s">
        <v>5462</v>
      </c>
      <c r="F2301" s="7" t="s">
        <v>4426</v>
      </c>
      <c r="G2301" s="7" t="s">
        <v>4367</v>
      </c>
      <c r="H2301" s="5" t="s">
        <v>209</v>
      </c>
      <c r="I2301" s="6" t="s">
        <v>210</v>
      </c>
      <c r="J2301" s="7" t="s">
        <v>11</v>
      </c>
      <c r="K2301" s="36">
        <v>0.4</v>
      </c>
      <c r="L2301" s="37">
        <v>558</v>
      </c>
    </row>
    <row r="2302" spans="1:12" ht="19.95" customHeight="1" x14ac:dyDescent="0.3">
      <c r="A2302" s="2" t="s">
        <v>4422</v>
      </c>
      <c r="B2302" s="3" t="s">
        <v>4418</v>
      </c>
      <c r="C2302" s="2" t="s">
        <v>4976</v>
      </c>
      <c r="D2302" s="3" t="s">
        <v>5463</v>
      </c>
      <c r="E2302" s="2" t="s">
        <v>5464</v>
      </c>
      <c r="F2302" s="3" t="s">
        <v>4390</v>
      </c>
      <c r="G2302" s="3" t="s">
        <v>4367</v>
      </c>
      <c r="H2302" s="1" t="s">
        <v>203</v>
      </c>
      <c r="I2302" s="2" t="s">
        <v>204</v>
      </c>
      <c r="J2302" s="3" t="s">
        <v>11</v>
      </c>
      <c r="K2302" s="38">
        <v>0.11</v>
      </c>
      <c r="L2302" s="39">
        <v>738</v>
      </c>
    </row>
    <row r="2303" spans="1:12" ht="19.95" customHeight="1" x14ac:dyDescent="0.3">
      <c r="A2303" s="6" t="s">
        <v>4422</v>
      </c>
      <c r="B2303" s="7" t="s">
        <v>4418</v>
      </c>
      <c r="C2303" s="6" t="s">
        <v>4976</v>
      </c>
      <c r="D2303" s="7" t="s">
        <v>5463</v>
      </c>
      <c r="E2303" s="6" t="s">
        <v>5464</v>
      </c>
      <c r="F2303" s="7" t="s">
        <v>4390</v>
      </c>
      <c r="G2303" s="7" t="s">
        <v>4367</v>
      </c>
      <c r="H2303" s="5" t="s">
        <v>209</v>
      </c>
      <c r="I2303" s="6" t="s">
        <v>210</v>
      </c>
      <c r="J2303" s="7" t="s">
        <v>11</v>
      </c>
      <c r="K2303" s="36">
        <v>0.14000000000000001</v>
      </c>
      <c r="L2303" s="37">
        <v>558</v>
      </c>
    </row>
    <row r="2304" spans="1:12" ht="19.95" customHeight="1" x14ac:dyDescent="0.3">
      <c r="A2304" s="2" t="s">
        <v>4422</v>
      </c>
      <c r="B2304" s="3" t="s">
        <v>4418</v>
      </c>
      <c r="C2304" s="2" t="s">
        <v>4976</v>
      </c>
      <c r="D2304" s="3" t="s">
        <v>5463</v>
      </c>
      <c r="E2304" s="2" t="s">
        <v>5464</v>
      </c>
      <c r="F2304" s="3" t="s">
        <v>4390</v>
      </c>
      <c r="G2304" s="3" t="s">
        <v>4367</v>
      </c>
      <c r="H2304" s="1" t="s">
        <v>235</v>
      </c>
      <c r="I2304" s="2" t="s">
        <v>236</v>
      </c>
      <c r="J2304" s="3" t="s">
        <v>11</v>
      </c>
      <c r="K2304" s="38">
        <v>0.02</v>
      </c>
      <c r="L2304" s="39">
        <v>738</v>
      </c>
    </row>
    <row r="2305" spans="1:12" ht="19.95" customHeight="1" x14ac:dyDescent="0.3">
      <c r="A2305" s="6" t="s">
        <v>4422</v>
      </c>
      <c r="B2305" s="7" t="s">
        <v>4418</v>
      </c>
      <c r="C2305" s="6" t="s">
        <v>4976</v>
      </c>
      <c r="D2305" s="7" t="s">
        <v>5465</v>
      </c>
      <c r="E2305" s="6" t="s">
        <v>5466</v>
      </c>
      <c r="F2305" s="7" t="s">
        <v>5051</v>
      </c>
      <c r="G2305" s="7" t="s">
        <v>4367</v>
      </c>
      <c r="H2305" s="5" t="s">
        <v>257</v>
      </c>
      <c r="I2305" s="6" t="s">
        <v>258</v>
      </c>
      <c r="J2305" s="7" t="s">
        <v>11</v>
      </c>
      <c r="K2305" s="36">
        <v>0.15</v>
      </c>
      <c r="L2305" s="37">
        <v>709</v>
      </c>
    </row>
    <row r="2306" spans="1:12" ht="19.95" customHeight="1" x14ac:dyDescent="0.3">
      <c r="A2306" s="2" t="s">
        <v>4422</v>
      </c>
      <c r="B2306" s="3" t="s">
        <v>4418</v>
      </c>
      <c r="C2306" s="2" t="s">
        <v>4976</v>
      </c>
      <c r="D2306" s="3" t="s">
        <v>5465</v>
      </c>
      <c r="E2306" s="2" t="s">
        <v>5466</v>
      </c>
      <c r="F2306" s="3" t="s">
        <v>5051</v>
      </c>
      <c r="G2306" s="3" t="s">
        <v>4367</v>
      </c>
      <c r="H2306" s="1" t="s">
        <v>209</v>
      </c>
      <c r="I2306" s="2" t="s">
        <v>210</v>
      </c>
      <c r="J2306" s="3" t="s">
        <v>11</v>
      </c>
      <c r="K2306" s="38">
        <v>0.15</v>
      </c>
      <c r="L2306" s="39">
        <v>558</v>
      </c>
    </row>
    <row r="2307" spans="1:12" ht="19.95" customHeight="1" x14ac:dyDescent="0.3">
      <c r="A2307" s="6" t="s">
        <v>4422</v>
      </c>
      <c r="B2307" s="7" t="s">
        <v>4418</v>
      </c>
      <c r="C2307" s="6" t="s">
        <v>4976</v>
      </c>
      <c r="D2307" s="7" t="s">
        <v>5467</v>
      </c>
      <c r="E2307" s="6" t="s">
        <v>5468</v>
      </c>
      <c r="F2307" s="7" t="s">
        <v>5051</v>
      </c>
      <c r="G2307" s="7" t="s">
        <v>4367</v>
      </c>
      <c r="H2307" s="5" t="s">
        <v>257</v>
      </c>
      <c r="I2307" s="6" t="s">
        <v>258</v>
      </c>
      <c r="J2307" s="7" t="s">
        <v>11</v>
      </c>
      <c r="K2307" s="36">
        <v>0.15</v>
      </c>
      <c r="L2307" s="37">
        <v>709</v>
      </c>
    </row>
    <row r="2308" spans="1:12" ht="19.95" customHeight="1" x14ac:dyDescent="0.3">
      <c r="A2308" s="2" t="s">
        <v>4422</v>
      </c>
      <c r="B2308" s="3" t="s">
        <v>4418</v>
      </c>
      <c r="C2308" s="2" t="s">
        <v>4976</v>
      </c>
      <c r="D2308" s="3" t="s">
        <v>5467</v>
      </c>
      <c r="E2308" s="2" t="s">
        <v>5468</v>
      </c>
      <c r="F2308" s="3" t="s">
        <v>5051</v>
      </c>
      <c r="G2308" s="3" t="s">
        <v>4367</v>
      </c>
      <c r="H2308" s="1" t="s">
        <v>209</v>
      </c>
      <c r="I2308" s="2" t="s">
        <v>210</v>
      </c>
      <c r="J2308" s="3" t="s">
        <v>11</v>
      </c>
      <c r="K2308" s="38">
        <v>0.15</v>
      </c>
      <c r="L2308" s="39">
        <v>558</v>
      </c>
    </row>
    <row r="2309" spans="1:12" ht="19.95" customHeight="1" x14ac:dyDescent="0.3">
      <c r="A2309" s="6" t="s">
        <v>4422</v>
      </c>
      <c r="B2309" s="7" t="s">
        <v>4418</v>
      </c>
      <c r="C2309" s="6" t="s">
        <v>4976</v>
      </c>
      <c r="D2309" s="7" t="s">
        <v>5469</v>
      </c>
      <c r="E2309" s="6" t="s">
        <v>5470</v>
      </c>
      <c r="F2309" s="7" t="s">
        <v>4424</v>
      </c>
      <c r="G2309" s="7" t="s">
        <v>4367</v>
      </c>
      <c r="H2309" s="5" t="s">
        <v>257</v>
      </c>
      <c r="I2309" s="6" t="s">
        <v>258</v>
      </c>
      <c r="J2309" s="7" t="s">
        <v>11</v>
      </c>
      <c r="K2309" s="36">
        <v>0.4</v>
      </c>
      <c r="L2309" s="37">
        <v>709</v>
      </c>
    </row>
    <row r="2310" spans="1:12" ht="19.95" customHeight="1" x14ac:dyDescent="0.3">
      <c r="A2310" s="2" t="s">
        <v>4422</v>
      </c>
      <c r="B2310" s="3" t="s">
        <v>4418</v>
      </c>
      <c r="C2310" s="2" t="s">
        <v>4976</v>
      </c>
      <c r="D2310" s="3" t="s">
        <v>5469</v>
      </c>
      <c r="E2310" s="2" t="s">
        <v>5470</v>
      </c>
      <c r="F2310" s="3" t="s">
        <v>4424</v>
      </c>
      <c r="G2310" s="3" t="s">
        <v>4367</v>
      </c>
      <c r="H2310" s="1" t="s">
        <v>209</v>
      </c>
      <c r="I2310" s="2" t="s">
        <v>210</v>
      </c>
      <c r="J2310" s="3" t="s">
        <v>11</v>
      </c>
      <c r="K2310" s="38">
        <v>0.4</v>
      </c>
      <c r="L2310" s="39">
        <v>558</v>
      </c>
    </row>
    <row r="2311" spans="1:12" ht="19.95" customHeight="1" x14ac:dyDescent="0.3">
      <c r="A2311" s="6" t="s">
        <v>4422</v>
      </c>
      <c r="B2311" s="7" t="s">
        <v>4418</v>
      </c>
      <c r="C2311" s="6" t="s">
        <v>4976</v>
      </c>
      <c r="D2311" s="7" t="s">
        <v>5471</v>
      </c>
      <c r="E2311" s="6" t="s">
        <v>5472</v>
      </c>
      <c r="F2311" s="7" t="s">
        <v>5051</v>
      </c>
      <c r="G2311" s="7" t="s">
        <v>4367</v>
      </c>
      <c r="H2311" s="5" t="s">
        <v>257</v>
      </c>
      <c r="I2311" s="6" t="s">
        <v>258</v>
      </c>
      <c r="J2311" s="7" t="s">
        <v>11</v>
      </c>
      <c r="K2311" s="36">
        <v>0.15</v>
      </c>
      <c r="L2311" s="37">
        <v>709</v>
      </c>
    </row>
    <row r="2312" spans="1:12" ht="19.95" customHeight="1" x14ac:dyDescent="0.3">
      <c r="A2312" s="2" t="s">
        <v>4422</v>
      </c>
      <c r="B2312" s="3" t="s">
        <v>4418</v>
      </c>
      <c r="C2312" s="2" t="s">
        <v>4976</v>
      </c>
      <c r="D2312" s="3" t="s">
        <v>5471</v>
      </c>
      <c r="E2312" s="2" t="s">
        <v>5472</v>
      </c>
      <c r="F2312" s="3" t="s">
        <v>5051</v>
      </c>
      <c r="G2312" s="3" t="s">
        <v>4367</v>
      </c>
      <c r="H2312" s="1" t="s">
        <v>209</v>
      </c>
      <c r="I2312" s="2" t="s">
        <v>210</v>
      </c>
      <c r="J2312" s="3" t="s">
        <v>11</v>
      </c>
      <c r="K2312" s="38">
        <v>0.15</v>
      </c>
      <c r="L2312" s="39">
        <v>558</v>
      </c>
    </row>
    <row r="2313" spans="1:12" ht="19.95" customHeight="1" x14ac:dyDescent="0.3">
      <c r="A2313" s="6" t="s">
        <v>4422</v>
      </c>
      <c r="B2313" s="7" t="s">
        <v>4418</v>
      </c>
      <c r="C2313" s="6" t="s">
        <v>4976</v>
      </c>
      <c r="D2313" s="7" t="s">
        <v>5473</v>
      </c>
      <c r="E2313" s="6" t="s">
        <v>5474</v>
      </c>
      <c r="F2313" s="7" t="s">
        <v>4424</v>
      </c>
      <c r="G2313" s="7" t="s">
        <v>4367</v>
      </c>
      <c r="H2313" s="5" t="s">
        <v>257</v>
      </c>
      <c r="I2313" s="6" t="s">
        <v>258</v>
      </c>
      <c r="J2313" s="7" t="s">
        <v>11</v>
      </c>
      <c r="K2313" s="36">
        <v>0.4</v>
      </c>
      <c r="L2313" s="37">
        <v>709</v>
      </c>
    </row>
    <row r="2314" spans="1:12" ht="19.95" customHeight="1" x14ac:dyDescent="0.3">
      <c r="A2314" s="2" t="s">
        <v>4422</v>
      </c>
      <c r="B2314" s="3" t="s">
        <v>4418</v>
      </c>
      <c r="C2314" s="2" t="s">
        <v>4976</v>
      </c>
      <c r="D2314" s="3" t="s">
        <v>5473</v>
      </c>
      <c r="E2314" s="2" t="s">
        <v>5474</v>
      </c>
      <c r="F2314" s="3" t="s">
        <v>4424</v>
      </c>
      <c r="G2314" s="3" t="s">
        <v>4367</v>
      </c>
      <c r="H2314" s="1" t="s">
        <v>209</v>
      </c>
      <c r="I2314" s="2" t="s">
        <v>210</v>
      </c>
      <c r="J2314" s="3" t="s">
        <v>11</v>
      </c>
      <c r="K2314" s="38">
        <v>0.4</v>
      </c>
      <c r="L2314" s="39">
        <v>558</v>
      </c>
    </row>
    <row r="2315" spans="1:12" ht="19.95" customHeight="1" x14ac:dyDescent="0.3">
      <c r="A2315" s="6" t="s">
        <v>4422</v>
      </c>
      <c r="B2315" s="7" t="s">
        <v>4418</v>
      </c>
      <c r="C2315" s="6" t="s">
        <v>4976</v>
      </c>
      <c r="D2315" s="7" t="s">
        <v>5473</v>
      </c>
      <c r="E2315" s="6" t="s">
        <v>5474</v>
      </c>
      <c r="F2315" s="7" t="s">
        <v>4424</v>
      </c>
      <c r="G2315" s="7" t="s">
        <v>4367</v>
      </c>
      <c r="H2315" s="5" t="s">
        <v>267</v>
      </c>
      <c r="I2315" s="6" t="s">
        <v>4423</v>
      </c>
      <c r="J2315" s="7" t="s">
        <v>169</v>
      </c>
      <c r="K2315" s="36">
        <v>0.68</v>
      </c>
      <c r="L2315" s="37">
        <v>485</v>
      </c>
    </row>
    <row r="2316" spans="1:12" ht="19.95" customHeight="1" x14ac:dyDescent="0.3">
      <c r="A2316" s="2" t="s">
        <v>4422</v>
      </c>
      <c r="B2316" s="3" t="s">
        <v>4418</v>
      </c>
      <c r="C2316" s="2" t="s">
        <v>4976</v>
      </c>
      <c r="D2316" s="3" t="s">
        <v>5473</v>
      </c>
      <c r="E2316" s="2" t="s">
        <v>5474</v>
      </c>
      <c r="F2316" s="3" t="s">
        <v>4424</v>
      </c>
      <c r="G2316" s="3" t="s">
        <v>4367</v>
      </c>
      <c r="H2316" s="1" t="s">
        <v>269</v>
      </c>
      <c r="I2316" s="2" t="s">
        <v>4425</v>
      </c>
      <c r="J2316" s="3" t="s">
        <v>169</v>
      </c>
      <c r="K2316" s="38">
        <v>0.68</v>
      </c>
      <c r="L2316" s="39">
        <v>430</v>
      </c>
    </row>
    <row r="2317" spans="1:12" ht="19.95" customHeight="1" x14ac:dyDescent="0.3">
      <c r="A2317" s="6" t="s">
        <v>4422</v>
      </c>
      <c r="B2317" s="7" t="s">
        <v>4418</v>
      </c>
      <c r="C2317" s="6" t="s">
        <v>4976</v>
      </c>
      <c r="D2317" s="7" t="s">
        <v>5473</v>
      </c>
      <c r="E2317" s="6" t="s">
        <v>5474</v>
      </c>
      <c r="F2317" s="7" t="s">
        <v>4424</v>
      </c>
      <c r="G2317" s="7" t="s">
        <v>4367</v>
      </c>
      <c r="H2317" s="5" t="s">
        <v>267</v>
      </c>
      <c r="I2317" s="6" t="s">
        <v>4423</v>
      </c>
      <c r="J2317" s="7" t="s">
        <v>169</v>
      </c>
      <c r="K2317" s="36">
        <v>1.35</v>
      </c>
      <c r="L2317" s="37">
        <v>485</v>
      </c>
    </row>
    <row r="2318" spans="1:12" ht="19.95" customHeight="1" x14ac:dyDescent="0.3">
      <c r="A2318" s="2" t="s">
        <v>4422</v>
      </c>
      <c r="B2318" s="3" t="s">
        <v>4418</v>
      </c>
      <c r="C2318" s="2" t="s">
        <v>4976</v>
      </c>
      <c r="D2318" s="3" t="s">
        <v>5473</v>
      </c>
      <c r="E2318" s="2" t="s">
        <v>5474</v>
      </c>
      <c r="F2318" s="3" t="s">
        <v>4424</v>
      </c>
      <c r="G2318" s="3" t="s">
        <v>4367</v>
      </c>
      <c r="H2318" s="1" t="s">
        <v>269</v>
      </c>
      <c r="I2318" s="2" t="s">
        <v>4425</v>
      </c>
      <c r="J2318" s="3" t="s">
        <v>169</v>
      </c>
      <c r="K2318" s="38">
        <v>1.35</v>
      </c>
      <c r="L2318" s="39">
        <v>430</v>
      </c>
    </row>
    <row r="2319" spans="1:12" ht="19.95" customHeight="1" x14ac:dyDescent="0.3">
      <c r="A2319" s="6" t="s">
        <v>4422</v>
      </c>
      <c r="B2319" s="7" t="s">
        <v>4418</v>
      </c>
      <c r="C2319" s="6" t="s">
        <v>4976</v>
      </c>
      <c r="D2319" s="7" t="s">
        <v>5473</v>
      </c>
      <c r="E2319" s="6" t="s">
        <v>5474</v>
      </c>
      <c r="F2319" s="7" t="s">
        <v>4424</v>
      </c>
      <c r="G2319" s="7" t="s">
        <v>4367</v>
      </c>
      <c r="H2319" s="5" t="s">
        <v>267</v>
      </c>
      <c r="I2319" s="6" t="s">
        <v>4423</v>
      </c>
      <c r="J2319" s="7" t="s">
        <v>169</v>
      </c>
      <c r="K2319" s="36">
        <v>2.16</v>
      </c>
      <c r="L2319" s="37">
        <v>485</v>
      </c>
    </row>
    <row r="2320" spans="1:12" ht="19.95" customHeight="1" x14ac:dyDescent="0.3">
      <c r="A2320" s="2" t="s">
        <v>4422</v>
      </c>
      <c r="B2320" s="3" t="s">
        <v>4418</v>
      </c>
      <c r="C2320" s="2" t="s">
        <v>4976</v>
      </c>
      <c r="D2320" s="3" t="s">
        <v>5473</v>
      </c>
      <c r="E2320" s="2" t="s">
        <v>5474</v>
      </c>
      <c r="F2320" s="3" t="s">
        <v>4424</v>
      </c>
      <c r="G2320" s="3" t="s">
        <v>4367</v>
      </c>
      <c r="H2320" s="1" t="s">
        <v>269</v>
      </c>
      <c r="I2320" s="2" t="s">
        <v>4425</v>
      </c>
      <c r="J2320" s="3" t="s">
        <v>169</v>
      </c>
      <c r="K2320" s="38">
        <v>2.16</v>
      </c>
      <c r="L2320" s="39">
        <v>430</v>
      </c>
    </row>
    <row r="2321" spans="1:12" ht="19.95" customHeight="1" x14ac:dyDescent="0.3">
      <c r="A2321" s="6" t="s">
        <v>4422</v>
      </c>
      <c r="B2321" s="7" t="s">
        <v>4418</v>
      </c>
      <c r="C2321" s="6" t="s">
        <v>4976</v>
      </c>
      <c r="D2321" s="7" t="s">
        <v>5473</v>
      </c>
      <c r="E2321" s="6" t="s">
        <v>5474</v>
      </c>
      <c r="F2321" s="7" t="s">
        <v>4424</v>
      </c>
      <c r="G2321" s="7" t="s">
        <v>4367</v>
      </c>
      <c r="H2321" s="5" t="s">
        <v>267</v>
      </c>
      <c r="I2321" s="6" t="s">
        <v>4423</v>
      </c>
      <c r="J2321" s="7" t="s">
        <v>169</v>
      </c>
      <c r="K2321" s="36">
        <v>0.95</v>
      </c>
      <c r="L2321" s="37">
        <v>485</v>
      </c>
    </row>
    <row r="2322" spans="1:12" ht="19.95" customHeight="1" x14ac:dyDescent="0.3">
      <c r="A2322" s="2" t="s">
        <v>4422</v>
      </c>
      <c r="B2322" s="3" t="s">
        <v>4418</v>
      </c>
      <c r="C2322" s="2" t="s">
        <v>4976</v>
      </c>
      <c r="D2322" s="3" t="s">
        <v>5473</v>
      </c>
      <c r="E2322" s="2" t="s">
        <v>5474</v>
      </c>
      <c r="F2322" s="3" t="s">
        <v>4424</v>
      </c>
      <c r="G2322" s="3" t="s">
        <v>4367</v>
      </c>
      <c r="H2322" s="1" t="s">
        <v>269</v>
      </c>
      <c r="I2322" s="2" t="s">
        <v>4425</v>
      </c>
      <c r="J2322" s="3" t="s">
        <v>169</v>
      </c>
      <c r="K2322" s="38">
        <v>0.95</v>
      </c>
      <c r="L2322" s="39">
        <v>430</v>
      </c>
    </row>
    <row r="2323" spans="1:12" ht="19.95" customHeight="1" x14ac:dyDescent="0.3">
      <c r="A2323" s="6" t="s">
        <v>4422</v>
      </c>
      <c r="B2323" s="7" t="s">
        <v>4418</v>
      </c>
      <c r="C2323" s="6" t="s">
        <v>4976</v>
      </c>
      <c r="D2323" s="7" t="s">
        <v>5473</v>
      </c>
      <c r="E2323" s="6" t="s">
        <v>5474</v>
      </c>
      <c r="F2323" s="7" t="s">
        <v>4424</v>
      </c>
      <c r="G2323" s="7" t="s">
        <v>4367</v>
      </c>
      <c r="H2323" s="5" t="s">
        <v>267</v>
      </c>
      <c r="I2323" s="6" t="s">
        <v>4423</v>
      </c>
      <c r="J2323" s="7" t="s">
        <v>169</v>
      </c>
      <c r="K2323" s="36">
        <v>1.62</v>
      </c>
      <c r="L2323" s="37">
        <v>485</v>
      </c>
    </row>
    <row r="2324" spans="1:12" ht="19.95" customHeight="1" x14ac:dyDescent="0.3">
      <c r="A2324" s="2" t="s">
        <v>4422</v>
      </c>
      <c r="B2324" s="3" t="s">
        <v>4418</v>
      </c>
      <c r="C2324" s="2" t="s">
        <v>4976</v>
      </c>
      <c r="D2324" s="3" t="s">
        <v>5473</v>
      </c>
      <c r="E2324" s="2" t="s">
        <v>5474</v>
      </c>
      <c r="F2324" s="3" t="s">
        <v>4424</v>
      </c>
      <c r="G2324" s="3" t="s">
        <v>4367</v>
      </c>
      <c r="H2324" s="1" t="s">
        <v>269</v>
      </c>
      <c r="I2324" s="2" t="s">
        <v>4425</v>
      </c>
      <c r="J2324" s="3" t="s">
        <v>169</v>
      </c>
      <c r="K2324" s="38">
        <v>1.62</v>
      </c>
      <c r="L2324" s="39">
        <v>430</v>
      </c>
    </row>
    <row r="2325" spans="1:12" ht="19.95" customHeight="1" x14ac:dyDescent="0.3">
      <c r="A2325" s="6" t="s">
        <v>4422</v>
      </c>
      <c r="B2325" s="7" t="s">
        <v>4418</v>
      </c>
      <c r="C2325" s="6" t="s">
        <v>4976</v>
      </c>
      <c r="D2325" s="7" t="s">
        <v>5473</v>
      </c>
      <c r="E2325" s="6" t="s">
        <v>5474</v>
      </c>
      <c r="F2325" s="7" t="s">
        <v>4424</v>
      </c>
      <c r="G2325" s="7" t="s">
        <v>4367</v>
      </c>
      <c r="H2325" s="5" t="s">
        <v>267</v>
      </c>
      <c r="I2325" s="6" t="s">
        <v>4423</v>
      </c>
      <c r="J2325" s="7" t="s">
        <v>169</v>
      </c>
      <c r="K2325" s="36">
        <v>4</v>
      </c>
      <c r="L2325" s="37">
        <v>485</v>
      </c>
    </row>
    <row r="2326" spans="1:12" ht="19.95" customHeight="1" x14ac:dyDescent="0.3">
      <c r="A2326" s="2" t="s">
        <v>4422</v>
      </c>
      <c r="B2326" s="3" t="s">
        <v>4418</v>
      </c>
      <c r="C2326" s="2" t="s">
        <v>4976</v>
      </c>
      <c r="D2326" s="3" t="s">
        <v>5473</v>
      </c>
      <c r="E2326" s="2" t="s">
        <v>5474</v>
      </c>
      <c r="F2326" s="3" t="s">
        <v>4424</v>
      </c>
      <c r="G2326" s="3" t="s">
        <v>4367</v>
      </c>
      <c r="H2326" s="1" t="s">
        <v>269</v>
      </c>
      <c r="I2326" s="2" t="s">
        <v>4425</v>
      </c>
      <c r="J2326" s="3" t="s">
        <v>169</v>
      </c>
      <c r="K2326" s="38">
        <v>4</v>
      </c>
      <c r="L2326" s="39">
        <v>430</v>
      </c>
    </row>
    <row r="2327" spans="1:12" ht="19.95" customHeight="1" x14ac:dyDescent="0.3">
      <c r="A2327" s="6" t="s">
        <v>4422</v>
      </c>
      <c r="B2327" s="7" t="s">
        <v>4418</v>
      </c>
      <c r="C2327" s="6" t="s">
        <v>4976</v>
      </c>
      <c r="D2327" s="7" t="s">
        <v>5473</v>
      </c>
      <c r="E2327" s="6" t="s">
        <v>5474</v>
      </c>
      <c r="F2327" s="7" t="s">
        <v>4424</v>
      </c>
      <c r="G2327" s="7" t="s">
        <v>4367</v>
      </c>
      <c r="H2327" s="5" t="s">
        <v>267</v>
      </c>
      <c r="I2327" s="6" t="s">
        <v>5475</v>
      </c>
      <c r="J2327" s="7" t="s">
        <v>169</v>
      </c>
      <c r="K2327" s="36">
        <v>0.6</v>
      </c>
      <c r="L2327" s="37">
        <v>485</v>
      </c>
    </row>
    <row r="2328" spans="1:12" ht="19.95" customHeight="1" x14ac:dyDescent="0.3">
      <c r="A2328" s="2" t="s">
        <v>4422</v>
      </c>
      <c r="B2328" s="3" t="s">
        <v>4418</v>
      </c>
      <c r="C2328" s="2" t="s">
        <v>4976</v>
      </c>
      <c r="D2328" s="3" t="s">
        <v>5473</v>
      </c>
      <c r="E2328" s="2" t="s">
        <v>5474</v>
      </c>
      <c r="F2328" s="3" t="s">
        <v>4424</v>
      </c>
      <c r="G2328" s="3" t="s">
        <v>4367</v>
      </c>
      <c r="H2328" s="1" t="s">
        <v>269</v>
      </c>
      <c r="I2328" s="2" t="s">
        <v>5476</v>
      </c>
      <c r="J2328" s="3" t="s">
        <v>169</v>
      </c>
      <c r="K2328" s="38">
        <v>0.6</v>
      </c>
      <c r="L2328" s="39">
        <v>430</v>
      </c>
    </row>
    <row r="2329" spans="1:12" ht="19.95" customHeight="1" x14ac:dyDescent="0.3">
      <c r="A2329" s="6" t="s">
        <v>4422</v>
      </c>
      <c r="B2329" s="7" t="s">
        <v>4418</v>
      </c>
      <c r="C2329" s="6" t="s">
        <v>4976</v>
      </c>
      <c r="D2329" s="7" t="s">
        <v>5473</v>
      </c>
      <c r="E2329" s="6" t="s">
        <v>5474</v>
      </c>
      <c r="F2329" s="7" t="s">
        <v>4424</v>
      </c>
      <c r="G2329" s="7" t="s">
        <v>4367</v>
      </c>
      <c r="H2329" s="5" t="s">
        <v>267</v>
      </c>
      <c r="I2329" s="6" t="s">
        <v>5477</v>
      </c>
      <c r="J2329" s="7" t="s">
        <v>169</v>
      </c>
      <c r="K2329" s="36">
        <v>1.89</v>
      </c>
      <c r="L2329" s="37">
        <v>485</v>
      </c>
    </row>
    <row r="2330" spans="1:12" ht="19.95" customHeight="1" x14ac:dyDescent="0.3">
      <c r="A2330" s="2" t="s">
        <v>4422</v>
      </c>
      <c r="B2330" s="3" t="s">
        <v>4418</v>
      </c>
      <c r="C2330" s="2" t="s">
        <v>4976</v>
      </c>
      <c r="D2330" s="3" t="s">
        <v>5473</v>
      </c>
      <c r="E2330" s="2" t="s">
        <v>5474</v>
      </c>
      <c r="F2330" s="3" t="s">
        <v>4424</v>
      </c>
      <c r="G2330" s="3" t="s">
        <v>4367</v>
      </c>
      <c r="H2330" s="1" t="s">
        <v>269</v>
      </c>
      <c r="I2330" s="2" t="s">
        <v>5478</v>
      </c>
      <c r="J2330" s="3" t="s">
        <v>169</v>
      </c>
      <c r="K2330" s="38">
        <v>1.89</v>
      </c>
      <c r="L2330" s="39">
        <v>430</v>
      </c>
    </row>
    <row r="2331" spans="1:12" ht="19.95" customHeight="1" x14ac:dyDescent="0.3">
      <c r="A2331" s="6" t="s">
        <v>4422</v>
      </c>
      <c r="B2331" s="7" t="s">
        <v>4418</v>
      </c>
      <c r="C2331" s="6" t="s">
        <v>4976</v>
      </c>
      <c r="D2331" s="7" t="s">
        <v>5473</v>
      </c>
      <c r="E2331" s="6" t="s">
        <v>5474</v>
      </c>
      <c r="F2331" s="7" t="s">
        <v>4424</v>
      </c>
      <c r="G2331" s="7" t="s">
        <v>4367</v>
      </c>
      <c r="H2331" s="5" t="s">
        <v>267</v>
      </c>
      <c r="I2331" s="6" t="s">
        <v>5479</v>
      </c>
      <c r="J2331" s="7" t="s">
        <v>169</v>
      </c>
      <c r="K2331" s="36">
        <v>2.4300000000000002</v>
      </c>
      <c r="L2331" s="37">
        <v>485</v>
      </c>
    </row>
    <row r="2332" spans="1:12" ht="19.95" customHeight="1" x14ac:dyDescent="0.3">
      <c r="A2332" s="2" t="s">
        <v>4422</v>
      </c>
      <c r="B2332" s="3" t="s">
        <v>4418</v>
      </c>
      <c r="C2332" s="2" t="s">
        <v>4976</v>
      </c>
      <c r="D2332" s="3" t="s">
        <v>5473</v>
      </c>
      <c r="E2332" s="2" t="s">
        <v>5474</v>
      </c>
      <c r="F2332" s="3" t="s">
        <v>4424</v>
      </c>
      <c r="G2332" s="3" t="s">
        <v>4367</v>
      </c>
      <c r="H2332" s="1" t="s">
        <v>269</v>
      </c>
      <c r="I2332" s="2" t="s">
        <v>5480</v>
      </c>
      <c r="J2332" s="3" t="s">
        <v>169</v>
      </c>
      <c r="K2332" s="38">
        <v>2.4300000000000002</v>
      </c>
      <c r="L2332" s="39">
        <v>430</v>
      </c>
    </row>
    <row r="2333" spans="1:12" ht="19.95" customHeight="1" x14ac:dyDescent="0.3">
      <c r="A2333" s="6" t="s">
        <v>4422</v>
      </c>
      <c r="B2333" s="7" t="s">
        <v>4418</v>
      </c>
      <c r="C2333" s="6" t="s">
        <v>4976</v>
      </c>
      <c r="D2333" s="7" t="s">
        <v>5473</v>
      </c>
      <c r="E2333" s="6" t="s">
        <v>5474</v>
      </c>
      <c r="F2333" s="7" t="s">
        <v>4424</v>
      </c>
      <c r="G2333" s="7" t="s">
        <v>4367</v>
      </c>
      <c r="H2333" s="5" t="s">
        <v>267</v>
      </c>
      <c r="I2333" s="6" t="s">
        <v>5481</v>
      </c>
      <c r="J2333" s="7" t="s">
        <v>169</v>
      </c>
      <c r="K2333" s="36">
        <v>1.62</v>
      </c>
      <c r="L2333" s="37">
        <v>485</v>
      </c>
    </row>
    <row r="2334" spans="1:12" ht="19.95" customHeight="1" x14ac:dyDescent="0.3">
      <c r="A2334" s="2" t="s">
        <v>4422</v>
      </c>
      <c r="B2334" s="3" t="s">
        <v>4418</v>
      </c>
      <c r="C2334" s="2" t="s">
        <v>4976</v>
      </c>
      <c r="D2334" s="3" t="s">
        <v>5473</v>
      </c>
      <c r="E2334" s="2" t="s">
        <v>5474</v>
      </c>
      <c r="F2334" s="3" t="s">
        <v>4424</v>
      </c>
      <c r="G2334" s="3" t="s">
        <v>4367</v>
      </c>
      <c r="H2334" s="1" t="s">
        <v>269</v>
      </c>
      <c r="I2334" s="2" t="s">
        <v>5482</v>
      </c>
      <c r="J2334" s="3" t="s">
        <v>169</v>
      </c>
      <c r="K2334" s="38">
        <v>1.62</v>
      </c>
      <c r="L2334" s="39">
        <v>430</v>
      </c>
    </row>
    <row r="2335" spans="1:12" ht="19.95" customHeight="1" x14ac:dyDescent="0.3">
      <c r="A2335" s="6" t="s">
        <v>4422</v>
      </c>
      <c r="B2335" s="7" t="s">
        <v>4418</v>
      </c>
      <c r="C2335" s="6" t="s">
        <v>4976</v>
      </c>
      <c r="D2335" s="7" t="s">
        <v>5473</v>
      </c>
      <c r="E2335" s="6" t="s">
        <v>5474</v>
      </c>
      <c r="F2335" s="7" t="s">
        <v>4424</v>
      </c>
      <c r="G2335" s="7" t="s">
        <v>4367</v>
      </c>
      <c r="H2335" s="5" t="s">
        <v>267</v>
      </c>
      <c r="I2335" s="6" t="s">
        <v>5481</v>
      </c>
      <c r="J2335" s="7" t="s">
        <v>169</v>
      </c>
      <c r="K2335" s="36">
        <v>1.62</v>
      </c>
      <c r="L2335" s="37">
        <v>485</v>
      </c>
    </row>
    <row r="2336" spans="1:12" ht="19.95" customHeight="1" x14ac:dyDescent="0.3">
      <c r="A2336" s="2" t="s">
        <v>4422</v>
      </c>
      <c r="B2336" s="3" t="s">
        <v>4418</v>
      </c>
      <c r="C2336" s="2" t="s">
        <v>4976</v>
      </c>
      <c r="D2336" s="3" t="s">
        <v>5473</v>
      </c>
      <c r="E2336" s="2" t="s">
        <v>5474</v>
      </c>
      <c r="F2336" s="3" t="s">
        <v>4424</v>
      </c>
      <c r="G2336" s="3" t="s">
        <v>4367</v>
      </c>
      <c r="H2336" s="1" t="s">
        <v>269</v>
      </c>
      <c r="I2336" s="2" t="s">
        <v>5482</v>
      </c>
      <c r="J2336" s="3" t="s">
        <v>169</v>
      </c>
      <c r="K2336" s="38">
        <v>1.62</v>
      </c>
      <c r="L2336" s="39">
        <v>430</v>
      </c>
    </row>
    <row r="2337" spans="1:12" ht="19.95" customHeight="1" x14ac:dyDescent="0.3">
      <c r="A2337" s="6" t="s">
        <v>4422</v>
      </c>
      <c r="B2337" s="7" t="s">
        <v>4418</v>
      </c>
      <c r="C2337" s="6" t="s">
        <v>4976</v>
      </c>
      <c r="D2337" s="7" t="s">
        <v>5473</v>
      </c>
      <c r="E2337" s="6" t="s">
        <v>5474</v>
      </c>
      <c r="F2337" s="7" t="s">
        <v>4424</v>
      </c>
      <c r="G2337" s="7" t="s">
        <v>4367</v>
      </c>
      <c r="H2337" s="5" t="s">
        <v>267</v>
      </c>
      <c r="I2337" s="6" t="s">
        <v>5481</v>
      </c>
      <c r="J2337" s="7" t="s">
        <v>169</v>
      </c>
      <c r="K2337" s="36">
        <v>2.0299999999999998</v>
      </c>
      <c r="L2337" s="37">
        <v>485</v>
      </c>
    </row>
    <row r="2338" spans="1:12" ht="19.95" customHeight="1" x14ac:dyDescent="0.3">
      <c r="A2338" s="2" t="s">
        <v>4422</v>
      </c>
      <c r="B2338" s="3" t="s">
        <v>4418</v>
      </c>
      <c r="C2338" s="2" t="s">
        <v>4976</v>
      </c>
      <c r="D2338" s="3" t="s">
        <v>5473</v>
      </c>
      <c r="E2338" s="2" t="s">
        <v>5474</v>
      </c>
      <c r="F2338" s="3" t="s">
        <v>4424</v>
      </c>
      <c r="G2338" s="3" t="s">
        <v>4367</v>
      </c>
      <c r="H2338" s="1" t="s">
        <v>269</v>
      </c>
      <c r="I2338" s="2" t="s">
        <v>5482</v>
      </c>
      <c r="J2338" s="3" t="s">
        <v>169</v>
      </c>
      <c r="K2338" s="38">
        <v>2.0299999999999998</v>
      </c>
      <c r="L2338" s="39">
        <v>430</v>
      </c>
    </row>
    <row r="2339" spans="1:12" ht="19.95" customHeight="1" x14ac:dyDescent="0.3">
      <c r="A2339" s="6" t="s">
        <v>4422</v>
      </c>
      <c r="B2339" s="7" t="s">
        <v>4418</v>
      </c>
      <c r="C2339" s="6" t="s">
        <v>4976</v>
      </c>
      <c r="D2339" s="7" t="s">
        <v>5473</v>
      </c>
      <c r="E2339" s="6" t="s">
        <v>5474</v>
      </c>
      <c r="F2339" s="7" t="s">
        <v>4424</v>
      </c>
      <c r="G2339" s="7" t="s">
        <v>4367</v>
      </c>
      <c r="H2339" s="5" t="s">
        <v>267</v>
      </c>
      <c r="I2339" s="6" t="s">
        <v>5481</v>
      </c>
      <c r="J2339" s="7" t="s">
        <v>169</v>
      </c>
      <c r="K2339" s="36">
        <v>2.4300000000000002</v>
      </c>
      <c r="L2339" s="37">
        <v>485</v>
      </c>
    </row>
    <row r="2340" spans="1:12" ht="19.95" customHeight="1" x14ac:dyDescent="0.3">
      <c r="A2340" s="2" t="s">
        <v>4422</v>
      </c>
      <c r="B2340" s="3" t="s">
        <v>4418</v>
      </c>
      <c r="C2340" s="2" t="s">
        <v>4976</v>
      </c>
      <c r="D2340" s="3" t="s">
        <v>5473</v>
      </c>
      <c r="E2340" s="2" t="s">
        <v>5474</v>
      </c>
      <c r="F2340" s="3" t="s">
        <v>4424</v>
      </c>
      <c r="G2340" s="3" t="s">
        <v>4367</v>
      </c>
      <c r="H2340" s="1" t="s">
        <v>269</v>
      </c>
      <c r="I2340" s="2" t="s">
        <v>5483</v>
      </c>
      <c r="J2340" s="3" t="s">
        <v>169</v>
      </c>
      <c r="K2340" s="38">
        <v>2.4300000000000002</v>
      </c>
      <c r="L2340" s="39">
        <v>430</v>
      </c>
    </row>
    <row r="2341" spans="1:12" ht="19.95" customHeight="1" x14ac:dyDescent="0.3">
      <c r="A2341" s="6" t="s">
        <v>4422</v>
      </c>
      <c r="B2341" s="7" t="s">
        <v>4418</v>
      </c>
      <c r="C2341" s="6" t="s">
        <v>4976</v>
      </c>
      <c r="D2341" s="7" t="s">
        <v>5473</v>
      </c>
      <c r="E2341" s="6" t="s">
        <v>5474</v>
      </c>
      <c r="F2341" s="7" t="s">
        <v>4424</v>
      </c>
      <c r="G2341" s="7" t="s">
        <v>4367</v>
      </c>
      <c r="H2341" s="5" t="s">
        <v>267</v>
      </c>
      <c r="I2341" s="6" t="s">
        <v>5481</v>
      </c>
      <c r="J2341" s="7" t="s">
        <v>169</v>
      </c>
      <c r="K2341" s="36">
        <v>2.4300000000000002</v>
      </c>
      <c r="L2341" s="37">
        <v>485</v>
      </c>
    </row>
    <row r="2342" spans="1:12" ht="19.95" customHeight="1" x14ac:dyDescent="0.3">
      <c r="A2342" s="2" t="s">
        <v>4422</v>
      </c>
      <c r="B2342" s="3" t="s">
        <v>4418</v>
      </c>
      <c r="C2342" s="2" t="s">
        <v>4976</v>
      </c>
      <c r="D2342" s="3" t="s">
        <v>5473</v>
      </c>
      <c r="E2342" s="2" t="s">
        <v>5474</v>
      </c>
      <c r="F2342" s="3" t="s">
        <v>4424</v>
      </c>
      <c r="G2342" s="3" t="s">
        <v>4367</v>
      </c>
      <c r="H2342" s="1" t="s">
        <v>269</v>
      </c>
      <c r="I2342" s="2" t="s">
        <v>5482</v>
      </c>
      <c r="J2342" s="3" t="s">
        <v>169</v>
      </c>
      <c r="K2342" s="38">
        <v>2.4300000000000002</v>
      </c>
      <c r="L2342" s="39">
        <v>430</v>
      </c>
    </row>
    <row r="2343" spans="1:12" ht="19.95" customHeight="1" x14ac:dyDescent="0.3">
      <c r="A2343" s="6" t="s">
        <v>4422</v>
      </c>
      <c r="B2343" s="7" t="s">
        <v>4418</v>
      </c>
      <c r="C2343" s="6" t="s">
        <v>4976</v>
      </c>
      <c r="D2343" s="7" t="s">
        <v>5473</v>
      </c>
      <c r="E2343" s="6" t="s">
        <v>5474</v>
      </c>
      <c r="F2343" s="7" t="s">
        <v>4424</v>
      </c>
      <c r="G2343" s="7" t="s">
        <v>4367</v>
      </c>
      <c r="H2343" s="5" t="s">
        <v>267</v>
      </c>
      <c r="I2343" s="6" t="s">
        <v>5481</v>
      </c>
      <c r="J2343" s="7" t="s">
        <v>169</v>
      </c>
      <c r="K2343" s="36">
        <v>3.6</v>
      </c>
      <c r="L2343" s="37">
        <v>485</v>
      </c>
    </row>
    <row r="2344" spans="1:12" ht="19.95" customHeight="1" x14ac:dyDescent="0.3">
      <c r="A2344" s="2" t="s">
        <v>4422</v>
      </c>
      <c r="B2344" s="3" t="s">
        <v>4418</v>
      </c>
      <c r="C2344" s="2" t="s">
        <v>4976</v>
      </c>
      <c r="D2344" s="3" t="s">
        <v>5473</v>
      </c>
      <c r="E2344" s="2" t="s">
        <v>5474</v>
      </c>
      <c r="F2344" s="3" t="s">
        <v>4424</v>
      </c>
      <c r="G2344" s="3" t="s">
        <v>4367</v>
      </c>
      <c r="H2344" s="1" t="s">
        <v>269</v>
      </c>
      <c r="I2344" s="2" t="s">
        <v>5482</v>
      </c>
      <c r="J2344" s="3" t="s">
        <v>169</v>
      </c>
      <c r="K2344" s="38">
        <v>3.6</v>
      </c>
      <c r="L2344" s="39">
        <v>430</v>
      </c>
    </row>
    <row r="2345" spans="1:12" ht="19.95" customHeight="1" x14ac:dyDescent="0.3">
      <c r="A2345" s="6" t="s">
        <v>4422</v>
      </c>
      <c r="B2345" s="7" t="s">
        <v>4418</v>
      </c>
      <c r="C2345" s="6" t="s">
        <v>4976</v>
      </c>
      <c r="D2345" s="7" t="s">
        <v>5473</v>
      </c>
      <c r="E2345" s="6" t="s">
        <v>5474</v>
      </c>
      <c r="F2345" s="7" t="s">
        <v>4424</v>
      </c>
      <c r="G2345" s="7" t="s">
        <v>4367</v>
      </c>
      <c r="H2345" s="5" t="s">
        <v>267</v>
      </c>
      <c r="I2345" s="6" t="s">
        <v>5481</v>
      </c>
      <c r="J2345" s="7" t="s">
        <v>169</v>
      </c>
      <c r="K2345" s="36">
        <v>7.2</v>
      </c>
      <c r="L2345" s="37">
        <v>485</v>
      </c>
    </row>
    <row r="2346" spans="1:12" ht="19.95" customHeight="1" x14ac:dyDescent="0.3">
      <c r="A2346" s="2" t="s">
        <v>4422</v>
      </c>
      <c r="B2346" s="3" t="s">
        <v>4418</v>
      </c>
      <c r="C2346" s="2" t="s">
        <v>4976</v>
      </c>
      <c r="D2346" s="3" t="s">
        <v>5473</v>
      </c>
      <c r="E2346" s="2" t="s">
        <v>5474</v>
      </c>
      <c r="F2346" s="3" t="s">
        <v>4424</v>
      </c>
      <c r="G2346" s="3" t="s">
        <v>4367</v>
      </c>
      <c r="H2346" s="1" t="s">
        <v>269</v>
      </c>
      <c r="I2346" s="2" t="s">
        <v>5482</v>
      </c>
      <c r="J2346" s="3" t="s">
        <v>169</v>
      </c>
      <c r="K2346" s="38">
        <v>7.2</v>
      </c>
      <c r="L2346" s="39">
        <v>430</v>
      </c>
    </row>
    <row r="2347" spans="1:12" ht="19.95" customHeight="1" x14ac:dyDescent="0.3">
      <c r="A2347" s="6" t="s">
        <v>4422</v>
      </c>
      <c r="B2347" s="7" t="s">
        <v>4418</v>
      </c>
      <c r="C2347" s="6" t="s">
        <v>4976</v>
      </c>
      <c r="D2347" s="7" t="s">
        <v>5473</v>
      </c>
      <c r="E2347" s="6" t="s">
        <v>5474</v>
      </c>
      <c r="F2347" s="7" t="s">
        <v>4424</v>
      </c>
      <c r="G2347" s="7" t="s">
        <v>4367</v>
      </c>
      <c r="H2347" s="5" t="s">
        <v>267</v>
      </c>
      <c r="I2347" s="6" t="s">
        <v>5484</v>
      </c>
      <c r="J2347" s="7" t="s">
        <v>169</v>
      </c>
      <c r="K2347" s="36">
        <v>4.2</v>
      </c>
      <c r="L2347" s="37">
        <v>485</v>
      </c>
    </row>
    <row r="2348" spans="1:12" ht="19.95" customHeight="1" x14ac:dyDescent="0.3">
      <c r="A2348" s="2" t="s">
        <v>4422</v>
      </c>
      <c r="B2348" s="3" t="s">
        <v>4418</v>
      </c>
      <c r="C2348" s="2" t="s">
        <v>4976</v>
      </c>
      <c r="D2348" s="3" t="s">
        <v>5473</v>
      </c>
      <c r="E2348" s="2" t="s">
        <v>5474</v>
      </c>
      <c r="F2348" s="3" t="s">
        <v>4424</v>
      </c>
      <c r="G2348" s="3" t="s">
        <v>4367</v>
      </c>
      <c r="H2348" s="1" t="s">
        <v>269</v>
      </c>
      <c r="I2348" s="2" t="s">
        <v>5485</v>
      </c>
      <c r="J2348" s="3" t="s">
        <v>169</v>
      </c>
      <c r="K2348" s="38">
        <v>4.2</v>
      </c>
      <c r="L2348" s="39">
        <v>430</v>
      </c>
    </row>
    <row r="2349" spans="1:12" ht="19.95" customHeight="1" x14ac:dyDescent="0.3">
      <c r="A2349" s="6" t="s">
        <v>4422</v>
      </c>
      <c r="B2349" s="7" t="s">
        <v>4418</v>
      </c>
      <c r="C2349" s="6" t="s">
        <v>4976</v>
      </c>
      <c r="D2349" s="7" t="s">
        <v>5473</v>
      </c>
      <c r="E2349" s="6" t="s">
        <v>5474</v>
      </c>
      <c r="F2349" s="7" t="s">
        <v>4424</v>
      </c>
      <c r="G2349" s="7" t="s">
        <v>4367</v>
      </c>
      <c r="H2349" s="5" t="s">
        <v>267</v>
      </c>
      <c r="I2349" s="6" t="s">
        <v>5484</v>
      </c>
      <c r="J2349" s="7" t="s">
        <v>169</v>
      </c>
      <c r="K2349" s="36">
        <v>8.4</v>
      </c>
      <c r="L2349" s="37">
        <v>485</v>
      </c>
    </row>
    <row r="2350" spans="1:12" ht="19.95" customHeight="1" x14ac:dyDescent="0.3">
      <c r="A2350" s="2" t="s">
        <v>4422</v>
      </c>
      <c r="B2350" s="3" t="s">
        <v>4418</v>
      </c>
      <c r="C2350" s="2" t="s">
        <v>4976</v>
      </c>
      <c r="D2350" s="3" t="s">
        <v>5473</v>
      </c>
      <c r="E2350" s="2" t="s">
        <v>5474</v>
      </c>
      <c r="F2350" s="3" t="s">
        <v>4424</v>
      </c>
      <c r="G2350" s="3" t="s">
        <v>4367</v>
      </c>
      <c r="H2350" s="1" t="s">
        <v>269</v>
      </c>
      <c r="I2350" s="2" t="s">
        <v>5485</v>
      </c>
      <c r="J2350" s="3" t="s">
        <v>169</v>
      </c>
      <c r="K2350" s="38">
        <v>8.4</v>
      </c>
      <c r="L2350" s="39">
        <v>430</v>
      </c>
    </row>
    <row r="2351" spans="1:12" ht="19.95" customHeight="1" x14ac:dyDescent="0.3">
      <c r="A2351" s="6" t="s">
        <v>4422</v>
      </c>
      <c r="B2351" s="7" t="s">
        <v>4418</v>
      </c>
      <c r="C2351" s="6" t="s">
        <v>4976</v>
      </c>
      <c r="D2351" s="7" t="s">
        <v>5473</v>
      </c>
      <c r="E2351" s="6" t="s">
        <v>5474</v>
      </c>
      <c r="F2351" s="7" t="s">
        <v>4424</v>
      </c>
      <c r="G2351" s="7" t="s">
        <v>4367</v>
      </c>
      <c r="H2351" s="5" t="s">
        <v>267</v>
      </c>
      <c r="I2351" s="6" t="s">
        <v>5484</v>
      </c>
      <c r="J2351" s="7" t="s">
        <v>169</v>
      </c>
      <c r="K2351" s="36">
        <v>6.3</v>
      </c>
      <c r="L2351" s="37">
        <v>485</v>
      </c>
    </row>
    <row r="2352" spans="1:12" ht="19.95" customHeight="1" x14ac:dyDescent="0.3">
      <c r="A2352" s="2" t="s">
        <v>4422</v>
      </c>
      <c r="B2352" s="3" t="s">
        <v>4418</v>
      </c>
      <c r="C2352" s="2" t="s">
        <v>4976</v>
      </c>
      <c r="D2352" s="3" t="s">
        <v>5473</v>
      </c>
      <c r="E2352" s="2" t="s">
        <v>5474</v>
      </c>
      <c r="F2352" s="3" t="s">
        <v>4424</v>
      </c>
      <c r="G2352" s="3" t="s">
        <v>4367</v>
      </c>
      <c r="H2352" s="1" t="s">
        <v>269</v>
      </c>
      <c r="I2352" s="2" t="s">
        <v>5485</v>
      </c>
      <c r="J2352" s="3" t="s">
        <v>169</v>
      </c>
      <c r="K2352" s="38">
        <v>6.3</v>
      </c>
      <c r="L2352" s="39">
        <v>430</v>
      </c>
    </row>
    <row r="2353" spans="1:12" ht="19.95" customHeight="1" x14ac:dyDescent="0.3">
      <c r="A2353" s="6" t="s">
        <v>4422</v>
      </c>
      <c r="B2353" s="7" t="s">
        <v>4418</v>
      </c>
      <c r="C2353" s="6" t="s">
        <v>4976</v>
      </c>
      <c r="D2353" s="7" t="s">
        <v>5473</v>
      </c>
      <c r="E2353" s="6" t="s">
        <v>5474</v>
      </c>
      <c r="F2353" s="7" t="s">
        <v>4424</v>
      </c>
      <c r="G2353" s="7" t="s">
        <v>4367</v>
      </c>
      <c r="H2353" s="5" t="s">
        <v>267</v>
      </c>
      <c r="I2353" s="6" t="s">
        <v>5484</v>
      </c>
      <c r="J2353" s="7" t="s">
        <v>169</v>
      </c>
      <c r="K2353" s="36">
        <v>4.2</v>
      </c>
      <c r="L2353" s="37">
        <v>485</v>
      </c>
    </row>
    <row r="2354" spans="1:12" ht="19.95" customHeight="1" x14ac:dyDescent="0.3">
      <c r="A2354" s="2" t="s">
        <v>4422</v>
      </c>
      <c r="B2354" s="3" t="s">
        <v>4418</v>
      </c>
      <c r="C2354" s="2" t="s">
        <v>4976</v>
      </c>
      <c r="D2354" s="3" t="s">
        <v>5473</v>
      </c>
      <c r="E2354" s="2" t="s">
        <v>5474</v>
      </c>
      <c r="F2354" s="3" t="s">
        <v>4424</v>
      </c>
      <c r="G2354" s="3" t="s">
        <v>4367</v>
      </c>
      <c r="H2354" s="1" t="s">
        <v>269</v>
      </c>
      <c r="I2354" s="2" t="s">
        <v>5485</v>
      </c>
      <c r="J2354" s="3" t="s">
        <v>169</v>
      </c>
      <c r="K2354" s="38">
        <v>4.2</v>
      </c>
      <c r="L2354" s="39">
        <v>430</v>
      </c>
    </row>
    <row r="2355" spans="1:12" ht="19.95" customHeight="1" x14ac:dyDescent="0.3">
      <c r="A2355" s="6" t="s">
        <v>4422</v>
      </c>
      <c r="B2355" s="7" t="s">
        <v>4418</v>
      </c>
      <c r="C2355" s="6" t="s">
        <v>4976</v>
      </c>
      <c r="D2355" s="7" t="s">
        <v>5486</v>
      </c>
      <c r="E2355" s="6" t="s">
        <v>5487</v>
      </c>
      <c r="F2355" s="7" t="s">
        <v>279</v>
      </c>
      <c r="G2355" s="7" t="s">
        <v>4367</v>
      </c>
      <c r="H2355" s="5" t="s">
        <v>257</v>
      </c>
      <c r="I2355" s="6" t="s">
        <v>258</v>
      </c>
      <c r="J2355" s="7" t="s">
        <v>11</v>
      </c>
      <c r="K2355" s="36">
        <v>0.125</v>
      </c>
      <c r="L2355" s="37">
        <v>709</v>
      </c>
    </row>
    <row r="2356" spans="1:12" ht="19.95" customHeight="1" x14ac:dyDescent="0.3">
      <c r="A2356" s="2" t="s">
        <v>4422</v>
      </c>
      <c r="B2356" s="3" t="s">
        <v>4418</v>
      </c>
      <c r="C2356" s="2" t="s">
        <v>4976</v>
      </c>
      <c r="D2356" s="3" t="s">
        <v>5488</v>
      </c>
      <c r="E2356" s="2" t="s">
        <v>5489</v>
      </c>
      <c r="F2356" s="3" t="s">
        <v>279</v>
      </c>
      <c r="G2356" s="3" t="s">
        <v>4367</v>
      </c>
      <c r="H2356" s="1" t="s">
        <v>257</v>
      </c>
      <c r="I2356" s="2" t="s">
        <v>258</v>
      </c>
      <c r="J2356" s="3" t="s">
        <v>11</v>
      </c>
      <c r="K2356" s="38">
        <v>0.125</v>
      </c>
      <c r="L2356" s="39">
        <v>709</v>
      </c>
    </row>
    <row r="2357" spans="1:12" ht="19.95" customHeight="1" x14ac:dyDescent="0.3">
      <c r="A2357" s="6" t="s">
        <v>4422</v>
      </c>
      <c r="B2357" s="7" t="s">
        <v>4418</v>
      </c>
      <c r="C2357" s="6" t="s">
        <v>4976</v>
      </c>
      <c r="D2357" s="7" t="s">
        <v>5490</v>
      </c>
      <c r="E2357" s="6" t="s">
        <v>5491</v>
      </c>
      <c r="F2357" s="7" t="s">
        <v>279</v>
      </c>
      <c r="G2357" s="7" t="s">
        <v>4367</v>
      </c>
      <c r="H2357" s="5" t="s">
        <v>257</v>
      </c>
      <c r="I2357" s="6" t="s">
        <v>258</v>
      </c>
      <c r="J2357" s="7" t="s">
        <v>11</v>
      </c>
      <c r="K2357" s="36">
        <v>0.125</v>
      </c>
      <c r="L2357" s="37">
        <v>709</v>
      </c>
    </row>
    <row r="2358" spans="1:12" ht="19.95" customHeight="1" x14ac:dyDescent="0.3">
      <c r="A2358" s="2" t="s">
        <v>4422</v>
      </c>
      <c r="B2358" s="3" t="s">
        <v>4418</v>
      </c>
      <c r="C2358" s="2" t="s">
        <v>4976</v>
      </c>
      <c r="D2358" s="3" t="s">
        <v>5492</v>
      </c>
      <c r="E2358" s="2" t="s">
        <v>5493</v>
      </c>
      <c r="F2358" s="3" t="s">
        <v>279</v>
      </c>
      <c r="G2358" s="3" t="s">
        <v>4367</v>
      </c>
      <c r="H2358" s="1" t="s">
        <v>257</v>
      </c>
      <c r="I2358" s="2" t="s">
        <v>258</v>
      </c>
      <c r="J2358" s="3" t="s">
        <v>11</v>
      </c>
      <c r="K2358" s="38">
        <v>0.125</v>
      </c>
      <c r="L2358" s="39">
        <v>709</v>
      </c>
    </row>
    <row r="2359" spans="1:12" ht="19.95" customHeight="1" x14ac:dyDescent="0.3">
      <c r="A2359" s="6" t="s">
        <v>4422</v>
      </c>
      <c r="B2359" s="7" t="s">
        <v>4418</v>
      </c>
      <c r="C2359" s="6" t="s">
        <v>4976</v>
      </c>
      <c r="D2359" s="7" t="s">
        <v>5494</v>
      </c>
      <c r="E2359" s="6" t="s">
        <v>5495</v>
      </c>
      <c r="F2359" s="7" t="s">
        <v>279</v>
      </c>
      <c r="G2359" s="7" t="s">
        <v>4367</v>
      </c>
      <c r="H2359" s="5" t="s">
        <v>257</v>
      </c>
      <c r="I2359" s="6" t="s">
        <v>258</v>
      </c>
      <c r="J2359" s="7" t="s">
        <v>11</v>
      </c>
      <c r="K2359" s="36">
        <v>0.125</v>
      </c>
      <c r="L2359" s="37">
        <v>709</v>
      </c>
    </row>
    <row r="2360" spans="1:12" ht="19.95" customHeight="1" x14ac:dyDescent="0.3">
      <c r="A2360" s="2" t="s">
        <v>4427</v>
      </c>
      <c r="B2360" s="3" t="s">
        <v>4428</v>
      </c>
      <c r="C2360" s="2" t="s">
        <v>5496</v>
      </c>
      <c r="D2360" s="3" t="s">
        <v>4669</v>
      </c>
      <c r="E2360" s="2" t="s">
        <v>5497</v>
      </c>
      <c r="F2360" s="3" t="s">
        <v>5498</v>
      </c>
      <c r="G2360" s="3" t="s">
        <v>4367</v>
      </c>
      <c r="H2360" s="1" t="s">
        <v>213</v>
      </c>
      <c r="I2360" s="2" t="s">
        <v>214</v>
      </c>
      <c r="J2360" s="3" t="s">
        <v>11</v>
      </c>
      <c r="K2360" s="38">
        <v>0.5</v>
      </c>
      <c r="L2360" s="39">
        <v>738</v>
      </c>
    </row>
    <row r="2361" spans="1:12" ht="19.95" customHeight="1" x14ac:dyDescent="0.3">
      <c r="A2361" s="6" t="s">
        <v>4427</v>
      </c>
      <c r="B2361" s="7" t="s">
        <v>4428</v>
      </c>
      <c r="C2361" s="6" t="s">
        <v>5496</v>
      </c>
      <c r="D2361" s="7" t="s">
        <v>4669</v>
      </c>
      <c r="E2361" s="6" t="s">
        <v>5497</v>
      </c>
      <c r="F2361" s="7" t="s">
        <v>5498</v>
      </c>
      <c r="G2361" s="7" t="s">
        <v>4367</v>
      </c>
      <c r="H2361" s="5" t="s">
        <v>201</v>
      </c>
      <c r="I2361" s="6" t="s">
        <v>202</v>
      </c>
      <c r="J2361" s="7" t="s">
        <v>11</v>
      </c>
      <c r="K2361" s="36">
        <v>0.75</v>
      </c>
      <c r="L2361" s="37">
        <v>679</v>
      </c>
    </row>
    <row r="2362" spans="1:12" ht="19.95" customHeight="1" x14ac:dyDescent="0.3">
      <c r="A2362" s="2" t="s">
        <v>4427</v>
      </c>
      <c r="B2362" s="3" t="s">
        <v>4428</v>
      </c>
      <c r="C2362" s="2" t="s">
        <v>5496</v>
      </c>
      <c r="D2362" s="3" t="s">
        <v>4669</v>
      </c>
      <c r="E2362" s="2" t="s">
        <v>5497</v>
      </c>
      <c r="F2362" s="3" t="s">
        <v>5498</v>
      </c>
      <c r="G2362" s="3" t="s">
        <v>4367</v>
      </c>
      <c r="H2362" s="1" t="s">
        <v>209</v>
      </c>
      <c r="I2362" s="2" t="s">
        <v>210</v>
      </c>
      <c r="J2362" s="3" t="s">
        <v>11</v>
      </c>
      <c r="K2362" s="38">
        <v>1</v>
      </c>
      <c r="L2362" s="39">
        <v>558</v>
      </c>
    </row>
    <row r="2363" spans="1:12" ht="19.95" customHeight="1" x14ac:dyDescent="0.3">
      <c r="A2363" s="6" t="s">
        <v>4427</v>
      </c>
      <c r="B2363" s="7" t="s">
        <v>4428</v>
      </c>
      <c r="C2363" s="6" t="s">
        <v>5496</v>
      </c>
      <c r="D2363" s="7" t="s">
        <v>5499</v>
      </c>
      <c r="E2363" s="6" t="s">
        <v>5500</v>
      </c>
      <c r="F2363" s="7" t="s">
        <v>5501</v>
      </c>
      <c r="G2363" s="7" t="s">
        <v>4367</v>
      </c>
      <c r="H2363" s="5" t="s">
        <v>221</v>
      </c>
      <c r="I2363" s="6" t="s">
        <v>222</v>
      </c>
      <c r="J2363" s="7" t="s">
        <v>11</v>
      </c>
      <c r="K2363" s="36">
        <v>0.17</v>
      </c>
      <c r="L2363" s="37">
        <v>738</v>
      </c>
    </row>
    <row r="2364" spans="1:12" ht="19.95" customHeight="1" x14ac:dyDescent="0.3">
      <c r="A2364" s="2" t="s">
        <v>4427</v>
      </c>
      <c r="B2364" s="3" t="s">
        <v>4428</v>
      </c>
      <c r="C2364" s="2" t="s">
        <v>5496</v>
      </c>
      <c r="D2364" s="3" t="s">
        <v>5499</v>
      </c>
      <c r="E2364" s="2" t="s">
        <v>5500</v>
      </c>
      <c r="F2364" s="3" t="s">
        <v>5501</v>
      </c>
      <c r="G2364" s="3" t="s">
        <v>4367</v>
      </c>
      <c r="H2364" s="1" t="s">
        <v>209</v>
      </c>
      <c r="I2364" s="2" t="s">
        <v>210</v>
      </c>
      <c r="J2364" s="3" t="s">
        <v>11</v>
      </c>
      <c r="K2364" s="38">
        <v>0.17</v>
      </c>
      <c r="L2364" s="39">
        <v>558</v>
      </c>
    </row>
    <row r="2365" spans="1:12" ht="19.95" customHeight="1" x14ac:dyDescent="0.3">
      <c r="A2365" s="6" t="s">
        <v>4427</v>
      </c>
      <c r="B2365" s="7" t="s">
        <v>4428</v>
      </c>
      <c r="C2365" s="6" t="s">
        <v>5496</v>
      </c>
      <c r="D2365" s="7" t="s">
        <v>5502</v>
      </c>
      <c r="E2365" s="6" t="s">
        <v>5503</v>
      </c>
      <c r="F2365" s="7" t="s">
        <v>4433</v>
      </c>
      <c r="G2365" s="7" t="s">
        <v>4367</v>
      </c>
      <c r="H2365" s="5" t="s">
        <v>201</v>
      </c>
      <c r="I2365" s="6" t="s">
        <v>202</v>
      </c>
      <c r="J2365" s="7" t="s">
        <v>11</v>
      </c>
      <c r="K2365" s="36">
        <v>0.17</v>
      </c>
      <c r="L2365" s="37">
        <v>679</v>
      </c>
    </row>
    <row r="2366" spans="1:12" ht="19.95" customHeight="1" x14ac:dyDescent="0.3">
      <c r="A2366" s="2" t="s">
        <v>4427</v>
      </c>
      <c r="B2366" s="3" t="s">
        <v>4428</v>
      </c>
      <c r="C2366" s="2" t="s">
        <v>5496</v>
      </c>
      <c r="D2366" s="3" t="s">
        <v>5502</v>
      </c>
      <c r="E2366" s="2" t="s">
        <v>5503</v>
      </c>
      <c r="F2366" s="3" t="s">
        <v>4433</v>
      </c>
      <c r="G2366" s="3" t="s">
        <v>4367</v>
      </c>
      <c r="H2366" s="1" t="s">
        <v>213</v>
      </c>
      <c r="I2366" s="2" t="s">
        <v>214</v>
      </c>
      <c r="J2366" s="3" t="s">
        <v>11</v>
      </c>
      <c r="K2366" s="38">
        <v>0.26</v>
      </c>
      <c r="L2366" s="39">
        <v>738</v>
      </c>
    </row>
    <row r="2367" spans="1:12" ht="19.95" customHeight="1" x14ac:dyDescent="0.3">
      <c r="A2367" s="6" t="s">
        <v>4427</v>
      </c>
      <c r="B2367" s="7" t="s">
        <v>4428</v>
      </c>
      <c r="C2367" s="6" t="s">
        <v>5496</v>
      </c>
      <c r="D2367" s="7" t="s">
        <v>5502</v>
      </c>
      <c r="E2367" s="6" t="s">
        <v>5503</v>
      </c>
      <c r="F2367" s="7" t="s">
        <v>4433</v>
      </c>
      <c r="G2367" s="7" t="s">
        <v>4367</v>
      </c>
      <c r="H2367" s="5" t="s">
        <v>209</v>
      </c>
      <c r="I2367" s="6" t="s">
        <v>210</v>
      </c>
      <c r="J2367" s="7" t="s">
        <v>11</v>
      </c>
      <c r="K2367" s="36">
        <v>0.34</v>
      </c>
      <c r="L2367" s="37">
        <v>558</v>
      </c>
    </row>
    <row r="2368" spans="1:12" ht="19.95" customHeight="1" x14ac:dyDescent="0.3">
      <c r="A2368" s="2" t="s">
        <v>4427</v>
      </c>
      <c r="B2368" s="3" t="s">
        <v>4428</v>
      </c>
      <c r="C2368" s="2" t="s">
        <v>5496</v>
      </c>
      <c r="D2368" s="3" t="s">
        <v>5504</v>
      </c>
      <c r="E2368" s="2" t="s">
        <v>5500</v>
      </c>
      <c r="F2368" s="3" t="s">
        <v>4433</v>
      </c>
      <c r="G2368" s="3" t="s">
        <v>4367</v>
      </c>
      <c r="H2368" s="1" t="s">
        <v>201</v>
      </c>
      <c r="I2368" s="2" t="s">
        <v>202</v>
      </c>
      <c r="J2368" s="3" t="s">
        <v>11</v>
      </c>
      <c r="K2368" s="38">
        <v>0.17</v>
      </c>
      <c r="L2368" s="39">
        <v>679</v>
      </c>
    </row>
    <row r="2369" spans="1:12" ht="19.95" customHeight="1" x14ac:dyDescent="0.3">
      <c r="A2369" s="6" t="s">
        <v>4427</v>
      </c>
      <c r="B2369" s="7" t="s">
        <v>4428</v>
      </c>
      <c r="C2369" s="6" t="s">
        <v>5496</v>
      </c>
      <c r="D2369" s="7" t="s">
        <v>5504</v>
      </c>
      <c r="E2369" s="6" t="s">
        <v>5500</v>
      </c>
      <c r="F2369" s="7" t="s">
        <v>4433</v>
      </c>
      <c r="G2369" s="7" t="s">
        <v>4367</v>
      </c>
      <c r="H2369" s="5" t="s">
        <v>213</v>
      </c>
      <c r="I2369" s="6" t="s">
        <v>214</v>
      </c>
      <c r="J2369" s="7" t="s">
        <v>11</v>
      </c>
      <c r="K2369" s="36">
        <v>0.26</v>
      </c>
      <c r="L2369" s="37">
        <v>738</v>
      </c>
    </row>
    <row r="2370" spans="1:12" ht="19.95" customHeight="1" x14ac:dyDescent="0.3">
      <c r="A2370" s="2" t="s">
        <v>4427</v>
      </c>
      <c r="B2370" s="3" t="s">
        <v>4428</v>
      </c>
      <c r="C2370" s="2" t="s">
        <v>5496</v>
      </c>
      <c r="D2370" s="3" t="s">
        <v>5504</v>
      </c>
      <c r="E2370" s="2" t="s">
        <v>5500</v>
      </c>
      <c r="F2370" s="3" t="s">
        <v>4433</v>
      </c>
      <c r="G2370" s="3" t="s">
        <v>4367</v>
      </c>
      <c r="H2370" s="1" t="s">
        <v>209</v>
      </c>
      <c r="I2370" s="2" t="s">
        <v>210</v>
      </c>
      <c r="J2370" s="3" t="s">
        <v>11</v>
      </c>
      <c r="K2370" s="38">
        <v>0.34</v>
      </c>
      <c r="L2370" s="39">
        <v>558</v>
      </c>
    </row>
    <row r="2371" spans="1:12" ht="19.95" customHeight="1" x14ac:dyDescent="0.3">
      <c r="A2371" s="6" t="s">
        <v>4427</v>
      </c>
      <c r="B2371" s="7" t="s">
        <v>4428</v>
      </c>
      <c r="C2371" s="6" t="s">
        <v>5496</v>
      </c>
      <c r="D2371" s="7" t="s">
        <v>5504</v>
      </c>
      <c r="E2371" s="6" t="s">
        <v>5500</v>
      </c>
      <c r="F2371" s="7" t="s">
        <v>4433</v>
      </c>
      <c r="G2371" s="7" t="s">
        <v>4367</v>
      </c>
      <c r="H2371" s="5" t="s">
        <v>209</v>
      </c>
      <c r="I2371" s="6" t="s">
        <v>210</v>
      </c>
      <c r="J2371" s="7" t="s">
        <v>11</v>
      </c>
      <c r="K2371" s="36">
        <v>2.7E-2</v>
      </c>
      <c r="L2371" s="37">
        <v>558</v>
      </c>
    </row>
    <row r="2372" spans="1:12" ht="19.95" customHeight="1" x14ac:dyDescent="0.3">
      <c r="A2372" s="2" t="s">
        <v>4427</v>
      </c>
      <c r="B2372" s="3" t="s">
        <v>4428</v>
      </c>
      <c r="C2372" s="2" t="s">
        <v>5496</v>
      </c>
      <c r="D2372" s="3" t="s">
        <v>5504</v>
      </c>
      <c r="E2372" s="2" t="s">
        <v>5500</v>
      </c>
      <c r="F2372" s="3" t="s">
        <v>4433</v>
      </c>
      <c r="G2372" s="3" t="s">
        <v>4367</v>
      </c>
      <c r="H2372" s="1" t="s">
        <v>211</v>
      </c>
      <c r="I2372" s="2" t="s">
        <v>4432</v>
      </c>
      <c r="J2372" s="3" t="s">
        <v>11</v>
      </c>
      <c r="K2372" s="38">
        <v>1.95E-2</v>
      </c>
      <c r="L2372" s="39">
        <v>558</v>
      </c>
    </row>
    <row r="2373" spans="1:12" ht="19.95" customHeight="1" x14ac:dyDescent="0.3">
      <c r="A2373" s="6" t="s">
        <v>4427</v>
      </c>
      <c r="B2373" s="7" t="s">
        <v>4428</v>
      </c>
      <c r="C2373" s="6" t="s">
        <v>5496</v>
      </c>
      <c r="D2373" s="7" t="s">
        <v>5504</v>
      </c>
      <c r="E2373" s="6" t="s">
        <v>5500</v>
      </c>
      <c r="F2373" s="7" t="s">
        <v>4433</v>
      </c>
      <c r="G2373" s="7" t="s">
        <v>4367</v>
      </c>
      <c r="H2373" s="5" t="s">
        <v>235</v>
      </c>
      <c r="I2373" s="6" t="s">
        <v>236</v>
      </c>
      <c r="J2373" s="7" t="s">
        <v>11</v>
      </c>
      <c r="K2373" s="36">
        <v>8.3999999999999995E-3</v>
      </c>
      <c r="L2373" s="37">
        <v>738</v>
      </c>
    </row>
    <row r="2374" spans="1:12" ht="19.95" customHeight="1" x14ac:dyDescent="0.3">
      <c r="A2374" s="2" t="s">
        <v>4427</v>
      </c>
      <c r="B2374" s="3" t="s">
        <v>4428</v>
      </c>
      <c r="C2374" s="2" t="s">
        <v>5496</v>
      </c>
      <c r="D2374" s="3" t="s">
        <v>5504</v>
      </c>
      <c r="E2374" s="2" t="s">
        <v>5500</v>
      </c>
      <c r="F2374" s="3" t="s">
        <v>4433</v>
      </c>
      <c r="G2374" s="3" t="s">
        <v>4367</v>
      </c>
      <c r="H2374" s="1" t="s">
        <v>231</v>
      </c>
      <c r="I2374" s="2" t="s">
        <v>232</v>
      </c>
      <c r="J2374" s="3" t="s">
        <v>11</v>
      </c>
      <c r="K2374" s="38">
        <v>1.1999999999999999E-3</v>
      </c>
      <c r="L2374" s="39">
        <v>617</v>
      </c>
    </row>
    <row r="2375" spans="1:12" ht="19.95" customHeight="1" x14ac:dyDescent="0.3">
      <c r="A2375" s="6" t="s">
        <v>4427</v>
      </c>
      <c r="B2375" s="7" t="s">
        <v>4428</v>
      </c>
      <c r="C2375" s="6" t="s">
        <v>5496</v>
      </c>
      <c r="D2375" s="7" t="s">
        <v>5505</v>
      </c>
      <c r="E2375" s="6" t="s">
        <v>5500</v>
      </c>
      <c r="F2375" s="7" t="s">
        <v>5506</v>
      </c>
      <c r="G2375" s="7" t="s">
        <v>4367</v>
      </c>
      <c r="H2375" s="5" t="s">
        <v>201</v>
      </c>
      <c r="I2375" s="6" t="s">
        <v>202</v>
      </c>
      <c r="J2375" s="7" t="s">
        <v>11</v>
      </c>
      <c r="K2375" s="36">
        <v>0.1</v>
      </c>
      <c r="L2375" s="37">
        <v>679</v>
      </c>
    </row>
    <row r="2376" spans="1:12" ht="19.95" customHeight="1" x14ac:dyDescent="0.3">
      <c r="A2376" s="2" t="s">
        <v>4427</v>
      </c>
      <c r="B2376" s="3" t="s">
        <v>4428</v>
      </c>
      <c r="C2376" s="2" t="s">
        <v>5496</v>
      </c>
      <c r="D2376" s="3" t="s">
        <v>5505</v>
      </c>
      <c r="E2376" s="2" t="s">
        <v>5500</v>
      </c>
      <c r="F2376" s="3" t="s">
        <v>5506</v>
      </c>
      <c r="G2376" s="3" t="s">
        <v>4367</v>
      </c>
      <c r="H2376" s="1" t="s">
        <v>213</v>
      </c>
      <c r="I2376" s="2" t="s">
        <v>214</v>
      </c>
      <c r="J2376" s="3" t="s">
        <v>11</v>
      </c>
      <c r="K2376" s="38">
        <v>0.15</v>
      </c>
      <c r="L2376" s="39">
        <v>738</v>
      </c>
    </row>
    <row r="2377" spans="1:12" ht="19.95" customHeight="1" x14ac:dyDescent="0.3">
      <c r="A2377" s="6" t="s">
        <v>4427</v>
      </c>
      <c r="B2377" s="7" t="s">
        <v>4428</v>
      </c>
      <c r="C2377" s="6" t="s">
        <v>5496</v>
      </c>
      <c r="D2377" s="7" t="s">
        <v>5505</v>
      </c>
      <c r="E2377" s="6" t="s">
        <v>5500</v>
      </c>
      <c r="F2377" s="7" t="s">
        <v>5506</v>
      </c>
      <c r="G2377" s="7" t="s">
        <v>4367</v>
      </c>
      <c r="H2377" s="5" t="s">
        <v>209</v>
      </c>
      <c r="I2377" s="6" t="s">
        <v>210</v>
      </c>
      <c r="J2377" s="7" t="s">
        <v>11</v>
      </c>
      <c r="K2377" s="36">
        <v>0.2</v>
      </c>
      <c r="L2377" s="37">
        <v>558</v>
      </c>
    </row>
    <row r="2378" spans="1:12" ht="19.95" customHeight="1" x14ac:dyDescent="0.3">
      <c r="A2378" s="2" t="s">
        <v>4427</v>
      </c>
      <c r="B2378" s="3" t="s">
        <v>4428</v>
      </c>
      <c r="C2378" s="2" t="s">
        <v>5496</v>
      </c>
      <c r="D2378" s="3" t="s">
        <v>5507</v>
      </c>
      <c r="E2378" s="2" t="s">
        <v>5508</v>
      </c>
      <c r="F2378" s="3" t="s">
        <v>5509</v>
      </c>
      <c r="G2378" s="3" t="s">
        <v>4367</v>
      </c>
      <c r="H2378" s="1" t="s">
        <v>213</v>
      </c>
      <c r="I2378" s="2" t="s">
        <v>214</v>
      </c>
      <c r="J2378" s="3" t="s">
        <v>11</v>
      </c>
      <c r="K2378" s="38">
        <v>0.15</v>
      </c>
      <c r="L2378" s="39">
        <v>738</v>
      </c>
    </row>
    <row r="2379" spans="1:12" ht="19.95" customHeight="1" x14ac:dyDescent="0.3">
      <c r="A2379" s="6" t="s">
        <v>4427</v>
      </c>
      <c r="B2379" s="7" t="s">
        <v>4428</v>
      </c>
      <c r="C2379" s="6" t="s">
        <v>5496</v>
      </c>
      <c r="D2379" s="7" t="s">
        <v>5507</v>
      </c>
      <c r="E2379" s="6" t="s">
        <v>5508</v>
      </c>
      <c r="F2379" s="7" t="s">
        <v>5509</v>
      </c>
      <c r="G2379" s="7" t="s">
        <v>4367</v>
      </c>
      <c r="H2379" s="5" t="s">
        <v>209</v>
      </c>
      <c r="I2379" s="6" t="s">
        <v>210</v>
      </c>
      <c r="J2379" s="7" t="s">
        <v>11</v>
      </c>
      <c r="K2379" s="36">
        <v>0.2</v>
      </c>
      <c r="L2379" s="37">
        <v>558</v>
      </c>
    </row>
    <row r="2380" spans="1:12" ht="19.95" customHeight="1" x14ac:dyDescent="0.3">
      <c r="A2380" s="2" t="s">
        <v>4427</v>
      </c>
      <c r="B2380" s="3" t="s">
        <v>4428</v>
      </c>
      <c r="C2380" s="2" t="s">
        <v>5496</v>
      </c>
      <c r="D2380" s="3" t="s">
        <v>5510</v>
      </c>
      <c r="E2380" s="2" t="s">
        <v>5511</v>
      </c>
      <c r="F2380" s="3" t="s">
        <v>5509</v>
      </c>
      <c r="G2380" s="3" t="s">
        <v>4367</v>
      </c>
      <c r="H2380" s="1" t="s">
        <v>213</v>
      </c>
      <c r="I2380" s="2" t="s">
        <v>214</v>
      </c>
      <c r="J2380" s="3" t="s">
        <v>11</v>
      </c>
      <c r="K2380" s="38">
        <v>0.15</v>
      </c>
      <c r="L2380" s="39">
        <v>738</v>
      </c>
    </row>
    <row r="2381" spans="1:12" ht="19.95" customHeight="1" x14ac:dyDescent="0.3">
      <c r="A2381" s="6" t="s">
        <v>4427</v>
      </c>
      <c r="B2381" s="7" t="s">
        <v>4428</v>
      </c>
      <c r="C2381" s="6" t="s">
        <v>5496</v>
      </c>
      <c r="D2381" s="7" t="s">
        <v>5510</v>
      </c>
      <c r="E2381" s="6" t="s">
        <v>5511</v>
      </c>
      <c r="F2381" s="7" t="s">
        <v>5509</v>
      </c>
      <c r="G2381" s="7" t="s">
        <v>4367</v>
      </c>
      <c r="H2381" s="5" t="s">
        <v>209</v>
      </c>
      <c r="I2381" s="6" t="s">
        <v>210</v>
      </c>
      <c r="J2381" s="7" t="s">
        <v>11</v>
      </c>
      <c r="K2381" s="36">
        <v>0.2</v>
      </c>
      <c r="L2381" s="37">
        <v>558</v>
      </c>
    </row>
    <row r="2382" spans="1:12" ht="19.95" customHeight="1" x14ac:dyDescent="0.3">
      <c r="A2382" s="2" t="s">
        <v>4427</v>
      </c>
      <c r="B2382" s="3" t="s">
        <v>4428</v>
      </c>
      <c r="C2382" s="2" t="s">
        <v>5496</v>
      </c>
      <c r="D2382" s="3" t="s">
        <v>5512</v>
      </c>
      <c r="E2382" s="2" t="s">
        <v>5513</v>
      </c>
      <c r="F2382" s="3" t="s">
        <v>5509</v>
      </c>
      <c r="G2382" s="3" t="s">
        <v>4367</v>
      </c>
      <c r="H2382" s="1" t="s">
        <v>213</v>
      </c>
      <c r="I2382" s="2" t="s">
        <v>214</v>
      </c>
      <c r="J2382" s="3" t="s">
        <v>11</v>
      </c>
      <c r="K2382" s="38">
        <v>0.15</v>
      </c>
      <c r="L2382" s="39">
        <v>738</v>
      </c>
    </row>
    <row r="2383" spans="1:12" ht="19.95" customHeight="1" x14ac:dyDescent="0.3">
      <c r="A2383" s="6" t="s">
        <v>4427</v>
      </c>
      <c r="B2383" s="7" t="s">
        <v>4428</v>
      </c>
      <c r="C2383" s="6" t="s">
        <v>5496</v>
      </c>
      <c r="D2383" s="7" t="s">
        <v>5512</v>
      </c>
      <c r="E2383" s="6" t="s">
        <v>5513</v>
      </c>
      <c r="F2383" s="7" t="s">
        <v>5509</v>
      </c>
      <c r="G2383" s="7" t="s">
        <v>4367</v>
      </c>
      <c r="H2383" s="5" t="s">
        <v>209</v>
      </c>
      <c r="I2383" s="6" t="s">
        <v>210</v>
      </c>
      <c r="J2383" s="7" t="s">
        <v>11</v>
      </c>
      <c r="K2383" s="36">
        <v>0.2</v>
      </c>
      <c r="L2383" s="37">
        <v>558</v>
      </c>
    </row>
    <row r="2384" spans="1:12" ht="19.95" customHeight="1" x14ac:dyDescent="0.3">
      <c r="A2384" s="2" t="s">
        <v>4427</v>
      </c>
      <c r="B2384" s="3" t="s">
        <v>4428</v>
      </c>
      <c r="C2384" s="2" t="s">
        <v>5496</v>
      </c>
      <c r="D2384" s="3" t="s">
        <v>5514</v>
      </c>
      <c r="E2384" s="2" t="s">
        <v>5500</v>
      </c>
      <c r="F2384" s="3" t="s">
        <v>5113</v>
      </c>
      <c r="G2384" s="3" t="s">
        <v>4367</v>
      </c>
      <c r="H2384" s="1" t="s">
        <v>201</v>
      </c>
      <c r="I2384" s="2" t="s">
        <v>202</v>
      </c>
      <c r="J2384" s="3" t="s">
        <v>11</v>
      </c>
      <c r="K2384" s="38">
        <v>0.04</v>
      </c>
      <c r="L2384" s="39">
        <v>679</v>
      </c>
    </row>
    <row r="2385" spans="1:12" ht="19.95" customHeight="1" x14ac:dyDescent="0.3">
      <c r="A2385" s="6" t="s">
        <v>4427</v>
      </c>
      <c r="B2385" s="7" t="s">
        <v>4428</v>
      </c>
      <c r="C2385" s="6" t="s">
        <v>5496</v>
      </c>
      <c r="D2385" s="7" t="s">
        <v>5514</v>
      </c>
      <c r="E2385" s="6" t="s">
        <v>5500</v>
      </c>
      <c r="F2385" s="7" t="s">
        <v>5113</v>
      </c>
      <c r="G2385" s="7" t="s">
        <v>4367</v>
      </c>
      <c r="H2385" s="5" t="s">
        <v>213</v>
      </c>
      <c r="I2385" s="6" t="s">
        <v>214</v>
      </c>
      <c r="J2385" s="7" t="s">
        <v>11</v>
      </c>
      <c r="K2385" s="36">
        <v>0.06</v>
      </c>
      <c r="L2385" s="37">
        <v>738</v>
      </c>
    </row>
    <row r="2386" spans="1:12" ht="19.95" customHeight="1" x14ac:dyDescent="0.3">
      <c r="A2386" s="2" t="s">
        <v>4427</v>
      </c>
      <c r="B2386" s="3" t="s">
        <v>4428</v>
      </c>
      <c r="C2386" s="2" t="s">
        <v>5496</v>
      </c>
      <c r="D2386" s="3" t="s">
        <v>5514</v>
      </c>
      <c r="E2386" s="2" t="s">
        <v>5500</v>
      </c>
      <c r="F2386" s="3" t="s">
        <v>5113</v>
      </c>
      <c r="G2386" s="3" t="s">
        <v>4367</v>
      </c>
      <c r="H2386" s="1" t="s">
        <v>209</v>
      </c>
      <c r="I2386" s="2" t="s">
        <v>210</v>
      </c>
      <c r="J2386" s="3" t="s">
        <v>11</v>
      </c>
      <c r="K2386" s="38">
        <v>0.08</v>
      </c>
      <c r="L2386" s="39">
        <v>558</v>
      </c>
    </row>
    <row r="2387" spans="1:12" ht="19.95" customHeight="1" x14ac:dyDescent="0.3">
      <c r="A2387" s="6" t="s">
        <v>4427</v>
      </c>
      <c r="B2387" s="7" t="s">
        <v>4428</v>
      </c>
      <c r="C2387" s="6" t="s">
        <v>5496</v>
      </c>
      <c r="D2387" s="7" t="s">
        <v>5515</v>
      </c>
      <c r="E2387" s="6" t="s">
        <v>5516</v>
      </c>
      <c r="F2387" s="7" t="s">
        <v>5517</v>
      </c>
      <c r="G2387" s="7" t="s">
        <v>4367</v>
      </c>
      <c r="H2387" s="5" t="s">
        <v>201</v>
      </c>
      <c r="I2387" s="6" t="s">
        <v>202</v>
      </c>
      <c r="J2387" s="7" t="s">
        <v>11</v>
      </c>
      <c r="K2387" s="36">
        <v>0.04</v>
      </c>
      <c r="L2387" s="37">
        <v>679</v>
      </c>
    </row>
    <row r="2388" spans="1:12" ht="19.95" customHeight="1" x14ac:dyDescent="0.3">
      <c r="A2388" s="2" t="s">
        <v>4427</v>
      </c>
      <c r="B2388" s="3" t="s">
        <v>4428</v>
      </c>
      <c r="C2388" s="2" t="s">
        <v>5496</v>
      </c>
      <c r="D2388" s="3" t="s">
        <v>5515</v>
      </c>
      <c r="E2388" s="2" t="s">
        <v>5516</v>
      </c>
      <c r="F2388" s="3" t="s">
        <v>5517</v>
      </c>
      <c r="G2388" s="3" t="s">
        <v>4367</v>
      </c>
      <c r="H2388" s="1" t="s">
        <v>209</v>
      </c>
      <c r="I2388" s="2" t="s">
        <v>210</v>
      </c>
      <c r="J2388" s="3" t="s">
        <v>11</v>
      </c>
      <c r="K2388" s="38">
        <v>0.04</v>
      </c>
      <c r="L2388" s="39">
        <v>558</v>
      </c>
    </row>
    <row r="2389" spans="1:12" ht="19.95" customHeight="1" x14ac:dyDescent="0.3">
      <c r="A2389" s="6" t="s">
        <v>4427</v>
      </c>
      <c r="B2389" s="7" t="s">
        <v>4428</v>
      </c>
      <c r="C2389" s="6" t="s">
        <v>5496</v>
      </c>
      <c r="D2389" s="7" t="s">
        <v>5518</v>
      </c>
      <c r="E2389" s="6" t="s">
        <v>5519</v>
      </c>
      <c r="F2389" s="7" t="s">
        <v>4368</v>
      </c>
      <c r="G2389" s="7" t="s">
        <v>4367</v>
      </c>
      <c r="H2389" s="5" t="s">
        <v>201</v>
      </c>
      <c r="I2389" s="6" t="s">
        <v>202</v>
      </c>
      <c r="J2389" s="7" t="s">
        <v>11</v>
      </c>
      <c r="K2389" s="36">
        <v>0.03</v>
      </c>
      <c r="L2389" s="37">
        <v>679</v>
      </c>
    </row>
    <row r="2390" spans="1:12" ht="19.95" customHeight="1" x14ac:dyDescent="0.3">
      <c r="A2390" s="2" t="s">
        <v>4427</v>
      </c>
      <c r="B2390" s="3" t="s">
        <v>4428</v>
      </c>
      <c r="C2390" s="2" t="s">
        <v>5496</v>
      </c>
      <c r="D2390" s="3" t="s">
        <v>5518</v>
      </c>
      <c r="E2390" s="2" t="s">
        <v>5519</v>
      </c>
      <c r="F2390" s="3" t="s">
        <v>4368</v>
      </c>
      <c r="G2390" s="3" t="s">
        <v>4367</v>
      </c>
      <c r="H2390" s="1" t="s">
        <v>209</v>
      </c>
      <c r="I2390" s="2" t="s">
        <v>210</v>
      </c>
      <c r="J2390" s="3" t="s">
        <v>11</v>
      </c>
      <c r="K2390" s="38">
        <v>0.03</v>
      </c>
      <c r="L2390" s="39">
        <v>558</v>
      </c>
    </row>
    <row r="2391" spans="1:12" ht="19.95" customHeight="1" x14ac:dyDescent="0.3">
      <c r="A2391" s="6" t="s">
        <v>4427</v>
      </c>
      <c r="B2391" s="7" t="s">
        <v>4428</v>
      </c>
      <c r="C2391" s="6" t="s">
        <v>5496</v>
      </c>
      <c r="D2391" s="7" t="s">
        <v>5520</v>
      </c>
      <c r="E2391" s="6" t="s">
        <v>5521</v>
      </c>
      <c r="F2391" s="7" t="s">
        <v>5522</v>
      </c>
      <c r="G2391" s="7" t="s">
        <v>4367</v>
      </c>
      <c r="H2391" s="5" t="s">
        <v>201</v>
      </c>
      <c r="I2391" s="6" t="s">
        <v>202</v>
      </c>
      <c r="J2391" s="7" t="s">
        <v>11</v>
      </c>
      <c r="K2391" s="36">
        <v>0.03</v>
      </c>
      <c r="L2391" s="37">
        <v>679</v>
      </c>
    </row>
    <row r="2392" spans="1:12" ht="19.95" customHeight="1" x14ac:dyDescent="0.3">
      <c r="A2392" s="2" t="s">
        <v>4427</v>
      </c>
      <c r="B2392" s="3" t="s">
        <v>4428</v>
      </c>
      <c r="C2392" s="2" t="s">
        <v>5496</v>
      </c>
      <c r="D2392" s="3" t="s">
        <v>4672</v>
      </c>
      <c r="E2392" s="2" t="s">
        <v>5523</v>
      </c>
      <c r="F2392" s="3" t="s">
        <v>4431</v>
      </c>
      <c r="G2392" s="3" t="s">
        <v>4367</v>
      </c>
      <c r="H2392" s="1" t="s">
        <v>213</v>
      </c>
      <c r="I2392" s="2" t="s">
        <v>214</v>
      </c>
      <c r="J2392" s="3" t="s">
        <v>11</v>
      </c>
      <c r="K2392" s="38">
        <v>2.7</v>
      </c>
      <c r="L2392" s="39">
        <v>738</v>
      </c>
    </row>
    <row r="2393" spans="1:12" ht="19.95" customHeight="1" x14ac:dyDescent="0.3">
      <c r="A2393" s="6" t="s">
        <v>4427</v>
      </c>
      <c r="B2393" s="7" t="s">
        <v>4428</v>
      </c>
      <c r="C2393" s="6" t="s">
        <v>5496</v>
      </c>
      <c r="D2393" s="7" t="s">
        <v>4672</v>
      </c>
      <c r="E2393" s="6" t="s">
        <v>5523</v>
      </c>
      <c r="F2393" s="7" t="s">
        <v>4431</v>
      </c>
      <c r="G2393" s="7" t="s">
        <v>4367</v>
      </c>
      <c r="H2393" s="5" t="s">
        <v>201</v>
      </c>
      <c r="I2393" s="6" t="s">
        <v>202</v>
      </c>
      <c r="J2393" s="7" t="s">
        <v>11</v>
      </c>
      <c r="K2393" s="36">
        <v>3.6</v>
      </c>
      <c r="L2393" s="37">
        <v>679</v>
      </c>
    </row>
    <row r="2394" spans="1:12" ht="19.95" customHeight="1" x14ac:dyDescent="0.3">
      <c r="A2394" s="2" t="s">
        <v>4427</v>
      </c>
      <c r="B2394" s="3" t="s">
        <v>4428</v>
      </c>
      <c r="C2394" s="2" t="s">
        <v>5496</v>
      </c>
      <c r="D2394" s="3" t="s">
        <v>4672</v>
      </c>
      <c r="E2394" s="2" t="s">
        <v>5523</v>
      </c>
      <c r="F2394" s="3" t="s">
        <v>4431</v>
      </c>
      <c r="G2394" s="3" t="s">
        <v>4367</v>
      </c>
      <c r="H2394" s="1" t="s">
        <v>249</v>
      </c>
      <c r="I2394" s="2" t="s">
        <v>250</v>
      </c>
      <c r="J2394" s="3" t="s">
        <v>11</v>
      </c>
      <c r="K2394" s="38">
        <v>5.4</v>
      </c>
      <c r="L2394" s="39">
        <v>617</v>
      </c>
    </row>
    <row r="2395" spans="1:12" ht="19.95" customHeight="1" x14ac:dyDescent="0.3">
      <c r="A2395" s="6" t="s">
        <v>4427</v>
      </c>
      <c r="B2395" s="7" t="s">
        <v>4428</v>
      </c>
      <c r="C2395" s="6" t="s">
        <v>5496</v>
      </c>
      <c r="D2395" s="7" t="s">
        <v>4672</v>
      </c>
      <c r="E2395" s="6" t="s">
        <v>5523</v>
      </c>
      <c r="F2395" s="7" t="s">
        <v>4431</v>
      </c>
      <c r="G2395" s="7" t="s">
        <v>4367</v>
      </c>
      <c r="H2395" s="5" t="s">
        <v>209</v>
      </c>
      <c r="I2395" s="6" t="s">
        <v>210</v>
      </c>
      <c r="J2395" s="7" t="s">
        <v>11</v>
      </c>
      <c r="K2395" s="36">
        <v>3.6</v>
      </c>
      <c r="L2395" s="37">
        <v>558</v>
      </c>
    </row>
    <row r="2396" spans="1:12" ht="19.95" customHeight="1" x14ac:dyDescent="0.3">
      <c r="A2396" s="2" t="s">
        <v>4427</v>
      </c>
      <c r="B2396" s="3" t="s">
        <v>4428</v>
      </c>
      <c r="C2396" s="2" t="s">
        <v>5496</v>
      </c>
      <c r="D2396" s="3" t="s">
        <v>4672</v>
      </c>
      <c r="E2396" s="2" t="s">
        <v>5523</v>
      </c>
      <c r="F2396" s="3" t="s">
        <v>4431</v>
      </c>
      <c r="G2396" s="3" t="s">
        <v>4367</v>
      </c>
      <c r="H2396" s="1" t="s">
        <v>194</v>
      </c>
      <c r="I2396" s="2" t="s">
        <v>196</v>
      </c>
      <c r="J2396" s="3" t="s">
        <v>11</v>
      </c>
      <c r="K2396" s="38">
        <v>0.44</v>
      </c>
      <c r="L2396" s="39">
        <v>617</v>
      </c>
    </row>
    <row r="2397" spans="1:12" ht="19.95" customHeight="1" x14ac:dyDescent="0.3">
      <c r="A2397" s="6" t="s">
        <v>4427</v>
      </c>
      <c r="B2397" s="7" t="s">
        <v>4428</v>
      </c>
      <c r="C2397" s="6" t="s">
        <v>5496</v>
      </c>
      <c r="D2397" s="7" t="s">
        <v>5524</v>
      </c>
      <c r="E2397" s="6" t="s">
        <v>5525</v>
      </c>
      <c r="F2397" s="7" t="s">
        <v>5110</v>
      </c>
      <c r="G2397" s="7" t="s">
        <v>4367</v>
      </c>
      <c r="H2397" s="5" t="s">
        <v>201</v>
      </c>
      <c r="I2397" s="6" t="s">
        <v>202</v>
      </c>
      <c r="J2397" s="7" t="s">
        <v>11</v>
      </c>
      <c r="K2397" s="36">
        <v>0.38</v>
      </c>
      <c r="L2397" s="37">
        <v>679</v>
      </c>
    </row>
    <row r="2398" spans="1:12" ht="19.95" customHeight="1" x14ac:dyDescent="0.3">
      <c r="A2398" s="2" t="s">
        <v>4427</v>
      </c>
      <c r="B2398" s="3" t="s">
        <v>4428</v>
      </c>
      <c r="C2398" s="2" t="s">
        <v>5496</v>
      </c>
      <c r="D2398" s="3" t="s">
        <v>5524</v>
      </c>
      <c r="E2398" s="2" t="s">
        <v>5525</v>
      </c>
      <c r="F2398" s="3" t="s">
        <v>5110</v>
      </c>
      <c r="G2398" s="3" t="s">
        <v>4367</v>
      </c>
      <c r="H2398" s="1" t="s">
        <v>209</v>
      </c>
      <c r="I2398" s="2" t="s">
        <v>210</v>
      </c>
      <c r="J2398" s="3" t="s">
        <v>11</v>
      </c>
      <c r="K2398" s="38">
        <v>0.38</v>
      </c>
      <c r="L2398" s="39">
        <v>558</v>
      </c>
    </row>
    <row r="2399" spans="1:12" ht="19.95" customHeight="1" x14ac:dyDescent="0.3">
      <c r="A2399" s="6" t="s">
        <v>4427</v>
      </c>
      <c r="B2399" s="7" t="s">
        <v>4428</v>
      </c>
      <c r="C2399" s="6" t="s">
        <v>5496</v>
      </c>
      <c r="D2399" s="7" t="s">
        <v>5526</v>
      </c>
      <c r="E2399" s="6" t="s">
        <v>5527</v>
      </c>
      <c r="F2399" s="7" t="s">
        <v>5110</v>
      </c>
      <c r="G2399" s="7" t="s">
        <v>4367</v>
      </c>
      <c r="H2399" s="5" t="s">
        <v>213</v>
      </c>
      <c r="I2399" s="6" t="s">
        <v>214</v>
      </c>
      <c r="J2399" s="7" t="s">
        <v>11</v>
      </c>
      <c r="K2399" s="36">
        <v>0.83</v>
      </c>
      <c r="L2399" s="37">
        <v>738</v>
      </c>
    </row>
    <row r="2400" spans="1:12" ht="19.95" customHeight="1" x14ac:dyDescent="0.3">
      <c r="A2400" s="2" t="s">
        <v>4427</v>
      </c>
      <c r="B2400" s="3" t="s">
        <v>4428</v>
      </c>
      <c r="C2400" s="2" t="s">
        <v>5496</v>
      </c>
      <c r="D2400" s="3" t="s">
        <v>5526</v>
      </c>
      <c r="E2400" s="2" t="s">
        <v>5527</v>
      </c>
      <c r="F2400" s="3" t="s">
        <v>5110</v>
      </c>
      <c r="G2400" s="3" t="s">
        <v>4367</v>
      </c>
      <c r="H2400" s="1" t="s">
        <v>249</v>
      </c>
      <c r="I2400" s="2" t="s">
        <v>250</v>
      </c>
      <c r="J2400" s="3" t="s">
        <v>11</v>
      </c>
      <c r="K2400" s="38">
        <v>0.83</v>
      </c>
      <c r="L2400" s="39">
        <v>617</v>
      </c>
    </row>
    <row r="2401" spans="1:12" ht="19.95" customHeight="1" x14ac:dyDescent="0.3">
      <c r="A2401" s="6" t="s">
        <v>4427</v>
      </c>
      <c r="B2401" s="7" t="s">
        <v>4428</v>
      </c>
      <c r="C2401" s="6" t="s">
        <v>5496</v>
      </c>
      <c r="D2401" s="7" t="s">
        <v>5528</v>
      </c>
      <c r="E2401" s="6" t="s">
        <v>5529</v>
      </c>
      <c r="F2401" s="7" t="s">
        <v>4368</v>
      </c>
      <c r="G2401" s="7" t="s">
        <v>4367</v>
      </c>
      <c r="H2401" s="5" t="s">
        <v>199</v>
      </c>
      <c r="I2401" s="6" t="s">
        <v>200</v>
      </c>
      <c r="J2401" s="7" t="s">
        <v>11</v>
      </c>
      <c r="K2401" s="36">
        <v>1.85</v>
      </c>
      <c r="L2401" s="37">
        <v>738</v>
      </c>
    </row>
    <row r="2402" spans="1:12" ht="19.95" customHeight="1" x14ac:dyDescent="0.3">
      <c r="A2402" s="2" t="s">
        <v>4427</v>
      </c>
      <c r="B2402" s="3" t="s">
        <v>4428</v>
      </c>
      <c r="C2402" s="2" t="s">
        <v>5496</v>
      </c>
      <c r="D2402" s="3" t="s">
        <v>5528</v>
      </c>
      <c r="E2402" s="2" t="s">
        <v>5529</v>
      </c>
      <c r="F2402" s="3" t="s">
        <v>4368</v>
      </c>
      <c r="G2402" s="3" t="s">
        <v>4367</v>
      </c>
      <c r="H2402" s="1" t="s">
        <v>209</v>
      </c>
      <c r="I2402" s="2" t="s">
        <v>210</v>
      </c>
      <c r="J2402" s="3" t="s">
        <v>11</v>
      </c>
      <c r="K2402" s="38">
        <v>1.25</v>
      </c>
      <c r="L2402" s="39">
        <v>558</v>
      </c>
    </row>
    <row r="2403" spans="1:12" ht="19.95" customHeight="1" x14ac:dyDescent="0.3">
      <c r="A2403" s="6" t="s">
        <v>4427</v>
      </c>
      <c r="B2403" s="7" t="s">
        <v>4428</v>
      </c>
      <c r="C2403" s="6" t="s">
        <v>5496</v>
      </c>
      <c r="D2403" s="7" t="s">
        <v>5528</v>
      </c>
      <c r="E2403" s="6" t="s">
        <v>5529</v>
      </c>
      <c r="F2403" s="7" t="s">
        <v>4368</v>
      </c>
      <c r="G2403" s="7" t="s">
        <v>4367</v>
      </c>
      <c r="H2403" s="5" t="s">
        <v>194</v>
      </c>
      <c r="I2403" s="6" t="s">
        <v>196</v>
      </c>
      <c r="J2403" s="7" t="s">
        <v>11</v>
      </c>
      <c r="K2403" s="36">
        <v>0.6</v>
      </c>
      <c r="L2403" s="37">
        <v>617</v>
      </c>
    </row>
    <row r="2404" spans="1:12" ht="19.95" customHeight="1" x14ac:dyDescent="0.3">
      <c r="A2404" s="2" t="s">
        <v>4427</v>
      </c>
      <c r="B2404" s="3" t="s">
        <v>4428</v>
      </c>
      <c r="C2404" s="2" t="s">
        <v>5496</v>
      </c>
      <c r="D2404" s="3" t="s">
        <v>5530</v>
      </c>
      <c r="E2404" s="2" t="s">
        <v>5531</v>
      </c>
      <c r="F2404" s="3" t="s">
        <v>4368</v>
      </c>
      <c r="G2404" s="3" t="s">
        <v>4367</v>
      </c>
      <c r="H2404" s="1" t="s">
        <v>199</v>
      </c>
      <c r="I2404" s="2" t="s">
        <v>200</v>
      </c>
      <c r="J2404" s="3" t="s">
        <v>11</v>
      </c>
      <c r="K2404" s="38">
        <v>0.7</v>
      </c>
      <c r="L2404" s="39">
        <v>738</v>
      </c>
    </row>
    <row r="2405" spans="1:12" ht="19.95" customHeight="1" x14ac:dyDescent="0.3">
      <c r="A2405" s="6" t="s">
        <v>4427</v>
      </c>
      <c r="B2405" s="7" t="s">
        <v>4428</v>
      </c>
      <c r="C2405" s="6" t="s">
        <v>5496</v>
      </c>
      <c r="D2405" s="7" t="s">
        <v>5530</v>
      </c>
      <c r="E2405" s="6" t="s">
        <v>5531</v>
      </c>
      <c r="F2405" s="7" t="s">
        <v>4368</v>
      </c>
      <c r="G2405" s="7" t="s">
        <v>4367</v>
      </c>
      <c r="H2405" s="5" t="s">
        <v>209</v>
      </c>
      <c r="I2405" s="6" t="s">
        <v>210</v>
      </c>
      <c r="J2405" s="7" t="s">
        <v>11</v>
      </c>
      <c r="K2405" s="36">
        <v>0.5</v>
      </c>
      <c r="L2405" s="37">
        <v>558</v>
      </c>
    </row>
    <row r="2406" spans="1:12" ht="19.95" customHeight="1" x14ac:dyDescent="0.3">
      <c r="A2406" s="2" t="s">
        <v>4427</v>
      </c>
      <c r="B2406" s="3" t="s">
        <v>4428</v>
      </c>
      <c r="C2406" s="2" t="s">
        <v>5496</v>
      </c>
      <c r="D2406" s="3" t="s">
        <v>5530</v>
      </c>
      <c r="E2406" s="2" t="s">
        <v>5531</v>
      </c>
      <c r="F2406" s="3" t="s">
        <v>4368</v>
      </c>
      <c r="G2406" s="3" t="s">
        <v>4367</v>
      </c>
      <c r="H2406" s="1" t="s">
        <v>194</v>
      </c>
      <c r="I2406" s="2" t="s">
        <v>196</v>
      </c>
      <c r="J2406" s="3" t="s">
        <v>11</v>
      </c>
      <c r="K2406" s="38">
        <v>0.25</v>
      </c>
      <c r="L2406" s="39">
        <v>617</v>
      </c>
    </row>
    <row r="2407" spans="1:12" ht="19.95" customHeight="1" x14ac:dyDescent="0.3">
      <c r="A2407" s="6" t="s">
        <v>4427</v>
      </c>
      <c r="B2407" s="7" t="s">
        <v>4428</v>
      </c>
      <c r="C2407" s="6" t="s">
        <v>5496</v>
      </c>
      <c r="D2407" s="7" t="s">
        <v>5532</v>
      </c>
      <c r="E2407" s="6" t="s">
        <v>5533</v>
      </c>
      <c r="F2407" s="7" t="s">
        <v>4419</v>
      </c>
      <c r="G2407" s="7" t="s">
        <v>4367</v>
      </c>
      <c r="H2407" s="5" t="s">
        <v>223</v>
      </c>
      <c r="I2407" s="6" t="s">
        <v>224</v>
      </c>
      <c r="J2407" s="7" t="s">
        <v>11</v>
      </c>
      <c r="K2407" s="36">
        <v>0.4</v>
      </c>
      <c r="L2407" s="37">
        <v>679</v>
      </c>
    </row>
    <row r="2408" spans="1:12" ht="19.95" customHeight="1" x14ac:dyDescent="0.3">
      <c r="A2408" s="2" t="s">
        <v>4427</v>
      </c>
      <c r="B2408" s="3" t="s">
        <v>4428</v>
      </c>
      <c r="C2408" s="2" t="s">
        <v>5496</v>
      </c>
      <c r="D2408" s="3" t="s">
        <v>5532</v>
      </c>
      <c r="E2408" s="2" t="s">
        <v>5533</v>
      </c>
      <c r="F2408" s="3" t="s">
        <v>4419</v>
      </c>
      <c r="G2408" s="3" t="s">
        <v>4367</v>
      </c>
      <c r="H2408" s="1" t="s">
        <v>209</v>
      </c>
      <c r="I2408" s="2" t="s">
        <v>210</v>
      </c>
      <c r="J2408" s="3" t="s">
        <v>11</v>
      </c>
      <c r="K2408" s="38">
        <v>0.4</v>
      </c>
      <c r="L2408" s="39">
        <v>558</v>
      </c>
    </row>
    <row r="2409" spans="1:12" ht="19.95" customHeight="1" x14ac:dyDescent="0.3">
      <c r="A2409" s="6" t="s">
        <v>4427</v>
      </c>
      <c r="B2409" s="7" t="s">
        <v>4428</v>
      </c>
      <c r="C2409" s="6" t="s">
        <v>5496</v>
      </c>
      <c r="D2409" s="7" t="s">
        <v>5534</v>
      </c>
      <c r="E2409" s="6" t="s">
        <v>5535</v>
      </c>
      <c r="F2409" s="7" t="s">
        <v>4419</v>
      </c>
      <c r="G2409" s="7" t="s">
        <v>4367</v>
      </c>
      <c r="H2409" s="5" t="s">
        <v>223</v>
      </c>
      <c r="I2409" s="6" t="s">
        <v>224</v>
      </c>
      <c r="J2409" s="7" t="s">
        <v>11</v>
      </c>
      <c r="K2409" s="36">
        <v>0.4</v>
      </c>
      <c r="L2409" s="37">
        <v>679</v>
      </c>
    </row>
    <row r="2410" spans="1:12" ht="19.95" customHeight="1" x14ac:dyDescent="0.3">
      <c r="A2410" s="2" t="s">
        <v>4427</v>
      </c>
      <c r="B2410" s="3" t="s">
        <v>4428</v>
      </c>
      <c r="C2410" s="2" t="s">
        <v>5496</v>
      </c>
      <c r="D2410" s="3" t="s">
        <v>5534</v>
      </c>
      <c r="E2410" s="2" t="s">
        <v>5535</v>
      </c>
      <c r="F2410" s="3" t="s">
        <v>4419</v>
      </c>
      <c r="G2410" s="3" t="s">
        <v>4367</v>
      </c>
      <c r="H2410" s="1" t="s">
        <v>209</v>
      </c>
      <c r="I2410" s="2" t="s">
        <v>210</v>
      </c>
      <c r="J2410" s="3" t="s">
        <v>11</v>
      </c>
      <c r="K2410" s="38">
        <v>0.4</v>
      </c>
      <c r="L2410" s="39">
        <v>558</v>
      </c>
    </row>
    <row r="2411" spans="1:12" ht="19.95" customHeight="1" x14ac:dyDescent="0.3">
      <c r="A2411" s="6" t="s">
        <v>4427</v>
      </c>
      <c r="B2411" s="7" t="s">
        <v>4428</v>
      </c>
      <c r="C2411" s="6" t="s">
        <v>5496</v>
      </c>
      <c r="D2411" s="7" t="s">
        <v>5536</v>
      </c>
      <c r="E2411" s="6" t="s">
        <v>5537</v>
      </c>
      <c r="F2411" s="7" t="s">
        <v>4419</v>
      </c>
      <c r="G2411" s="7" t="s">
        <v>4367</v>
      </c>
      <c r="H2411" s="5" t="s">
        <v>223</v>
      </c>
      <c r="I2411" s="6" t="s">
        <v>224</v>
      </c>
      <c r="J2411" s="7" t="s">
        <v>11</v>
      </c>
      <c r="K2411" s="36">
        <v>0.5</v>
      </c>
      <c r="L2411" s="37">
        <v>679</v>
      </c>
    </row>
    <row r="2412" spans="1:12" ht="19.95" customHeight="1" x14ac:dyDescent="0.3">
      <c r="A2412" s="2" t="s">
        <v>4427</v>
      </c>
      <c r="B2412" s="3" t="s">
        <v>4428</v>
      </c>
      <c r="C2412" s="2" t="s">
        <v>5496</v>
      </c>
      <c r="D2412" s="3" t="s">
        <v>5536</v>
      </c>
      <c r="E2412" s="2" t="s">
        <v>5537</v>
      </c>
      <c r="F2412" s="3" t="s">
        <v>4419</v>
      </c>
      <c r="G2412" s="3" t="s">
        <v>4367</v>
      </c>
      <c r="H2412" s="1" t="s">
        <v>209</v>
      </c>
      <c r="I2412" s="2" t="s">
        <v>210</v>
      </c>
      <c r="J2412" s="3" t="s">
        <v>11</v>
      </c>
      <c r="K2412" s="38">
        <v>0.5</v>
      </c>
      <c r="L2412" s="39">
        <v>558</v>
      </c>
    </row>
    <row r="2413" spans="1:12" ht="19.95" customHeight="1" x14ac:dyDescent="0.3">
      <c r="A2413" s="6" t="s">
        <v>4427</v>
      </c>
      <c r="B2413" s="7" t="s">
        <v>4428</v>
      </c>
      <c r="C2413" s="6" t="s">
        <v>5496</v>
      </c>
      <c r="D2413" s="7" t="s">
        <v>5538</v>
      </c>
      <c r="E2413" s="6" t="s">
        <v>5539</v>
      </c>
      <c r="F2413" s="7" t="s">
        <v>4419</v>
      </c>
      <c r="G2413" s="7" t="s">
        <v>4367</v>
      </c>
      <c r="H2413" s="5" t="s">
        <v>223</v>
      </c>
      <c r="I2413" s="6" t="s">
        <v>224</v>
      </c>
      <c r="J2413" s="7" t="s">
        <v>11</v>
      </c>
      <c r="K2413" s="36">
        <v>0.5</v>
      </c>
      <c r="L2413" s="37">
        <v>679</v>
      </c>
    </row>
    <row r="2414" spans="1:12" ht="19.95" customHeight="1" x14ac:dyDescent="0.3">
      <c r="A2414" s="2" t="s">
        <v>4427</v>
      </c>
      <c r="B2414" s="3" t="s">
        <v>4428</v>
      </c>
      <c r="C2414" s="2" t="s">
        <v>5496</v>
      </c>
      <c r="D2414" s="3" t="s">
        <v>5538</v>
      </c>
      <c r="E2414" s="2" t="s">
        <v>5539</v>
      </c>
      <c r="F2414" s="3" t="s">
        <v>4419</v>
      </c>
      <c r="G2414" s="3" t="s">
        <v>4367</v>
      </c>
      <c r="H2414" s="1" t="s">
        <v>209</v>
      </c>
      <c r="I2414" s="2" t="s">
        <v>210</v>
      </c>
      <c r="J2414" s="3" t="s">
        <v>11</v>
      </c>
      <c r="K2414" s="38">
        <v>0.5</v>
      </c>
      <c r="L2414" s="39">
        <v>558</v>
      </c>
    </row>
    <row r="2415" spans="1:12" ht="19.95" customHeight="1" x14ac:dyDescent="0.3">
      <c r="A2415" s="6" t="s">
        <v>4427</v>
      </c>
      <c r="B2415" s="7" t="s">
        <v>4428</v>
      </c>
      <c r="C2415" s="6" t="s">
        <v>5496</v>
      </c>
      <c r="D2415" s="7" t="s">
        <v>5540</v>
      </c>
      <c r="E2415" s="6" t="s">
        <v>5541</v>
      </c>
      <c r="F2415" s="7" t="s">
        <v>4419</v>
      </c>
      <c r="G2415" s="7" t="s">
        <v>4367</v>
      </c>
      <c r="H2415" s="5" t="s">
        <v>223</v>
      </c>
      <c r="I2415" s="6" t="s">
        <v>224</v>
      </c>
      <c r="J2415" s="7" t="s">
        <v>11</v>
      </c>
      <c r="K2415" s="36">
        <v>0.6</v>
      </c>
      <c r="L2415" s="37">
        <v>679</v>
      </c>
    </row>
    <row r="2416" spans="1:12" ht="19.95" customHeight="1" x14ac:dyDescent="0.3">
      <c r="A2416" s="2" t="s">
        <v>4427</v>
      </c>
      <c r="B2416" s="3" t="s">
        <v>4428</v>
      </c>
      <c r="C2416" s="2" t="s">
        <v>5496</v>
      </c>
      <c r="D2416" s="3" t="s">
        <v>5540</v>
      </c>
      <c r="E2416" s="2" t="s">
        <v>5541</v>
      </c>
      <c r="F2416" s="3" t="s">
        <v>4419</v>
      </c>
      <c r="G2416" s="3" t="s">
        <v>4367</v>
      </c>
      <c r="H2416" s="1" t="s">
        <v>209</v>
      </c>
      <c r="I2416" s="2" t="s">
        <v>210</v>
      </c>
      <c r="J2416" s="3" t="s">
        <v>11</v>
      </c>
      <c r="K2416" s="38">
        <v>0.6</v>
      </c>
      <c r="L2416" s="39">
        <v>558</v>
      </c>
    </row>
    <row r="2417" spans="1:12" ht="19.95" customHeight="1" x14ac:dyDescent="0.3">
      <c r="A2417" s="6" t="s">
        <v>4427</v>
      </c>
      <c r="B2417" s="7" t="s">
        <v>4428</v>
      </c>
      <c r="C2417" s="6" t="s">
        <v>5496</v>
      </c>
      <c r="D2417" s="7" t="s">
        <v>5542</v>
      </c>
      <c r="E2417" s="6" t="s">
        <v>5543</v>
      </c>
      <c r="F2417" s="7" t="s">
        <v>5544</v>
      </c>
      <c r="G2417" s="7" t="s">
        <v>4367</v>
      </c>
      <c r="H2417" s="5" t="s">
        <v>199</v>
      </c>
      <c r="I2417" s="6" t="s">
        <v>200</v>
      </c>
      <c r="J2417" s="7" t="s">
        <v>11</v>
      </c>
      <c r="K2417" s="36">
        <v>0.06</v>
      </c>
      <c r="L2417" s="37">
        <v>738</v>
      </c>
    </row>
    <row r="2418" spans="1:12" ht="19.95" customHeight="1" x14ac:dyDescent="0.3">
      <c r="A2418" s="2" t="s">
        <v>4427</v>
      </c>
      <c r="B2418" s="3" t="s">
        <v>4428</v>
      </c>
      <c r="C2418" s="2" t="s">
        <v>5496</v>
      </c>
      <c r="D2418" s="3" t="s">
        <v>5542</v>
      </c>
      <c r="E2418" s="2" t="s">
        <v>5543</v>
      </c>
      <c r="F2418" s="3" t="s">
        <v>5544</v>
      </c>
      <c r="G2418" s="3" t="s">
        <v>4367</v>
      </c>
      <c r="H2418" s="1" t="s">
        <v>209</v>
      </c>
      <c r="I2418" s="2" t="s">
        <v>210</v>
      </c>
      <c r="J2418" s="3" t="s">
        <v>11</v>
      </c>
      <c r="K2418" s="38">
        <v>0.2</v>
      </c>
      <c r="L2418" s="39">
        <v>558</v>
      </c>
    </row>
    <row r="2419" spans="1:12" ht="19.95" customHeight="1" x14ac:dyDescent="0.3">
      <c r="A2419" s="6" t="s">
        <v>4427</v>
      </c>
      <c r="B2419" s="7" t="s">
        <v>4428</v>
      </c>
      <c r="C2419" s="6" t="s">
        <v>5496</v>
      </c>
      <c r="D2419" s="7" t="s">
        <v>5542</v>
      </c>
      <c r="E2419" s="6" t="s">
        <v>5543</v>
      </c>
      <c r="F2419" s="7" t="s">
        <v>5544</v>
      </c>
      <c r="G2419" s="7" t="s">
        <v>4367</v>
      </c>
      <c r="H2419" s="5" t="s">
        <v>194</v>
      </c>
      <c r="I2419" s="6" t="s">
        <v>196</v>
      </c>
      <c r="J2419" s="7" t="s">
        <v>11</v>
      </c>
      <c r="K2419" s="36">
        <v>0.02</v>
      </c>
      <c r="L2419" s="37">
        <v>617</v>
      </c>
    </row>
    <row r="2420" spans="1:12" ht="19.95" customHeight="1" x14ac:dyDescent="0.3">
      <c r="A2420" s="2" t="s">
        <v>4427</v>
      </c>
      <c r="B2420" s="3" t="s">
        <v>4428</v>
      </c>
      <c r="C2420" s="2" t="s">
        <v>5496</v>
      </c>
      <c r="D2420" s="3" t="s">
        <v>5545</v>
      </c>
      <c r="E2420" s="2" t="s">
        <v>5546</v>
      </c>
      <c r="F2420" s="3" t="s">
        <v>4429</v>
      </c>
      <c r="G2420" s="3" t="s">
        <v>4367</v>
      </c>
      <c r="H2420" s="1" t="s">
        <v>201</v>
      </c>
      <c r="I2420" s="2" t="s">
        <v>202</v>
      </c>
      <c r="J2420" s="3" t="s">
        <v>11</v>
      </c>
      <c r="K2420" s="38">
        <v>0.17</v>
      </c>
      <c r="L2420" s="39">
        <v>679</v>
      </c>
    </row>
    <row r="2421" spans="1:12" ht="19.95" customHeight="1" x14ac:dyDescent="0.3">
      <c r="A2421" s="6" t="s">
        <v>4427</v>
      </c>
      <c r="B2421" s="7" t="s">
        <v>4428</v>
      </c>
      <c r="C2421" s="6" t="s">
        <v>5496</v>
      </c>
      <c r="D2421" s="7" t="s">
        <v>5545</v>
      </c>
      <c r="E2421" s="6" t="s">
        <v>5546</v>
      </c>
      <c r="F2421" s="7" t="s">
        <v>4429</v>
      </c>
      <c r="G2421" s="7" t="s">
        <v>4367</v>
      </c>
      <c r="H2421" s="5" t="s">
        <v>205</v>
      </c>
      <c r="I2421" s="6" t="s">
        <v>206</v>
      </c>
      <c r="J2421" s="7" t="s">
        <v>11</v>
      </c>
      <c r="K2421" s="36">
        <v>0.17</v>
      </c>
      <c r="L2421" s="37">
        <v>679</v>
      </c>
    </row>
    <row r="2422" spans="1:12" ht="19.95" customHeight="1" x14ac:dyDescent="0.3">
      <c r="A2422" s="2" t="s">
        <v>4427</v>
      </c>
      <c r="B2422" s="3" t="s">
        <v>4428</v>
      </c>
      <c r="C2422" s="2" t="s">
        <v>5496</v>
      </c>
      <c r="D2422" s="3" t="s">
        <v>5545</v>
      </c>
      <c r="E2422" s="2" t="s">
        <v>5546</v>
      </c>
      <c r="F2422" s="3" t="s">
        <v>4429</v>
      </c>
      <c r="G2422" s="3" t="s">
        <v>4367</v>
      </c>
      <c r="H2422" s="1" t="s">
        <v>209</v>
      </c>
      <c r="I2422" s="2" t="s">
        <v>210</v>
      </c>
      <c r="J2422" s="3" t="s">
        <v>11</v>
      </c>
      <c r="K2422" s="38">
        <v>0.06</v>
      </c>
      <c r="L2422" s="39">
        <v>558</v>
      </c>
    </row>
    <row r="2423" spans="1:12" ht="19.95" customHeight="1" x14ac:dyDescent="0.3">
      <c r="A2423" s="6" t="s">
        <v>4427</v>
      </c>
      <c r="B2423" s="7" t="s">
        <v>4428</v>
      </c>
      <c r="C2423" s="6" t="s">
        <v>5496</v>
      </c>
      <c r="D2423" s="7" t="s">
        <v>5547</v>
      </c>
      <c r="E2423" s="6" t="s">
        <v>5548</v>
      </c>
      <c r="F2423" s="7" t="s">
        <v>4429</v>
      </c>
      <c r="G2423" s="7" t="s">
        <v>4367</v>
      </c>
      <c r="H2423" s="5" t="s">
        <v>201</v>
      </c>
      <c r="I2423" s="6" t="s">
        <v>202</v>
      </c>
      <c r="J2423" s="7" t="s">
        <v>11</v>
      </c>
      <c r="K2423" s="36">
        <v>0.17</v>
      </c>
      <c r="L2423" s="37">
        <v>679</v>
      </c>
    </row>
    <row r="2424" spans="1:12" ht="19.95" customHeight="1" x14ac:dyDescent="0.3">
      <c r="A2424" s="2" t="s">
        <v>4427</v>
      </c>
      <c r="B2424" s="3" t="s">
        <v>4428</v>
      </c>
      <c r="C2424" s="2" t="s">
        <v>5496</v>
      </c>
      <c r="D2424" s="3" t="s">
        <v>5547</v>
      </c>
      <c r="E2424" s="2" t="s">
        <v>5548</v>
      </c>
      <c r="F2424" s="3" t="s">
        <v>4429</v>
      </c>
      <c r="G2424" s="3" t="s">
        <v>4367</v>
      </c>
      <c r="H2424" s="1" t="s">
        <v>205</v>
      </c>
      <c r="I2424" s="2" t="s">
        <v>206</v>
      </c>
      <c r="J2424" s="3" t="s">
        <v>11</v>
      </c>
      <c r="K2424" s="38">
        <v>0.17</v>
      </c>
      <c r="L2424" s="39">
        <v>679</v>
      </c>
    </row>
    <row r="2425" spans="1:12" ht="19.95" customHeight="1" x14ac:dyDescent="0.3">
      <c r="A2425" s="6" t="s">
        <v>4427</v>
      </c>
      <c r="B2425" s="7" t="s">
        <v>4428</v>
      </c>
      <c r="C2425" s="6" t="s">
        <v>5496</v>
      </c>
      <c r="D2425" s="7" t="s">
        <v>5547</v>
      </c>
      <c r="E2425" s="6" t="s">
        <v>5548</v>
      </c>
      <c r="F2425" s="7" t="s">
        <v>4429</v>
      </c>
      <c r="G2425" s="7" t="s">
        <v>4367</v>
      </c>
      <c r="H2425" s="5" t="s">
        <v>209</v>
      </c>
      <c r="I2425" s="6" t="s">
        <v>210</v>
      </c>
      <c r="J2425" s="7" t="s">
        <v>11</v>
      </c>
      <c r="K2425" s="36">
        <v>0.06</v>
      </c>
      <c r="L2425" s="37">
        <v>558</v>
      </c>
    </row>
    <row r="2426" spans="1:12" ht="19.95" customHeight="1" x14ac:dyDescent="0.3">
      <c r="A2426" s="2" t="s">
        <v>4427</v>
      </c>
      <c r="B2426" s="3" t="s">
        <v>4428</v>
      </c>
      <c r="C2426" s="2" t="s">
        <v>5496</v>
      </c>
      <c r="D2426" s="3" t="s">
        <v>5549</v>
      </c>
      <c r="E2426" s="2" t="s">
        <v>5550</v>
      </c>
      <c r="F2426" s="3" t="s">
        <v>4430</v>
      </c>
      <c r="G2426" s="3" t="s">
        <v>4367</v>
      </c>
      <c r="H2426" s="1" t="s">
        <v>217</v>
      </c>
      <c r="I2426" s="2" t="s">
        <v>218</v>
      </c>
      <c r="J2426" s="3" t="s">
        <v>11</v>
      </c>
      <c r="K2426" s="38">
        <v>0.13</v>
      </c>
      <c r="L2426" s="39">
        <v>679</v>
      </c>
    </row>
    <row r="2427" spans="1:12" ht="19.95" customHeight="1" x14ac:dyDescent="0.3">
      <c r="A2427" s="6" t="s">
        <v>4427</v>
      </c>
      <c r="B2427" s="7" t="s">
        <v>4428</v>
      </c>
      <c r="C2427" s="6" t="s">
        <v>5496</v>
      </c>
      <c r="D2427" s="7" t="s">
        <v>5551</v>
      </c>
      <c r="E2427" s="6" t="s">
        <v>5552</v>
      </c>
      <c r="F2427" s="7" t="s">
        <v>4430</v>
      </c>
      <c r="G2427" s="7" t="s">
        <v>4367</v>
      </c>
      <c r="H2427" s="5" t="s">
        <v>217</v>
      </c>
      <c r="I2427" s="6" t="s">
        <v>218</v>
      </c>
      <c r="J2427" s="7" t="s">
        <v>11</v>
      </c>
      <c r="K2427" s="36">
        <v>0.13</v>
      </c>
      <c r="L2427" s="37">
        <v>679</v>
      </c>
    </row>
    <row r="2428" spans="1:12" ht="19.95" customHeight="1" x14ac:dyDescent="0.3">
      <c r="A2428" s="2" t="s">
        <v>4427</v>
      </c>
      <c r="B2428" s="3" t="s">
        <v>4428</v>
      </c>
      <c r="C2428" s="2" t="s">
        <v>5496</v>
      </c>
      <c r="D2428" s="3" t="s">
        <v>5553</v>
      </c>
      <c r="E2428" s="2" t="s">
        <v>5554</v>
      </c>
      <c r="F2428" s="3" t="s">
        <v>5506</v>
      </c>
      <c r="G2428" s="3" t="s">
        <v>4367</v>
      </c>
      <c r="H2428" s="1" t="s">
        <v>201</v>
      </c>
      <c r="I2428" s="2" t="s">
        <v>5555</v>
      </c>
      <c r="J2428" s="3" t="s">
        <v>11</v>
      </c>
      <c r="K2428" s="38">
        <v>0.1</v>
      </c>
      <c r="L2428" s="39">
        <v>679</v>
      </c>
    </row>
    <row r="2429" spans="1:12" ht="19.95" customHeight="1" x14ac:dyDescent="0.3">
      <c r="A2429" s="6" t="s">
        <v>4427</v>
      </c>
      <c r="B2429" s="7" t="s">
        <v>4428</v>
      </c>
      <c r="C2429" s="6" t="s">
        <v>5496</v>
      </c>
      <c r="D2429" s="7" t="s">
        <v>5553</v>
      </c>
      <c r="E2429" s="6" t="s">
        <v>5554</v>
      </c>
      <c r="F2429" s="7" t="s">
        <v>5506</v>
      </c>
      <c r="G2429" s="7" t="s">
        <v>4367</v>
      </c>
      <c r="H2429" s="5" t="s">
        <v>213</v>
      </c>
      <c r="I2429" s="6" t="s">
        <v>5556</v>
      </c>
      <c r="J2429" s="7" t="s">
        <v>11</v>
      </c>
      <c r="K2429" s="36">
        <v>0.15</v>
      </c>
      <c r="L2429" s="37">
        <v>738</v>
      </c>
    </row>
    <row r="2430" spans="1:12" ht="19.95" customHeight="1" x14ac:dyDescent="0.3">
      <c r="A2430" s="2" t="s">
        <v>4427</v>
      </c>
      <c r="B2430" s="3" t="s">
        <v>4428</v>
      </c>
      <c r="C2430" s="2" t="s">
        <v>5496</v>
      </c>
      <c r="D2430" s="3" t="s">
        <v>5553</v>
      </c>
      <c r="E2430" s="2" t="s">
        <v>5554</v>
      </c>
      <c r="F2430" s="3" t="s">
        <v>5506</v>
      </c>
      <c r="G2430" s="3" t="s">
        <v>4367</v>
      </c>
      <c r="H2430" s="1" t="s">
        <v>209</v>
      </c>
      <c r="I2430" s="2" t="s">
        <v>210</v>
      </c>
      <c r="J2430" s="3" t="s">
        <v>11</v>
      </c>
      <c r="K2430" s="38">
        <v>0.2</v>
      </c>
      <c r="L2430" s="39">
        <v>558</v>
      </c>
    </row>
    <row r="2431" spans="1:12" ht="19.95" customHeight="1" x14ac:dyDescent="0.3">
      <c r="A2431" s="6" t="s">
        <v>4427</v>
      </c>
      <c r="B2431" s="7" t="s">
        <v>4428</v>
      </c>
      <c r="C2431" s="6" t="s">
        <v>5496</v>
      </c>
      <c r="D2431" s="7" t="s">
        <v>5557</v>
      </c>
      <c r="E2431" s="6" t="s">
        <v>5558</v>
      </c>
      <c r="F2431" s="7" t="s">
        <v>5559</v>
      </c>
      <c r="G2431" s="7" t="s">
        <v>4367</v>
      </c>
      <c r="H2431" s="5" t="s">
        <v>213</v>
      </c>
      <c r="I2431" s="6" t="s">
        <v>214</v>
      </c>
      <c r="J2431" s="7" t="s">
        <v>11</v>
      </c>
      <c r="K2431" s="36">
        <v>2.5499999999999998</v>
      </c>
      <c r="L2431" s="37">
        <v>738</v>
      </c>
    </row>
    <row r="2432" spans="1:12" ht="19.95" customHeight="1" x14ac:dyDescent="0.3">
      <c r="A2432" s="2" t="s">
        <v>4427</v>
      </c>
      <c r="B2432" s="3" t="s">
        <v>4428</v>
      </c>
      <c r="C2432" s="2" t="s">
        <v>5496</v>
      </c>
      <c r="D2432" s="3" t="s">
        <v>5557</v>
      </c>
      <c r="E2432" s="2" t="s">
        <v>5558</v>
      </c>
      <c r="F2432" s="3" t="s">
        <v>5559</v>
      </c>
      <c r="G2432" s="3" t="s">
        <v>4367</v>
      </c>
      <c r="H2432" s="1" t="s">
        <v>209</v>
      </c>
      <c r="I2432" s="2" t="s">
        <v>210</v>
      </c>
      <c r="J2432" s="3" t="s">
        <v>11</v>
      </c>
      <c r="K2432" s="38">
        <v>2.5499999999999998</v>
      </c>
      <c r="L2432" s="39">
        <v>558</v>
      </c>
    </row>
    <row r="2433" spans="1:12" ht="19.95" customHeight="1" x14ac:dyDescent="0.3">
      <c r="A2433" s="6" t="s">
        <v>4427</v>
      </c>
      <c r="B2433" s="7" t="s">
        <v>4428</v>
      </c>
      <c r="C2433" s="6" t="s">
        <v>5496</v>
      </c>
      <c r="D2433" s="7" t="s">
        <v>5557</v>
      </c>
      <c r="E2433" s="6" t="s">
        <v>5558</v>
      </c>
      <c r="F2433" s="7" t="s">
        <v>5559</v>
      </c>
      <c r="G2433" s="7" t="s">
        <v>4367</v>
      </c>
      <c r="H2433" s="5" t="s">
        <v>221</v>
      </c>
      <c r="I2433" s="6" t="s">
        <v>222</v>
      </c>
      <c r="J2433" s="7" t="s">
        <v>11</v>
      </c>
      <c r="K2433" s="36">
        <v>0.12</v>
      </c>
      <c r="L2433" s="37">
        <v>738</v>
      </c>
    </row>
    <row r="2434" spans="1:12" ht="19.95" customHeight="1" x14ac:dyDescent="0.3">
      <c r="A2434" s="2" t="s">
        <v>4427</v>
      </c>
      <c r="B2434" s="3" t="s">
        <v>4428</v>
      </c>
      <c r="C2434" s="2" t="s">
        <v>5496</v>
      </c>
      <c r="D2434" s="3" t="s">
        <v>5557</v>
      </c>
      <c r="E2434" s="2" t="s">
        <v>5558</v>
      </c>
      <c r="F2434" s="3" t="s">
        <v>5559</v>
      </c>
      <c r="G2434" s="3" t="s">
        <v>4367</v>
      </c>
      <c r="H2434" s="1" t="s">
        <v>223</v>
      </c>
      <c r="I2434" s="2" t="s">
        <v>224</v>
      </c>
      <c r="J2434" s="3" t="s">
        <v>11</v>
      </c>
      <c r="K2434" s="38">
        <v>0.12</v>
      </c>
      <c r="L2434" s="39">
        <v>679</v>
      </c>
    </row>
    <row r="2435" spans="1:12" ht="19.95" customHeight="1" x14ac:dyDescent="0.3">
      <c r="A2435" s="6" t="s">
        <v>4427</v>
      </c>
      <c r="B2435" s="7" t="s">
        <v>4428</v>
      </c>
      <c r="C2435" s="6" t="s">
        <v>5496</v>
      </c>
      <c r="D2435" s="7" t="s">
        <v>5560</v>
      </c>
      <c r="E2435" s="6" t="s">
        <v>5561</v>
      </c>
      <c r="F2435" s="7" t="s">
        <v>5559</v>
      </c>
      <c r="G2435" s="7" t="s">
        <v>4367</v>
      </c>
      <c r="H2435" s="5" t="s">
        <v>213</v>
      </c>
      <c r="I2435" s="6" t="s">
        <v>214</v>
      </c>
      <c r="J2435" s="7" t="s">
        <v>11</v>
      </c>
      <c r="K2435" s="36">
        <v>2.5499999999999998</v>
      </c>
      <c r="L2435" s="37">
        <v>738</v>
      </c>
    </row>
    <row r="2436" spans="1:12" ht="19.95" customHeight="1" x14ac:dyDescent="0.3">
      <c r="A2436" s="2" t="s">
        <v>4427</v>
      </c>
      <c r="B2436" s="3" t="s">
        <v>4428</v>
      </c>
      <c r="C2436" s="2" t="s">
        <v>5496</v>
      </c>
      <c r="D2436" s="3" t="s">
        <v>5560</v>
      </c>
      <c r="E2436" s="2" t="s">
        <v>5561</v>
      </c>
      <c r="F2436" s="3" t="s">
        <v>5559</v>
      </c>
      <c r="G2436" s="3" t="s">
        <v>4367</v>
      </c>
      <c r="H2436" s="1" t="s">
        <v>209</v>
      </c>
      <c r="I2436" s="2" t="s">
        <v>210</v>
      </c>
      <c r="J2436" s="3" t="s">
        <v>11</v>
      </c>
      <c r="K2436" s="38">
        <v>2.5499999999999998</v>
      </c>
      <c r="L2436" s="39">
        <v>558</v>
      </c>
    </row>
    <row r="2437" spans="1:12" ht="19.95" customHeight="1" x14ac:dyDescent="0.3">
      <c r="A2437" s="6" t="s">
        <v>4427</v>
      </c>
      <c r="B2437" s="7" t="s">
        <v>4428</v>
      </c>
      <c r="C2437" s="6" t="s">
        <v>5496</v>
      </c>
      <c r="D2437" s="7" t="s">
        <v>5560</v>
      </c>
      <c r="E2437" s="6" t="s">
        <v>5561</v>
      </c>
      <c r="F2437" s="7" t="s">
        <v>5559</v>
      </c>
      <c r="G2437" s="7" t="s">
        <v>4367</v>
      </c>
      <c r="H2437" s="5" t="s">
        <v>221</v>
      </c>
      <c r="I2437" s="6" t="s">
        <v>222</v>
      </c>
      <c r="J2437" s="7" t="s">
        <v>11</v>
      </c>
      <c r="K2437" s="36">
        <v>0.12</v>
      </c>
      <c r="L2437" s="37">
        <v>738</v>
      </c>
    </row>
    <row r="2438" spans="1:12" ht="19.95" customHeight="1" x14ac:dyDescent="0.3">
      <c r="A2438" s="2" t="s">
        <v>4427</v>
      </c>
      <c r="B2438" s="3" t="s">
        <v>4428</v>
      </c>
      <c r="C2438" s="2" t="s">
        <v>5496</v>
      </c>
      <c r="D2438" s="3" t="s">
        <v>5560</v>
      </c>
      <c r="E2438" s="2" t="s">
        <v>5561</v>
      </c>
      <c r="F2438" s="3" t="s">
        <v>5559</v>
      </c>
      <c r="G2438" s="3" t="s">
        <v>4367</v>
      </c>
      <c r="H2438" s="1" t="s">
        <v>223</v>
      </c>
      <c r="I2438" s="2" t="s">
        <v>224</v>
      </c>
      <c r="J2438" s="3" t="s">
        <v>11</v>
      </c>
      <c r="K2438" s="38">
        <v>0.12</v>
      </c>
      <c r="L2438" s="39">
        <v>679</v>
      </c>
    </row>
    <row r="2439" spans="1:12" ht="19.95" customHeight="1" x14ac:dyDescent="0.3">
      <c r="A2439" s="6" t="s">
        <v>4427</v>
      </c>
      <c r="B2439" s="7" t="s">
        <v>4428</v>
      </c>
      <c r="C2439" s="6" t="s">
        <v>5496</v>
      </c>
      <c r="D2439" s="7" t="s">
        <v>5562</v>
      </c>
      <c r="E2439" s="6" t="s">
        <v>5563</v>
      </c>
      <c r="F2439" s="7" t="s">
        <v>5559</v>
      </c>
      <c r="G2439" s="7" t="s">
        <v>4367</v>
      </c>
      <c r="H2439" s="5" t="s">
        <v>213</v>
      </c>
      <c r="I2439" s="6" t="s">
        <v>214</v>
      </c>
      <c r="J2439" s="7" t="s">
        <v>11</v>
      </c>
      <c r="K2439" s="36">
        <v>2.5499999999999998</v>
      </c>
      <c r="L2439" s="37">
        <v>738</v>
      </c>
    </row>
    <row r="2440" spans="1:12" ht="19.95" customHeight="1" x14ac:dyDescent="0.3">
      <c r="A2440" s="2" t="s">
        <v>4427</v>
      </c>
      <c r="B2440" s="3" t="s">
        <v>4428</v>
      </c>
      <c r="C2440" s="2" t="s">
        <v>5496</v>
      </c>
      <c r="D2440" s="3" t="s">
        <v>5562</v>
      </c>
      <c r="E2440" s="2" t="s">
        <v>5563</v>
      </c>
      <c r="F2440" s="3" t="s">
        <v>5559</v>
      </c>
      <c r="G2440" s="3" t="s">
        <v>4367</v>
      </c>
      <c r="H2440" s="1" t="s">
        <v>209</v>
      </c>
      <c r="I2440" s="2" t="s">
        <v>210</v>
      </c>
      <c r="J2440" s="3" t="s">
        <v>11</v>
      </c>
      <c r="K2440" s="38">
        <v>2.5499999999999998</v>
      </c>
      <c r="L2440" s="39">
        <v>558</v>
      </c>
    </row>
    <row r="2441" spans="1:12" ht="19.95" customHeight="1" x14ac:dyDescent="0.3">
      <c r="A2441" s="6" t="s">
        <v>4427</v>
      </c>
      <c r="B2441" s="7" t="s">
        <v>4428</v>
      </c>
      <c r="C2441" s="6" t="s">
        <v>5496</v>
      </c>
      <c r="D2441" s="7" t="s">
        <v>5562</v>
      </c>
      <c r="E2441" s="6" t="s">
        <v>5563</v>
      </c>
      <c r="F2441" s="7" t="s">
        <v>5559</v>
      </c>
      <c r="G2441" s="7" t="s">
        <v>4367</v>
      </c>
      <c r="H2441" s="5" t="s">
        <v>221</v>
      </c>
      <c r="I2441" s="6" t="s">
        <v>222</v>
      </c>
      <c r="J2441" s="7" t="s">
        <v>11</v>
      </c>
      <c r="K2441" s="36">
        <v>0.12</v>
      </c>
      <c r="L2441" s="37">
        <v>738</v>
      </c>
    </row>
    <row r="2442" spans="1:12" ht="19.95" customHeight="1" x14ac:dyDescent="0.3">
      <c r="A2442" s="2" t="s">
        <v>4427</v>
      </c>
      <c r="B2442" s="3" t="s">
        <v>4428</v>
      </c>
      <c r="C2442" s="2" t="s">
        <v>5496</v>
      </c>
      <c r="D2442" s="3" t="s">
        <v>5562</v>
      </c>
      <c r="E2442" s="2" t="s">
        <v>5563</v>
      </c>
      <c r="F2442" s="3" t="s">
        <v>5559</v>
      </c>
      <c r="G2442" s="3" t="s">
        <v>4367</v>
      </c>
      <c r="H2442" s="1" t="s">
        <v>223</v>
      </c>
      <c r="I2442" s="2" t="s">
        <v>224</v>
      </c>
      <c r="J2442" s="3" t="s">
        <v>11</v>
      </c>
      <c r="K2442" s="38">
        <v>0.12</v>
      </c>
      <c r="L2442" s="39">
        <v>679</v>
      </c>
    </row>
    <row r="2443" spans="1:12" ht="19.95" customHeight="1" x14ac:dyDescent="0.3">
      <c r="A2443" s="6" t="s">
        <v>4427</v>
      </c>
      <c r="B2443" s="7" t="s">
        <v>4428</v>
      </c>
      <c r="C2443" s="6" t="s">
        <v>5496</v>
      </c>
      <c r="D2443" s="7" t="s">
        <v>4982</v>
      </c>
      <c r="E2443" s="6" t="s">
        <v>5564</v>
      </c>
      <c r="F2443" s="7" t="s">
        <v>4368</v>
      </c>
      <c r="G2443" s="7" t="s">
        <v>4367</v>
      </c>
      <c r="H2443" s="5" t="s">
        <v>213</v>
      </c>
      <c r="I2443" s="6" t="s">
        <v>214</v>
      </c>
      <c r="J2443" s="7" t="s">
        <v>11</v>
      </c>
      <c r="K2443" s="36">
        <v>3</v>
      </c>
      <c r="L2443" s="37">
        <v>738</v>
      </c>
    </row>
    <row r="2444" spans="1:12" ht="19.95" customHeight="1" x14ac:dyDescent="0.3">
      <c r="A2444" s="2" t="s">
        <v>4427</v>
      </c>
      <c r="B2444" s="3" t="s">
        <v>4428</v>
      </c>
      <c r="C2444" s="2" t="s">
        <v>5496</v>
      </c>
      <c r="D2444" s="3" t="s">
        <v>4982</v>
      </c>
      <c r="E2444" s="2" t="s">
        <v>5564</v>
      </c>
      <c r="F2444" s="3" t="s">
        <v>4368</v>
      </c>
      <c r="G2444" s="3" t="s">
        <v>4367</v>
      </c>
      <c r="H2444" s="1" t="s">
        <v>199</v>
      </c>
      <c r="I2444" s="2" t="s">
        <v>200</v>
      </c>
      <c r="J2444" s="3" t="s">
        <v>11</v>
      </c>
      <c r="K2444" s="38">
        <v>6</v>
      </c>
      <c r="L2444" s="39">
        <v>738</v>
      </c>
    </row>
    <row r="2445" spans="1:12" ht="19.95" customHeight="1" x14ac:dyDescent="0.3">
      <c r="A2445" s="6" t="s">
        <v>4427</v>
      </c>
      <c r="B2445" s="7" t="s">
        <v>4428</v>
      </c>
      <c r="C2445" s="6" t="s">
        <v>5496</v>
      </c>
      <c r="D2445" s="7" t="s">
        <v>4982</v>
      </c>
      <c r="E2445" s="6" t="s">
        <v>5564</v>
      </c>
      <c r="F2445" s="7" t="s">
        <v>4368</v>
      </c>
      <c r="G2445" s="7" t="s">
        <v>4367</v>
      </c>
      <c r="H2445" s="5" t="s">
        <v>201</v>
      </c>
      <c r="I2445" s="6" t="s">
        <v>202</v>
      </c>
      <c r="J2445" s="7" t="s">
        <v>11</v>
      </c>
      <c r="K2445" s="36">
        <v>6</v>
      </c>
      <c r="L2445" s="37">
        <v>679</v>
      </c>
    </row>
    <row r="2446" spans="1:12" ht="19.95" customHeight="1" x14ac:dyDescent="0.3">
      <c r="A2446" s="2" t="s">
        <v>4427</v>
      </c>
      <c r="B2446" s="3" t="s">
        <v>4428</v>
      </c>
      <c r="C2446" s="2" t="s">
        <v>5496</v>
      </c>
      <c r="D2446" s="3" t="s">
        <v>4982</v>
      </c>
      <c r="E2446" s="2" t="s">
        <v>5564</v>
      </c>
      <c r="F2446" s="3" t="s">
        <v>4368</v>
      </c>
      <c r="G2446" s="3" t="s">
        <v>4367</v>
      </c>
      <c r="H2446" s="1" t="s">
        <v>221</v>
      </c>
      <c r="I2446" s="2" t="s">
        <v>222</v>
      </c>
      <c r="J2446" s="3" t="s">
        <v>11</v>
      </c>
      <c r="K2446" s="38">
        <v>0.5</v>
      </c>
      <c r="L2446" s="39">
        <v>738</v>
      </c>
    </row>
    <row r="2447" spans="1:12" ht="19.95" customHeight="1" x14ac:dyDescent="0.3">
      <c r="A2447" s="6" t="s">
        <v>4427</v>
      </c>
      <c r="B2447" s="7" t="s">
        <v>4428</v>
      </c>
      <c r="C2447" s="6" t="s">
        <v>5496</v>
      </c>
      <c r="D2447" s="7" t="s">
        <v>4982</v>
      </c>
      <c r="E2447" s="6" t="s">
        <v>5564</v>
      </c>
      <c r="F2447" s="7" t="s">
        <v>4368</v>
      </c>
      <c r="G2447" s="7" t="s">
        <v>4367</v>
      </c>
      <c r="H2447" s="5" t="s">
        <v>223</v>
      </c>
      <c r="I2447" s="6" t="s">
        <v>224</v>
      </c>
      <c r="J2447" s="7" t="s">
        <v>11</v>
      </c>
      <c r="K2447" s="36">
        <v>0.5</v>
      </c>
      <c r="L2447" s="37">
        <v>679</v>
      </c>
    </row>
    <row r="2448" spans="1:12" ht="19.95" customHeight="1" x14ac:dyDescent="0.3">
      <c r="A2448" s="2" t="s">
        <v>4427</v>
      </c>
      <c r="B2448" s="3" t="s">
        <v>4428</v>
      </c>
      <c r="C2448" s="2" t="s">
        <v>5496</v>
      </c>
      <c r="D2448" s="3" t="s">
        <v>4982</v>
      </c>
      <c r="E2448" s="2" t="s">
        <v>5564</v>
      </c>
      <c r="F2448" s="3" t="s">
        <v>4368</v>
      </c>
      <c r="G2448" s="3" t="s">
        <v>4367</v>
      </c>
      <c r="H2448" s="1" t="s">
        <v>209</v>
      </c>
      <c r="I2448" s="2" t="s">
        <v>210</v>
      </c>
      <c r="J2448" s="3" t="s">
        <v>11</v>
      </c>
      <c r="K2448" s="38">
        <v>8</v>
      </c>
      <c r="L2448" s="39">
        <v>558</v>
      </c>
    </row>
    <row r="2449" spans="1:12" ht="19.95" customHeight="1" x14ac:dyDescent="0.3">
      <c r="A2449" s="6" t="s">
        <v>4427</v>
      </c>
      <c r="B2449" s="7" t="s">
        <v>4428</v>
      </c>
      <c r="C2449" s="6" t="s">
        <v>5496</v>
      </c>
      <c r="D2449" s="7" t="s">
        <v>4982</v>
      </c>
      <c r="E2449" s="6" t="s">
        <v>5564</v>
      </c>
      <c r="F2449" s="7" t="s">
        <v>4368</v>
      </c>
      <c r="G2449" s="7" t="s">
        <v>4367</v>
      </c>
      <c r="H2449" s="5" t="s">
        <v>213</v>
      </c>
      <c r="I2449" s="6" t="s">
        <v>214</v>
      </c>
      <c r="J2449" s="7" t="s">
        <v>11</v>
      </c>
      <c r="K2449" s="36">
        <v>2</v>
      </c>
      <c r="L2449" s="37">
        <v>738</v>
      </c>
    </row>
    <row r="2450" spans="1:12" ht="19.95" customHeight="1" x14ac:dyDescent="0.3">
      <c r="A2450" s="2" t="s">
        <v>4427</v>
      </c>
      <c r="B2450" s="3" t="s">
        <v>4428</v>
      </c>
      <c r="C2450" s="2" t="s">
        <v>5496</v>
      </c>
      <c r="D2450" s="3" t="s">
        <v>4982</v>
      </c>
      <c r="E2450" s="2" t="s">
        <v>5564</v>
      </c>
      <c r="F2450" s="3" t="s">
        <v>4368</v>
      </c>
      <c r="G2450" s="3" t="s">
        <v>4367</v>
      </c>
      <c r="H2450" s="1" t="s">
        <v>199</v>
      </c>
      <c r="I2450" s="2" t="s">
        <v>200</v>
      </c>
      <c r="J2450" s="3" t="s">
        <v>11</v>
      </c>
      <c r="K2450" s="38">
        <v>3</v>
      </c>
      <c r="L2450" s="39">
        <v>738</v>
      </c>
    </row>
    <row r="2451" spans="1:12" ht="19.95" customHeight="1" x14ac:dyDescent="0.3">
      <c r="A2451" s="6" t="s">
        <v>4427</v>
      </c>
      <c r="B2451" s="7" t="s">
        <v>4428</v>
      </c>
      <c r="C2451" s="6" t="s">
        <v>5496</v>
      </c>
      <c r="D2451" s="7" t="s">
        <v>4982</v>
      </c>
      <c r="E2451" s="6" t="s">
        <v>5564</v>
      </c>
      <c r="F2451" s="7" t="s">
        <v>4368</v>
      </c>
      <c r="G2451" s="7" t="s">
        <v>4367</v>
      </c>
      <c r="H2451" s="5" t="s">
        <v>201</v>
      </c>
      <c r="I2451" s="6" t="s">
        <v>202</v>
      </c>
      <c r="J2451" s="7" t="s">
        <v>11</v>
      </c>
      <c r="K2451" s="36">
        <v>4</v>
      </c>
      <c r="L2451" s="37">
        <v>679</v>
      </c>
    </row>
    <row r="2452" spans="1:12" ht="19.95" customHeight="1" x14ac:dyDescent="0.3">
      <c r="A2452" s="2" t="s">
        <v>4427</v>
      </c>
      <c r="B2452" s="3" t="s">
        <v>4428</v>
      </c>
      <c r="C2452" s="2" t="s">
        <v>5496</v>
      </c>
      <c r="D2452" s="3" t="s">
        <v>4982</v>
      </c>
      <c r="E2452" s="2" t="s">
        <v>5564</v>
      </c>
      <c r="F2452" s="3" t="s">
        <v>4368</v>
      </c>
      <c r="G2452" s="3" t="s">
        <v>4367</v>
      </c>
      <c r="H2452" s="1" t="s">
        <v>209</v>
      </c>
      <c r="I2452" s="2" t="s">
        <v>210</v>
      </c>
      <c r="J2452" s="3" t="s">
        <v>11</v>
      </c>
      <c r="K2452" s="38">
        <v>4</v>
      </c>
      <c r="L2452" s="39">
        <v>558</v>
      </c>
    </row>
    <row r="2453" spans="1:12" ht="19.95" customHeight="1" x14ac:dyDescent="0.3">
      <c r="A2453" s="6" t="s">
        <v>4427</v>
      </c>
      <c r="B2453" s="7" t="s">
        <v>4428</v>
      </c>
      <c r="C2453" s="6" t="s">
        <v>5496</v>
      </c>
      <c r="D2453" s="7" t="s">
        <v>4982</v>
      </c>
      <c r="E2453" s="6" t="s">
        <v>5564</v>
      </c>
      <c r="F2453" s="7" t="s">
        <v>4368</v>
      </c>
      <c r="G2453" s="7" t="s">
        <v>4367</v>
      </c>
      <c r="H2453" s="5" t="s">
        <v>221</v>
      </c>
      <c r="I2453" s="6" t="s">
        <v>222</v>
      </c>
      <c r="J2453" s="7" t="s">
        <v>11</v>
      </c>
      <c r="K2453" s="36">
        <v>0.06</v>
      </c>
      <c r="L2453" s="37">
        <v>738</v>
      </c>
    </row>
    <row r="2454" spans="1:12" ht="19.95" customHeight="1" x14ac:dyDescent="0.3">
      <c r="A2454" s="2" t="s">
        <v>4427</v>
      </c>
      <c r="B2454" s="3" t="s">
        <v>4428</v>
      </c>
      <c r="C2454" s="2" t="s">
        <v>5496</v>
      </c>
      <c r="D2454" s="3" t="s">
        <v>4982</v>
      </c>
      <c r="E2454" s="2" t="s">
        <v>5564</v>
      </c>
      <c r="F2454" s="3" t="s">
        <v>4368</v>
      </c>
      <c r="G2454" s="3" t="s">
        <v>4367</v>
      </c>
      <c r="H2454" s="1" t="s">
        <v>223</v>
      </c>
      <c r="I2454" s="2" t="s">
        <v>224</v>
      </c>
      <c r="J2454" s="3" t="s">
        <v>11</v>
      </c>
      <c r="K2454" s="38">
        <v>0.06</v>
      </c>
      <c r="L2454" s="39">
        <v>679</v>
      </c>
    </row>
    <row r="2455" spans="1:12" ht="19.95" customHeight="1" x14ac:dyDescent="0.3">
      <c r="A2455" s="6" t="s">
        <v>4427</v>
      </c>
      <c r="B2455" s="7" t="s">
        <v>4428</v>
      </c>
      <c r="C2455" s="6" t="s">
        <v>5496</v>
      </c>
      <c r="D2455" s="7" t="s">
        <v>4982</v>
      </c>
      <c r="E2455" s="6" t="s">
        <v>5564</v>
      </c>
      <c r="F2455" s="7" t="s">
        <v>4368</v>
      </c>
      <c r="G2455" s="7" t="s">
        <v>4367</v>
      </c>
      <c r="H2455" s="5" t="s">
        <v>213</v>
      </c>
      <c r="I2455" s="6" t="s">
        <v>214</v>
      </c>
      <c r="J2455" s="7" t="s">
        <v>11</v>
      </c>
      <c r="K2455" s="36">
        <v>2</v>
      </c>
      <c r="L2455" s="37">
        <v>738</v>
      </c>
    </row>
    <row r="2456" spans="1:12" ht="19.95" customHeight="1" x14ac:dyDescent="0.3">
      <c r="A2456" s="2" t="s">
        <v>4427</v>
      </c>
      <c r="B2456" s="3" t="s">
        <v>4428</v>
      </c>
      <c r="C2456" s="2" t="s">
        <v>5496</v>
      </c>
      <c r="D2456" s="3" t="s">
        <v>4982</v>
      </c>
      <c r="E2456" s="2" t="s">
        <v>5564</v>
      </c>
      <c r="F2456" s="3" t="s">
        <v>4368</v>
      </c>
      <c r="G2456" s="3" t="s">
        <v>4367</v>
      </c>
      <c r="H2456" s="1" t="s">
        <v>199</v>
      </c>
      <c r="I2456" s="2" t="s">
        <v>200</v>
      </c>
      <c r="J2456" s="3" t="s">
        <v>11</v>
      </c>
      <c r="K2456" s="38">
        <v>3</v>
      </c>
      <c r="L2456" s="39">
        <v>738</v>
      </c>
    </row>
    <row r="2457" spans="1:12" ht="19.95" customHeight="1" x14ac:dyDescent="0.3">
      <c r="A2457" s="6" t="s">
        <v>4427</v>
      </c>
      <c r="B2457" s="7" t="s">
        <v>4428</v>
      </c>
      <c r="C2457" s="6" t="s">
        <v>5496</v>
      </c>
      <c r="D2457" s="7" t="s">
        <v>4982</v>
      </c>
      <c r="E2457" s="6" t="s">
        <v>5564</v>
      </c>
      <c r="F2457" s="7" t="s">
        <v>4368</v>
      </c>
      <c r="G2457" s="7" t="s">
        <v>4367</v>
      </c>
      <c r="H2457" s="5" t="s">
        <v>201</v>
      </c>
      <c r="I2457" s="6" t="s">
        <v>202</v>
      </c>
      <c r="J2457" s="7" t="s">
        <v>11</v>
      </c>
      <c r="K2457" s="36">
        <v>4</v>
      </c>
      <c r="L2457" s="37">
        <v>679</v>
      </c>
    </row>
    <row r="2458" spans="1:12" ht="19.95" customHeight="1" x14ac:dyDescent="0.3">
      <c r="A2458" s="2" t="s">
        <v>4427</v>
      </c>
      <c r="B2458" s="3" t="s">
        <v>4428</v>
      </c>
      <c r="C2458" s="2" t="s">
        <v>5496</v>
      </c>
      <c r="D2458" s="3" t="s">
        <v>4982</v>
      </c>
      <c r="E2458" s="2" t="s">
        <v>5564</v>
      </c>
      <c r="F2458" s="3" t="s">
        <v>4368</v>
      </c>
      <c r="G2458" s="3" t="s">
        <v>4367</v>
      </c>
      <c r="H2458" s="1" t="s">
        <v>221</v>
      </c>
      <c r="I2458" s="2" t="s">
        <v>222</v>
      </c>
      <c r="J2458" s="3" t="s">
        <v>11</v>
      </c>
      <c r="K2458" s="38">
        <v>0.06</v>
      </c>
      <c r="L2458" s="39">
        <v>738</v>
      </c>
    </row>
    <row r="2459" spans="1:12" ht="19.95" customHeight="1" x14ac:dyDescent="0.3">
      <c r="A2459" s="6" t="s">
        <v>4427</v>
      </c>
      <c r="B2459" s="7" t="s">
        <v>4428</v>
      </c>
      <c r="C2459" s="6" t="s">
        <v>5496</v>
      </c>
      <c r="D2459" s="7" t="s">
        <v>4982</v>
      </c>
      <c r="E2459" s="6" t="s">
        <v>5564</v>
      </c>
      <c r="F2459" s="7" t="s">
        <v>4368</v>
      </c>
      <c r="G2459" s="7" t="s">
        <v>4367</v>
      </c>
      <c r="H2459" s="5" t="s">
        <v>223</v>
      </c>
      <c r="I2459" s="6" t="s">
        <v>224</v>
      </c>
      <c r="J2459" s="7" t="s">
        <v>11</v>
      </c>
      <c r="K2459" s="36">
        <v>0.06</v>
      </c>
      <c r="L2459" s="37">
        <v>679</v>
      </c>
    </row>
    <row r="2460" spans="1:12" ht="19.95" customHeight="1" x14ac:dyDescent="0.3">
      <c r="A2460" s="2" t="s">
        <v>4427</v>
      </c>
      <c r="B2460" s="3" t="s">
        <v>4428</v>
      </c>
      <c r="C2460" s="2" t="s">
        <v>5496</v>
      </c>
      <c r="D2460" s="3" t="s">
        <v>4982</v>
      </c>
      <c r="E2460" s="2" t="s">
        <v>5564</v>
      </c>
      <c r="F2460" s="3" t="s">
        <v>4368</v>
      </c>
      <c r="G2460" s="3" t="s">
        <v>4367</v>
      </c>
      <c r="H2460" s="1" t="s">
        <v>209</v>
      </c>
      <c r="I2460" s="2" t="s">
        <v>210</v>
      </c>
      <c r="J2460" s="3" t="s">
        <v>11</v>
      </c>
      <c r="K2460" s="38">
        <v>5</v>
      </c>
      <c r="L2460" s="39">
        <v>558</v>
      </c>
    </row>
    <row r="2461" spans="1:12" ht="19.95" customHeight="1" x14ac:dyDescent="0.3">
      <c r="A2461" s="6" t="s">
        <v>4427</v>
      </c>
      <c r="B2461" s="7" t="s">
        <v>4428</v>
      </c>
      <c r="C2461" s="6" t="s">
        <v>5496</v>
      </c>
      <c r="D2461" s="7" t="s">
        <v>4982</v>
      </c>
      <c r="E2461" s="6" t="s">
        <v>5564</v>
      </c>
      <c r="F2461" s="7" t="s">
        <v>4368</v>
      </c>
      <c r="G2461" s="7" t="s">
        <v>4367</v>
      </c>
      <c r="H2461" s="5" t="s">
        <v>213</v>
      </c>
      <c r="I2461" s="6" t="s">
        <v>214</v>
      </c>
      <c r="J2461" s="7" t="s">
        <v>11</v>
      </c>
      <c r="K2461" s="36">
        <v>2</v>
      </c>
      <c r="L2461" s="37">
        <v>738</v>
      </c>
    </row>
    <row r="2462" spans="1:12" ht="19.95" customHeight="1" x14ac:dyDescent="0.3">
      <c r="A2462" s="2" t="s">
        <v>4427</v>
      </c>
      <c r="B2462" s="3" t="s">
        <v>4428</v>
      </c>
      <c r="C2462" s="2" t="s">
        <v>5496</v>
      </c>
      <c r="D2462" s="3" t="s">
        <v>4982</v>
      </c>
      <c r="E2462" s="2" t="s">
        <v>5564</v>
      </c>
      <c r="F2462" s="3" t="s">
        <v>4368</v>
      </c>
      <c r="G2462" s="3" t="s">
        <v>4367</v>
      </c>
      <c r="H2462" s="1" t="s">
        <v>199</v>
      </c>
      <c r="I2462" s="2" t="s">
        <v>200</v>
      </c>
      <c r="J2462" s="3" t="s">
        <v>11</v>
      </c>
      <c r="K2462" s="38">
        <v>3</v>
      </c>
      <c r="L2462" s="39">
        <v>738</v>
      </c>
    </row>
    <row r="2463" spans="1:12" ht="19.95" customHeight="1" x14ac:dyDescent="0.3">
      <c r="A2463" s="6" t="s">
        <v>4427</v>
      </c>
      <c r="B2463" s="7" t="s">
        <v>4428</v>
      </c>
      <c r="C2463" s="6" t="s">
        <v>5496</v>
      </c>
      <c r="D2463" s="7" t="s">
        <v>4982</v>
      </c>
      <c r="E2463" s="6" t="s">
        <v>5564</v>
      </c>
      <c r="F2463" s="7" t="s">
        <v>4368</v>
      </c>
      <c r="G2463" s="7" t="s">
        <v>4367</v>
      </c>
      <c r="H2463" s="5" t="s">
        <v>201</v>
      </c>
      <c r="I2463" s="6" t="s">
        <v>202</v>
      </c>
      <c r="J2463" s="7" t="s">
        <v>11</v>
      </c>
      <c r="K2463" s="36">
        <v>4</v>
      </c>
      <c r="L2463" s="37">
        <v>679</v>
      </c>
    </row>
    <row r="2464" spans="1:12" ht="19.95" customHeight="1" x14ac:dyDescent="0.3">
      <c r="A2464" s="2" t="s">
        <v>4427</v>
      </c>
      <c r="B2464" s="3" t="s">
        <v>4428</v>
      </c>
      <c r="C2464" s="2" t="s">
        <v>5496</v>
      </c>
      <c r="D2464" s="3" t="s">
        <v>4982</v>
      </c>
      <c r="E2464" s="2" t="s">
        <v>5564</v>
      </c>
      <c r="F2464" s="3" t="s">
        <v>4368</v>
      </c>
      <c r="G2464" s="3" t="s">
        <v>4367</v>
      </c>
      <c r="H2464" s="1" t="s">
        <v>221</v>
      </c>
      <c r="I2464" s="2" t="s">
        <v>222</v>
      </c>
      <c r="J2464" s="3" t="s">
        <v>11</v>
      </c>
      <c r="K2464" s="38">
        <v>0.06</v>
      </c>
      <c r="L2464" s="39">
        <v>738</v>
      </c>
    </row>
    <row r="2465" spans="1:12" ht="19.95" customHeight="1" x14ac:dyDescent="0.3">
      <c r="A2465" s="6" t="s">
        <v>4427</v>
      </c>
      <c r="B2465" s="7" t="s">
        <v>4428</v>
      </c>
      <c r="C2465" s="6" t="s">
        <v>5496</v>
      </c>
      <c r="D2465" s="7" t="s">
        <v>4982</v>
      </c>
      <c r="E2465" s="6" t="s">
        <v>5564</v>
      </c>
      <c r="F2465" s="7" t="s">
        <v>4368</v>
      </c>
      <c r="G2465" s="7" t="s">
        <v>4367</v>
      </c>
      <c r="H2465" s="5" t="s">
        <v>223</v>
      </c>
      <c r="I2465" s="6" t="s">
        <v>224</v>
      </c>
      <c r="J2465" s="7" t="s">
        <v>11</v>
      </c>
      <c r="K2465" s="36">
        <v>0.06</v>
      </c>
      <c r="L2465" s="37">
        <v>679</v>
      </c>
    </row>
    <row r="2466" spans="1:12" ht="19.95" customHeight="1" x14ac:dyDescent="0.3">
      <c r="A2466" s="2" t="s">
        <v>4427</v>
      </c>
      <c r="B2466" s="3" t="s">
        <v>4428</v>
      </c>
      <c r="C2466" s="2" t="s">
        <v>5496</v>
      </c>
      <c r="D2466" s="3" t="s">
        <v>4982</v>
      </c>
      <c r="E2466" s="2" t="s">
        <v>5564</v>
      </c>
      <c r="F2466" s="3" t="s">
        <v>4368</v>
      </c>
      <c r="G2466" s="3" t="s">
        <v>4367</v>
      </c>
      <c r="H2466" s="1" t="s">
        <v>209</v>
      </c>
      <c r="I2466" s="2" t="s">
        <v>210</v>
      </c>
      <c r="J2466" s="3" t="s">
        <v>11</v>
      </c>
      <c r="K2466" s="38">
        <v>5</v>
      </c>
      <c r="L2466" s="39">
        <v>558</v>
      </c>
    </row>
    <row r="2467" spans="1:12" ht="19.95" customHeight="1" x14ac:dyDescent="0.3">
      <c r="A2467" s="6" t="s">
        <v>4427</v>
      </c>
      <c r="B2467" s="7" t="s">
        <v>4428</v>
      </c>
      <c r="C2467" s="6" t="s">
        <v>5496</v>
      </c>
      <c r="D2467" s="7" t="s">
        <v>4982</v>
      </c>
      <c r="E2467" s="6" t="s">
        <v>5564</v>
      </c>
      <c r="F2467" s="7" t="s">
        <v>5509</v>
      </c>
      <c r="G2467" s="7" t="s">
        <v>4367</v>
      </c>
      <c r="H2467" s="5" t="s">
        <v>213</v>
      </c>
      <c r="I2467" s="6" t="s">
        <v>214</v>
      </c>
      <c r="J2467" s="7" t="s">
        <v>11</v>
      </c>
      <c r="K2467" s="36">
        <v>0.15</v>
      </c>
      <c r="L2467" s="37">
        <v>738</v>
      </c>
    </row>
    <row r="2468" spans="1:12" ht="19.95" customHeight="1" x14ac:dyDescent="0.3">
      <c r="A2468" s="2" t="s">
        <v>4427</v>
      </c>
      <c r="B2468" s="3" t="s">
        <v>4428</v>
      </c>
      <c r="C2468" s="2" t="s">
        <v>5496</v>
      </c>
      <c r="D2468" s="3" t="s">
        <v>4982</v>
      </c>
      <c r="E2468" s="2" t="s">
        <v>5564</v>
      </c>
      <c r="F2468" s="3" t="s">
        <v>5509</v>
      </c>
      <c r="G2468" s="3" t="s">
        <v>4367</v>
      </c>
      <c r="H2468" s="1" t="s">
        <v>209</v>
      </c>
      <c r="I2468" s="2" t="s">
        <v>210</v>
      </c>
      <c r="J2468" s="3" t="s">
        <v>11</v>
      </c>
      <c r="K2468" s="38">
        <v>0.2</v>
      </c>
      <c r="L2468" s="39">
        <v>558</v>
      </c>
    </row>
    <row r="2469" spans="1:12" ht="19.95" customHeight="1" x14ac:dyDescent="0.3">
      <c r="A2469" s="6" t="s">
        <v>4427</v>
      </c>
      <c r="B2469" s="7" t="s">
        <v>4428</v>
      </c>
      <c r="C2469" s="6" t="s">
        <v>5496</v>
      </c>
      <c r="D2469" s="7" t="s">
        <v>4982</v>
      </c>
      <c r="E2469" s="6" t="s">
        <v>5564</v>
      </c>
      <c r="F2469" s="7" t="s">
        <v>5509</v>
      </c>
      <c r="G2469" s="7" t="s">
        <v>4367</v>
      </c>
      <c r="H2469" s="5" t="s">
        <v>213</v>
      </c>
      <c r="I2469" s="6" t="s">
        <v>214</v>
      </c>
      <c r="J2469" s="7" t="s">
        <v>11</v>
      </c>
      <c r="K2469" s="36">
        <v>0.15</v>
      </c>
      <c r="L2469" s="37">
        <v>738</v>
      </c>
    </row>
    <row r="2470" spans="1:12" ht="19.95" customHeight="1" x14ac:dyDescent="0.3">
      <c r="A2470" s="2" t="s">
        <v>4427</v>
      </c>
      <c r="B2470" s="3" t="s">
        <v>4428</v>
      </c>
      <c r="C2470" s="2" t="s">
        <v>5496</v>
      </c>
      <c r="D2470" s="3" t="s">
        <v>4982</v>
      </c>
      <c r="E2470" s="2" t="s">
        <v>5564</v>
      </c>
      <c r="F2470" s="3" t="s">
        <v>5509</v>
      </c>
      <c r="G2470" s="3" t="s">
        <v>4367</v>
      </c>
      <c r="H2470" s="1" t="s">
        <v>209</v>
      </c>
      <c r="I2470" s="2" t="s">
        <v>210</v>
      </c>
      <c r="J2470" s="3" t="s">
        <v>11</v>
      </c>
      <c r="K2470" s="38">
        <v>0.2</v>
      </c>
      <c r="L2470" s="39">
        <v>558</v>
      </c>
    </row>
    <row r="2471" spans="1:12" ht="19.95" customHeight="1" x14ac:dyDescent="0.3">
      <c r="A2471" s="6" t="s">
        <v>4427</v>
      </c>
      <c r="B2471" s="7" t="s">
        <v>4428</v>
      </c>
      <c r="C2471" s="6" t="s">
        <v>5496</v>
      </c>
      <c r="D2471" s="7" t="s">
        <v>4982</v>
      </c>
      <c r="E2471" s="6" t="s">
        <v>5564</v>
      </c>
      <c r="F2471" s="7" t="s">
        <v>5509</v>
      </c>
      <c r="G2471" s="7" t="s">
        <v>4367</v>
      </c>
      <c r="H2471" s="5" t="s">
        <v>213</v>
      </c>
      <c r="I2471" s="6" t="s">
        <v>214</v>
      </c>
      <c r="J2471" s="7" t="s">
        <v>11</v>
      </c>
      <c r="K2471" s="36">
        <v>0.15</v>
      </c>
      <c r="L2471" s="37">
        <v>738</v>
      </c>
    </row>
    <row r="2472" spans="1:12" ht="19.95" customHeight="1" x14ac:dyDescent="0.3">
      <c r="A2472" s="2" t="s">
        <v>4427</v>
      </c>
      <c r="B2472" s="3" t="s">
        <v>4428</v>
      </c>
      <c r="C2472" s="2" t="s">
        <v>5496</v>
      </c>
      <c r="D2472" s="3" t="s">
        <v>4982</v>
      </c>
      <c r="E2472" s="2" t="s">
        <v>5564</v>
      </c>
      <c r="F2472" s="3" t="s">
        <v>5509</v>
      </c>
      <c r="G2472" s="3" t="s">
        <v>4367</v>
      </c>
      <c r="H2472" s="1" t="s">
        <v>209</v>
      </c>
      <c r="I2472" s="2" t="s">
        <v>210</v>
      </c>
      <c r="J2472" s="3" t="s">
        <v>11</v>
      </c>
      <c r="K2472" s="38">
        <v>0.2</v>
      </c>
      <c r="L2472" s="39">
        <v>558</v>
      </c>
    </row>
    <row r="2473" spans="1:12" ht="19.95" customHeight="1" x14ac:dyDescent="0.3">
      <c r="A2473" s="6" t="s">
        <v>4427</v>
      </c>
      <c r="B2473" s="7" t="s">
        <v>4428</v>
      </c>
      <c r="C2473" s="6" t="s">
        <v>5496</v>
      </c>
      <c r="D2473" s="7" t="s">
        <v>4982</v>
      </c>
      <c r="E2473" s="6" t="s">
        <v>5564</v>
      </c>
      <c r="F2473" s="7" t="s">
        <v>4368</v>
      </c>
      <c r="G2473" s="7" t="s">
        <v>4367</v>
      </c>
      <c r="H2473" s="5" t="s">
        <v>199</v>
      </c>
      <c r="I2473" s="6" t="s">
        <v>200</v>
      </c>
      <c r="J2473" s="7" t="s">
        <v>11</v>
      </c>
      <c r="K2473" s="36">
        <v>1.5</v>
      </c>
      <c r="L2473" s="37">
        <v>738</v>
      </c>
    </row>
    <row r="2474" spans="1:12" ht="19.95" customHeight="1" x14ac:dyDescent="0.3">
      <c r="A2474" s="2" t="s">
        <v>4427</v>
      </c>
      <c r="B2474" s="3" t="s">
        <v>4428</v>
      </c>
      <c r="C2474" s="2" t="s">
        <v>5496</v>
      </c>
      <c r="D2474" s="3" t="s">
        <v>4982</v>
      </c>
      <c r="E2474" s="2" t="s">
        <v>5564</v>
      </c>
      <c r="F2474" s="3" t="s">
        <v>4368</v>
      </c>
      <c r="G2474" s="3" t="s">
        <v>4367</v>
      </c>
      <c r="H2474" s="1" t="s">
        <v>194</v>
      </c>
      <c r="I2474" s="2" t="s">
        <v>196</v>
      </c>
      <c r="J2474" s="3" t="s">
        <v>11</v>
      </c>
      <c r="K2474" s="38">
        <v>0.75</v>
      </c>
      <c r="L2474" s="39">
        <v>617</v>
      </c>
    </row>
    <row r="2475" spans="1:12" ht="19.95" customHeight="1" x14ac:dyDescent="0.3">
      <c r="A2475" s="6" t="s">
        <v>4427</v>
      </c>
      <c r="B2475" s="7" t="s">
        <v>4428</v>
      </c>
      <c r="C2475" s="6" t="s">
        <v>5496</v>
      </c>
      <c r="D2475" s="7" t="s">
        <v>4982</v>
      </c>
      <c r="E2475" s="6" t="s">
        <v>5564</v>
      </c>
      <c r="F2475" s="7" t="s">
        <v>4368</v>
      </c>
      <c r="G2475" s="7" t="s">
        <v>4367</v>
      </c>
      <c r="H2475" s="5" t="s">
        <v>209</v>
      </c>
      <c r="I2475" s="6" t="s">
        <v>210</v>
      </c>
      <c r="J2475" s="7" t="s">
        <v>11</v>
      </c>
      <c r="K2475" s="36">
        <v>5.5</v>
      </c>
      <c r="L2475" s="37">
        <v>558</v>
      </c>
    </row>
    <row r="2476" spans="1:12" ht="19.95" customHeight="1" x14ac:dyDescent="0.3">
      <c r="A2476" s="2" t="s">
        <v>4427</v>
      </c>
      <c r="B2476" s="3" t="s">
        <v>4428</v>
      </c>
      <c r="C2476" s="2" t="s">
        <v>5496</v>
      </c>
      <c r="D2476" s="3" t="s">
        <v>4982</v>
      </c>
      <c r="E2476" s="2" t="s">
        <v>5564</v>
      </c>
      <c r="F2476" s="3" t="s">
        <v>4368</v>
      </c>
      <c r="G2476" s="3" t="s">
        <v>4367</v>
      </c>
      <c r="H2476" s="1" t="s">
        <v>199</v>
      </c>
      <c r="I2476" s="2" t="s">
        <v>200</v>
      </c>
      <c r="J2476" s="3" t="s">
        <v>11</v>
      </c>
      <c r="K2476" s="38">
        <v>1.5</v>
      </c>
      <c r="L2476" s="39">
        <v>738</v>
      </c>
    </row>
    <row r="2477" spans="1:12" ht="19.95" customHeight="1" x14ac:dyDescent="0.3">
      <c r="A2477" s="6" t="s">
        <v>4427</v>
      </c>
      <c r="B2477" s="7" t="s">
        <v>4428</v>
      </c>
      <c r="C2477" s="6" t="s">
        <v>5496</v>
      </c>
      <c r="D2477" s="7" t="s">
        <v>4982</v>
      </c>
      <c r="E2477" s="6" t="s">
        <v>5564</v>
      </c>
      <c r="F2477" s="7" t="s">
        <v>4368</v>
      </c>
      <c r="G2477" s="7" t="s">
        <v>4367</v>
      </c>
      <c r="H2477" s="5" t="s">
        <v>194</v>
      </c>
      <c r="I2477" s="6" t="s">
        <v>196</v>
      </c>
      <c r="J2477" s="7" t="s">
        <v>11</v>
      </c>
      <c r="K2477" s="36">
        <v>0.75</v>
      </c>
      <c r="L2477" s="37">
        <v>617</v>
      </c>
    </row>
    <row r="2478" spans="1:12" ht="19.95" customHeight="1" x14ac:dyDescent="0.3">
      <c r="A2478" s="2" t="s">
        <v>4427</v>
      </c>
      <c r="B2478" s="3" t="s">
        <v>4428</v>
      </c>
      <c r="C2478" s="2" t="s">
        <v>5496</v>
      </c>
      <c r="D2478" s="3" t="s">
        <v>4982</v>
      </c>
      <c r="E2478" s="2" t="s">
        <v>5564</v>
      </c>
      <c r="F2478" s="3" t="s">
        <v>4368</v>
      </c>
      <c r="G2478" s="3" t="s">
        <v>4367</v>
      </c>
      <c r="H2478" s="1" t="s">
        <v>209</v>
      </c>
      <c r="I2478" s="2" t="s">
        <v>210</v>
      </c>
      <c r="J2478" s="3" t="s">
        <v>11</v>
      </c>
      <c r="K2478" s="38">
        <v>5.5</v>
      </c>
      <c r="L2478" s="39">
        <v>558</v>
      </c>
    </row>
    <row r="2479" spans="1:12" ht="19.95" customHeight="1" x14ac:dyDescent="0.3">
      <c r="A2479" s="6" t="s">
        <v>4427</v>
      </c>
      <c r="B2479" s="7" t="s">
        <v>4428</v>
      </c>
      <c r="C2479" s="6" t="s">
        <v>5496</v>
      </c>
      <c r="D2479" s="7" t="s">
        <v>4982</v>
      </c>
      <c r="E2479" s="6" t="s">
        <v>5564</v>
      </c>
      <c r="F2479" s="7" t="s">
        <v>4368</v>
      </c>
      <c r="G2479" s="7" t="s">
        <v>4367</v>
      </c>
      <c r="H2479" s="5" t="s">
        <v>199</v>
      </c>
      <c r="I2479" s="6" t="s">
        <v>200</v>
      </c>
      <c r="J2479" s="7" t="s">
        <v>11</v>
      </c>
      <c r="K2479" s="36">
        <v>1.5</v>
      </c>
      <c r="L2479" s="37">
        <v>738</v>
      </c>
    </row>
    <row r="2480" spans="1:12" ht="19.95" customHeight="1" x14ac:dyDescent="0.3">
      <c r="A2480" s="2" t="s">
        <v>4427</v>
      </c>
      <c r="B2480" s="3" t="s">
        <v>4428</v>
      </c>
      <c r="C2480" s="2" t="s">
        <v>5496</v>
      </c>
      <c r="D2480" s="3" t="s">
        <v>4982</v>
      </c>
      <c r="E2480" s="2" t="s">
        <v>5564</v>
      </c>
      <c r="F2480" s="3" t="s">
        <v>4368</v>
      </c>
      <c r="G2480" s="3" t="s">
        <v>4367</v>
      </c>
      <c r="H2480" s="1" t="s">
        <v>194</v>
      </c>
      <c r="I2480" s="2" t="s">
        <v>196</v>
      </c>
      <c r="J2480" s="3" t="s">
        <v>11</v>
      </c>
      <c r="K2480" s="38">
        <v>0.75</v>
      </c>
      <c r="L2480" s="39">
        <v>617</v>
      </c>
    </row>
    <row r="2481" spans="1:12" ht="19.95" customHeight="1" x14ac:dyDescent="0.3">
      <c r="A2481" s="6" t="s">
        <v>4427</v>
      </c>
      <c r="B2481" s="7" t="s">
        <v>4428</v>
      </c>
      <c r="C2481" s="6" t="s">
        <v>5496</v>
      </c>
      <c r="D2481" s="7" t="s">
        <v>4982</v>
      </c>
      <c r="E2481" s="6" t="s">
        <v>5564</v>
      </c>
      <c r="F2481" s="7" t="s">
        <v>4368</v>
      </c>
      <c r="G2481" s="7" t="s">
        <v>4367</v>
      </c>
      <c r="H2481" s="5" t="s">
        <v>209</v>
      </c>
      <c r="I2481" s="6" t="s">
        <v>210</v>
      </c>
      <c r="J2481" s="7" t="s">
        <v>11</v>
      </c>
      <c r="K2481" s="36">
        <v>5.5</v>
      </c>
      <c r="L2481" s="37">
        <v>558</v>
      </c>
    </row>
    <row r="2482" spans="1:12" ht="19.95" customHeight="1" x14ac:dyDescent="0.3">
      <c r="A2482" s="2" t="s">
        <v>4427</v>
      </c>
      <c r="B2482" s="3" t="s">
        <v>4428</v>
      </c>
      <c r="C2482" s="2" t="s">
        <v>5496</v>
      </c>
      <c r="D2482" s="3" t="s">
        <v>4982</v>
      </c>
      <c r="E2482" s="2" t="s">
        <v>5564</v>
      </c>
      <c r="F2482" s="3" t="s">
        <v>4368</v>
      </c>
      <c r="G2482" s="3" t="s">
        <v>4367</v>
      </c>
      <c r="H2482" s="1" t="s">
        <v>199</v>
      </c>
      <c r="I2482" s="2" t="s">
        <v>200</v>
      </c>
      <c r="J2482" s="3" t="s">
        <v>11</v>
      </c>
      <c r="K2482" s="38">
        <v>0.24</v>
      </c>
      <c r="L2482" s="39">
        <v>738</v>
      </c>
    </row>
    <row r="2483" spans="1:12" ht="19.95" customHeight="1" x14ac:dyDescent="0.3">
      <c r="A2483" s="6" t="s">
        <v>4427</v>
      </c>
      <c r="B2483" s="7" t="s">
        <v>4428</v>
      </c>
      <c r="C2483" s="6" t="s">
        <v>5496</v>
      </c>
      <c r="D2483" s="7" t="s">
        <v>4982</v>
      </c>
      <c r="E2483" s="6" t="s">
        <v>5564</v>
      </c>
      <c r="F2483" s="7" t="s">
        <v>4368</v>
      </c>
      <c r="G2483" s="7" t="s">
        <v>4367</v>
      </c>
      <c r="H2483" s="5" t="s">
        <v>209</v>
      </c>
      <c r="I2483" s="6" t="s">
        <v>210</v>
      </c>
      <c r="J2483" s="7" t="s">
        <v>11</v>
      </c>
      <c r="K2483" s="36">
        <v>0.9</v>
      </c>
      <c r="L2483" s="37">
        <v>558</v>
      </c>
    </row>
    <row r="2484" spans="1:12" ht="19.95" customHeight="1" x14ac:dyDescent="0.3">
      <c r="A2484" s="2" t="s">
        <v>4427</v>
      </c>
      <c r="B2484" s="3" t="s">
        <v>4428</v>
      </c>
      <c r="C2484" s="2" t="s">
        <v>5496</v>
      </c>
      <c r="D2484" s="3" t="s">
        <v>4982</v>
      </c>
      <c r="E2484" s="2" t="s">
        <v>5564</v>
      </c>
      <c r="F2484" s="3" t="s">
        <v>4368</v>
      </c>
      <c r="G2484" s="3" t="s">
        <v>4367</v>
      </c>
      <c r="H2484" s="1" t="s">
        <v>194</v>
      </c>
      <c r="I2484" s="2" t="s">
        <v>196</v>
      </c>
      <c r="J2484" s="3" t="s">
        <v>11</v>
      </c>
      <c r="K2484" s="38">
        <v>0.12</v>
      </c>
      <c r="L2484" s="39">
        <v>617</v>
      </c>
    </row>
    <row r="2485" spans="1:12" ht="19.95" customHeight="1" x14ac:dyDescent="0.3">
      <c r="A2485" s="6" t="s">
        <v>4427</v>
      </c>
      <c r="B2485" s="7" t="s">
        <v>4428</v>
      </c>
      <c r="C2485" s="6" t="s">
        <v>5496</v>
      </c>
      <c r="D2485" s="7" t="s">
        <v>4982</v>
      </c>
      <c r="E2485" s="6" t="s">
        <v>5564</v>
      </c>
      <c r="F2485" s="7" t="s">
        <v>4368</v>
      </c>
      <c r="G2485" s="7" t="s">
        <v>4367</v>
      </c>
      <c r="H2485" s="5" t="s">
        <v>199</v>
      </c>
      <c r="I2485" s="6" t="s">
        <v>200</v>
      </c>
      <c r="J2485" s="7" t="s">
        <v>11</v>
      </c>
      <c r="K2485" s="36">
        <v>0.24</v>
      </c>
      <c r="L2485" s="37">
        <v>738</v>
      </c>
    </row>
    <row r="2486" spans="1:12" ht="19.95" customHeight="1" x14ac:dyDescent="0.3">
      <c r="A2486" s="2" t="s">
        <v>4427</v>
      </c>
      <c r="B2486" s="3" t="s">
        <v>4428</v>
      </c>
      <c r="C2486" s="2" t="s">
        <v>5496</v>
      </c>
      <c r="D2486" s="3" t="s">
        <v>4982</v>
      </c>
      <c r="E2486" s="2" t="s">
        <v>5564</v>
      </c>
      <c r="F2486" s="3" t="s">
        <v>4368</v>
      </c>
      <c r="G2486" s="3" t="s">
        <v>4367</v>
      </c>
      <c r="H2486" s="1" t="s">
        <v>209</v>
      </c>
      <c r="I2486" s="2" t="s">
        <v>210</v>
      </c>
      <c r="J2486" s="3" t="s">
        <v>11</v>
      </c>
      <c r="K2486" s="38">
        <v>0.9</v>
      </c>
      <c r="L2486" s="39">
        <v>558</v>
      </c>
    </row>
    <row r="2487" spans="1:12" ht="19.95" customHeight="1" x14ac:dyDescent="0.3">
      <c r="A2487" s="6" t="s">
        <v>4427</v>
      </c>
      <c r="B2487" s="7" t="s">
        <v>4428</v>
      </c>
      <c r="C2487" s="6" t="s">
        <v>5496</v>
      </c>
      <c r="D2487" s="7" t="s">
        <v>4982</v>
      </c>
      <c r="E2487" s="6" t="s">
        <v>5564</v>
      </c>
      <c r="F2487" s="7" t="s">
        <v>4368</v>
      </c>
      <c r="G2487" s="7" t="s">
        <v>4367</v>
      </c>
      <c r="H2487" s="5" t="s">
        <v>194</v>
      </c>
      <c r="I2487" s="6" t="s">
        <v>196</v>
      </c>
      <c r="J2487" s="7" t="s">
        <v>11</v>
      </c>
      <c r="K2487" s="36">
        <v>0.12</v>
      </c>
      <c r="L2487" s="37">
        <v>617</v>
      </c>
    </row>
    <row r="2488" spans="1:12" ht="19.95" customHeight="1" x14ac:dyDescent="0.3">
      <c r="A2488" s="2" t="s">
        <v>4427</v>
      </c>
      <c r="B2488" s="3" t="s">
        <v>4428</v>
      </c>
      <c r="C2488" s="2" t="s">
        <v>5496</v>
      </c>
      <c r="D2488" s="3" t="s">
        <v>4982</v>
      </c>
      <c r="E2488" s="2" t="s">
        <v>5564</v>
      </c>
      <c r="F2488" s="3" t="s">
        <v>4368</v>
      </c>
      <c r="G2488" s="3" t="s">
        <v>4367</v>
      </c>
      <c r="H2488" s="1" t="s">
        <v>199</v>
      </c>
      <c r="I2488" s="2" t="s">
        <v>200</v>
      </c>
      <c r="J2488" s="3" t="s">
        <v>11</v>
      </c>
      <c r="K2488" s="38">
        <v>0.24</v>
      </c>
      <c r="L2488" s="39">
        <v>738</v>
      </c>
    </row>
    <row r="2489" spans="1:12" ht="19.95" customHeight="1" x14ac:dyDescent="0.3">
      <c r="A2489" s="6" t="s">
        <v>4427</v>
      </c>
      <c r="B2489" s="7" t="s">
        <v>4428</v>
      </c>
      <c r="C2489" s="6" t="s">
        <v>5496</v>
      </c>
      <c r="D2489" s="7" t="s">
        <v>4982</v>
      </c>
      <c r="E2489" s="6" t="s">
        <v>5564</v>
      </c>
      <c r="F2489" s="7" t="s">
        <v>4368</v>
      </c>
      <c r="G2489" s="7" t="s">
        <v>4367</v>
      </c>
      <c r="H2489" s="5" t="s">
        <v>209</v>
      </c>
      <c r="I2489" s="6" t="s">
        <v>210</v>
      </c>
      <c r="J2489" s="7" t="s">
        <v>11</v>
      </c>
      <c r="K2489" s="36">
        <v>0.9</v>
      </c>
      <c r="L2489" s="37">
        <v>558</v>
      </c>
    </row>
    <row r="2490" spans="1:12" ht="19.95" customHeight="1" x14ac:dyDescent="0.3">
      <c r="A2490" s="2" t="s">
        <v>4427</v>
      </c>
      <c r="B2490" s="3" t="s">
        <v>4428</v>
      </c>
      <c r="C2490" s="2" t="s">
        <v>5496</v>
      </c>
      <c r="D2490" s="3" t="s">
        <v>4982</v>
      </c>
      <c r="E2490" s="2" t="s">
        <v>5564</v>
      </c>
      <c r="F2490" s="3" t="s">
        <v>4368</v>
      </c>
      <c r="G2490" s="3" t="s">
        <v>4367</v>
      </c>
      <c r="H2490" s="1" t="s">
        <v>194</v>
      </c>
      <c r="I2490" s="2" t="s">
        <v>196</v>
      </c>
      <c r="J2490" s="3" t="s">
        <v>11</v>
      </c>
      <c r="K2490" s="38">
        <v>0.12</v>
      </c>
      <c r="L2490" s="39">
        <v>617</v>
      </c>
    </row>
    <row r="2491" spans="1:12" ht="19.95" customHeight="1" x14ac:dyDescent="0.3">
      <c r="A2491" s="6" t="s">
        <v>4427</v>
      </c>
      <c r="B2491" s="7" t="s">
        <v>4428</v>
      </c>
      <c r="C2491" s="6" t="s">
        <v>5496</v>
      </c>
      <c r="D2491" s="7" t="s">
        <v>4653</v>
      </c>
      <c r="E2491" s="6" t="s">
        <v>4987</v>
      </c>
      <c r="F2491" s="7" t="s">
        <v>4368</v>
      </c>
      <c r="G2491" s="7" t="s">
        <v>4367</v>
      </c>
      <c r="H2491" s="5" t="s">
        <v>199</v>
      </c>
      <c r="I2491" s="6" t="s">
        <v>200</v>
      </c>
      <c r="J2491" s="7" t="s">
        <v>11</v>
      </c>
      <c r="K2491" s="36">
        <v>0.17</v>
      </c>
      <c r="L2491" s="37">
        <v>738</v>
      </c>
    </row>
    <row r="2492" spans="1:12" ht="19.95" customHeight="1" x14ac:dyDescent="0.3">
      <c r="A2492" s="2" t="s">
        <v>4427</v>
      </c>
      <c r="B2492" s="3" t="s">
        <v>4428</v>
      </c>
      <c r="C2492" s="2" t="s">
        <v>5496</v>
      </c>
      <c r="D2492" s="3" t="s">
        <v>4653</v>
      </c>
      <c r="E2492" s="2" t="s">
        <v>4987</v>
      </c>
      <c r="F2492" s="3" t="s">
        <v>4368</v>
      </c>
      <c r="G2492" s="3" t="s">
        <v>4367</v>
      </c>
      <c r="H2492" s="1" t="s">
        <v>221</v>
      </c>
      <c r="I2492" s="2" t="s">
        <v>222</v>
      </c>
      <c r="J2492" s="3" t="s">
        <v>11</v>
      </c>
      <c r="K2492" s="38">
        <v>0.08</v>
      </c>
      <c r="L2492" s="39">
        <v>738</v>
      </c>
    </row>
    <row r="2493" spans="1:12" ht="19.95" customHeight="1" x14ac:dyDescent="0.3">
      <c r="A2493" s="6" t="s">
        <v>4427</v>
      </c>
      <c r="B2493" s="7" t="s">
        <v>4428</v>
      </c>
      <c r="C2493" s="6" t="s">
        <v>5496</v>
      </c>
      <c r="D2493" s="7" t="s">
        <v>4653</v>
      </c>
      <c r="E2493" s="6" t="s">
        <v>4987</v>
      </c>
      <c r="F2493" s="7" t="s">
        <v>4368</v>
      </c>
      <c r="G2493" s="7" t="s">
        <v>4367</v>
      </c>
      <c r="H2493" s="5" t="s">
        <v>223</v>
      </c>
      <c r="I2493" s="6" t="s">
        <v>224</v>
      </c>
      <c r="J2493" s="7" t="s">
        <v>11</v>
      </c>
      <c r="K2493" s="36">
        <v>0.08</v>
      </c>
      <c r="L2493" s="37">
        <v>679</v>
      </c>
    </row>
    <row r="2494" spans="1:12" ht="19.95" customHeight="1" x14ac:dyDescent="0.3">
      <c r="A2494" s="2" t="s">
        <v>4427</v>
      </c>
      <c r="B2494" s="3" t="s">
        <v>4428</v>
      </c>
      <c r="C2494" s="2" t="s">
        <v>5496</v>
      </c>
      <c r="D2494" s="3" t="s">
        <v>4653</v>
      </c>
      <c r="E2494" s="2" t="s">
        <v>4987</v>
      </c>
      <c r="F2494" s="3" t="s">
        <v>4368</v>
      </c>
      <c r="G2494" s="3" t="s">
        <v>4367</v>
      </c>
      <c r="H2494" s="1" t="s">
        <v>209</v>
      </c>
      <c r="I2494" s="2" t="s">
        <v>210</v>
      </c>
      <c r="J2494" s="3" t="s">
        <v>11</v>
      </c>
      <c r="K2494" s="38">
        <v>0.5</v>
      </c>
      <c r="L2494" s="39">
        <v>558</v>
      </c>
    </row>
    <row r="2495" spans="1:12" ht="19.95" customHeight="1" x14ac:dyDescent="0.3">
      <c r="A2495" s="6" t="s">
        <v>4427</v>
      </c>
      <c r="B2495" s="7" t="s">
        <v>4428</v>
      </c>
      <c r="C2495" s="6" t="s">
        <v>5496</v>
      </c>
      <c r="D2495" s="7" t="s">
        <v>4653</v>
      </c>
      <c r="E2495" s="6" t="s">
        <v>4987</v>
      </c>
      <c r="F2495" s="7" t="s">
        <v>4368</v>
      </c>
      <c r="G2495" s="7" t="s">
        <v>4367</v>
      </c>
      <c r="H2495" s="5" t="s">
        <v>201</v>
      </c>
      <c r="I2495" s="6" t="s">
        <v>202</v>
      </c>
      <c r="J2495" s="7" t="s">
        <v>11</v>
      </c>
      <c r="K2495" s="36">
        <v>0.1</v>
      </c>
      <c r="L2495" s="37">
        <v>679</v>
      </c>
    </row>
    <row r="2496" spans="1:12" ht="19.95" customHeight="1" x14ac:dyDescent="0.3">
      <c r="A2496" s="2" t="s">
        <v>4427</v>
      </c>
      <c r="B2496" s="3" t="s">
        <v>4428</v>
      </c>
      <c r="C2496" s="2" t="s">
        <v>5496</v>
      </c>
      <c r="D2496" s="3" t="s">
        <v>4653</v>
      </c>
      <c r="E2496" s="2" t="s">
        <v>4987</v>
      </c>
      <c r="F2496" s="3" t="s">
        <v>4368</v>
      </c>
      <c r="G2496" s="3" t="s">
        <v>4367</v>
      </c>
      <c r="H2496" s="1" t="s">
        <v>213</v>
      </c>
      <c r="I2496" s="2" t="s">
        <v>214</v>
      </c>
      <c r="J2496" s="3" t="s">
        <v>11</v>
      </c>
      <c r="K2496" s="38">
        <v>0.15</v>
      </c>
      <c r="L2496" s="39">
        <v>738</v>
      </c>
    </row>
    <row r="2497" spans="1:12" ht="19.95" customHeight="1" x14ac:dyDescent="0.3">
      <c r="A2497" s="6" t="s">
        <v>4427</v>
      </c>
      <c r="B2497" s="7" t="s">
        <v>4428</v>
      </c>
      <c r="C2497" s="6" t="s">
        <v>5496</v>
      </c>
      <c r="D2497" s="7" t="s">
        <v>4653</v>
      </c>
      <c r="E2497" s="6" t="s">
        <v>4987</v>
      </c>
      <c r="F2497" s="7" t="s">
        <v>4368</v>
      </c>
      <c r="G2497" s="7" t="s">
        <v>4367</v>
      </c>
      <c r="H2497" s="5" t="s">
        <v>209</v>
      </c>
      <c r="I2497" s="6" t="s">
        <v>210</v>
      </c>
      <c r="J2497" s="7" t="s">
        <v>11</v>
      </c>
      <c r="K2497" s="36">
        <v>0.2</v>
      </c>
      <c r="L2497" s="37">
        <v>558</v>
      </c>
    </row>
    <row r="2498" spans="1:12" ht="19.95" customHeight="1" x14ac:dyDescent="0.3">
      <c r="A2498" s="2" t="s">
        <v>4427</v>
      </c>
      <c r="B2498" s="3" t="s">
        <v>4428</v>
      </c>
      <c r="C2498" s="2" t="s">
        <v>5496</v>
      </c>
      <c r="D2498" s="3" t="s">
        <v>4653</v>
      </c>
      <c r="E2498" s="2" t="s">
        <v>4987</v>
      </c>
      <c r="F2498" s="3" t="s">
        <v>4368</v>
      </c>
      <c r="G2498" s="3" t="s">
        <v>4367</v>
      </c>
      <c r="H2498" s="1" t="s">
        <v>201</v>
      </c>
      <c r="I2498" s="2" t="s">
        <v>202</v>
      </c>
      <c r="J2498" s="3" t="s">
        <v>11</v>
      </c>
      <c r="K2498" s="38">
        <v>0.04</v>
      </c>
      <c r="L2498" s="39">
        <v>679</v>
      </c>
    </row>
    <row r="2499" spans="1:12" ht="19.95" customHeight="1" x14ac:dyDescent="0.3">
      <c r="A2499" s="6" t="s">
        <v>4427</v>
      </c>
      <c r="B2499" s="7" t="s">
        <v>4428</v>
      </c>
      <c r="C2499" s="6" t="s">
        <v>5496</v>
      </c>
      <c r="D2499" s="7" t="s">
        <v>4653</v>
      </c>
      <c r="E2499" s="6" t="s">
        <v>4987</v>
      </c>
      <c r="F2499" s="7" t="s">
        <v>4368</v>
      </c>
      <c r="G2499" s="7" t="s">
        <v>4367</v>
      </c>
      <c r="H2499" s="5" t="s">
        <v>213</v>
      </c>
      <c r="I2499" s="6" t="s">
        <v>214</v>
      </c>
      <c r="J2499" s="7" t="s">
        <v>11</v>
      </c>
      <c r="K2499" s="36">
        <v>0.06</v>
      </c>
      <c r="L2499" s="37">
        <v>738</v>
      </c>
    </row>
    <row r="2500" spans="1:12" ht="19.95" customHeight="1" x14ac:dyDescent="0.3">
      <c r="A2500" s="2" t="s">
        <v>4427</v>
      </c>
      <c r="B2500" s="3" t="s">
        <v>4428</v>
      </c>
      <c r="C2500" s="2" t="s">
        <v>5496</v>
      </c>
      <c r="D2500" s="3" t="s">
        <v>4653</v>
      </c>
      <c r="E2500" s="2" t="s">
        <v>4987</v>
      </c>
      <c r="F2500" s="3" t="s">
        <v>4368</v>
      </c>
      <c r="G2500" s="3" t="s">
        <v>4367</v>
      </c>
      <c r="H2500" s="1" t="s">
        <v>209</v>
      </c>
      <c r="I2500" s="2" t="s">
        <v>210</v>
      </c>
      <c r="J2500" s="3" t="s">
        <v>11</v>
      </c>
      <c r="K2500" s="38">
        <v>0.08</v>
      </c>
      <c r="L2500" s="39">
        <v>558</v>
      </c>
    </row>
    <row r="2501" spans="1:12" ht="19.95" customHeight="1" x14ac:dyDescent="0.3">
      <c r="A2501" s="6" t="s">
        <v>4434</v>
      </c>
      <c r="B2501" s="7" t="s">
        <v>4351</v>
      </c>
      <c r="C2501" s="6" t="s">
        <v>5565</v>
      </c>
      <c r="D2501" s="7" t="s">
        <v>5566</v>
      </c>
      <c r="E2501" s="6" t="s">
        <v>5567</v>
      </c>
      <c r="F2501" s="7" t="s">
        <v>4448</v>
      </c>
      <c r="G2501" s="7" t="s">
        <v>4367</v>
      </c>
      <c r="H2501" s="5" t="s">
        <v>235</v>
      </c>
      <c r="I2501" s="6" t="s">
        <v>236</v>
      </c>
      <c r="J2501" s="7" t="s">
        <v>11</v>
      </c>
      <c r="K2501" s="36">
        <v>1.3</v>
      </c>
      <c r="L2501" s="37">
        <v>738</v>
      </c>
    </row>
    <row r="2502" spans="1:12" ht="19.95" customHeight="1" x14ac:dyDescent="0.3">
      <c r="A2502" s="2" t="s">
        <v>4434</v>
      </c>
      <c r="B2502" s="3" t="s">
        <v>4351</v>
      </c>
      <c r="C2502" s="2" t="s">
        <v>5565</v>
      </c>
      <c r="D2502" s="3" t="s">
        <v>5566</v>
      </c>
      <c r="E2502" s="2" t="s">
        <v>5567</v>
      </c>
      <c r="F2502" s="3" t="s">
        <v>4448</v>
      </c>
      <c r="G2502" s="3" t="s">
        <v>4367</v>
      </c>
      <c r="H2502" s="1" t="s">
        <v>205</v>
      </c>
      <c r="I2502" s="2" t="s">
        <v>206</v>
      </c>
      <c r="J2502" s="3" t="s">
        <v>11</v>
      </c>
      <c r="K2502" s="38">
        <v>15.5</v>
      </c>
      <c r="L2502" s="39">
        <v>679</v>
      </c>
    </row>
    <row r="2503" spans="1:12" ht="19.95" customHeight="1" x14ac:dyDescent="0.3">
      <c r="A2503" s="6" t="s">
        <v>4434</v>
      </c>
      <c r="B2503" s="7" t="s">
        <v>4351</v>
      </c>
      <c r="C2503" s="6" t="s">
        <v>5565</v>
      </c>
      <c r="D2503" s="7" t="s">
        <v>5566</v>
      </c>
      <c r="E2503" s="6" t="s">
        <v>5567</v>
      </c>
      <c r="F2503" s="7" t="s">
        <v>4448</v>
      </c>
      <c r="G2503" s="7" t="s">
        <v>4367</v>
      </c>
      <c r="H2503" s="5" t="s">
        <v>209</v>
      </c>
      <c r="I2503" s="6" t="s">
        <v>210</v>
      </c>
      <c r="J2503" s="7" t="s">
        <v>11</v>
      </c>
      <c r="K2503" s="36">
        <v>15.5</v>
      </c>
      <c r="L2503" s="37">
        <v>558</v>
      </c>
    </row>
    <row r="2504" spans="1:12" ht="19.95" customHeight="1" x14ac:dyDescent="0.3">
      <c r="A2504" s="2" t="s">
        <v>4434</v>
      </c>
      <c r="B2504" s="3" t="s">
        <v>4351</v>
      </c>
      <c r="C2504" s="2" t="s">
        <v>5565</v>
      </c>
      <c r="D2504" s="3" t="s">
        <v>5566</v>
      </c>
      <c r="E2504" s="2" t="s">
        <v>5567</v>
      </c>
      <c r="F2504" s="3" t="s">
        <v>4448</v>
      </c>
      <c r="G2504" s="3" t="s">
        <v>4367</v>
      </c>
      <c r="H2504" s="1" t="s">
        <v>211</v>
      </c>
      <c r="I2504" s="2" t="s">
        <v>212</v>
      </c>
      <c r="J2504" s="3" t="s">
        <v>11</v>
      </c>
      <c r="K2504" s="38">
        <v>1.1299999999999999</v>
      </c>
      <c r="L2504" s="39">
        <v>558</v>
      </c>
    </row>
    <row r="2505" spans="1:12" ht="19.95" customHeight="1" x14ac:dyDescent="0.3">
      <c r="A2505" s="6" t="s">
        <v>4434</v>
      </c>
      <c r="B2505" s="7" t="s">
        <v>4351</v>
      </c>
      <c r="C2505" s="6" t="s">
        <v>5565</v>
      </c>
      <c r="D2505" s="7" t="s">
        <v>5566</v>
      </c>
      <c r="E2505" s="6" t="s">
        <v>5567</v>
      </c>
      <c r="F2505" s="7" t="s">
        <v>4448</v>
      </c>
      <c r="G2505" s="7" t="s">
        <v>4367</v>
      </c>
      <c r="H2505" s="5" t="s">
        <v>211</v>
      </c>
      <c r="I2505" s="6" t="s">
        <v>212</v>
      </c>
      <c r="J2505" s="7" t="s">
        <v>11</v>
      </c>
      <c r="K2505" s="36">
        <v>2.5299999999999998</v>
      </c>
      <c r="L2505" s="37">
        <v>558</v>
      </c>
    </row>
    <row r="2506" spans="1:12" ht="19.95" customHeight="1" x14ac:dyDescent="0.3">
      <c r="A2506" s="2" t="s">
        <v>4434</v>
      </c>
      <c r="B2506" s="3" t="s">
        <v>4351</v>
      </c>
      <c r="C2506" s="2" t="s">
        <v>5565</v>
      </c>
      <c r="D2506" s="3" t="s">
        <v>5568</v>
      </c>
      <c r="E2506" s="2" t="s">
        <v>5569</v>
      </c>
      <c r="F2506" s="3" t="s">
        <v>4448</v>
      </c>
      <c r="G2506" s="3" t="s">
        <v>4367</v>
      </c>
      <c r="H2506" s="1" t="s">
        <v>235</v>
      </c>
      <c r="I2506" s="2" t="s">
        <v>236</v>
      </c>
      <c r="J2506" s="3" t="s">
        <v>11</v>
      </c>
      <c r="K2506" s="38">
        <v>1.3</v>
      </c>
      <c r="L2506" s="39">
        <v>738</v>
      </c>
    </row>
    <row r="2507" spans="1:12" ht="19.95" customHeight="1" x14ac:dyDescent="0.3">
      <c r="A2507" s="6" t="s">
        <v>4434</v>
      </c>
      <c r="B2507" s="7" t="s">
        <v>4351</v>
      </c>
      <c r="C2507" s="6" t="s">
        <v>5565</v>
      </c>
      <c r="D2507" s="7" t="s">
        <v>5568</v>
      </c>
      <c r="E2507" s="6" t="s">
        <v>5569</v>
      </c>
      <c r="F2507" s="7" t="s">
        <v>4448</v>
      </c>
      <c r="G2507" s="7" t="s">
        <v>4367</v>
      </c>
      <c r="H2507" s="5" t="s">
        <v>205</v>
      </c>
      <c r="I2507" s="6" t="s">
        <v>206</v>
      </c>
      <c r="J2507" s="7" t="s">
        <v>11</v>
      </c>
      <c r="K2507" s="36">
        <v>15.5</v>
      </c>
      <c r="L2507" s="37">
        <v>679</v>
      </c>
    </row>
    <row r="2508" spans="1:12" ht="19.95" customHeight="1" x14ac:dyDescent="0.3">
      <c r="A2508" s="2" t="s">
        <v>4434</v>
      </c>
      <c r="B2508" s="3" t="s">
        <v>4351</v>
      </c>
      <c r="C2508" s="2" t="s">
        <v>5565</v>
      </c>
      <c r="D2508" s="3" t="s">
        <v>5568</v>
      </c>
      <c r="E2508" s="2" t="s">
        <v>5569</v>
      </c>
      <c r="F2508" s="3" t="s">
        <v>4448</v>
      </c>
      <c r="G2508" s="3" t="s">
        <v>4367</v>
      </c>
      <c r="H2508" s="1" t="s">
        <v>209</v>
      </c>
      <c r="I2508" s="2" t="s">
        <v>210</v>
      </c>
      <c r="J2508" s="3" t="s">
        <v>11</v>
      </c>
      <c r="K2508" s="38">
        <v>15.5</v>
      </c>
      <c r="L2508" s="39">
        <v>558</v>
      </c>
    </row>
    <row r="2509" spans="1:12" ht="19.95" customHeight="1" x14ac:dyDescent="0.3">
      <c r="A2509" s="6" t="s">
        <v>4434</v>
      </c>
      <c r="B2509" s="7" t="s">
        <v>4351</v>
      </c>
      <c r="C2509" s="6" t="s">
        <v>5565</v>
      </c>
      <c r="D2509" s="7" t="s">
        <v>5568</v>
      </c>
      <c r="E2509" s="6" t="s">
        <v>5569</v>
      </c>
      <c r="F2509" s="7" t="s">
        <v>4448</v>
      </c>
      <c r="G2509" s="7" t="s">
        <v>4367</v>
      </c>
      <c r="H2509" s="5" t="s">
        <v>211</v>
      </c>
      <c r="I2509" s="6" t="s">
        <v>212</v>
      </c>
      <c r="J2509" s="7" t="s">
        <v>11</v>
      </c>
      <c r="K2509" s="36">
        <v>1.1299999999999999</v>
      </c>
      <c r="L2509" s="37">
        <v>558</v>
      </c>
    </row>
    <row r="2510" spans="1:12" ht="19.95" customHeight="1" x14ac:dyDescent="0.3">
      <c r="A2510" s="2" t="s">
        <v>4434</v>
      </c>
      <c r="B2510" s="3" t="s">
        <v>4351</v>
      </c>
      <c r="C2510" s="2" t="s">
        <v>5565</v>
      </c>
      <c r="D2510" s="3" t="s">
        <v>5568</v>
      </c>
      <c r="E2510" s="2" t="s">
        <v>5569</v>
      </c>
      <c r="F2510" s="3" t="s">
        <v>4448</v>
      </c>
      <c r="G2510" s="3" t="s">
        <v>4367</v>
      </c>
      <c r="H2510" s="1" t="s">
        <v>211</v>
      </c>
      <c r="I2510" s="2" t="s">
        <v>212</v>
      </c>
      <c r="J2510" s="3" t="s">
        <v>11</v>
      </c>
      <c r="K2510" s="38">
        <v>2.5299999999999998</v>
      </c>
      <c r="L2510" s="39">
        <v>558</v>
      </c>
    </row>
    <row r="2511" spans="1:12" ht="19.95" customHeight="1" x14ac:dyDescent="0.3">
      <c r="A2511" s="6" t="s">
        <v>4434</v>
      </c>
      <c r="B2511" s="7" t="s">
        <v>4351</v>
      </c>
      <c r="C2511" s="6" t="s">
        <v>5565</v>
      </c>
      <c r="D2511" s="7" t="s">
        <v>5570</v>
      </c>
      <c r="E2511" s="6" t="s">
        <v>5571</v>
      </c>
      <c r="F2511" s="7" t="s">
        <v>4448</v>
      </c>
      <c r="G2511" s="7" t="s">
        <v>4367</v>
      </c>
      <c r="H2511" s="5" t="s">
        <v>235</v>
      </c>
      <c r="I2511" s="6" t="s">
        <v>236</v>
      </c>
      <c r="J2511" s="7" t="s">
        <v>11</v>
      </c>
      <c r="K2511" s="36">
        <v>1.3</v>
      </c>
      <c r="L2511" s="37">
        <v>738</v>
      </c>
    </row>
    <row r="2512" spans="1:12" ht="19.95" customHeight="1" x14ac:dyDescent="0.3">
      <c r="A2512" s="2" t="s">
        <v>4434</v>
      </c>
      <c r="B2512" s="3" t="s">
        <v>4351</v>
      </c>
      <c r="C2512" s="2" t="s">
        <v>5565</v>
      </c>
      <c r="D2512" s="3" t="s">
        <v>5570</v>
      </c>
      <c r="E2512" s="2" t="s">
        <v>5571</v>
      </c>
      <c r="F2512" s="3" t="s">
        <v>4448</v>
      </c>
      <c r="G2512" s="3" t="s">
        <v>4367</v>
      </c>
      <c r="H2512" s="1" t="s">
        <v>205</v>
      </c>
      <c r="I2512" s="2" t="s">
        <v>206</v>
      </c>
      <c r="J2512" s="3" t="s">
        <v>11</v>
      </c>
      <c r="K2512" s="38">
        <v>15.5</v>
      </c>
      <c r="L2512" s="39">
        <v>679</v>
      </c>
    </row>
    <row r="2513" spans="1:12" ht="19.95" customHeight="1" x14ac:dyDescent="0.3">
      <c r="A2513" s="6" t="s">
        <v>4434</v>
      </c>
      <c r="B2513" s="7" t="s">
        <v>4351</v>
      </c>
      <c r="C2513" s="6" t="s">
        <v>5565</v>
      </c>
      <c r="D2513" s="7" t="s">
        <v>5570</v>
      </c>
      <c r="E2513" s="6" t="s">
        <v>5571</v>
      </c>
      <c r="F2513" s="7" t="s">
        <v>4448</v>
      </c>
      <c r="G2513" s="7" t="s">
        <v>4367</v>
      </c>
      <c r="H2513" s="5" t="s">
        <v>209</v>
      </c>
      <c r="I2513" s="6" t="s">
        <v>210</v>
      </c>
      <c r="J2513" s="7" t="s">
        <v>11</v>
      </c>
      <c r="K2513" s="36">
        <v>15.5</v>
      </c>
      <c r="L2513" s="37">
        <v>558</v>
      </c>
    </row>
    <row r="2514" spans="1:12" ht="19.95" customHeight="1" x14ac:dyDescent="0.3">
      <c r="A2514" s="2" t="s">
        <v>4434</v>
      </c>
      <c r="B2514" s="3" t="s">
        <v>4351</v>
      </c>
      <c r="C2514" s="2" t="s">
        <v>5565</v>
      </c>
      <c r="D2514" s="3" t="s">
        <v>5570</v>
      </c>
      <c r="E2514" s="2" t="s">
        <v>5571</v>
      </c>
      <c r="F2514" s="3" t="s">
        <v>4448</v>
      </c>
      <c r="G2514" s="3" t="s">
        <v>4367</v>
      </c>
      <c r="H2514" s="1" t="s">
        <v>211</v>
      </c>
      <c r="I2514" s="2" t="s">
        <v>212</v>
      </c>
      <c r="J2514" s="3" t="s">
        <v>11</v>
      </c>
      <c r="K2514" s="38">
        <v>1.1299999999999999</v>
      </c>
      <c r="L2514" s="39">
        <v>558</v>
      </c>
    </row>
    <row r="2515" spans="1:12" ht="19.95" customHeight="1" x14ac:dyDescent="0.3">
      <c r="A2515" s="6" t="s">
        <v>4434</v>
      </c>
      <c r="B2515" s="7" t="s">
        <v>4351</v>
      </c>
      <c r="C2515" s="6" t="s">
        <v>5565</v>
      </c>
      <c r="D2515" s="7" t="s">
        <v>5570</v>
      </c>
      <c r="E2515" s="6" t="s">
        <v>5571</v>
      </c>
      <c r="F2515" s="7" t="s">
        <v>4448</v>
      </c>
      <c r="G2515" s="7" t="s">
        <v>4367</v>
      </c>
      <c r="H2515" s="5" t="s">
        <v>211</v>
      </c>
      <c r="I2515" s="6" t="s">
        <v>212</v>
      </c>
      <c r="J2515" s="7" t="s">
        <v>11</v>
      </c>
      <c r="K2515" s="36">
        <v>2.5299999999999998</v>
      </c>
      <c r="L2515" s="37">
        <v>558</v>
      </c>
    </row>
    <row r="2516" spans="1:12" ht="19.95" customHeight="1" x14ac:dyDescent="0.3">
      <c r="A2516" s="2" t="s">
        <v>4434</v>
      </c>
      <c r="B2516" s="3" t="s">
        <v>4351</v>
      </c>
      <c r="C2516" s="2" t="s">
        <v>5565</v>
      </c>
      <c r="D2516" s="3" t="s">
        <v>5572</v>
      </c>
      <c r="E2516" s="2" t="s">
        <v>5573</v>
      </c>
      <c r="F2516" s="3" t="s">
        <v>5574</v>
      </c>
      <c r="G2516" s="3" t="s">
        <v>4367</v>
      </c>
      <c r="H2516" s="1" t="s">
        <v>203</v>
      </c>
      <c r="I2516" s="2" t="s">
        <v>204</v>
      </c>
      <c r="J2516" s="3" t="s">
        <v>11</v>
      </c>
      <c r="K2516" s="38">
        <v>1</v>
      </c>
      <c r="L2516" s="39">
        <v>738</v>
      </c>
    </row>
    <row r="2517" spans="1:12" ht="19.95" customHeight="1" x14ac:dyDescent="0.3">
      <c r="A2517" s="6" t="s">
        <v>4434</v>
      </c>
      <c r="B2517" s="7" t="s">
        <v>4351</v>
      </c>
      <c r="C2517" s="6" t="s">
        <v>5565</v>
      </c>
      <c r="D2517" s="7" t="s">
        <v>5572</v>
      </c>
      <c r="E2517" s="6" t="s">
        <v>5573</v>
      </c>
      <c r="F2517" s="7" t="s">
        <v>5574</v>
      </c>
      <c r="G2517" s="7" t="s">
        <v>4367</v>
      </c>
      <c r="H2517" s="5" t="s">
        <v>209</v>
      </c>
      <c r="I2517" s="6" t="s">
        <v>210</v>
      </c>
      <c r="J2517" s="7" t="s">
        <v>11</v>
      </c>
      <c r="K2517" s="36">
        <v>1</v>
      </c>
      <c r="L2517" s="37">
        <v>558</v>
      </c>
    </row>
    <row r="2518" spans="1:12" ht="19.95" customHeight="1" x14ac:dyDescent="0.3">
      <c r="A2518" s="2" t="s">
        <v>4434</v>
      </c>
      <c r="B2518" s="3" t="s">
        <v>4351</v>
      </c>
      <c r="C2518" s="2" t="s">
        <v>5565</v>
      </c>
      <c r="D2518" s="3" t="s">
        <v>5575</v>
      </c>
      <c r="E2518" s="2" t="s">
        <v>5576</v>
      </c>
      <c r="F2518" s="3" t="s">
        <v>5577</v>
      </c>
      <c r="G2518" s="3" t="s">
        <v>4367</v>
      </c>
      <c r="H2518" s="1" t="s">
        <v>199</v>
      </c>
      <c r="I2518" s="2" t="s">
        <v>200</v>
      </c>
      <c r="J2518" s="3" t="s">
        <v>11</v>
      </c>
      <c r="K2518" s="38">
        <v>0.5</v>
      </c>
      <c r="L2518" s="39">
        <v>738</v>
      </c>
    </row>
    <row r="2519" spans="1:12" ht="19.95" customHeight="1" x14ac:dyDescent="0.3">
      <c r="A2519" s="6" t="s">
        <v>4434</v>
      </c>
      <c r="B2519" s="7" t="s">
        <v>4351</v>
      </c>
      <c r="C2519" s="6" t="s">
        <v>5565</v>
      </c>
      <c r="D2519" s="7" t="s">
        <v>5575</v>
      </c>
      <c r="E2519" s="6" t="s">
        <v>5576</v>
      </c>
      <c r="F2519" s="7" t="s">
        <v>5577</v>
      </c>
      <c r="G2519" s="7" t="s">
        <v>4367</v>
      </c>
      <c r="H2519" s="5" t="s">
        <v>209</v>
      </c>
      <c r="I2519" s="6" t="s">
        <v>210</v>
      </c>
      <c r="J2519" s="7" t="s">
        <v>11</v>
      </c>
      <c r="K2519" s="36">
        <v>0.5</v>
      </c>
      <c r="L2519" s="37">
        <v>558</v>
      </c>
    </row>
    <row r="2520" spans="1:12" ht="19.95" customHeight="1" x14ac:dyDescent="0.3">
      <c r="A2520" s="2" t="s">
        <v>4434</v>
      </c>
      <c r="B2520" s="3" t="s">
        <v>4351</v>
      </c>
      <c r="C2520" s="2" t="s">
        <v>5565</v>
      </c>
      <c r="D2520" s="3" t="s">
        <v>5578</v>
      </c>
      <c r="E2520" s="2" t="s">
        <v>5579</v>
      </c>
      <c r="F2520" s="3" t="s">
        <v>5580</v>
      </c>
      <c r="G2520" s="3" t="s">
        <v>4367</v>
      </c>
      <c r="H2520" s="1" t="s">
        <v>235</v>
      </c>
      <c r="I2520" s="2" t="s">
        <v>236</v>
      </c>
      <c r="J2520" s="3" t="s">
        <v>11</v>
      </c>
      <c r="K2520" s="38">
        <v>0.14000000000000001</v>
      </c>
      <c r="L2520" s="39">
        <v>738</v>
      </c>
    </row>
    <row r="2521" spans="1:12" ht="19.95" customHeight="1" x14ac:dyDescent="0.3">
      <c r="A2521" s="6" t="s">
        <v>4434</v>
      </c>
      <c r="B2521" s="7" t="s">
        <v>4351</v>
      </c>
      <c r="C2521" s="6" t="s">
        <v>5565</v>
      </c>
      <c r="D2521" s="7" t="s">
        <v>5578</v>
      </c>
      <c r="E2521" s="6" t="s">
        <v>5579</v>
      </c>
      <c r="F2521" s="7" t="s">
        <v>5580</v>
      </c>
      <c r="G2521" s="7" t="s">
        <v>4367</v>
      </c>
      <c r="H2521" s="5" t="s">
        <v>205</v>
      </c>
      <c r="I2521" s="6" t="s">
        <v>206</v>
      </c>
      <c r="J2521" s="7" t="s">
        <v>11</v>
      </c>
      <c r="K2521" s="36">
        <v>0.55000000000000004</v>
      </c>
      <c r="L2521" s="37">
        <v>679</v>
      </c>
    </row>
    <row r="2522" spans="1:12" ht="19.95" customHeight="1" x14ac:dyDescent="0.3">
      <c r="A2522" s="2" t="s">
        <v>4434</v>
      </c>
      <c r="B2522" s="3" t="s">
        <v>4351</v>
      </c>
      <c r="C2522" s="2" t="s">
        <v>5565</v>
      </c>
      <c r="D2522" s="3" t="s">
        <v>5578</v>
      </c>
      <c r="E2522" s="2" t="s">
        <v>5579</v>
      </c>
      <c r="F2522" s="3" t="s">
        <v>5580</v>
      </c>
      <c r="G2522" s="3" t="s">
        <v>4367</v>
      </c>
      <c r="H2522" s="1" t="s">
        <v>209</v>
      </c>
      <c r="I2522" s="2" t="s">
        <v>210</v>
      </c>
      <c r="J2522" s="3" t="s">
        <v>11</v>
      </c>
      <c r="K2522" s="38">
        <v>1.64</v>
      </c>
      <c r="L2522" s="39">
        <v>558</v>
      </c>
    </row>
    <row r="2523" spans="1:12" ht="19.95" customHeight="1" x14ac:dyDescent="0.3">
      <c r="A2523" s="6" t="s">
        <v>4434</v>
      </c>
      <c r="B2523" s="7" t="s">
        <v>4351</v>
      </c>
      <c r="C2523" s="6" t="s">
        <v>5565</v>
      </c>
      <c r="D2523" s="7" t="s">
        <v>5581</v>
      </c>
      <c r="E2523" s="6" t="s">
        <v>5582</v>
      </c>
      <c r="F2523" s="7" t="s">
        <v>5580</v>
      </c>
      <c r="G2523" s="7" t="s">
        <v>4367</v>
      </c>
      <c r="H2523" s="5" t="s">
        <v>235</v>
      </c>
      <c r="I2523" s="6" t="s">
        <v>236</v>
      </c>
      <c r="J2523" s="7" t="s">
        <v>11</v>
      </c>
      <c r="K2523" s="36">
        <v>0.14000000000000001</v>
      </c>
      <c r="L2523" s="37">
        <v>738</v>
      </c>
    </row>
    <row r="2524" spans="1:12" ht="19.95" customHeight="1" x14ac:dyDescent="0.3">
      <c r="A2524" s="2" t="s">
        <v>4434</v>
      </c>
      <c r="B2524" s="3" t="s">
        <v>4351</v>
      </c>
      <c r="C2524" s="2" t="s">
        <v>5565</v>
      </c>
      <c r="D2524" s="3" t="s">
        <v>5581</v>
      </c>
      <c r="E2524" s="2" t="s">
        <v>5582</v>
      </c>
      <c r="F2524" s="3" t="s">
        <v>5580</v>
      </c>
      <c r="G2524" s="3" t="s">
        <v>4367</v>
      </c>
      <c r="H2524" s="1" t="s">
        <v>205</v>
      </c>
      <c r="I2524" s="2" t="s">
        <v>206</v>
      </c>
      <c r="J2524" s="3" t="s">
        <v>11</v>
      </c>
      <c r="K2524" s="38">
        <v>0.55000000000000004</v>
      </c>
      <c r="L2524" s="39">
        <v>679</v>
      </c>
    </row>
    <row r="2525" spans="1:12" ht="19.95" customHeight="1" x14ac:dyDescent="0.3">
      <c r="A2525" s="6" t="s">
        <v>4434</v>
      </c>
      <c r="B2525" s="7" t="s">
        <v>4351</v>
      </c>
      <c r="C2525" s="6" t="s">
        <v>5565</v>
      </c>
      <c r="D2525" s="7" t="s">
        <v>5581</v>
      </c>
      <c r="E2525" s="6" t="s">
        <v>5582</v>
      </c>
      <c r="F2525" s="7" t="s">
        <v>5580</v>
      </c>
      <c r="G2525" s="7" t="s">
        <v>4367</v>
      </c>
      <c r="H2525" s="5" t="s">
        <v>209</v>
      </c>
      <c r="I2525" s="6" t="s">
        <v>210</v>
      </c>
      <c r="J2525" s="7" t="s">
        <v>11</v>
      </c>
      <c r="K2525" s="36">
        <v>1.64</v>
      </c>
      <c r="L2525" s="37">
        <v>558</v>
      </c>
    </row>
    <row r="2526" spans="1:12" ht="19.95" customHeight="1" x14ac:dyDescent="0.3">
      <c r="A2526" s="2" t="s">
        <v>4434</v>
      </c>
      <c r="B2526" s="3" t="s">
        <v>4351</v>
      </c>
      <c r="C2526" s="2" t="s">
        <v>5565</v>
      </c>
      <c r="D2526" s="3" t="s">
        <v>5583</v>
      </c>
      <c r="E2526" s="2" t="s">
        <v>5584</v>
      </c>
      <c r="F2526" s="3" t="s">
        <v>5580</v>
      </c>
      <c r="G2526" s="3" t="s">
        <v>4367</v>
      </c>
      <c r="H2526" s="1" t="s">
        <v>235</v>
      </c>
      <c r="I2526" s="2" t="s">
        <v>236</v>
      </c>
      <c r="J2526" s="3" t="s">
        <v>11</v>
      </c>
      <c r="K2526" s="38">
        <v>0.14000000000000001</v>
      </c>
      <c r="L2526" s="39">
        <v>738</v>
      </c>
    </row>
    <row r="2527" spans="1:12" ht="19.95" customHeight="1" x14ac:dyDescent="0.3">
      <c r="A2527" s="6" t="s">
        <v>4434</v>
      </c>
      <c r="B2527" s="7" t="s">
        <v>4351</v>
      </c>
      <c r="C2527" s="6" t="s">
        <v>5565</v>
      </c>
      <c r="D2527" s="7" t="s">
        <v>5583</v>
      </c>
      <c r="E2527" s="6" t="s">
        <v>5584</v>
      </c>
      <c r="F2527" s="7" t="s">
        <v>5580</v>
      </c>
      <c r="G2527" s="7" t="s">
        <v>4367</v>
      </c>
      <c r="H2527" s="5" t="s">
        <v>205</v>
      </c>
      <c r="I2527" s="6" t="s">
        <v>206</v>
      </c>
      <c r="J2527" s="7" t="s">
        <v>11</v>
      </c>
      <c r="K2527" s="36">
        <v>0.55000000000000004</v>
      </c>
      <c r="L2527" s="37">
        <v>679</v>
      </c>
    </row>
    <row r="2528" spans="1:12" ht="19.95" customHeight="1" x14ac:dyDescent="0.3">
      <c r="A2528" s="2" t="s">
        <v>4434</v>
      </c>
      <c r="B2528" s="3" t="s">
        <v>4351</v>
      </c>
      <c r="C2528" s="2" t="s">
        <v>5565</v>
      </c>
      <c r="D2528" s="3" t="s">
        <v>5583</v>
      </c>
      <c r="E2528" s="2" t="s">
        <v>5584</v>
      </c>
      <c r="F2528" s="3" t="s">
        <v>5580</v>
      </c>
      <c r="G2528" s="3" t="s">
        <v>4367</v>
      </c>
      <c r="H2528" s="1" t="s">
        <v>209</v>
      </c>
      <c r="I2528" s="2" t="s">
        <v>210</v>
      </c>
      <c r="J2528" s="3" t="s">
        <v>11</v>
      </c>
      <c r="K2528" s="38">
        <v>1.64</v>
      </c>
      <c r="L2528" s="39">
        <v>558</v>
      </c>
    </row>
    <row r="2529" spans="1:12" ht="19.95" customHeight="1" x14ac:dyDescent="0.3">
      <c r="A2529" s="6" t="s">
        <v>4434</v>
      </c>
      <c r="B2529" s="7" t="s">
        <v>4351</v>
      </c>
      <c r="C2529" s="6" t="s">
        <v>5565</v>
      </c>
      <c r="D2529" s="7" t="s">
        <v>5585</v>
      </c>
      <c r="E2529" s="6" t="s">
        <v>5586</v>
      </c>
      <c r="F2529" s="7" t="s">
        <v>5587</v>
      </c>
      <c r="G2529" s="7" t="s">
        <v>4367</v>
      </c>
      <c r="H2529" s="5" t="s">
        <v>235</v>
      </c>
      <c r="I2529" s="6" t="s">
        <v>236</v>
      </c>
      <c r="J2529" s="7" t="s">
        <v>11</v>
      </c>
      <c r="K2529" s="36">
        <v>0.14000000000000001</v>
      </c>
      <c r="L2529" s="37">
        <v>738</v>
      </c>
    </row>
    <row r="2530" spans="1:12" ht="19.95" customHeight="1" x14ac:dyDescent="0.3">
      <c r="A2530" s="2" t="s">
        <v>4434</v>
      </c>
      <c r="B2530" s="3" t="s">
        <v>4351</v>
      </c>
      <c r="C2530" s="2" t="s">
        <v>5565</v>
      </c>
      <c r="D2530" s="3" t="s">
        <v>5585</v>
      </c>
      <c r="E2530" s="2" t="s">
        <v>5586</v>
      </c>
      <c r="F2530" s="3" t="s">
        <v>5587</v>
      </c>
      <c r="G2530" s="3" t="s">
        <v>4367</v>
      </c>
      <c r="H2530" s="1" t="s">
        <v>205</v>
      </c>
      <c r="I2530" s="2" t="s">
        <v>206</v>
      </c>
      <c r="J2530" s="3" t="s">
        <v>11</v>
      </c>
      <c r="K2530" s="38">
        <v>0.55000000000000004</v>
      </c>
      <c r="L2530" s="39">
        <v>679</v>
      </c>
    </row>
    <row r="2531" spans="1:12" ht="19.95" customHeight="1" x14ac:dyDescent="0.3">
      <c r="A2531" s="6" t="s">
        <v>4434</v>
      </c>
      <c r="B2531" s="7" t="s">
        <v>4351</v>
      </c>
      <c r="C2531" s="6" t="s">
        <v>5565</v>
      </c>
      <c r="D2531" s="7" t="s">
        <v>5585</v>
      </c>
      <c r="E2531" s="6" t="s">
        <v>5586</v>
      </c>
      <c r="F2531" s="7" t="s">
        <v>5587</v>
      </c>
      <c r="G2531" s="7" t="s">
        <v>4367</v>
      </c>
      <c r="H2531" s="5" t="s">
        <v>209</v>
      </c>
      <c r="I2531" s="6" t="s">
        <v>210</v>
      </c>
      <c r="J2531" s="7" t="s">
        <v>11</v>
      </c>
      <c r="K2531" s="36">
        <v>1.64</v>
      </c>
      <c r="L2531" s="37">
        <v>558</v>
      </c>
    </row>
    <row r="2532" spans="1:12" ht="19.95" customHeight="1" x14ac:dyDescent="0.3">
      <c r="A2532" s="2" t="s">
        <v>4434</v>
      </c>
      <c r="B2532" s="3" t="s">
        <v>4351</v>
      </c>
      <c r="C2532" s="2" t="s">
        <v>5565</v>
      </c>
      <c r="D2532" s="3" t="s">
        <v>5588</v>
      </c>
      <c r="E2532" s="2" t="s">
        <v>5589</v>
      </c>
      <c r="F2532" s="3" t="s">
        <v>4368</v>
      </c>
      <c r="G2532" s="3" t="s">
        <v>4367</v>
      </c>
      <c r="H2532" s="1" t="s">
        <v>235</v>
      </c>
      <c r="I2532" s="2" t="s">
        <v>236</v>
      </c>
      <c r="J2532" s="3" t="s">
        <v>11</v>
      </c>
      <c r="K2532" s="38">
        <v>7.0000000000000007E-2</v>
      </c>
      <c r="L2532" s="39">
        <v>738</v>
      </c>
    </row>
    <row r="2533" spans="1:12" ht="19.95" customHeight="1" x14ac:dyDescent="0.3">
      <c r="A2533" s="6" t="s">
        <v>4434</v>
      </c>
      <c r="B2533" s="7" t="s">
        <v>4351</v>
      </c>
      <c r="C2533" s="6" t="s">
        <v>5565</v>
      </c>
      <c r="D2533" s="7" t="s">
        <v>5588</v>
      </c>
      <c r="E2533" s="6" t="s">
        <v>5589</v>
      </c>
      <c r="F2533" s="7" t="s">
        <v>4368</v>
      </c>
      <c r="G2533" s="7" t="s">
        <v>4367</v>
      </c>
      <c r="H2533" s="5" t="s">
        <v>205</v>
      </c>
      <c r="I2533" s="6" t="s">
        <v>206</v>
      </c>
      <c r="J2533" s="7" t="s">
        <v>11</v>
      </c>
      <c r="K2533" s="36">
        <v>0.28000000000000003</v>
      </c>
      <c r="L2533" s="37">
        <v>679</v>
      </c>
    </row>
    <row r="2534" spans="1:12" ht="19.95" customHeight="1" x14ac:dyDescent="0.3">
      <c r="A2534" s="2" t="s">
        <v>4434</v>
      </c>
      <c r="B2534" s="3" t="s">
        <v>4351</v>
      </c>
      <c r="C2534" s="2" t="s">
        <v>5565</v>
      </c>
      <c r="D2534" s="3" t="s">
        <v>5588</v>
      </c>
      <c r="E2534" s="2" t="s">
        <v>5589</v>
      </c>
      <c r="F2534" s="3" t="s">
        <v>4368</v>
      </c>
      <c r="G2534" s="3" t="s">
        <v>4367</v>
      </c>
      <c r="H2534" s="1" t="s">
        <v>209</v>
      </c>
      <c r="I2534" s="2" t="s">
        <v>210</v>
      </c>
      <c r="J2534" s="3" t="s">
        <v>11</v>
      </c>
      <c r="K2534" s="38">
        <v>0.82</v>
      </c>
      <c r="L2534" s="39">
        <v>558</v>
      </c>
    </row>
    <row r="2535" spans="1:12" ht="19.95" customHeight="1" x14ac:dyDescent="0.3">
      <c r="A2535" s="6" t="s">
        <v>4434</v>
      </c>
      <c r="B2535" s="7" t="s">
        <v>4351</v>
      </c>
      <c r="C2535" s="6" t="s">
        <v>5565</v>
      </c>
      <c r="D2535" s="7" t="s">
        <v>5590</v>
      </c>
      <c r="E2535" s="6" t="s">
        <v>5591</v>
      </c>
      <c r="F2535" s="7" t="s">
        <v>4368</v>
      </c>
      <c r="G2535" s="7" t="s">
        <v>4367</v>
      </c>
      <c r="H2535" s="5" t="s">
        <v>235</v>
      </c>
      <c r="I2535" s="6" t="s">
        <v>236</v>
      </c>
      <c r="J2535" s="7" t="s">
        <v>11</v>
      </c>
      <c r="K2535" s="36">
        <v>7.0000000000000007E-2</v>
      </c>
      <c r="L2535" s="37">
        <v>738</v>
      </c>
    </row>
    <row r="2536" spans="1:12" ht="19.95" customHeight="1" x14ac:dyDescent="0.3">
      <c r="A2536" s="2" t="s">
        <v>4434</v>
      </c>
      <c r="B2536" s="3" t="s">
        <v>4351</v>
      </c>
      <c r="C2536" s="2" t="s">
        <v>5565</v>
      </c>
      <c r="D2536" s="3" t="s">
        <v>5590</v>
      </c>
      <c r="E2536" s="2" t="s">
        <v>5591</v>
      </c>
      <c r="F2536" s="3" t="s">
        <v>4368</v>
      </c>
      <c r="G2536" s="3" t="s">
        <v>4367</v>
      </c>
      <c r="H2536" s="1" t="s">
        <v>205</v>
      </c>
      <c r="I2536" s="2" t="s">
        <v>206</v>
      </c>
      <c r="J2536" s="3" t="s">
        <v>11</v>
      </c>
      <c r="K2536" s="38">
        <v>0.28000000000000003</v>
      </c>
      <c r="L2536" s="39">
        <v>679</v>
      </c>
    </row>
    <row r="2537" spans="1:12" ht="19.95" customHeight="1" x14ac:dyDescent="0.3">
      <c r="A2537" s="6" t="s">
        <v>4434</v>
      </c>
      <c r="B2537" s="7" t="s">
        <v>4351</v>
      </c>
      <c r="C2537" s="6" t="s">
        <v>5565</v>
      </c>
      <c r="D2537" s="7" t="s">
        <v>5590</v>
      </c>
      <c r="E2537" s="6" t="s">
        <v>5591</v>
      </c>
      <c r="F2537" s="7" t="s">
        <v>4368</v>
      </c>
      <c r="G2537" s="7" t="s">
        <v>4367</v>
      </c>
      <c r="H2537" s="5" t="s">
        <v>209</v>
      </c>
      <c r="I2537" s="6" t="s">
        <v>210</v>
      </c>
      <c r="J2537" s="7" t="s">
        <v>11</v>
      </c>
      <c r="K2537" s="36">
        <v>0.82</v>
      </c>
      <c r="L2537" s="37">
        <v>558</v>
      </c>
    </row>
    <row r="2538" spans="1:12" ht="19.95" customHeight="1" x14ac:dyDescent="0.3">
      <c r="A2538" s="2" t="s">
        <v>4434</v>
      </c>
      <c r="B2538" s="3" t="s">
        <v>4351</v>
      </c>
      <c r="C2538" s="2" t="s">
        <v>5565</v>
      </c>
      <c r="D2538" s="3" t="s">
        <v>5592</v>
      </c>
      <c r="E2538" s="2" t="s">
        <v>5593</v>
      </c>
      <c r="F2538" s="3" t="s">
        <v>4368</v>
      </c>
      <c r="G2538" s="3" t="s">
        <v>4367</v>
      </c>
      <c r="H2538" s="1" t="s">
        <v>235</v>
      </c>
      <c r="I2538" s="2" t="s">
        <v>236</v>
      </c>
      <c r="J2538" s="3" t="s">
        <v>11</v>
      </c>
      <c r="K2538" s="38">
        <v>0.1</v>
      </c>
      <c r="L2538" s="39">
        <v>738</v>
      </c>
    </row>
    <row r="2539" spans="1:12" ht="19.95" customHeight="1" x14ac:dyDescent="0.3">
      <c r="A2539" s="6" t="s">
        <v>4434</v>
      </c>
      <c r="B2539" s="7" t="s">
        <v>4351</v>
      </c>
      <c r="C2539" s="6" t="s">
        <v>5565</v>
      </c>
      <c r="D2539" s="7" t="s">
        <v>5592</v>
      </c>
      <c r="E2539" s="6" t="s">
        <v>5593</v>
      </c>
      <c r="F2539" s="7" t="s">
        <v>4368</v>
      </c>
      <c r="G2539" s="7" t="s">
        <v>4367</v>
      </c>
      <c r="H2539" s="5" t="s">
        <v>205</v>
      </c>
      <c r="I2539" s="6" t="s">
        <v>206</v>
      </c>
      <c r="J2539" s="7" t="s">
        <v>11</v>
      </c>
      <c r="K2539" s="36">
        <v>0.3</v>
      </c>
      <c r="L2539" s="37">
        <v>679</v>
      </c>
    </row>
    <row r="2540" spans="1:12" ht="19.95" customHeight="1" x14ac:dyDescent="0.3">
      <c r="A2540" s="2" t="s">
        <v>4434</v>
      </c>
      <c r="B2540" s="3" t="s">
        <v>4351</v>
      </c>
      <c r="C2540" s="2" t="s">
        <v>5565</v>
      </c>
      <c r="D2540" s="3" t="s">
        <v>5592</v>
      </c>
      <c r="E2540" s="2" t="s">
        <v>5593</v>
      </c>
      <c r="F2540" s="3" t="s">
        <v>4368</v>
      </c>
      <c r="G2540" s="3" t="s">
        <v>4367</v>
      </c>
      <c r="H2540" s="1" t="s">
        <v>209</v>
      </c>
      <c r="I2540" s="2" t="s">
        <v>210</v>
      </c>
      <c r="J2540" s="3" t="s">
        <v>11</v>
      </c>
      <c r="K2540" s="38">
        <v>1</v>
      </c>
      <c r="L2540" s="39">
        <v>558</v>
      </c>
    </row>
    <row r="2541" spans="1:12" ht="19.95" customHeight="1" x14ac:dyDescent="0.3">
      <c r="A2541" s="6" t="s">
        <v>4434</v>
      </c>
      <c r="B2541" s="7" t="s">
        <v>4351</v>
      </c>
      <c r="C2541" s="6" t="s">
        <v>5565</v>
      </c>
      <c r="D2541" s="7" t="s">
        <v>5594</v>
      </c>
      <c r="E2541" s="6" t="s">
        <v>5595</v>
      </c>
      <c r="F2541" s="7" t="s">
        <v>4368</v>
      </c>
      <c r="G2541" s="7" t="s">
        <v>4367</v>
      </c>
      <c r="H2541" s="5" t="s">
        <v>235</v>
      </c>
      <c r="I2541" s="6" t="s">
        <v>236</v>
      </c>
      <c r="J2541" s="7" t="s">
        <v>11</v>
      </c>
      <c r="K2541" s="36">
        <v>0.1</v>
      </c>
      <c r="L2541" s="37">
        <v>738</v>
      </c>
    </row>
    <row r="2542" spans="1:12" ht="19.95" customHeight="1" x14ac:dyDescent="0.3">
      <c r="A2542" s="2" t="s">
        <v>4434</v>
      </c>
      <c r="B2542" s="3" t="s">
        <v>4351</v>
      </c>
      <c r="C2542" s="2" t="s">
        <v>5565</v>
      </c>
      <c r="D2542" s="3" t="s">
        <v>5594</v>
      </c>
      <c r="E2542" s="2" t="s">
        <v>5595</v>
      </c>
      <c r="F2542" s="3" t="s">
        <v>4368</v>
      </c>
      <c r="G2542" s="3" t="s">
        <v>4367</v>
      </c>
      <c r="H2542" s="1" t="s">
        <v>205</v>
      </c>
      <c r="I2542" s="2" t="s">
        <v>206</v>
      </c>
      <c r="J2542" s="3" t="s">
        <v>11</v>
      </c>
      <c r="K2542" s="38">
        <v>0.3</v>
      </c>
      <c r="L2542" s="39">
        <v>679</v>
      </c>
    </row>
    <row r="2543" spans="1:12" ht="19.95" customHeight="1" x14ac:dyDescent="0.3">
      <c r="A2543" s="6" t="s">
        <v>4434</v>
      </c>
      <c r="B2543" s="7" t="s">
        <v>4351</v>
      </c>
      <c r="C2543" s="6" t="s">
        <v>5565</v>
      </c>
      <c r="D2543" s="7" t="s">
        <v>5594</v>
      </c>
      <c r="E2543" s="6" t="s">
        <v>5595</v>
      </c>
      <c r="F2543" s="7" t="s">
        <v>4368</v>
      </c>
      <c r="G2543" s="7" t="s">
        <v>4367</v>
      </c>
      <c r="H2543" s="5" t="s">
        <v>209</v>
      </c>
      <c r="I2543" s="6" t="s">
        <v>210</v>
      </c>
      <c r="J2543" s="7" t="s">
        <v>11</v>
      </c>
      <c r="K2543" s="36">
        <v>1</v>
      </c>
      <c r="L2543" s="37">
        <v>558</v>
      </c>
    </row>
    <row r="2544" spans="1:12" ht="19.95" customHeight="1" x14ac:dyDescent="0.3">
      <c r="A2544" s="2" t="s">
        <v>4434</v>
      </c>
      <c r="B2544" s="3" t="s">
        <v>4351</v>
      </c>
      <c r="C2544" s="2" t="s">
        <v>5565</v>
      </c>
      <c r="D2544" s="3" t="s">
        <v>5596</v>
      </c>
      <c r="E2544" s="2" t="s">
        <v>5597</v>
      </c>
      <c r="F2544" s="3" t="s">
        <v>4435</v>
      </c>
      <c r="G2544" s="3" t="s">
        <v>4367</v>
      </c>
      <c r="H2544" s="1" t="s">
        <v>235</v>
      </c>
      <c r="I2544" s="2" t="s">
        <v>236</v>
      </c>
      <c r="J2544" s="3" t="s">
        <v>11</v>
      </c>
      <c r="K2544" s="38">
        <v>0.04</v>
      </c>
      <c r="L2544" s="39">
        <v>738</v>
      </c>
    </row>
    <row r="2545" spans="1:12" ht="19.95" customHeight="1" x14ac:dyDescent="0.3">
      <c r="A2545" s="6" t="s">
        <v>4434</v>
      </c>
      <c r="B2545" s="7" t="s">
        <v>4351</v>
      </c>
      <c r="C2545" s="6" t="s">
        <v>5565</v>
      </c>
      <c r="D2545" s="7" t="s">
        <v>5596</v>
      </c>
      <c r="E2545" s="6" t="s">
        <v>5597</v>
      </c>
      <c r="F2545" s="7" t="s">
        <v>4435</v>
      </c>
      <c r="G2545" s="7" t="s">
        <v>4367</v>
      </c>
      <c r="H2545" s="5" t="s">
        <v>205</v>
      </c>
      <c r="I2545" s="6" t="s">
        <v>206</v>
      </c>
      <c r="J2545" s="7" t="s">
        <v>11</v>
      </c>
      <c r="K2545" s="36">
        <v>0.06</v>
      </c>
      <c r="L2545" s="37">
        <v>679</v>
      </c>
    </row>
    <row r="2546" spans="1:12" ht="19.95" customHeight="1" x14ac:dyDescent="0.3">
      <c r="A2546" s="2" t="s">
        <v>4434</v>
      </c>
      <c r="B2546" s="3" t="s">
        <v>4351</v>
      </c>
      <c r="C2546" s="2" t="s">
        <v>5565</v>
      </c>
      <c r="D2546" s="3" t="s">
        <v>5596</v>
      </c>
      <c r="E2546" s="2" t="s">
        <v>5597</v>
      </c>
      <c r="F2546" s="3" t="s">
        <v>4435</v>
      </c>
      <c r="G2546" s="3" t="s">
        <v>4367</v>
      </c>
      <c r="H2546" s="1" t="s">
        <v>209</v>
      </c>
      <c r="I2546" s="2" t="s">
        <v>210</v>
      </c>
      <c r="J2546" s="3" t="s">
        <v>11</v>
      </c>
      <c r="K2546" s="38">
        <v>0.4</v>
      </c>
      <c r="L2546" s="39">
        <v>558</v>
      </c>
    </row>
    <row r="2547" spans="1:12" ht="19.95" customHeight="1" x14ac:dyDescent="0.3">
      <c r="A2547" s="6" t="s">
        <v>4434</v>
      </c>
      <c r="B2547" s="7" t="s">
        <v>4351</v>
      </c>
      <c r="C2547" s="6" t="s">
        <v>5565</v>
      </c>
      <c r="D2547" s="7" t="s">
        <v>5598</v>
      </c>
      <c r="E2547" s="6" t="s">
        <v>5599</v>
      </c>
      <c r="F2547" s="7" t="s">
        <v>5600</v>
      </c>
      <c r="G2547" s="7" t="s">
        <v>4367</v>
      </c>
      <c r="H2547" s="5" t="s">
        <v>235</v>
      </c>
      <c r="I2547" s="6" t="s">
        <v>236</v>
      </c>
      <c r="J2547" s="7" t="s">
        <v>11</v>
      </c>
      <c r="K2547" s="36">
        <v>0.1</v>
      </c>
      <c r="L2547" s="37">
        <v>738</v>
      </c>
    </row>
    <row r="2548" spans="1:12" ht="19.95" customHeight="1" x14ac:dyDescent="0.3">
      <c r="A2548" s="2" t="s">
        <v>4434</v>
      </c>
      <c r="B2548" s="3" t="s">
        <v>4351</v>
      </c>
      <c r="C2548" s="2" t="s">
        <v>5565</v>
      </c>
      <c r="D2548" s="3" t="s">
        <v>5598</v>
      </c>
      <c r="E2548" s="2" t="s">
        <v>5599</v>
      </c>
      <c r="F2548" s="3" t="s">
        <v>5600</v>
      </c>
      <c r="G2548" s="3" t="s">
        <v>4367</v>
      </c>
      <c r="H2548" s="1" t="s">
        <v>205</v>
      </c>
      <c r="I2548" s="2" t="s">
        <v>206</v>
      </c>
      <c r="J2548" s="3" t="s">
        <v>11</v>
      </c>
      <c r="K2548" s="38">
        <v>0.3</v>
      </c>
      <c r="L2548" s="39">
        <v>679</v>
      </c>
    </row>
    <row r="2549" spans="1:12" ht="19.95" customHeight="1" x14ac:dyDescent="0.3">
      <c r="A2549" s="6" t="s">
        <v>4434</v>
      </c>
      <c r="B2549" s="7" t="s">
        <v>4351</v>
      </c>
      <c r="C2549" s="6" t="s">
        <v>5565</v>
      </c>
      <c r="D2549" s="7" t="s">
        <v>5598</v>
      </c>
      <c r="E2549" s="6" t="s">
        <v>5599</v>
      </c>
      <c r="F2549" s="7" t="s">
        <v>5600</v>
      </c>
      <c r="G2549" s="7" t="s">
        <v>4367</v>
      </c>
      <c r="H2549" s="5" t="s">
        <v>209</v>
      </c>
      <c r="I2549" s="6" t="s">
        <v>210</v>
      </c>
      <c r="J2549" s="7" t="s">
        <v>11</v>
      </c>
      <c r="K2549" s="36">
        <v>1</v>
      </c>
      <c r="L2549" s="37">
        <v>558</v>
      </c>
    </row>
    <row r="2550" spans="1:12" ht="19.95" customHeight="1" x14ac:dyDescent="0.3">
      <c r="A2550" s="2" t="s">
        <v>4434</v>
      </c>
      <c r="B2550" s="3" t="s">
        <v>4351</v>
      </c>
      <c r="C2550" s="2" t="s">
        <v>5565</v>
      </c>
      <c r="D2550" s="3" t="s">
        <v>5601</v>
      </c>
      <c r="E2550" s="2" t="s">
        <v>5602</v>
      </c>
      <c r="F2550" s="3" t="s">
        <v>5603</v>
      </c>
      <c r="G2550" s="3" t="s">
        <v>4367</v>
      </c>
      <c r="H2550" s="1" t="s">
        <v>203</v>
      </c>
      <c r="I2550" s="2" t="s">
        <v>204</v>
      </c>
      <c r="J2550" s="3" t="s">
        <v>11</v>
      </c>
      <c r="K2550" s="38">
        <v>1</v>
      </c>
      <c r="L2550" s="39">
        <v>738</v>
      </c>
    </row>
    <row r="2551" spans="1:12" ht="19.95" customHeight="1" x14ac:dyDescent="0.3">
      <c r="A2551" s="6" t="s">
        <v>4434</v>
      </c>
      <c r="B2551" s="7" t="s">
        <v>4351</v>
      </c>
      <c r="C2551" s="6" t="s">
        <v>5565</v>
      </c>
      <c r="D2551" s="7" t="s">
        <v>5601</v>
      </c>
      <c r="E2551" s="6" t="s">
        <v>5602</v>
      </c>
      <c r="F2551" s="7" t="s">
        <v>5603</v>
      </c>
      <c r="G2551" s="7" t="s">
        <v>4367</v>
      </c>
      <c r="H2551" s="5" t="s">
        <v>209</v>
      </c>
      <c r="I2551" s="6" t="s">
        <v>210</v>
      </c>
      <c r="J2551" s="7" t="s">
        <v>11</v>
      </c>
      <c r="K2551" s="36">
        <v>1</v>
      </c>
      <c r="L2551" s="37">
        <v>558</v>
      </c>
    </row>
    <row r="2552" spans="1:12" ht="19.95" customHeight="1" x14ac:dyDescent="0.3">
      <c r="A2552" s="2" t="s">
        <v>4434</v>
      </c>
      <c r="B2552" s="3" t="s">
        <v>4351</v>
      </c>
      <c r="C2552" s="2" t="s">
        <v>5565</v>
      </c>
      <c r="D2552" s="3" t="s">
        <v>5601</v>
      </c>
      <c r="E2552" s="2" t="s">
        <v>5602</v>
      </c>
      <c r="F2552" s="3" t="s">
        <v>5603</v>
      </c>
      <c r="G2552" s="3" t="s">
        <v>4367</v>
      </c>
      <c r="H2552" s="1" t="s">
        <v>199</v>
      </c>
      <c r="I2552" s="2" t="s">
        <v>200</v>
      </c>
      <c r="J2552" s="3" t="s">
        <v>11</v>
      </c>
      <c r="K2552" s="38">
        <v>0.12</v>
      </c>
      <c r="L2552" s="39">
        <v>738</v>
      </c>
    </row>
    <row r="2553" spans="1:12" ht="19.95" customHeight="1" x14ac:dyDescent="0.3">
      <c r="A2553" s="6" t="s">
        <v>4434</v>
      </c>
      <c r="B2553" s="7" t="s">
        <v>4351</v>
      </c>
      <c r="C2553" s="6" t="s">
        <v>5565</v>
      </c>
      <c r="D2553" s="7" t="s">
        <v>5604</v>
      </c>
      <c r="E2553" s="6" t="s">
        <v>5605</v>
      </c>
      <c r="F2553" s="7" t="s">
        <v>4368</v>
      </c>
      <c r="G2553" s="7" t="s">
        <v>4367</v>
      </c>
      <c r="H2553" s="5" t="s">
        <v>199</v>
      </c>
      <c r="I2553" s="6" t="s">
        <v>200</v>
      </c>
      <c r="J2553" s="7" t="s">
        <v>11</v>
      </c>
      <c r="K2553" s="36">
        <v>0.38</v>
      </c>
      <c r="L2553" s="37">
        <v>738</v>
      </c>
    </row>
    <row r="2554" spans="1:12" ht="19.95" customHeight="1" x14ac:dyDescent="0.3">
      <c r="A2554" s="2" t="s">
        <v>4434</v>
      </c>
      <c r="B2554" s="3" t="s">
        <v>4351</v>
      </c>
      <c r="C2554" s="2" t="s">
        <v>5565</v>
      </c>
      <c r="D2554" s="3" t="s">
        <v>5604</v>
      </c>
      <c r="E2554" s="2" t="s">
        <v>5605</v>
      </c>
      <c r="F2554" s="3" t="s">
        <v>4368</v>
      </c>
      <c r="G2554" s="3" t="s">
        <v>4367</v>
      </c>
      <c r="H2554" s="1" t="s">
        <v>209</v>
      </c>
      <c r="I2554" s="2" t="s">
        <v>210</v>
      </c>
      <c r="J2554" s="3" t="s">
        <v>11</v>
      </c>
      <c r="K2554" s="38">
        <v>0.38</v>
      </c>
      <c r="L2554" s="39">
        <v>558</v>
      </c>
    </row>
    <row r="2555" spans="1:12" ht="19.95" customHeight="1" x14ac:dyDescent="0.3">
      <c r="A2555" s="6" t="s">
        <v>4434</v>
      </c>
      <c r="B2555" s="7" t="s">
        <v>4351</v>
      </c>
      <c r="C2555" s="6" t="s">
        <v>5565</v>
      </c>
      <c r="D2555" s="7" t="s">
        <v>5606</v>
      </c>
      <c r="E2555" s="6" t="s">
        <v>5607</v>
      </c>
      <c r="F2555" s="7" t="s">
        <v>5608</v>
      </c>
      <c r="G2555" s="7" t="s">
        <v>4367</v>
      </c>
      <c r="H2555" s="5" t="s">
        <v>209</v>
      </c>
      <c r="I2555" s="6" t="s">
        <v>210</v>
      </c>
      <c r="J2555" s="7" t="s">
        <v>11</v>
      </c>
      <c r="K2555" s="36">
        <v>0.38</v>
      </c>
      <c r="L2555" s="37">
        <v>558</v>
      </c>
    </row>
    <row r="2556" spans="1:12" ht="19.95" customHeight="1" x14ac:dyDescent="0.3">
      <c r="A2556" s="2" t="s">
        <v>4434</v>
      </c>
      <c r="B2556" s="3" t="s">
        <v>4351</v>
      </c>
      <c r="C2556" s="2" t="s">
        <v>5565</v>
      </c>
      <c r="D2556" s="3" t="s">
        <v>5609</v>
      </c>
      <c r="E2556" s="2" t="s">
        <v>5610</v>
      </c>
      <c r="F2556" s="3" t="s">
        <v>4368</v>
      </c>
      <c r="G2556" s="3" t="s">
        <v>4367</v>
      </c>
      <c r="H2556" s="1" t="s">
        <v>209</v>
      </c>
      <c r="I2556" s="2" t="s">
        <v>210</v>
      </c>
      <c r="J2556" s="3" t="s">
        <v>11</v>
      </c>
      <c r="K2556" s="38">
        <v>7.0000000000000007E-2</v>
      </c>
      <c r="L2556" s="39">
        <v>558</v>
      </c>
    </row>
    <row r="2557" spans="1:12" ht="19.95" customHeight="1" x14ac:dyDescent="0.3">
      <c r="A2557" s="6" t="s">
        <v>4434</v>
      </c>
      <c r="B2557" s="7" t="s">
        <v>4351</v>
      </c>
      <c r="C2557" s="6" t="s">
        <v>5565</v>
      </c>
      <c r="D2557" s="7" t="s">
        <v>5609</v>
      </c>
      <c r="E2557" s="6" t="s">
        <v>5610</v>
      </c>
      <c r="F2557" s="7" t="s">
        <v>4368</v>
      </c>
      <c r="G2557" s="7" t="s">
        <v>4367</v>
      </c>
      <c r="H2557" s="5" t="s">
        <v>197</v>
      </c>
      <c r="I2557" s="6" t="s">
        <v>198</v>
      </c>
      <c r="J2557" s="7" t="s">
        <v>11</v>
      </c>
      <c r="K2557" s="36">
        <v>0.04</v>
      </c>
      <c r="L2557" s="37">
        <v>617</v>
      </c>
    </row>
    <row r="2558" spans="1:12" ht="19.95" customHeight="1" x14ac:dyDescent="0.3">
      <c r="A2558" s="2" t="s">
        <v>4434</v>
      </c>
      <c r="B2558" s="3" t="s">
        <v>4351</v>
      </c>
      <c r="C2558" s="2" t="s">
        <v>5565</v>
      </c>
      <c r="D2558" s="3" t="s">
        <v>5611</v>
      </c>
      <c r="E2558" s="2" t="s">
        <v>5612</v>
      </c>
      <c r="F2558" s="3" t="s">
        <v>5613</v>
      </c>
      <c r="G2558" s="3" t="s">
        <v>4367</v>
      </c>
      <c r="H2558" s="1" t="s">
        <v>199</v>
      </c>
      <c r="I2558" s="2" t="s">
        <v>200</v>
      </c>
      <c r="J2558" s="3" t="s">
        <v>11</v>
      </c>
      <c r="K2558" s="38">
        <v>0.15</v>
      </c>
      <c r="L2558" s="39">
        <v>738</v>
      </c>
    </row>
    <row r="2559" spans="1:12" ht="19.95" customHeight="1" x14ac:dyDescent="0.3">
      <c r="A2559" s="6" t="s">
        <v>4434</v>
      </c>
      <c r="B2559" s="7" t="s">
        <v>4351</v>
      </c>
      <c r="C2559" s="6" t="s">
        <v>5565</v>
      </c>
      <c r="D2559" s="7" t="s">
        <v>5611</v>
      </c>
      <c r="E2559" s="6" t="s">
        <v>5612</v>
      </c>
      <c r="F2559" s="7" t="s">
        <v>5613</v>
      </c>
      <c r="G2559" s="7" t="s">
        <v>4367</v>
      </c>
      <c r="H2559" s="5" t="s">
        <v>209</v>
      </c>
      <c r="I2559" s="6" t="s">
        <v>210</v>
      </c>
      <c r="J2559" s="7" t="s">
        <v>11</v>
      </c>
      <c r="K2559" s="36">
        <v>0.15</v>
      </c>
      <c r="L2559" s="37">
        <v>558</v>
      </c>
    </row>
    <row r="2560" spans="1:12" ht="19.95" customHeight="1" x14ac:dyDescent="0.3">
      <c r="A2560" s="2" t="s">
        <v>4434</v>
      </c>
      <c r="B2560" s="3" t="s">
        <v>4351</v>
      </c>
      <c r="C2560" s="2" t="s">
        <v>5565</v>
      </c>
      <c r="D2560" s="3" t="s">
        <v>5614</v>
      </c>
      <c r="E2560" s="2" t="s">
        <v>5615</v>
      </c>
      <c r="F2560" s="3" t="s">
        <v>5613</v>
      </c>
      <c r="G2560" s="3" t="s">
        <v>4367</v>
      </c>
      <c r="H2560" s="1" t="s">
        <v>199</v>
      </c>
      <c r="I2560" s="2" t="s">
        <v>200</v>
      </c>
      <c r="J2560" s="3" t="s">
        <v>11</v>
      </c>
      <c r="K2560" s="38">
        <v>0.12</v>
      </c>
      <c r="L2560" s="39">
        <v>738</v>
      </c>
    </row>
    <row r="2561" spans="1:12" ht="19.95" customHeight="1" x14ac:dyDescent="0.3">
      <c r="A2561" s="6" t="s">
        <v>4434</v>
      </c>
      <c r="B2561" s="7" t="s">
        <v>4351</v>
      </c>
      <c r="C2561" s="6" t="s">
        <v>5565</v>
      </c>
      <c r="D2561" s="7" t="s">
        <v>5614</v>
      </c>
      <c r="E2561" s="6" t="s">
        <v>5615</v>
      </c>
      <c r="F2561" s="7" t="s">
        <v>5613</v>
      </c>
      <c r="G2561" s="7" t="s">
        <v>4367</v>
      </c>
      <c r="H2561" s="5" t="s">
        <v>209</v>
      </c>
      <c r="I2561" s="6" t="s">
        <v>210</v>
      </c>
      <c r="J2561" s="7" t="s">
        <v>11</v>
      </c>
      <c r="K2561" s="36">
        <v>0.12</v>
      </c>
      <c r="L2561" s="37">
        <v>558</v>
      </c>
    </row>
    <row r="2562" spans="1:12" ht="19.95" customHeight="1" x14ac:dyDescent="0.3">
      <c r="A2562" s="2" t="s">
        <v>4434</v>
      </c>
      <c r="B2562" s="3" t="s">
        <v>4351</v>
      </c>
      <c r="C2562" s="2" t="s">
        <v>5565</v>
      </c>
      <c r="D2562" s="3" t="s">
        <v>5616</v>
      </c>
      <c r="E2562" s="2" t="s">
        <v>5617</v>
      </c>
      <c r="F2562" s="3" t="s">
        <v>5613</v>
      </c>
      <c r="G2562" s="3" t="s">
        <v>4367</v>
      </c>
      <c r="H2562" s="1" t="s">
        <v>199</v>
      </c>
      <c r="I2562" s="2" t="s">
        <v>200</v>
      </c>
      <c r="J2562" s="3" t="s">
        <v>11</v>
      </c>
      <c r="K2562" s="38">
        <v>0.12</v>
      </c>
      <c r="L2562" s="39">
        <v>738</v>
      </c>
    </row>
    <row r="2563" spans="1:12" ht="19.95" customHeight="1" x14ac:dyDescent="0.3">
      <c r="A2563" s="6" t="s">
        <v>4434</v>
      </c>
      <c r="B2563" s="7" t="s">
        <v>4351</v>
      </c>
      <c r="C2563" s="6" t="s">
        <v>5565</v>
      </c>
      <c r="D2563" s="7" t="s">
        <v>5616</v>
      </c>
      <c r="E2563" s="6" t="s">
        <v>5617</v>
      </c>
      <c r="F2563" s="7" t="s">
        <v>5613</v>
      </c>
      <c r="G2563" s="7" t="s">
        <v>4367</v>
      </c>
      <c r="H2563" s="5" t="s">
        <v>209</v>
      </c>
      <c r="I2563" s="6" t="s">
        <v>210</v>
      </c>
      <c r="J2563" s="7" t="s">
        <v>11</v>
      </c>
      <c r="K2563" s="36">
        <v>0.12</v>
      </c>
      <c r="L2563" s="37">
        <v>558</v>
      </c>
    </row>
    <row r="2564" spans="1:12" ht="19.95" customHeight="1" x14ac:dyDescent="0.3">
      <c r="A2564" s="2" t="s">
        <v>4434</v>
      </c>
      <c r="B2564" s="3" t="s">
        <v>4351</v>
      </c>
      <c r="C2564" s="2" t="s">
        <v>5565</v>
      </c>
      <c r="D2564" s="3" t="s">
        <v>5618</v>
      </c>
      <c r="E2564" s="2" t="s">
        <v>5619</v>
      </c>
      <c r="F2564" s="3" t="s">
        <v>5620</v>
      </c>
      <c r="G2564" s="3" t="s">
        <v>4367</v>
      </c>
      <c r="H2564" s="1" t="s">
        <v>209</v>
      </c>
      <c r="I2564" s="2" t="s">
        <v>210</v>
      </c>
      <c r="J2564" s="3" t="s">
        <v>11</v>
      </c>
      <c r="K2564" s="38">
        <v>8.5000000000000006E-2</v>
      </c>
      <c r="L2564" s="39">
        <v>558</v>
      </c>
    </row>
    <row r="2565" spans="1:12" ht="19.95" customHeight="1" x14ac:dyDescent="0.3">
      <c r="A2565" s="6" t="s">
        <v>4434</v>
      </c>
      <c r="B2565" s="7" t="s">
        <v>4351</v>
      </c>
      <c r="C2565" s="6" t="s">
        <v>5565</v>
      </c>
      <c r="D2565" s="7" t="s">
        <v>5618</v>
      </c>
      <c r="E2565" s="6" t="s">
        <v>5619</v>
      </c>
      <c r="F2565" s="7" t="s">
        <v>5620</v>
      </c>
      <c r="G2565" s="7" t="s">
        <v>4367</v>
      </c>
      <c r="H2565" s="5" t="s">
        <v>211</v>
      </c>
      <c r="I2565" s="6" t="s">
        <v>212</v>
      </c>
      <c r="J2565" s="7" t="s">
        <v>11</v>
      </c>
      <c r="K2565" s="36">
        <v>5.6000000000000001E-2</v>
      </c>
      <c r="L2565" s="37">
        <v>558</v>
      </c>
    </row>
    <row r="2566" spans="1:12" ht="19.95" customHeight="1" x14ac:dyDescent="0.3">
      <c r="A2566" s="2" t="s">
        <v>4434</v>
      </c>
      <c r="B2566" s="3" t="s">
        <v>4351</v>
      </c>
      <c r="C2566" s="2" t="s">
        <v>5565</v>
      </c>
      <c r="D2566" s="3" t="s">
        <v>5618</v>
      </c>
      <c r="E2566" s="2" t="s">
        <v>5619</v>
      </c>
      <c r="F2566" s="3" t="s">
        <v>5620</v>
      </c>
      <c r="G2566" s="3" t="s">
        <v>4367</v>
      </c>
      <c r="H2566" s="1" t="s">
        <v>197</v>
      </c>
      <c r="I2566" s="2" t="s">
        <v>198</v>
      </c>
      <c r="J2566" s="3" t="s">
        <v>11</v>
      </c>
      <c r="K2566" s="38">
        <v>2.5000000000000001E-2</v>
      </c>
      <c r="L2566" s="39">
        <v>617</v>
      </c>
    </row>
    <row r="2567" spans="1:12" ht="19.95" customHeight="1" x14ac:dyDescent="0.3">
      <c r="A2567" s="6" t="s">
        <v>4434</v>
      </c>
      <c r="B2567" s="7" t="s">
        <v>4351</v>
      </c>
      <c r="C2567" s="6" t="s">
        <v>5565</v>
      </c>
      <c r="D2567" s="7" t="s">
        <v>5618</v>
      </c>
      <c r="E2567" s="6" t="s">
        <v>5619</v>
      </c>
      <c r="F2567" s="7" t="s">
        <v>5620</v>
      </c>
      <c r="G2567" s="7" t="s">
        <v>4367</v>
      </c>
      <c r="H2567" s="5" t="s">
        <v>221</v>
      </c>
      <c r="I2567" s="6" t="s">
        <v>222</v>
      </c>
      <c r="J2567" s="7" t="s">
        <v>11</v>
      </c>
      <c r="K2567" s="36">
        <v>5.0000000000000001E-3</v>
      </c>
      <c r="L2567" s="37">
        <v>738</v>
      </c>
    </row>
    <row r="2568" spans="1:12" ht="19.95" customHeight="1" x14ac:dyDescent="0.3">
      <c r="A2568" s="2" t="s">
        <v>4434</v>
      </c>
      <c r="B2568" s="3" t="s">
        <v>4351</v>
      </c>
      <c r="C2568" s="2" t="s">
        <v>5565</v>
      </c>
      <c r="D2568" s="3" t="s">
        <v>5618</v>
      </c>
      <c r="E2568" s="2" t="s">
        <v>5619</v>
      </c>
      <c r="F2568" s="3" t="s">
        <v>5620</v>
      </c>
      <c r="G2568" s="3" t="s">
        <v>4367</v>
      </c>
      <c r="H2568" s="1" t="s">
        <v>223</v>
      </c>
      <c r="I2568" s="2" t="s">
        <v>224</v>
      </c>
      <c r="J2568" s="3" t="s">
        <v>11</v>
      </c>
      <c r="K2568" s="38">
        <v>5.0000000000000001E-3</v>
      </c>
      <c r="L2568" s="39">
        <v>679</v>
      </c>
    </row>
    <row r="2569" spans="1:12" ht="19.95" customHeight="1" x14ac:dyDescent="0.3">
      <c r="A2569" s="6" t="s">
        <v>4434</v>
      </c>
      <c r="B2569" s="7" t="s">
        <v>4351</v>
      </c>
      <c r="C2569" s="6" t="s">
        <v>5565</v>
      </c>
      <c r="D2569" s="7" t="s">
        <v>5618</v>
      </c>
      <c r="E2569" s="6" t="s">
        <v>5619</v>
      </c>
      <c r="F2569" s="7" t="s">
        <v>5620</v>
      </c>
      <c r="G2569" s="7" t="s">
        <v>4367</v>
      </c>
      <c r="H2569" s="5" t="s">
        <v>231</v>
      </c>
      <c r="I2569" s="6" t="s">
        <v>232</v>
      </c>
      <c r="J2569" s="7" t="s">
        <v>11</v>
      </c>
      <c r="K2569" s="36">
        <v>3.7000000000000002E-3</v>
      </c>
      <c r="L2569" s="37">
        <v>617</v>
      </c>
    </row>
    <row r="2570" spans="1:12" ht="19.95" customHeight="1" x14ac:dyDescent="0.3">
      <c r="A2570" s="2" t="s">
        <v>4434</v>
      </c>
      <c r="B2570" s="3" t="s">
        <v>4351</v>
      </c>
      <c r="C2570" s="2" t="s">
        <v>5565</v>
      </c>
      <c r="D2570" s="3" t="s">
        <v>5618</v>
      </c>
      <c r="E2570" s="2" t="s">
        <v>5619</v>
      </c>
      <c r="F2570" s="3" t="s">
        <v>5620</v>
      </c>
      <c r="G2570" s="3" t="s">
        <v>4367</v>
      </c>
      <c r="H2570" s="1" t="s">
        <v>221</v>
      </c>
      <c r="I2570" s="2" t="s">
        <v>222</v>
      </c>
      <c r="J2570" s="3" t="s">
        <v>11</v>
      </c>
      <c r="K2570" s="38">
        <v>0.15</v>
      </c>
      <c r="L2570" s="39">
        <v>738</v>
      </c>
    </row>
    <row r="2571" spans="1:12" ht="19.95" customHeight="1" x14ac:dyDescent="0.3">
      <c r="A2571" s="6" t="s">
        <v>4434</v>
      </c>
      <c r="B2571" s="7" t="s">
        <v>4351</v>
      </c>
      <c r="C2571" s="6" t="s">
        <v>5565</v>
      </c>
      <c r="D2571" s="7" t="s">
        <v>5618</v>
      </c>
      <c r="E2571" s="6" t="s">
        <v>5619</v>
      </c>
      <c r="F2571" s="7" t="s">
        <v>5620</v>
      </c>
      <c r="G2571" s="7" t="s">
        <v>4367</v>
      </c>
      <c r="H2571" s="5" t="s">
        <v>223</v>
      </c>
      <c r="I2571" s="6" t="s">
        <v>224</v>
      </c>
      <c r="J2571" s="7" t="s">
        <v>11</v>
      </c>
      <c r="K2571" s="36">
        <v>0.15</v>
      </c>
      <c r="L2571" s="37">
        <v>679</v>
      </c>
    </row>
    <row r="2572" spans="1:12" ht="19.95" customHeight="1" x14ac:dyDescent="0.3">
      <c r="A2572" s="2" t="s">
        <v>4434</v>
      </c>
      <c r="B2572" s="3" t="s">
        <v>4351</v>
      </c>
      <c r="C2572" s="2" t="s">
        <v>5565</v>
      </c>
      <c r="D2572" s="3" t="s">
        <v>5618</v>
      </c>
      <c r="E2572" s="2" t="s">
        <v>5619</v>
      </c>
      <c r="F2572" s="3" t="s">
        <v>5620</v>
      </c>
      <c r="G2572" s="3" t="s">
        <v>4367</v>
      </c>
      <c r="H2572" s="1" t="s">
        <v>221</v>
      </c>
      <c r="I2572" s="2" t="s">
        <v>222</v>
      </c>
      <c r="J2572" s="3" t="s">
        <v>11</v>
      </c>
      <c r="K2572" s="38">
        <v>0.25</v>
      </c>
      <c r="L2572" s="39">
        <v>738</v>
      </c>
    </row>
    <row r="2573" spans="1:12" ht="19.95" customHeight="1" x14ac:dyDescent="0.3">
      <c r="A2573" s="6" t="s">
        <v>4434</v>
      </c>
      <c r="B2573" s="7" t="s">
        <v>4351</v>
      </c>
      <c r="C2573" s="6" t="s">
        <v>5565</v>
      </c>
      <c r="D2573" s="7" t="s">
        <v>5618</v>
      </c>
      <c r="E2573" s="6" t="s">
        <v>5619</v>
      </c>
      <c r="F2573" s="7" t="s">
        <v>5620</v>
      </c>
      <c r="G2573" s="7" t="s">
        <v>4367</v>
      </c>
      <c r="H2573" s="5" t="s">
        <v>223</v>
      </c>
      <c r="I2573" s="6" t="s">
        <v>224</v>
      </c>
      <c r="J2573" s="7" t="s">
        <v>11</v>
      </c>
      <c r="K2573" s="36">
        <v>0.25</v>
      </c>
      <c r="L2573" s="37">
        <v>679</v>
      </c>
    </row>
    <row r="2574" spans="1:12" ht="19.95" customHeight="1" x14ac:dyDescent="0.3">
      <c r="A2574" s="2" t="s">
        <v>4434</v>
      </c>
      <c r="B2574" s="3" t="s">
        <v>4351</v>
      </c>
      <c r="C2574" s="2" t="s">
        <v>5565</v>
      </c>
      <c r="D2574" s="3" t="s">
        <v>5618</v>
      </c>
      <c r="E2574" s="2" t="s">
        <v>5619</v>
      </c>
      <c r="F2574" s="3" t="s">
        <v>5620</v>
      </c>
      <c r="G2574" s="3" t="s">
        <v>4367</v>
      </c>
      <c r="H2574" s="1" t="s">
        <v>209</v>
      </c>
      <c r="I2574" s="2" t="s">
        <v>210</v>
      </c>
      <c r="J2574" s="3" t="s">
        <v>11</v>
      </c>
      <c r="K2574" s="38">
        <v>1</v>
      </c>
      <c r="L2574" s="39">
        <v>558</v>
      </c>
    </row>
    <row r="2575" spans="1:12" ht="19.95" customHeight="1" x14ac:dyDescent="0.3">
      <c r="A2575" s="6" t="s">
        <v>4434</v>
      </c>
      <c r="B2575" s="7" t="s">
        <v>4351</v>
      </c>
      <c r="C2575" s="6" t="s">
        <v>5565</v>
      </c>
      <c r="D2575" s="7" t="s">
        <v>5621</v>
      </c>
      <c r="E2575" s="6" t="s">
        <v>5622</v>
      </c>
      <c r="F2575" s="7" t="s">
        <v>5044</v>
      </c>
      <c r="G2575" s="7" t="s">
        <v>4367</v>
      </c>
      <c r="H2575" s="5" t="s">
        <v>209</v>
      </c>
      <c r="I2575" s="6" t="s">
        <v>210</v>
      </c>
      <c r="J2575" s="7" t="s">
        <v>11</v>
      </c>
      <c r="K2575" s="36">
        <v>8.9999999999999993E-3</v>
      </c>
      <c r="L2575" s="37">
        <v>558</v>
      </c>
    </row>
    <row r="2576" spans="1:12" ht="19.95" customHeight="1" x14ac:dyDescent="0.3">
      <c r="A2576" s="2" t="s">
        <v>4434</v>
      </c>
      <c r="B2576" s="3" t="s">
        <v>4351</v>
      </c>
      <c r="C2576" s="2" t="s">
        <v>5565</v>
      </c>
      <c r="D2576" s="3" t="s">
        <v>5621</v>
      </c>
      <c r="E2576" s="2" t="s">
        <v>5622</v>
      </c>
      <c r="F2576" s="3" t="s">
        <v>5044</v>
      </c>
      <c r="G2576" s="3" t="s">
        <v>4367</v>
      </c>
      <c r="H2576" s="1" t="s">
        <v>211</v>
      </c>
      <c r="I2576" s="2" t="s">
        <v>212</v>
      </c>
      <c r="J2576" s="3" t="s">
        <v>11</v>
      </c>
      <c r="K2576" s="38">
        <v>6.0000000000000001E-3</v>
      </c>
      <c r="L2576" s="39">
        <v>558</v>
      </c>
    </row>
    <row r="2577" spans="1:12" ht="19.95" customHeight="1" x14ac:dyDescent="0.3">
      <c r="A2577" s="6" t="s">
        <v>4434</v>
      </c>
      <c r="B2577" s="7" t="s">
        <v>4351</v>
      </c>
      <c r="C2577" s="6" t="s">
        <v>5565</v>
      </c>
      <c r="D2577" s="7" t="s">
        <v>5621</v>
      </c>
      <c r="E2577" s="6" t="s">
        <v>5622</v>
      </c>
      <c r="F2577" s="7" t="s">
        <v>5044</v>
      </c>
      <c r="G2577" s="7" t="s">
        <v>4367</v>
      </c>
      <c r="H2577" s="5" t="s">
        <v>197</v>
      </c>
      <c r="I2577" s="6" t="s">
        <v>198</v>
      </c>
      <c r="J2577" s="7" t="s">
        <v>11</v>
      </c>
      <c r="K2577" s="36">
        <v>2.7000000000000001E-3</v>
      </c>
      <c r="L2577" s="37">
        <v>617</v>
      </c>
    </row>
    <row r="2578" spans="1:12" ht="19.95" customHeight="1" x14ac:dyDescent="0.3">
      <c r="A2578" s="2" t="s">
        <v>4434</v>
      </c>
      <c r="B2578" s="3" t="s">
        <v>4351</v>
      </c>
      <c r="C2578" s="2" t="s">
        <v>5565</v>
      </c>
      <c r="D2578" s="3" t="s">
        <v>5621</v>
      </c>
      <c r="E2578" s="2" t="s">
        <v>5622</v>
      </c>
      <c r="F2578" s="3" t="s">
        <v>5044</v>
      </c>
      <c r="G2578" s="3" t="s">
        <v>4367</v>
      </c>
      <c r="H2578" s="1" t="s">
        <v>221</v>
      </c>
      <c r="I2578" s="2" t="s">
        <v>222</v>
      </c>
      <c r="J2578" s="3" t="s">
        <v>11</v>
      </c>
      <c r="K2578" s="38">
        <v>5.0000000000000001E-4</v>
      </c>
      <c r="L2578" s="39">
        <v>738</v>
      </c>
    </row>
    <row r="2579" spans="1:12" ht="19.95" customHeight="1" x14ac:dyDescent="0.3">
      <c r="A2579" s="6" t="s">
        <v>4434</v>
      </c>
      <c r="B2579" s="7" t="s">
        <v>4351</v>
      </c>
      <c r="C2579" s="6" t="s">
        <v>5565</v>
      </c>
      <c r="D2579" s="7" t="s">
        <v>5621</v>
      </c>
      <c r="E2579" s="6" t="s">
        <v>5622</v>
      </c>
      <c r="F2579" s="7" t="s">
        <v>5044</v>
      </c>
      <c r="G2579" s="7" t="s">
        <v>4367</v>
      </c>
      <c r="H2579" s="5" t="s">
        <v>223</v>
      </c>
      <c r="I2579" s="6" t="s">
        <v>224</v>
      </c>
      <c r="J2579" s="7" t="s">
        <v>11</v>
      </c>
      <c r="K2579" s="36">
        <v>5.0000000000000001E-4</v>
      </c>
      <c r="L2579" s="37">
        <v>679</v>
      </c>
    </row>
    <row r="2580" spans="1:12" ht="19.95" customHeight="1" x14ac:dyDescent="0.3">
      <c r="A2580" s="2" t="s">
        <v>4434</v>
      </c>
      <c r="B2580" s="3" t="s">
        <v>4351</v>
      </c>
      <c r="C2580" s="2" t="s">
        <v>5565</v>
      </c>
      <c r="D2580" s="3" t="s">
        <v>5621</v>
      </c>
      <c r="E2580" s="2" t="s">
        <v>5622</v>
      </c>
      <c r="F2580" s="3" t="s">
        <v>5044</v>
      </c>
      <c r="G2580" s="3" t="s">
        <v>4367</v>
      </c>
      <c r="H2580" s="1" t="s">
        <v>231</v>
      </c>
      <c r="I2580" s="2" t="s">
        <v>232</v>
      </c>
      <c r="J2580" s="3" t="s">
        <v>11</v>
      </c>
      <c r="K2580" s="38">
        <v>4.0000000000000002E-4</v>
      </c>
      <c r="L2580" s="39">
        <v>617</v>
      </c>
    </row>
    <row r="2581" spans="1:12" ht="19.95" customHeight="1" x14ac:dyDescent="0.3">
      <c r="A2581" s="6" t="s">
        <v>4434</v>
      </c>
      <c r="B2581" s="7" t="s">
        <v>4351</v>
      </c>
      <c r="C2581" s="6" t="s">
        <v>5565</v>
      </c>
      <c r="D2581" s="7" t="s">
        <v>5623</v>
      </c>
      <c r="E2581" s="6" t="s">
        <v>5624</v>
      </c>
      <c r="F2581" s="7" t="s">
        <v>4416</v>
      </c>
      <c r="G2581" s="7" t="s">
        <v>4367</v>
      </c>
      <c r="H2581" s="5" t="s">
        <v>203</v>
      </c>
      <c r="I2581" s="6" t="s">
        <v>204</v>
      </c>
      <c r="J2581" s="7" t="s">
        <v>11</v>
      </c>
      <c r="K2581" s="36">
        <v>2.5</v>
      </c>
      <c r="L2581" s="37">
        <v>738</v>
      </c>
    </row>
    <row r="2582" spans="1:12" ht="19.95" customHeight="1" x14ac:dyDescent="0.3">
      <c r="A2582" s="2" t="s">
        <v>4434</v>
      </c>
      <c r="B2582" s="3" t="s">
        <v>4351</v>
      </c>
      <c r="C2582" s="2" t="s">
        <v>5565</v>
      </c>
      <c r="D2582" s="3" t="s">
        <v>5623</v>
      </c>
      <c r="E2582" s="2" t="s">
        <v>5624</v>
      </c>
      <c r="F2582" s="3" t="s">
        <v>4416</v>
      </c>
      <c r="G2582" s="3" t="s">
        <v>4367</v>
      </c>
      <c r="H2582" s="1" t="s">
        <v>209</v>
      </c>
      <c r="I2582" s="2" t="s">
        <v>210</v>
      </c>
      <c r="J2582" s="3" t="s">
        <v>11</v>
      </c>
      <c r="K2582" s="38">
        <v>2</v>
      </c>
      <c r="L2582" s="39">
        <v>558</v>
      </c>
    </row>
    <row r="2583" spans="1:12" ht="19.95" customHeight="1" x14ac:dyDescent="0.3">
      <c r="A2583" s="6" t="s">
        <v>4434</v>
      </c>
      <c r="B2583" s="7" t="s">
        <v>4351</v>
      </c>
      <c r="C2583" s="6" t="s">
        <v>5565</v>
      </c>
      <c r="D2583" s="7" t="s">
        <v>5625</v>
      </c>
      <c r="E2583" s="6" t="s">
        <v>5626</v>
      </c>
      <c r="F2583" s="7" t="s">
        <v>4416</v>
      </c>
      <c r="G2583" s="7" t="s">
        <v>4367</v>
      </c>
      <c r="H2583" s="5" t="s">
        <v>203</v>
      </c>
      <c r="I2583" s="6" t="s">
        <v>204</v>
      </c>
      <c r="J2583" s="7" t="s">
        <v>11</v>
      </c>
      <c r="K2583" s="36">
        <v>2.5</v>
      </c>
      <c r="L2583" s="37">
        <v>738</v>
      </c>
    </row>
    <row r="2584" spans="1:12" ht="19.95" customHeight="1" x14ac:dyDescent="0.3">
      <c r="A2584" s="2" t="s">
        <v>4434</v>
      </c>
      <c r="B2584" s="3" t="s">
        <v>4351</v>
      </c>
      <c r="C2584" s="2" t="s">
        <v>5565</v>
      </c>
      <c r="D2584" s="3" t="s">
        <v>5625</v>
      </c>
      <c r="E2584" s="2" t="s">
        <v>5626</v>
      </c>
      <c r="F2584" s="3" t="s">
        <v>4416</v>
      </c>
      <c r="G2584" s="3" t="s">
        <v>4367</v>
      </c>
      <c r="H2584" s="1" t="s">
        <v>209</v>
      </c>
      <c r="I2584" s="2" t="s">
        <v>210</v>
      </c>
      <c r="J2584" s="3" t="s">
        <v>11</v>
      </c>
      <c r="K2584" s="38">
        <v>2</v>
      </c>
      <c r="L2584" s="39">
        <v>558</v>
      </c>
    </row>
    <row r="2585" spans="1:12" ht="19.95" customHeight="1" x14ac:dyDescent="0.3">
      <c r="A2585" s="6" t="s">
        <v>4434</v>
      </c>
      <c r="B2585" s="7" t="s">
        <v>4351</v>
      </c>
      <c r="C2585" s="6" t="s">
        <v>5565</v>
      </c>
      <c r="D2585" s="7" t="s">
        <v>5627</v>
      </c>
      <c r="E2585" s="6" t="s">
        <v>5628</v>
      </c>
      <c r="F2585" s="7" t="s">
        <v>4416</v>
      </c>
      <c r="G2585" s="7" t="s">
        <v>4367</v>
      </c>
      <c r="H2585" s="5" t="s">
        <v>203</v>
      </c>
      <c r="I2585" s="6" t="s">
        <v>204</v>
      </c>
      <c r="J2585" s="7" t="s">
        <v>11</v>
      </c>
      <c r="K2585" s="36">
        <v>2.5</v>
      </c>
      <c r="L2585" s="37">
        <v>738</v>
      </c>
    </row>
    <row r="2586" spans="1:12" ht="19.95" customHeight="1" x14ac:dyDescent="0.3">
      <c r="A2586" s="2" t="s">
        <v>4434</v>
      </c>
      <c r="B2586" s="3" t="s">
        <v>4351</v>
      </c>
      <c r="C2586" s="2" t="s">
        <v>5565</v>
      </c>
      <c r="D2586" s="3" t="s">
        <v>5627</v>
      </c>
      <c r="E2586" s="2" t="s">
        <v>5628</v>
      </c>
      <c r="F2586" s="3" t="s">
        <v>4416</v>
      </c>
      <c r="G2586" s="3" t="s">
        <v>4367</v>
      </c>
      <c r="H2586" s="1" t="s">
        <v>209</v>
      </c>
      <c r="I2586" s="2" t="s">
        <v>210</v>
      </c>
      <c r="J2586" s="3" t="s">
        <v>11</v>
      </c>
      <c r="K2586" s="38">
        <v>2</v>
      </c>
      <c r="L2586" s="39">
        <v>558</v>
      </c>
    </row>
    <row r="2587" spans="1:12" ht="19.95" customHeight="1" x14ac:dyDescent="0.3">
      <c r="A2587" s="6" t="s">
        <v>4434</v>
      </c>
      <c r="B2587" s="7" t="s">
        <v>4351</v>
      </c>
      <c r="C2587" s="6" t="s">
        <v>5565</v>
      </c>
      <c r="D2587" s="7" t="s">
        <v>5629</v>
      </c>
      <c r="E2587" s="6" t="s">
        <v>5630</v>
      </c>
      <c r="F2587" s="7" t="s">
        <v>4416</v>
      </c>
      <c r="G2587" s="7" t="s">
        <v>4367</v>
      </c>
      <c r="H2587" s="5" t="s">
        <v>203</v>
      </c>
      <c r="I2587" s="6" t="s">
        <v>204</v>
      </c>
      <c r="J2587" s="7" t="s">
        <v>11</v>
      </c>
      <c r="K2587" s="36">
        <v>2.5</v>
      </c>
      <c r="L2587" s="37">
        <v>738</v>
      </c>
    </row>
    <row r="2588" spans="1:12" ht="19.95" customHeight="1" x14ac:dyDescent="0.3">
      <c r="A2588" s="2" t="s">
        <v>4434</v>
      </c>
      <c r="B2588" s="3" t="s">
        <v>4351</v>
      </c>
      <c r="C2588" s="2" t="s">
        <v>5565</v>
      </c>
      <c r="D2588" s="3" t="s">
        <v>5629</v>
      </c>
      <c r="E2588" s="2" t="s">
        <v>5630</v>
      </c>
      <c r="F2588" s="3" t="s">
        <v>4416</v>
      </c>
      <c r="G2588" s="3" t="s">
        <v>4367</v>
      </c>
      <c r="H2588" s="1" t="s">
        <v>209</v>
      </c>
      <c r="I2588" s="2" t="s">
        <v>210</v>
      </c>
      <c r="J2588" s="3" t="s">
        <v>11</v>
      </c>
      <c r="K2588" s="38">
        <v>2</v>
      </c>
      <c r="L2588" s="39">
        <v>558</v>
      </c>
    </row>
    <row r="2589" spans="1:12" ht="19.95" customHeight="1" x14ac:dyDescent="0.3">
      <c r="A2589" s="6" t="s">
        <v>4434</v>
      </c>
      <c r="B2589" s="7" t="s">
        <v>4351</v>
      </c>
      <c r="C2589" s="6" t="s">
        <v>5565</v>
      </c>
      <c r="D2589" s="7" t="s">
        <v>5631</v>
      </c>
      <c r="E2589" s="6" t="s">
        <v>5632</v>
      </c>
      <c r="F2589" s="7" t="s">
        <v>4416</v>
      </c>
      <c r="G2589" s="7" t="s">
        <v>4367</v>
      </c>
      <c r="H2589" s="5" t="s">
        <v>203</v>
      </c>
      <c r="I2589" s="6" t="s">
        <v>204</v>
      </c>
      <c r="J2589" s="7" t="s">
        <v>11</v>
      </c>
      <c r="K2589" s="36">
        <v>2.5</v>
      </c>
      <c r="L2589" s="37">
        <v>738</v>
      </c>
    </row>
    <row r="2590" spans="1:12" ht="19.95" customHeight="1" x14ac:dyDescent="0.3">
      <c r="A2590" s="2" t="s">
        <v>4434</v>
      </c>
      <c r="B2590" s="3" t="s">
        <v>4351</v>
      </c>
      <c r="C2590" s="2" t="s">
        <v>5565</v>
      </c>
      <c r="D2590" s="3" t="s">
        <v>5631</v>
      </c>
      <c r="E2590" s="2" t="s">
        <v>5632</v>
      </c>
      <c r="F2590" s="3" t="s">
        <v>4416</v>
      </c>
      <c r="G2590" s="3" t="s">
        <v>4367</v>
      </c>
      <c r="H2590" s="1" t="s">
        <v>209</v>
      </c>
      <c r="I2590" s="2" t="s">
        <v>210</v>
      </c>
      <c r="J2590" s="3" t="s">
        <v>11</v>
      </c>
      <c r="K2590" s="38">
        <v>2</v>
      </c>
      <c r="L2590" s="39">
        <v>558</v>
      </c>
    </row>
    <row r="2591" spans="1:12" ht="19.95" customHeight="1" x14ac:dyDescent="0.3">
      <c r="A2591" s="6" t="s">
        <v>4434</v>
      </c>
      <c r="B2591" s="7" t="s">
        <v>4351</v>
      </c>
      <c r="C2591" s="6" t="s">
        <v>5565</v>
      </c>
      <c r="D2591" s="7" t="s">
        <v>5633</v>
      </c>
      <c r="E2591" s="6" t="s">
        <v>5634</v>
      </c>
      <c r="F2591" s="7" t="s">
        <v>4416</v>
      </c>
      <c r="G2591" s="7" t="s">
        <v>4367</v>
      </c>
      <c r="H2591" s="5" t="s">
        <v>203</v>
      </c>
      <c r="I2591" s="6" t="s">
        <v>204</v>
      </c>
      <c r="J2591" s="7" t="s">
        <v>11</v>
      </c>
      <c r="K2591" s="36">
        <v>2.5</v>
      </c>
      <c r="L2591" s="37">
        <v>738</v>
      </c>
    </row>
    <row r="2592" spans="1:12" ht="19.95" customHeight="1" x14ac:dyDescent="0.3">
      <c r="A2592" s="2" t="s">
        <v>4434</v>
      </c>
      <c r="B2592" s="3" t="s">
        <v>4351</v>
      </c>
      <c r="C2592" s="2" t="s">
        <v>5565</v>
      </c>
      <c r="D2592" s="3" t="s">
        <v>5633</v>
      </c>
      <c r="E2592" s="2" t="s">
        <v>5634</v>
      </c>
      <c r="F2592" s="3" t="s">
        <v>4416</v>
      </c>
      <c r="G2592" s="3" t="s">
        <v>4367</v>
      </c>
      <c r="H2592" s="1" t="s">
        <v>209</v>
      </c>
      <c r="I2592" s="2" t="s">
        <v>210</v>
      </c>
      <c r="J2592" s="3" t="s">
        <v>11</v>
      </c>
      <c r="K2592" s="38">
        <v>2</v>
      </c>
      <c r="L2592" s="39">
        <v>558</v>
      </c>
    </row>
    <row r="2593" spans="1:12" ht="19.95" customHeight="1" x14ac:dyDescent="0.3">
      <c r="A2593" s="6" t="s">
        <v>4434</v>
      </c>
      <c r="B2593" s="7" t="s">
        <v>4351</v>
      </c>
      <c r="C2593" s="6" t="s">
        <v>5565</v>
      </c>
      <c r="D2593" s="7" t="s">
        <v>5635</v>
      </c>
      <c r="E2593" s="6" t="s">
        <v>5636</v>
      </c>
      <c r="F2593" s="7" t="s">
        <v>5637</v>
      </c>
      <c r="G2593" s="7" t="s">
        <v>4367</v>
      </c>
      <c r="H2593" s="5" t="s">
        <v>203</v>
      </c>
      <c r="I2593" s="6" t="s">
        <v>204</v>
      </c>
      <c r="J2593" s="7" t="s">
        <v>11</v>
      </c>
      <c r="K2593" s="36">
        <v>2.65</v>
      </c>
      <c r="L2593" s="37">
        <v>738</v>
      </c>
    </row>
    <row r="2594" spans="1:12" ht="19.95" customHeight="1" x14ac:dyDescent="0.3">
      <c r="A2594" s="2" t="s">
        <v>4434</v>
      </c>
      <c r="B2594" s="3" t="s">
        <v>4351</v>
      </c>
      <c r="C2594" s="2" t="s">
        <v>5565</v>
      </c>
      <c r="D2594" s="3" t="s">
        <v>5635</v>
      </c>
      <c r="E2594" s="2" t="s">
        <v>5636</v>
      </c>
      <c r="F2594" s="3" t="s">
        <v>5637</v>
      </c>
      <c r="G2594" s="3" t="s">
        <v>4367</v>
      </c>
      <c r="H2594" s="1" t="s">
        <v>205</v>
      </c>
      <c r="I2594" s="2" t="s">
        <v>206</v>
      </c>
      <c r="J2594" s="3" t="s">
        <v>11</v>
      </c>
      <c r="K2594" s="38">
        <v>0.14499999999999999</v>
      </c>
      <c r="L2594" s="39">
        <v>679</v>
      </c>
    </row>
    <row r="2595" spans="1:12" ht="19.95" customHeight="1" x14ac:dyDescent="0.3">
      <c r="A2595" s="6" t="s">
        <v>4434</v>
      </c>
      <c r="B2595" s="7" t="s">
        <v>4351</v>
      </c>
      <c r="C2595" s="6" t="s">
        <v>5565</v>
      </c>
      <c r="D2595" s="7" t="s">
        <v>5635</v>
      </c>
      <c r="E2595" s="6" t="s">
        <v>5636</v>
      </c>
      <c r="F2595" s="7" t="s">
        <v>5637</v>
      </c>
      <c r="G2595" s="7" t="s">
        <v>4367</v>
      </c>
      <c r="H2595" s="5" t="s">
        <v>209</v>
      </c>
      <c r="I2595" s="6" t="s">
        <v>210</v>
      </c>
      <c r="J2595" s="7" t="s">
        <v>11</v>
      </c>
      <c r="K2595" s="36">
        <v>2.79</v>
      </c>
      <c r="L2595" s="37">
        <v>558</v>
      </c>
    </row>
    <row r="2596" spans="1:12" ht="19.95" customHeight="1" x14ac:dyDescent="0.3">
      <c r="A2596" s="2" t="s">
        <v>4434</v>
      </c>
      <c r="B2596" s="3" t="s">
        <v>4351</v>
      </c>
      <c r="C2596" s="2" t="s">
        <v>5565</v>
      </c>
      <c r="D2596" s="3" t="s">
        <v>5638</v>
      </c>
      <c r="E2596" s="2" t="s">
        <v>5624</v>
      </c>
      <c r="F2596" s="3" t="s">
        <v>5637</v>
      </c>
      <c r="G2596" s="3" t="s">
        <v>4367</v>
      </c>
      <c r="H2596" s="1" t="s">
        <v>203</v>
      </c>
      <c r="I2596" s="2" t="s">
        <v>204</v>
      </c>
      <c r="J2596" s="3" t="s">
        <v>11</v>
      </c>
      <c r="K2596" s="38">
        <v>0.49</v>
      </c>
      <c r="L2596" s="39">
        <v>738</v>
      </c>
    </row>
    <row r="2597" spans="1:12" ht="19.95" customHeight="1" x14ac:dyDescent="0.3">
      <c r="A2597" s="6" t="s">
        <v>4434</v>
      </c>
      <c r="B2597" s="7" t="s">
        <v>4351</v>
      </c>
      <c r="C2597" s="6" t="s">
        <v>5565</v>
      </c>
      <c r="D2597" s="7" t="s">
        <v>5638</v>
      </c>
      <c r="E2597" s="6" t="s">
        <v>5624</v>
      </c>
      <c r="F2597" s="7" t="s">
        <v>5637</v>
      </c>
      <c r="G2597" s="7" t="s">
        <v>4367</v>
      </c>
      <c r="H2597" s="5" t="s">
        <v>209</v>
      </c>
      <c r="I2597" s="6" t="s">
        <v>210</v>
      </c>
      <c r="J2597" s="7" t="s">
        <v>11</v>
      </c>
      <c r="K2597" s="36">
        <v>0.39</v>
      </c>
      <c r="L2597" s="37">
        <v>558</v>
      </c>
    </row>
    <row r="2598" spans="1:12" ht="19.95" customHeight="1" x14ac:dyDescent="0.3">
      <c r="A2598" s="2" t="s">
        <v>4434</v>
      </c>
      <c r="B2598" s="3" t="s">
        <v>4351</v>
      </c>
      <c r="C2598" s="2" t="s">
        <v>5565</v>
      </c>
      <c r="D2598" s="3" t="s">
        <v>5638</v>
      </c>
      <c r="E2598" s="2" t="s">
        <v>5624</v>
      </c>
      <c r="F2598" s="3" t="s">
        <v>5637</v>
      </c>
      <c r="G2598" s="3" t="s">
        <v>4367</v>
      </c>
      <c r="H2598" s="1" t="s">
        <v>203</v>
      </c>
      <c r="I2598" s="2" t="s">
        <v>204</v>
      </c>
      <c r="J2598" s="3" t="s">
        <v>11</v>
      </c>
      <c r="K2598" s="38">
        <v>2.5</v>
      </c>
      <c r="L2598" s="39">
        <v>738</v>
      </c>
    </row>
    <row r="2599" spans="1:12" ht="19.95" customHeight="1" x14ac:dyDescent="0.3">
      <c r="A2599" s="6" t="s">
        <v>4434</v>
      </c>
      <c r="B2599" s="7" t="s">
        <v>4351</v>
      </c>
      <c r="C2599" s="6" t="s">
        <v>5565</v>
      </c>
      <c r="D2599" s="7" t="s">
        <v>5638</v>
      </c>
      <c r="E2599" s="6" t="s">
        <v>5624</v>
      </c>
      <c r="F2599" s="7" t="s">
        <v>5637</v>
      </c>
      <c r="G2599" s="7" t="s">
        <v>4367</v>
      </c>
      <c r="H2599" s="5" t="s">
        <v>209</v>
      </c>
      <c r="I2599" s="6" t="s">
        <v>210</v>
      </c>
      <c r="J2599" s="7" t="s">
        <v>11</v>
      </c>
      <c r="K2599" s="36">
        <v>2.5</v>
      </c>
      <c r="L2599" s="37">
        <v>558</v>
      </c>
    </row>
    <row r="2600" spans="1:12" ht="19.95" customHeight="1" x14ac:dyDescent="0.3">
      <c r="A2600" s="2" t="s">
        <v>4434</v>
      </c>
      <c r="B2600" s="3" t="s">
        <v>4351</v>
      </c>
      <c r="C2600" s="2" t="s">
        <v>5565</v>
      </c>
      <c r="D2600" s="3" t="s">
        <v>5639</v>
      </c>
      <c r="E2600" s="2" t="s">
        <v>5640</v>
      </c>
      <c r="F2600" s="3" t="s">
        <v>5641</v>
      </c>
      <c r="G2600" s="3" t="s">
        <v>4367</v>
      </c>
      <c r="H2600" s="1" t="s">
        <v>203</v>
      </c>
      <c r="I2600" s="2" t="s">
        <v>204</v>
      </c>
      <c r="J2600" s="3" t="s">
        <v>11</v>
      </c>
      <c r="K2600" s="38">
        <v>0.49</v>
      </c>
      <c r="L2600" s="39">
        <v>738</v>
      </c>
    </row>
    <row r="2601" spans="1:12" ht="19.95" customHeight="1" x14ac:dyDescent="0.3">
      <c r="A2601" s="6" t="s">
        <v>4434</v>
      </c>
      <c r="B2601" s="7" t="s">
        <v>4351</v>
      </c>
      <c r="C2601" s="6" t="s">
        <v>5565</v>
      </c>
      <c r="D2601" s="7" t="s">
        <v>5639</v>
      </c>
      <c r="E2601" s="6" t="s">
        <v>5640</v>
      </c>
      <c r="F2601" s="7" t="s">
        <v>5641</v>
      </c>
      <c r="G2601" s="7" t="s">
        <v>4367</v>
      </c>
      <c r="H2601" s="5" t="s">
        <v>209</v>
      </c>
      <c r="I2601" s="6" t="s">
        <v>210</v>
      </c>
      <c r="J2601" s="7" t="s">
        <v>11</v>
      </c>
      <c r="K2601" s="36">
        <v>0.39</v>
      </c>
      <c r="L2601" s="37">
        <v>558</v>
      </c>
    </row>
    <row r="2602" spans="1:12" ht="19.95" customHeight="1" x14ac:dyDescent="0.3">
      <c r="A2602" s="2" t="s">
        <v>4434</v>
      </c>
      <c r="B2602" s="3" t="s">
        <v>4351</v>
      </c>
      <c r="C2602" s="2" t="s">
        <v>5565</v>
      </c>
      <c r="D2602" s="3" t="s">
        <v>5639</v>
      </c>
      <c r="E2602" s="2" t="s">
        <v>5640</v>
      </c>
      <c r="F2602" s="3" t="s">
        <v>5641</v>
      </c>
      <c r="G2602" s="3" t="s">
        <v>4367</v>
      </c>
      <c r="H2602" s="1" t="s">
        <v>203</v>
      </c>
      <c r="I2602" s="2" t="s">
        <v>204</v>
      </c>
      <c r="J2602" s="3" t="s">
        <v>11</v>
      </c>
      <c r="K2602" s="38">
        <v>2.5</v>
      </c>
      <c r="L2602" s="39">
        <v>738</v>
      </c>
    </row>
    <row r="2603" spans="1:12" ht="19.95" customHeight="1" x14ac:dyDescent="0.3">
      <c r="A2603" s="6" t="s">
        <v>4434</v>
      </c>
      <c r="B2603" s="7" t="s">
        <v>4351</v>
      </c>
      <c r="C2603" s="6" t="s">
        <v>5565</v>
      </c>
      <c r="D2603" s="7" t="s">
        <v>5639</v>
      </c>
      <c r="E2603" s="6" t="s">
        <v>5640</v>
      </c>
      <c r="F2603" s="7" t="s">
        <v>5641</v>
      </c>
      <c r="G2603" s="7" t="s">
        <v>4367</v>
      </c>
      <c r="H2603" s="5" t="s">
        <v>209</v>
      </c>
      <c r="I2603" s="6" t="s">
        <v>210</v>
      </c>
      <c r="J2603" s="7" t="s">
        <v>11</v>
      </c>
      <c r="K2603" s="36">
        <v>2.5</v>
      </c>
      <c r="L2603" s="37">
        <v>558</v>
      </c>
    </row>
    <row r="2604" spans="1:12" ht="19.95" customHeight="1" x14ac:dyDescent="0.3">
      <c r="A2604" s="2" t="s">
        <v>4434</v>
      </c>
      <c r="B2604" s="3" t="s">
        <v>4351</v>
      </c>
      <c r="C2604" s="2" t="s">
        <v>5565</v>
      </c>
      <c r="D2604" s="3" t="s">
        <v>5642</v>
      </c>
      <c r="E2604" s="2" t="s">
        <v>5643</v>
      </c>
      <c r="F2604" s="3" t="s">
        <v>5641</v>
      </c>
      <c r="G2604" s="3" t="s">
        <v>4367</v>
      </c>
      <c r="H2604" s="1" t="s">
        <v>203</v>
      </c>
      <c r="I2604" s="2" t="s">
        <v>204</v>
      </c>
      <c r="J2604" s="3" t="s">
        <v>11</v>
      </c>
      <c r="K2604" s="38">
        <v>0.49</v>
      </c>
      <c r="L2604" s="39">
        <v>738</v>
      </c>
    </row>
    <row r="2605" spans="1:12" ht="19.95" customHeight="1" x14ac:dyDescent="0.3">
      <c r="A2605" s="6" t="s">
        <v>4434</v>
      </c>
      <c r="B2605" s="7" t="s">
        <v>4351</v>
      </c>
      <c r="C2605" s="6" t="s">
        <v>5565</v>
      </c>
      <c r="D2605" s="7" t="s">
        <v>5642</v>
      </c>
      <c r="E2605" s="6" t="s">
        <v>5643</v>
      </c>
      <c r="F2605" s="7" t="s">
        <v>5641</v>
      </c>
      <c r="G2605" s="7" t="s">
        <v>4367</v>
      </c>
      <c r="H2605" s="5" t="s">
        <v>209</v>
      </c>
      <c r="I2605" s="6" t="s">
        <v>210</v>
      </c>
      <c r="J2605" s="7" t="s">
        <v>11</v>
      </c>
      <c r="K2605" s="36">
        <v>0.39</v>
      </c>
      <c r="L2605" s="37">
        <v>558</v>
      </c>
    </row>
    <row r="2606" spans="1:12" ht="19.95" customHeight="1" x14ac:dyDescent="0.3">
      <c r="A2606" s="2" t="s">
        <v>4434</v>
      </c>
      <c r="B2606" s="3" t="s">
        <v>4351</v>
      </c>
      <c r="C2606" s="2" t="s">
        <v>5565</v>
      </c>
      <c r="D2606" s="3" t="s">
        <v>5642</v>
      </c>
      <c r="E2606" s="2" t="s">
        <v>5643</v>
      </c>
      <c r="F2606" s="3" t="s">
        <v>5641</v>
      </c>
      <c r="G2606" s="3" t="s">
        <v>4367</v>
      </c>
      <c r="H2606" s="1" t="s">
        <v>203</v>
      </c>
      <c r="I2606" s="2" t="s">
        <v>204</v>
      </c>
      <c r="J2606" s="3" t="s">
        <v>11</v>
      </c>
      <c r="K2606" s="38">
        <v>2.5</v>
      </c>
      <c r="L2606" s="39">
        <v>738</v>
      </c>
    </row>
    <row r="2607" spans="1:12" ht="19.95" customHeight="1" x14ac:dyDescent="0.3">
      <c r="A2607" s="6" t="s">
        <v>4434</v>
      </c>
      <c r="B2607" s="7" t="s">
        <v>4351</v>
      </c>
      <c r="C2607" s="6" t="s">
        <v>5565</v>
      </c>
      <c r="D2607" s="7" t="s">
        <v>5642</v>
      </c>
      <c r="E2607" s="6" t="s">
        <v>5643</v>
      </c>
      <c r="F2607" s="7" t="s">
        <v>5641</v>
      </c>
      <c r="G2607" s="7" t="s">
        <v>4367</v>
      </c>
      <c r="H2607" s="5" t="s">
        <v>209</v>
      </c>
      <c r="I2607" s="6" t="s">
        <v>210</v>
      </c>
      <c r="J2607" s="7" t="s">
        <v>11</v>
      </c>
      <c r="K2607" s="36">
        <v>2.5</v>
      </c>
      <c r="L2607" s="37">
        <v>558</v>
      </c>
    </row>
    <row r="2608" spans="1:12" ht="19.95" customHeight="1" x14ac:dyDescent="0.3">
      <c r="A2608" s="2" t="s">
        <v>4434</v>
      </c>
      <c r="B2608" s="3" t="s">
        <v>4351</v>
      </c>
      <c r="C2608" s="2" t="s">
        <v>5565</v>
      </c>
      <c r="D2608" s="3" t="s">
        <v>5644</v>
      </c>
      <c r="E2608" s="2" t="s">
        <v>5645</v>
      </c>
      <c r="F2608" s="3" t="s">
        <v>5641</v>
      </c>
      <c r="G2608" s="3" t="s">
        <v>4367</v>
      </c>
      <c r="H2608" s="1" t="s">
        <v>203</v>
      </c>
      <c r="I2608" s="2" t="s">
        <v>204</v>
      </c>
      <c r="J2608" s="3" t="s">
        <v>11</v>
      </c>
      <c r="K2608" s="38">
        <v>0.49</v>
      </c>
      <c r="L2608" s="39">
        <v>738</v>
      </c>
    </row>
    <row r="2609" spans="1:12" ht="19.95" customHeight="1" x14ac:dyDescent="0.3">
      <c r="A2609" s="6" t="s">
        <v>4434</v>
      </c>
      <c r="B2609" s="7" t="s">
        <v>4351</v>
      </c>
      <c r="C2609" s="6" t="s">
        <v>5565</v>
      </c>
      <c r="D2609" s="7" t="s">
        <v>5644</v>
      </c>
      <c r="E2609" s="6" t="s">
        <v>5645</v>
      </c>
      <c r="F2609" s="7" t="s">
        <v>5641</v>
      </c>
      <c r="G2609" s="7" t="s">
        <v>4367</v>
      </c>
      <c r="H2609" s="5" t="s">
        <v>209</v>
      </c>
      <c r="I2609" s="6" t="s">
        <v>210</v>
      </c>
      <c r="J2609" s="7" t="s">
        <v>11</v>
      </c>
      <c r="K2609" s="36">
        <v>0.39</v>
      </c>
      <c r="L2609" s="37">
        <v>558</v>
      </c>
    </row>
    <row r="2610" spans="1:12" ht="19.95" customHeight="1" x14ac:dyDescent="0.3">
      <c r="A2610" s="2" t="s">
        <v>4434</v>
      </c>
      <c r="B2610" s="3" t="s">
        <v>4351</v>
      </c>
      <c r="C2610" s="2" t="s">
        <v>5565</v>
      </c>
      <c r="D2610" s="3" t="s">
        <v>5644</v>
      </c>
      <c r="E2610" s="2" t="s">
        <v>5645</v>
      </c>
      <c r="F2610" s="3" t="s">
        <v>5641</v>
      </c>
      <c r="G2610" s="3" t="s">
        <v>4367</v>
      </c>
      <c r="H2610" s="1" t="s">
        <v>203</v>
      </c>
      <c r="I2610" s="2" t="s">
        <v>204</v>
      </c>
      <c r="J2610" s="3" t="s">
        <v>11</v>
      </c>
      <c r="K2610" s="38">
        <v>2.5</v>
      </c>
      <c r="L2610" s="39">
        <v>738</v>
      </c>
    </row>
    <row r="2611" spans="1:12" ht="19.95" customHeight="1" x14ac:dyDescent="0.3">
      <c r="A2611" s="6" t="s">
        <v>4434</v>
      </c>
      <c r="B2611" s="7" t="s">
        <v>4351</v>
      </c>
      <c r="C2611" s="6" t="s">
        <v>5565</v>
      </c>
      <c r="D2611" s="7" t="s">
        <v>5644</v>
      </c>
      <c r="E2611" s="6" t="s">
        <v>5645</v>
      </c>
      <c r="F2611" s="7" t="s">
        <v>5641</v>
      </c>
      <c r="G2611" s="7" t="s">
        <v>4367</v>
      </c>
      <c r="H2611" s="5" t="s">
        <v>209</v>
      </c>
      <c r="I2611" s="6" t="s">
        <v>210</v>
      </c>
      <c r="J2611" s="7" t="s">
        <v>11</v>
      </c>
      <c r="K2611" s="36">
        <v>2.5</v>
      </c>
      <c r="L2611" s="37">
        <v>558</v>
      </c>
    </row>
    <row r="2612" spans="1:12" ht="19.95" customHeight="1" x14ac:dyDescent="0.3">
      <c r="A2612" s="2" t="s">
        <v>4434</v>
      </c>
      <c r="B2612" s="3" t="s">
        <v>4351</v>
      </c>
      <c r="C2612" s="2" t="s">
        <v>5565</v>
      </c>
      <c r="D2612" s="3" t="s">
        <v>5644</v>
      </c>
      <c r="E2612" s="2" t="s">
        <v>5645</v>
      </c>
      <c r="F2612" s="3" t="s">
        <v>5641</v>
      </c>
      <c r="G2612" s="3" t="s">
        <v>4367</v>
      </c>
      <c r="H2612" s="1" t="s">
        <v>203</v>
      </c>
      <c r="I2612" s="2" t="s">
        <v>204</v>
      </c>
      <c r="J2612" s="3" t="s">
        <v>11</v>
      </c>
      <c r="K2612" s="38">
        <v>0.49</v>
      </c>
      <c r="L2612" s="39">
        <v>738</v>
      </c>
    </row>
    <row r="2613" spans="1:12" ht="19.95" customHeight="1" x14ac:dyDescent="0.3">
      <c r="A2613" s="6" t="s">
        <v>4434</v>
      </c>
      <c r="B2613" s="7" t="s">
        <v>4351</v>
      </c>
      <c r="C2613" s="6" t="s">
        <v>5565</v>
      </c>
      <c r="D2613" s="7" t="s">
        <v>5644</v>
      </c>
      <c r="E2613" s="6" t="s">
        <v>5645</v>
      </c>
      <c r="F2613" s="7" t="s">
        <v>5641</v>
      </c>
      <c r="G2613" s="7" t="s">
        <v>4367</v>
      </c>
      <c r="H2613" s="5" t="s">
        <v>209</v>
      </c>
      <c r="I2613" s="6" t="s">
        <v>210</v>
      </c>
      <c r="J2613" s="7" t="s">
        <v>11</v>
      </c>
      <c r="K2613" s="36">
        <v>0.39</v>
      </c>
      <c r="L2613" s="37">
        <v>558</v>
      </c>
    </row>
    <row r="2614" spans="1:12" ht="19.95" customHeight="1" x14ac:dyDescent="0.3">
      <c r="A2614" s="2" t="s">
        <v>4434</v>
      </c>
      <c r="B2614" s="3" t="s">
        <v>4351</v>
      </c>
      <c r="C2614" s="2" t="s">
        <v>5565</v>
      </c>
      <c r="D2614" s="3" t="s">
        <v>5644</v>
      </c>
      <c r="E2614" s="2" t="s">
        <v>5645</v>
      </c>
      <c r="F2614" s="3" t="s">
        <v>5641</v>
      </c>
      <c r="G2614" s="3" t="s">
        <v>4367</v>
      </c>
      <c r="H2614" s="1" t="s">
        <v>203</v>
      </c>
      <c r="I2614" s="2" t="s">
        <v>204</v>
      </c>
      <c r="J2614" s="3" t="s">
        <v>11</v>
      </c>
      <c r="K2614" s="38">
        <v>2.5</v>
      </c>
      <c r="L2614" s="39">
        <v>738</v>
      </c>
    </row>
    <row r="2615" spans="1:12" ht="19.95" customHeight="1" x14ac:dyDescent="0.3">
      <c r="A2615" s="6" t="s">
        <v>4434</v>
      </c>
      <c r="B2615" s="7" t="s">
        <v>4351</v>
      </c>
      <c r="C2615" s="6" t="s">
        <v>5565</v>
      </c>
      <c r="D2615" s="7" t="s">
        <v>5644</v>
      </c>
      <c r="E2615" s="6" t="s">
        <v>5645</v>
      </c>
      <c r="F2615" s="7" t="s">
        <v>5641</v>
      </c>
      <c r="G2615" s="7" t="s">
        <v>4367</v>
      </c>
      <c r="H2615" s="5" t="s">
        <v>209</v>
      </c>
      <c r="I2615" s="6" t="s">
        <v>210</v>
      </c>
      <c r="J2615" s="7" t="s">
        <v>11</v>
      </c>
      <c r="K2615" s="36">
        <v>2.5</v>
      </c>
      <c r="L2615" s="37">
        <v>558</v>
      </c>
    </row>
    <row r="2616" spans="1:12" ht="19.95" customHeight="1" x14ac:dyDescent="0.3">
      <c r="A2616" s="2" t="s">
        <v>4434</v>
      </c>
      <c r="B2616" s="3" t="s">
        <v>4351</v>
      </c>
      <c r="C2616" s="2" t="s">
        <v>5565</v>
      </c>
      <c r="D2616" s="3" t="s">
        <v>5646</v>
      </c>
      <c r="E2616" s="2" t="s">
        <v>5647</v>
      </c>
      <c r="F2616" s="3" t="s">
        <v>4416</v>
      </c>
      <c r="G2616" s="3" t="s">
        <v>4367</v>
      </c>
      <c r="H2616" s="1" t="s">
        <v>203</v>
      </c>
      <c r="I2616" s="2" t="s">
        <v>204</v>
      </c>
      <c r="J2616" s="3" t="s">
        <v>11</v>
      </c>
      <c r="K2616" s="38">
        <v>1</v>
      </c>
      <c r="L2616" s="39">
        <v>738</v>
      </c>
    </row>
    <row r="2617" spans="1:12" ht="19.95" customHeight="1" x14ac:dyDescent="0.3">
      <c r="A2617" s="6" t="s">
        <v>4434</v>
      </c>
      <c r="B2617" s="7" t="s">
        <v>4351</v>
      </c>
      <c r="C2617" s="6" t="s">
        <v>5565</v>
      </c>
      <c r="D2617" s="7" t="s">
        <v>5646</v>
      </c>
      <c r="E2617" s="6" t="s">
        <v>5647</v>
      </c>
      <c r="F2617" s="7" t="s">
        <v>4416</v>
      </c>
      <c r="G2617" s="7" t="s">
        <v>4367</v>
      </c>
      <c r="H2617" s="5" t="s">
        <v>205</v>
      </c>
      <c r="I2617" s="6" t="s">
        <v>206</v>
      </c>
      <c r="J2617" s="7" t="s">
        <v>11</v>
      </c>
      <c r="K2617" s="36">
        <v>1</v>
      </c>
      <c r="L2617" s="37">
        <v>679</v>
      </c>
    </row>
    <row r="2618" spans="1:12" ht="19.95" customHeight="1" x14ac:dyDescent="0.3">
      <c r="A2618" s="2" t="s">
        <v>4434</v>
      </c>
      <c r="B2618" s="3" t="s">
        <v>4351</v>
      </c>
      <c r="C2618" s="2" t="s">
        <v>5565</v>
      </c>
      <c r="D2618" s="3" t="s">
        <v>5646</v>
      </c>
      <c r="E2618" s="2" t="s">
        <v>5647</v>
      </c>
      <c r="F2618" s="3" t="s">
        <v>4416</v>
      </c>
      <c r="G2618" s="3" t="s">
        <v>4367</v>
      </c>
      <c r="H2618" s="1" t="s">
        <v>209</v>
      </c>
      <c r="I2618" s="2" t="s">
        <v>210</v>
      </c>
      <c r="J2618" s="3" t="s">
        <v>11</v>
      </c>
      <c r="K2618" s="38">
        <v>2</v>
      </c>
      <c r="L2618" s="39">
        <v>558</v>
      </c>
    </row>
    <row r="2619" spans="1:12" ht="19.95" customHeight="1" x14ac:dyDescent="0.3">
      <c r="A2619" s="6" t="s">
        <v>4434</v>
      </c>
      <c r="B2619" s="7" t="s">
        <v>4351</v>
      </c>
      <c r="C2619" s="6" t="s">
        <v>5565</v>
      </c>
      <c r="D2619" s="7" t="s">
        <v>5648</v>
      </c>
      <c r="E2619" s="6" t="s">
        <v>5649</v>
      </c>
      <c r="F2619" s="7" t="s">
        <v>5637</v>
      </c>
      <c r="G2619" s="7" t="s">
        <v>4367</v>
      </c>
      <c r="H2619" s="5" t="s">
        <v>199</v>
      </c>
      <c r="I2619" s="6" t="s">
        <v>200</v>
      </c>
      <c r="J2619" s="7" t="s">
        <v>11</v>
      </c>
      <c r="K2619" s="36">
        <v>3.13</v>
      </c>
      <c r="L2619" s="37">
        <v>738</v>
      </c>
    </row>
    <row r="2620" spans="1:12" ht="19.95" customHeight="1" x14ac:dyDescent="0.3">
      <c r="A2620" s="2" t="s">
        <v>4434</v>
      </c>
      <c r="B2620" s="3" t="s">
        <v>4351</v>
      </c>
      <c r="C2620" s="2" t="s">
        <v>5565</v>
      </c>
      <c r="D2620" s="3" t="s">
        <v>5648</v>
      </c>
      <c r="E2620" s="2" t="s">
        <v>5649</v>
      </c>
      <c r="F2620" s="3" t="s">
        <v>5637</v>
      </c>
      <c r="G2620" s="3" t="s">
        <v>4367</v>
      </c>
      <c r="H2620" s="1" t="s">
        <v>209</v>
      </c>
      <c r="I2620" s="2" t="s">
        <v>210</v>
      </c>
      <c r="J2620" s="3" t="s">
        <v>11</v>
      </c>
      <c r="K2620" s="38">
        <v>6.26</v>
      </c>
      <c r="L2620" s="39">
        <v>558</v>
      </c>
    </row>
    <row r="2621" spans="1:12" ht="19.95" customHeight="1" x14ac:dyDescent="0.3">
      <c r="A2621" s="6" t="s">
        <v>4434</v>
      </c>
      <c r="B2621" s="7" t="s">
        <v>4351</v>
      </c>
      <c r="C2621" s="6" t="s">
        <v>5565</v>
      </c>
      <c r="D2621" s="7" t="s">
        <v>5650</v>
      </c>
      <c r="E2621" s="6" t="s">
        <v>5651</v>
      </c>
      <c r="F2621" s="7" t="s">
        <v>5637</v>
      </c>
      <c r="G2621" s="7" t="s">
        <v>4367</v>
      </c>
      <c r="H2621" s="5" t="s">
        <v>199</v>
      </c>
      <c r="I2621" s="6" t="s">
        <v>200</v>
      </c>
      <c r="J2621" s="7" t="s">
        <v>11</v>
      </c>
      <c r="K2621" s="36">
        <v>2.5</v>
      </c>
      <c r="L2621" s="37">
        <v>738</v>
      </c>
    </row>
    <row r="2622" spans="1:12" ht="19.95" customHeight="1" x14ac:dyDescent="0.3">
      <c r="A2622" s="2" t="s">
        <v>4434</v>
      </c>
      <c r="B2622" s="3" t="s">
        <v>4351</v>
      </c>
      <c r="C2622" s="2" t="s">
        <v>5565</v>
      </c>
      <c r="D2622" s="3" t="s">
        <v>5650</v>
      </c>
      <c r="E2622" s="2" t="s">
        <v>5651</v>
      </c>
      <c r="F2622" s="3" t="s">
        <v>5637</v>
      </c>
      <c r="G2622" s="3" t="s">
        <v>4367</v>
      </c>
      <c r="H2622" s="1" t="s">
        <v>209</v>
      </c>
      <c r="I2622" s="2" t="s">
        <v>210</v>
      </c>
      <c r="J2622" s="3" t="s">
        <v>11</v>
      </c>
      <c r="K2622" s="38">
        <v>5</v>
      </c>
      <c r="L2622" s="39">
        <v>558</v>
      </c>
    </row>
    <row r="2623" spans="1:12" ht="19.95" customHeight="1" x14ac:dyDescent="0.3">
      <c r="A2623" s="6" t="s">
        <v>4434</v>
      </c>
      <c r="B2623" s="7" t="s">
        <v>4351</v>
      </c>
      <c r="C2623" s="6" t="s">
        <v>5565</v>
      </c>
      <c r="D2623" s="7" t="s">
        <v>5652</v>
      </c>
      <c r="E2623" s="6" t="s">
        <v>5653</v>
      </c>
      <c r="F2623" s="7" t="s">
        <v>5637</v>
      </c>
      <c r="G2623" s="7" t="s">
        <v>4367</v>
      </c>
      <c r="H2623" s="5" t="s">
        <v>199</v>
      </c>
      <c r="I2623" s="6" t="s">
        <v>200</v>
      </c>
      <c r="J2623" s="7" t="s">
        <v>11</v>
      </c>
      <c r="K2623" s="36">
        <v>2.5</v>
      </c>
      <c r="L2623" s="37">
        <v>738</v>
      </c>
    </row>
    <row r="2624" spans="1:12" ht="19.95" customHeight="1" x14ac:dyDescent="0.3">
      <c r="A2624" s="2" t="s">
        <v>4434</v>
      </c>
      <c r="B2624" s="3" t="s">
        <v>4351</v>
      </c>
      <c r="C2624" s="2" t="s">
        <v>5565</v>
      </c>
      <c r="D2624" s="3" t="s">
        <v>5652</v>
      </c>
      <c r="E2624" s="2" t="s">
        <v>5653</v>
      </c>
      <c r="F2624" s="3" t="s">
        <v>5637</v>
      </c>
      <c r="G2624" s="3" t="s">
        <v>4367</v>
      </c>
      <c r="H2624" s="1" t="s">
        <v>209</v>
      </c>
      <c r="I2624" s="2" t="s">
        <v>210</v>
      </c>
      <c r="J2624" s="3" t="s">
        <v>11</v>
      </c>
      <c r="K2624" s="38">
        <v>5</v>
      </c>
      <c r="L2624" s="39">
        <v>558</v>
      </c>
    </row>
    <row r="2625" spans="1:12" ht="19.95" customHeight="1" x14ac:dyDescent="0.3">
      <c r="A2625" s="6" t="s">
        <v>4434</v>
      </c>
      <c r="B2625" s="7" t="s">
        <v>4351</v>
      </c>
      <c r="C2625" s="6" t="s">
        <v>5565</v>
      </c>
      <c r="D2625" s="7" t="s">
        <v>5654</v>
      </c>
      <c r="E2625" s="6" t="s">
        <v>5655</v>
      </c>
      <c r="F2625" s="7" t="s">
        <v>4436</v>
      </c>
      <c r="G2625" s="7" t="s">
        <v>4367</v>
      </c>
      <c r="H2625" s="5" t="s">
        <v>203</v>
      </c>
      <c r="I2625" s="6" t="s">
        <v>204</v>
      </c>
      <c r="J2625" s="7" t="s">
        <v>11</v>
      </c>
      <c r="K2625" s="36">
        <v>1.6</v>
      </c>
      <c r="L2625" s="37">
        <v>738</v>
      </c>
    </row>
    <row r="2626" spans="1:12" ht="19.95" customHeight="1" x14ac:dyDescent="0.3">
      <c r="A2626" s="2" t="s">
        <v>4434</v>
      </c>
      <c r="B2626" s="3" t="s">
        <v>4351</v>
      </c>
      <c r="C2626" s="2" t="s">
        <v>5565</v>
      </c>
      <c r="D2626" s="3" t="s">
        <v>5654</v>
      </c>
      <c r="E2626" s="2" t="s">
        <v>5655</v>
      </c>
      <c r="F2626" s="3" t="s">
        <v>4436</v>
      </c>
      <c r="G2626" s="3" t="s">
        <v>4367</v>
      </c>
      <c r="H2626" s="1" t="s">
        <v>209</v>
      </c>
      <c r="I2626" s="2" t="s">
        <v>210</v>
      </c>
      <c r="J2626" s="3" t="s">
        <v>11</v>
      </c>
      <c r="K2626" s="38">
        <v>1.6</v>
      </c>
      <c r="L2626" s="39">
        <v>558</v>
      </c>
    </row>
    <row r="2627" spans="1:12" ht="19.95" customHeight="1" x14ac:dyDescent="0.3">
      <c r="A2627" s="6" t="s">
        <v>4434</v>
      </c>
      <c r="B2627" s="7" t="s">
        <v>4351</v>
      </c>
      <c r="C2627" s="6" t="s">
        <v>5565</v>
      </c>
      <c r="D2627" s="7" t="s">
        <v>5654</v>
      </c>
      <c r="E2627" s="6" t="s">
        <v>5655</v>
      </c>
      <c r="F2627" s="7" t="s">
        <v>4436</v>
      </c>
      <c r="G2627" s="7" t="s">
        <v>4367</v>
      </c>
      <c r="H2627" s="5" t="s">
        <v>219</v>
      </c>
      <c r="I2627" s="6" t="s">
        <v>220</v>
      </c>
      <c r="J2627" s="7" t="s">
        <v>11</v>
      </c>
      <c r="K2627" s="36">
        <v>3.23</v>
      </c>
      <c r="L2627" s="37">
        <v>738</v>
      </c>
    </row>
    <row r="2628" spans="1:12" ht="19.95" customHeight="1" x14ac:dyDescent="0.3">
      <c r="A2628" s="2" t="s">
        <v>4434</v>
      </c>
      <c r="B2628" s="3" t="s">
        <v>4351</v>
      </c>
      <c r="C2628" s="2" t="s">
        <v>5565</v>
      </c>
      <c r="D2628" s="3" t="s">
        <v>5654</v>
      </c>
      <c r="E2628" s="2" t="s">
        <v>5655</v>
      </c>
      <c r="F2628" s="3" t="s">
        <v>4436</v>
      </c>
      <c r="G2628" s="3" t="s">
        <v>4367</v>
      </c>
      <c r="H2628" s="1" t="s">
        <v>209</v>
      </c>
      <c r="I2628" s="2" t="s">
        <v>210</v>
      </c>
      <c r="J2628" s="3" t="s">
        <v>11</v>
      </c>
      <c r="K2628" s="38">
        <v>3.23</v>
      </c>
      <c r="L2628" s="39">
        <v>558</v>
      </c>
    </row>
    <row r="2629" spans="1:12" ht="19.95" customHeight="1" x14ac:dyDescent="0.3">
      <c r="A2629" s="6" t="s">
        <v>4434</v>
      </c>
      <c r="B2629" s="7" t="s">
        <v>4351</v>
      </c>
      <c r="C2629" s="6" t="s">
        <v>5565</v>
      </c>
      <c r="D2629" s="7" t="s">
        <v>5654</v>
      </c>
      <c r="E2629" s="6" t="s">
        <v>5655</v>
      </c>
      <c r="F2629" s="7" t="s">
        <v>4436</v>
      </c>
      <c r="G2629" s="7" t="s">
        <v>4367</v>
      </c>
      <c r="H2629" s="5" t="s">
        <v>197</v>
      </c>
      <c r="I2629" s="6" t="s">
        <v>198</v>
      </c>
      <c r="J2629" s="7" t="s">
        <v>11</v>
      </c>
      <c r="K2629" s="36">
        <v>0.54</v>
      </c>
      <c r="L2629" s="37">
        <v>617</v>
      </c>
    </row>
    <row r="2630" spans="1:12" ht="19.95" customHeight="1" x14ac:dyDescent="0.3">
      <c r="A2630" s="2" t="s">
        <v>4434</v>
      </c>
      <c r="B2630" s="3" t="s">
        <v>4351</v>
      </c>
      <c r="C2630" s="2" t="s">
        <v>5565</v>
      </c>
      <c r="D2630" s="3" t="s">
        <v>5656</v>
      </c>
      <c r="E2630" s="2" t="s">
        <v>5657</v>
      </c>
      <c r="F2630" s="3" t="s">
        <v>4436</v>
      </c>
      <c r="G2630" s="3" t="s">
        <v>4367</v>
      </c>
      <c r="H2630" s="1" t="s">
        <v>203</v>
      </c>
      <c r="I2630" s="2" t="s">
        <v>204</v>
      </c>
      <c r="J2630" s="3" t="s">
        <v>11</v>
      </c>
      <c r="K2630" s="38">
        <v>1.6</v>
      </c>
      <c r="L2630" s="39">
        <v>738</v>
      </c>
    </row>
    <row r="2631" spans="1:12" ht="19.95" customHeight="1" x14ac:dyDescent="0.3">
      <c r="A2631" s="6" t="s">
        <v>4434</v>
      </c>
      <c r="B2631" s="7" t="s">
        <v>4351</v>
      </c>
      <c r="C2631" s="6" t="s">
        <v>5565</v>
      </c>
      <c r="D2631" s="7" t="s">
        <v>5656</v>
      </c>
      <c r="E2631" s="6" t="s">
        <v>5657</v>
      </c>
      <c r="F2631" s="7" t="s">
        <v>4436</v>
      </c>
      <c r="G2631" s="7" t="s">
        <v>4367</v>
      </c>
      <c r="H2631" s="5" t="s">
        <v>209</v>
      </c>
      <c r="I2631" s="6" t="s">
        <v>210</v>
      </c>
      <c r="J2631" s="7" t="s">
        <v>11</v>
      </c>
      <c r="K2631" s="36">
        <v>1.6</v>
      </c>
      <c r="L2631" s="37">
        <v>558</v>
      </c>
    </row>
    <row r="2632" spans="1:12" ht="19.95" customHeight="1" x14ac:dyDescent="0.3">
      <c r="A2632" s="2" t="s">
        <v>4434</v>
      </c>
      <c r="B2632" s="3" t="s">
        <v>4351</v>
      </c>
      <c r="C2632" s="2" t="s">
        <v>5565</v>
      </c>
      <c r="D2632" s="3" t="s">
        <v>5656</v>
      </c>
      <c r="E2632" s="2" t="s">
        <v>5657</v>
      </c>
      <c r="F2632" s="3" t="s">
        <v>4436</v>
      </c>
      <c r="G2632" s="3" t="s">
        <v>4367</v>
      </c>
      <c r="H2632" s="1" t="s">
        <v>219</v>
      </c>
      <c r="I2632" s="2" t="s">
        <v>220</v>
      </c>
      <c r="J2632" s="3" t="s">
        <v>11</v>
      </c>
      <c r="K2632" s="38">
        <v>3.23</v>
      </c>
      <c r="L2632" s="39">
        <v>738</v>
      </c>
    </row>
    <row r="2633" spans="1:12" ht="19.95" customHeight="1" x14ac:dyDescent="0.3">
      <c r="A2633" s="6" t="s">
        <v>4434</v>
      </c>
      <c r="B2633" s="7" t="s">
        <v>4351</v>
      </c>
      <c r="C2633" s="6" t="s">
        <v>5565</v>
      </c>
      <c r="D2633" s="7" t="s">
        <v>5656</v>
      </c>
      <c r="E2633" s="6" t="s">
        <v>5657</v>
      </c>
      <c r="F2633" s="7" t="s">
        <v>4436</v>
      </c>
      <c r="G2633" s="7" t="s">
        <v>4367</v>
      </c>
      <c r="H2633" s="5" t="s">
        <v>209</v>
      </c>
      <c r="I2633" s="6" t="s">
        <v>210</v>
      </c>
      <c r="J2633" s="7" t="s">
        <v>11</v>
      </c>
      <c r="K2633" s="36">
        <v>3.23</v>
      </c>
      <c r="L2633" s="37">
        <v>558</v>
      </c>
    </row>
    <row r="2634" spans="1:12" ht="19.95" customHeight="1" x14ac:dyDescent="0.3">
      <c r="A2634" s="2" t="s">
        <v>4434</v>
      </c>
      <c r="B2634" s="3" t="s">
        <v>4351</v>
      </c>
      <c r="C2634" s="2" t="s">
        <v>5565</v>
      </c>
      <c r="D2634" s="3" t="s">
        <v>5656</v>
      </c>
      <c r="E2634" s="2" t="s">
        <v>5657</v>
      </c>
      <c r="F2634" s="3" t="s">
        <v>4436</v>
      </c>
      <c r="G2634" s="3" t="s">
        <v>4367</v>
      </c>
      <c r="H2634" s="1" t="s">
        <v>197</v>
      </c>
      <c r="I2634" s="2" t="s">
        <v>198</v>
      </c>
      <c r="J2634" s="3" t="s">
        <v>11</v>
      </c>
      <c r="K2634" s="38">
        <v>0.54</v>
      </c>
      <c r="L2634" s="39">
        <v>617</v>
      </c>
    </row>
    <row r="2635" spans="1:12" ht="19.95" customHeight="1" x14ac:dyDescent="0.3">
      <c r="A2635" s="6" t="s">
        <v>4434</v>
      </c>
      <c r="B2635" s="7" t="s">
        <v>4351</v>
      </c>
      <c r="C2635" s="6" t="s">
        <v>5565</v>
      </c>
      <c r="D2635" s="7" t="s">
        <v>5656</v>
      </c>
      <c r="E2635" s="6" t="s">
        <v>5657</v>
      </c>
      <c r="F2635" s="7" t="s">
        <v>4436</v>
      </c>
      <c r="G2635" s="7" t="s">
        <v>4367</v>
      </c>
      <c r="H2635" s="5" t="s">
        <v>203</v>
      </c>
      <c r="I2635" s="6" t="s">
        <v>204</v>
      </c>
      <c r="J2635" s="7" t="s">
        <v>11</v>
      </c>
      <c r="K2635" s="36">
        <v>0.5</v>
      </c>
      <c r="L2635" s="37">
        <v>738</v>
      </c>
    </row>
    <row r="2636" spans="1:12" ht="19.95" customHeight="1" x14ac:dyDescent="0.3">
      <c r="A2636" s="2" t="s">
        <v>4434</v>
      </c>
      <c r="B2636" s="3" t="s">
        <v>4351</v>
      </c>
      <c r="C2636" s="2" t="s">
        <v>5565</v>
      </c>
      <c r="D2636" s="3" t="s">
        <v>5656</v>
      </c>
      <c r="E2636" s="2" t="s">
        <v>5657</v>
      </c>
      <c r="F2636" s="3" t="s">
        <v>4436</v>
      </c>
      <c r="G2636" s="3" t="s">
        <v>4367</v>
      </c>
      <c r="H2636" s="1" t="s">
        <v>219</v>
      </c>
      <c r="I2636" s="2" t="s">
        <v>220</v>
      </c>
      <c r="J2636" s="3" t="s">
        <v>11</v>
      </c>
      <c r="K2636" s="38">
        <v>1</v>
      </c>
      <c r="L2636" s="39">
        <v>738</v>
      </c>
    </row>
    <row r="2637" spans="1:12" ht="19.95" customHeight="1" x14ac:dyDescent="0.3">
      <c r="A2637" s="6" t="s">
        <v>4434</v>
      </c>
      <c r="B2637" s="7" t="s">
        <v>4351</v>
      </c>
      <c r="C2637" s="6" t="s">
        <v>5565</v>
      </c>
      <c r="D2637" s="7" t="s">
        <v>5656</v>
      </c>
      <c r="E2637" s="6" t="s">
        <v>5657</v>
      </c>
      <c r="F2637" s="7" t="s">
        <v>4436</v>
      </c>
      <c r="G2637" s="7" t="s">
        <v>4367</v>
      </c>
      <c r="H2637" s="5" t="s">
        <v>209</v>
      </c>
      <c r="I2637" s="6" t="s">
        <v>210</v>
      </c>
      <c r="J2637" s="7" t="s">
        <v>11</v>
      </c>
      <c r="K2637" s="36">
        <v>1.5</v>
      </c>
      <c r="L2637" s="37">
        <v>558</v>
      </c>
    </row>
    <row r="2638" spans="1:12" ht="19.95" customHeight="1" x14ac:dyDescent="0.3">
      <c r="A2638" s="2" t="s">
        <v>4434</v>
      </c>
      <c r="B2638" s="3" t="s">
        <v>4351</v>
      </c>
      <c r="C2638" s="2" t="s">
        <v>5565</v>
      </c>
      <c r="D2638" s="3" t="s">
        <v>5658</v>
      </c>
      <c r="E2638" s="2" t="s">
        <v>5659</v>
      </c>
      <c r="F2638" s="3" t="s">
        <v>4416</v>
      </c>
      <c r="G2638" s="3" t="s">
        <v>4367</v>
      </c>
      <c r="H2638" s="1" t="s">
        <v>219</v>
      </c>
      <c r="I2638" s="2" t="s">
        <v>220</v>
      </c>
      <c r="J2638" s="3" t="s">
        <v>11</v>
      </c>
      <c r="K2638" s="38">
        <v>2</v>
      </c>
      <c r="L2638" s="39">
        <v>738</v>
      </c>
    </row>
    <row r="2639" spans="1:12" ht="19.95" customHeight="1" x14ac:dyDescent="0.3">
      <c r="A2639" s="6" t="s">
        <v>4434</v>
      </c>
      <c r="B2639" s="7" t="s">
        <v>4351</v>
      </c>
      <c r="C2639" s="6" t="s">
        <v>5565</v>
      </c>
      <c r="D2639" s="7" t="s">
        <v>5658</v>
      </c>
      <c r="E2639" s="6" t="s">
        <v>5659</v>
      </c>
      <c r="F2639" s="7" t="s">
        <v>4416</v>
      </c>
      <c r="G2639" s="7" t="s">
        <v>4367</v>
      </c>
      <c r="H2639" s="5" t="s">
        <v>209</v>
      </c>
      <c r="I2639" s="6" t="s">
        <v>210</v>
      </c>
      <c r="J2639" s="7" t="s">
        <v>11</v>
      </c>
      <c r="K2639" s="36">
        <v>2</v>
      </c>
      <c r="L2639" s="37">
        <v>558</v>
      </c>
    </row>
    <row r="2640" spans="1:12" ht="19.95" customHeight="1" x14ac:dyDescent="0.3">
      <c r="A2640" s="2" t="s">
        <v>4434</v>
      </c>
      <c r="B2640" s="3" t="s">
        <v>4351</v>
      </c>
      <c r="C2640" s="2" t="s">
        <v>5565</v>
      </c>
      <c r="D2640" s="3" t="s">
        <v>5658</v>
      </c>
      <c r="E2640" s="2" t="s">
        <v>5659</v>
      </c>
      <c r="F2640" s="3" t="s">
        <v>4416</v>
      </c>
      <c r="G2640" s="3" t="s">
        <v>4367</v>
      </c>
      <c r="H2640" s="1" t="s">
        <v>197</v>
      </c>
      <c r="I2640" s="2" t="s">
        <v>198</v>
      </c>
      <c r="J2640" s="3" t="s">
        <v>11</v>
      </c>
      <c r="K2640" s="38">
        <v>0.25</v>
      </c>
      <c r="L2640" s="39">
        <v>617</v>
      </c>
    </row>
    <row r="2641" spans="1:12" ht="19.95" customHeight="1" x14ac:dyDescent="0.3">
      <c r="A2641" s="6" t="s">
        <v>4434</v>
      </c>
      <c r="B2641" s="7" t="s">
        <v>4351</v>
      </c>
      <c r="C2641" s="6" t="s">
        <v>5565</v>
      </c>
      <c r="D2641" s="7" t="s">
        <v>5660</v>
      </c>
      <c r="E2641" s="6" t="s">
        <v>5661</v>
      </c>
      <c r="F2641" s="7" t="s">
        <v>5662</v>
      </c>
      <c r="G2641" s="7" t="s">
        <v>4367</v>
      </c>
      <c r="H2641" s="5" t="s">
        <v>219</v>
      </c>
      <c r="I2641" s="6" t="s">
        <v>220</v>
      </c>
      <c r="J2641" s="7" t="s">
        <v>11</v>
      </c>
      <c r="K2641" s="36">
        <v>1</v>
      </c>
      <c r="L2641" s="37">
        <v>738</v>
      </c>
    </row>
    <row r="2642" spans="1:12" ht="19.95" customHeight="1" x14ac:dyDescent="0.3">
      <c r="A2642" s="2" t="s">
        <v>4434</v>
      </c>
      <c r="B2642" s="3" t="s">
        <v>4351</v>
      </c>
      <c r="C2642" s="2" t="s">
        <v>5565</v>
      </c>
      <c r="D2642" s="3" t="s">
        <v>5660</v>
      </c>
      <c r="E2642" s="2" t="s">
        <v>5661</v>
      </c>
      <c r="F2642" s="3" t="s">
        <v>5662</v>
      </c>
      <c r="G2642" s="3" t="s">
        <v>4367</v>
      </c>
      <c r="H2642" s="1" t="s">
        <v>209</v>
      </c>
      <c r="I2642" s="2" t="s">
        <v>210</v>
      </c>
      <c r="J2642" s="3" t="s">
        <v>11</v>
      </c>
      <c r="K2642" s="38">
        <v>1</v>
      </c>
      <c r="L2642" s="39">
        <v>558</v>
      </c>
    </row>
    <row r="2643" spans="1:12" ht="19.95" customHeight="1" x14ac:dyDescent="0.3">
      <c r="A2643" s="6" t="s">
        <v>4434</v>
      </c>
      <c r="B2643" s="7" t="s">
        <v>4351</v>
      </c>
      <c r="C2643" s="6" t="s">
        <v>5565</v>
      </c>
      <c r="D2643" s="7" t="s">
        <v>5660</v>
      </c>
      <c r="E2643" s="6" t="s">
        <v>5661</v>
      </c>
      <c r="F2643" s="7" t="s">
        <v>5662</v>
      </c>
      <c r="G2643" s="7" t="s">
        <v>4367</v>
      </c>
      <c r="H2643" s="5" t="s">
        <v>197</v>
      </c>
      <c r="I2643" s="6" t="s">
        <v>198</v>
      </c>
      <c r="J2643" s="7" t="s">
        <v>11</v>
      </c>
      <c r="K2643" s="36">
        <v>0.25</v>
      </c>
      <c r="L2643" s="37">
        <v>617</v>
      </c>
    </row>
    <row r="2644" spans="1:12" ht="19.95" customHeight="1" x14ac:dyDescent="0.3">
      <c r="A2644" s="2" t="s">
        <v>4434</v>
      </c>
      <c r="B2644" s="3" t="s">
        <v>4351</v>
      </c>
      <c r="C2644" s="2" t="s">
        <v>5565</v>
      </c>
      <c r="D2644" s="3" t="s">
        <v>5663</v>
      </c>
      <c r="E2644" s="2" t="s">
        <v>5664</v>
      </c>
      <c r="F2644" s="3" t="s">
        <v>4344</v>
      </c>
      <c r="G2644" s="3" t="s">
        <v>4367</v>
      </c>
      <c r="H2644" s="1" t="s">
        <v>203</v>
      </c>
      <c r="I2644" s="2" t="s">
        <v>204</v>
      </c>
      <c r="J2644" s="3" t="s">
        <v>11</v>
      </c>
      <c r="K2644" s="38">
        <v>1</v>
      </c>
      <c r="L2644" s="39">
        <v>738</v>
      </c>
    </row>
    <row r="2645" spans="1:12" ht="19.95" customHeight="1" x14ac:dyDescent="0.3">
      <c r="A2645" s="6" t="s">
        <v>4434</v>
      </c>
      <c r="B2645" s="7" t="s">
        <v>4351</v>
      </c>
      <c r="C2645" s="6" t="s">
        <v>5565</v>
      </c>
      <c r="D2645" s="7" t="s">
        <v>5663</v>
      </c>
      <c r="E2645" s="6" t="s">
        <v>5664</v>
      </c>
      <c r="F2645" s="7" t="s">
        <v>4344</v>
      </c>
      <c r="G2645" s="7" t="s">
        <v>4367</v>
      </c>
      <c r="H2645" s="5" t="s">
        <v>209</v>
      </c>
      <c r="I2645" s="6" t="s">
        <v>210</v>
      </c>
      <c r="J2645" s="7" t="s">
        <v>11</v>
      </c>
      <c r="K2645" s="36">
        <v>2</v>
      </c>
      <c r="L2645" s="37">
        <v>558</v>
      </c>
    </row>
    <row r="2646" spans="1:12" ht="19.95" customHeight="1" x14ac:dyDescent="0.3">
      <c r="A2646" s="2" t="s">
        <v>4434</v>
      </c>
      <c r="B2646" s="3" t="s">
        <v>4351</v>
      </c>
      <c r="C2646" s="2" t="s">
        <v>5565</v>
      </c>
      <c r="D2646" s="3" t="s">
        <v>5665</v>
      </c>
      <c r="E2646" s="2" t="s">
        <v>5666</v>
      </c>
      <c r="F2646" s="3" t="s">
        <v>4344</v>
      </c>
      <c r="G2646" s="3" t="s">
        <v>4367</v>
      </c>
      <c r="H2646" s="1" t="s">
        <v>203</v>
      </c>
      <c r="I2646" s="2" t="s">
        <v>204</v>
      </c>
      <c r="J2646" s="3" t="s">
        <v>11</v>
      </c>
      <c r="K2646" s="38">
        <v>0.5</v>
      </c>
      <c r="L2646" s="39">
        <v>738</v>
      </c>
    </row>
    <row r="2647" spans="1:12" ht="19.95" customHeight="1" x14ac:dyDescent="0.3">
      <c r="A2647" s="6" t="s">
        <v>4434</v>
      </c>
      <c r="B2647" s="7" t="s">
        <v>4351</v>
      </c>
      <c r="C2647" s="6" t="s">
        <v>5565</v>
      </c>
      <c r="D2647" s="7" t="s">
        <v>5665</v>
      </c>
      <c r="E2647" s="6" t="s">
        <v>5666</v>
      </c>
      <c r="F2647" s="7" t="s">
        <v>4344</v>
      </c>
      <c r="G2647" s="7" t="s">
        <v>4367</v>
      </c>
      <c r="H2647" s="5" t="s">
        <v>209</v>
      </c>
      <c r="I2647" s="6" t="s">
        <v>210</v>
      </c>
      <c r="J2647" s="7" t="s">
        <v>11</v>
      </c>
      <c r="K2647" s="36">
        <v>0.5</v>
      </c>
      <c r="L2647" s="37">
        <v>558</v>
      </c>
    </row>
    <row r="2648" spans="1:12" ht="19.95" customHeight="1" x14ac:dyDescent="0.3">
      <c r="A2648" s="2" t="s">
        <v>4434</v>
      </c>
      <c r="B2648" s="3" t="s">
        <v>4351</v>
      </c>
      <c r="C2648" s="2" t="s">
        <v>5565</v>
      </c>
      <c r="D2648" s="3" t="s">
        <v>5667</v>
      </c>
      <c r="E2648" s="2" t="s">
        <v>5668</v>
      </c>
      <c r="F2648" s="3" t="s">
        <v>4344</v>
      </c>
      <c r="G2648" s="3" t="s">
        <v>4367</v>
      </c>
      <c r="H2648" s="1" t="s">
        <v>203</v>
      </c>
      <c r="I2648" s="2" t="s">
        <v>204</v>
      </c>
      <c r="J2648" s="3" t="s">
        <v>11</v>
      </c>
      <c r="K2648" s="38">
        <v>0.5</v>
      </c>
      <c r="L2648" s="39">
        <v>738</v>
      </c>
    </row>
    <row r="2649" spans="1:12" ht="19.95" customHeight="1" x14ac:dyDescent="0.3">
      <c r="A2649" s="6" t="s">
        <v>4434</v>
      </c>
      <c r="B2649" s="7" t="s">
        <v>4351</v>
      </c>
      <c r="C2649" s="6" t="s">
        <v>5565</v>
      </c>
      <c r="D2649" s="7" t="s">
        <v>5667</v>
      </c>
      <c r="E2649" s="6" t="s">
        <v>5668</v>
      </c>
      <c r="F2649" s="7" t="s">
        <v>4344</v>
      </c>
      <c r="G2649" s="7" t="s">
        <v>4367</v>
      </c>
      <c r="H2649" s="5" t="s">
        <v>209</v>
      </c>
      <c r="I2649" s="6" t="s">
        <v>210</v>
      </c>
      <c r="J2649" s="7" t="s">
        <v>11</v>
      </c>
      <c r="K2649" s="36">
        <v>0.5</v>
      </c>
      <c r="L2649" s="37">
        <v>558</v>
      </c>
    </row>
    <row r="2650" spans="1:12" ht="19.95" customHeight="1" x14ac:dyDescent="0.3">
      <c r="A2650" s="2" t="s">
        <v>4434</v>
      </c>
      <c r="B2650" s="3" t="s">
        <v>4351</v>
      </c>
      <c r="C2650" s="2" t="s">
        <v>5565</v>
      </c>
      <c r="D2650" s="3" t="s">
        <v>5669</v>
      </c>
      <c r="E2650" s="2" t="s">
        <v>5670</v>
      </c>
      <c r="F2650" s="3" t="s">
        <v>4344</v>
      </c>
      <c r="G2650" s="3" t="s">
        <v>4367</v>
      </c>
      <c r="H2650" s="1" t="s">
        <v>203</v>
      </c>
      <c r="I2650" s="2" t="s">
        <v>204</v>
      </c>
      <c r="J2650" s="3" t="s">
        <v>11</v>
      </c>
      <c r="K2650" s="38">
        <v>0.5</v>
      </c>
      <c r="L2650" s="39">
        <v>738</v>
      </c>
    </row>
    <row r="2651" spans="1:12" ht="19.95" customHeight="1" x14ac:dyDescent="0.3">
      <c r="A2651" s="6" t="s">
        <v>4434</v>
      </c>
      <c r="B2651" s="7" t="s">
        <v>4351</v>
      </c>
      <c r="C2651" s="6" t="s">
        <v>5565</v>
      </c>
      <c r="D2651" s="7" t="s">
        <v>5669</v>
      </c>
      <c r="E2651" s="6" t="s">
        <v>5670</v>
      </c>
      <c r="F2651" s="7" t="s">
        <v>4344</v>
      </c>
      <c r="G2651" s="7" t="s">
        <v>4367</v>
      </c>
      <c r="H2651" s="5" t="s">
        <v>209</v>
      </c>
      <c r="I2651" s="6" t="s">
        <v>210</v>
      </c>
      <c r="J2651" s="7" t="s">
        <v>11</v>
      </c>
      <c r="K2651" s="36">
        <v>0.5</v>
      </c>
      <c r="L2651" s="37">
        <v>558</v>
      </c>
    </row>
    <row r="2652" spans="1:12" ht="19.95" customHeight="1" x14ac:dyDescent="0.3">
      <c r="A2652" s="2" t="s">
        <v>4434</v>
      </c>
      <c r="B2652" s="3" t="s">
        <v>4351</v>
      </c>
      <c r="C2652" s="2" t="s">
        <v>5565</v>
      </c>
      <c r="D2652" s="3" t="s">
        <v>5671</v>
      </c>
      <c r="E2652" s="2" t="s">
        <v>5672</v>
      </c>
      <c r="F2652" s="3" t="s">
        <v>5673</v>
      </c>
      <c r="G2652" s="3" t="s">
        <v>4367</v>
      </c>
      <c r="H2652" s="1" t="s">
        <v>223</v>
      </c>
      <c r="I2652" s="2" t="s">
        <v>224</v>
      </c>
      <c r="J2652" s="3" t="s">
        <v>11</v>
      </c>
      <c r="K2652" s="38">
        <v>0.4</v>
      </c>
      <c r="L2652" s="39">
        <v>679</v>
      </c>
    </row>
    <row r="2653" spans="1:12" ht="19.95" customHeight="1" x14ac:dyDescent="0.3">
      <c r="A2653" s="6" t="s">
        <v>4434</v>
      </c>
      <c r="B2653" s="7" t="s">
        <v>4351</v>
      </c>
      <c r="C2653" s="6" t="s">
        <v>5565</v>
      </c>
      <c r="D2653" s="7" t="s">
        <v>5671</v>
      </c>
      <c r="E2653" s="6" t="s">
        <v>5672</v>
      </c>
      <c r="F2653" s="7" t="s">
        <v>5673</v>
      </c>
      <c r="G2653" s="7" t="s">
        <v>4367</v>
      </c>
      <c r="H2653" s="5" t="s">
        <v>209</v>
      </c>
      <c r="I2653" s="6" t="s">
        <v>210</v>
      </c>
      <c r="J2653" s="7" t="s">
        <v>11</v>
      </c>
      <c r="K2653" s="36">
        <v>0.4</v>
      </c>
      <c r="L2653" s="37">
        <v>558</v>
      </c>
    </row>
    <row r="2654" spans="1:12" ht="19.95" customHeight="1" x14ac:dyDescent="0.3">
      <c r="A2654" s="2" t="s">
        <v>4434</v>
      </c>
      <c r="B2654" s="3" t="s">
        <v>4351</v>
      </c>
      <c r="C2654" s="2" t="s">
        <v>5565</v>
      </c>
      <c r="D2654" s="3" t="s">
        <v>5674</v>
      </c>
      <c r="E2654" s="2" t="s">
        <v>5675</v>
      </c>
      <c r="F2654" s="3" t="s">
        <v>4368</v>
      </c>
      <c r="G2654" s="3" t="s">
        <v>4367</v>
      </c>
      <c r="H2654" s="1" t="s">
        <v>213</v>
      </c>
      <c r="I2654" s="2" t="s">
        <v>214</v>
      </c>
      <c r="J2654" s="3" t="s">
        <v>11</v>
      </c>
      <c r="K2654" s="38">
        <v>0.125</v>
      </c>
      <c r="L2654" s="39">
        <v>738</v>
      </c>
    </row>
    <row r="2655" spans="1:12" ht="19.95" customHeight="1" x14ac:dyDescent="0.3">
      <c r="A2655" s="6" t="s">
        <v>4434</v>
      </c>
      <c r="B2655" s="7" t="s">
        <v>4351</v>
      </c>
      <c r="C2655" s="6" t="s">
        <v>5565</v>
      </c>
      <c r="D2655" s="7" t="s">
        <v>5674</v>
      </c>
      <c r="E2655" s="6" t="s">
        <v>5675</v>
      </c>
      <c r="F2655" s="7" t="s">
        <v>4368</v>
      </c>
      <c r="G2655" s="7" t="s">
        <v>4367</v>
      </c>
      <c r="H2655" s="5" t="s">
        <v>223</v>
      </c>
      <c r="I2655" s="6" t="s">
        <v>224</v>
      </c>
      <c r="J2655" s="7" t="s">
        <v>11</v>
      </c>
      <c r="K2655" s="36">
        <v>0.75</v>
      </c>
      <c r="L2655" s="37">
        <v>679</v>
      </c>
    </row>
    <row r="2656" spans="1:12" ht="19.95" customHeight="1" x14ac:dyDescent="0.3">
      <c r="A2656" s="2" t="s">
        <v>4434</v>
      </c>
      <c r="B2656" s="3" t="s">
        <v>4351</v>
      </c>
      <c r="C2656" s="2" t="s">
        <v>5565</v>
      </c>
      <c r="D2656" s="3" t="s">
        <v>5674</v>
      </c>
      <c r="E2656" s="2" t="s">
        <v>5675</v>
      </c>
      <c r="F2656" s="3" t="s">
        <v>4368</v>
      </c>
      <c r="G2656" s="3" t="s">
        <v>4367</v>
      </c>
      <c r="H2656" s="1" t="s">
        <v>209</v>
      </c>
      <c r="I2656" s="2" t="s">
        <v>210</v>
      </c>
      <c r="J2656" s="3" t="s">
        <v>11</v>
      </c>
      <c r="K2656" s="38">
        <v>0.5</v>
      </c>
      <c r="L2656" s="39">
        <v>558</v>
      </c>
    </row>
    <row r="2657" spans="1:12" ht="19.95" customHeight="1" x14ac:dyDescent="0.3">
      <c r="A2657" s="6" t="s">
        <v>4434</v>
      </c>
      <c r="B2657" s="7" t="s">
        <v>4351</v>
      </c>
      <c r="C2657" s="6" t="s">
        <v>5565</v>
      </c>
      <c r="D2657" s="7" t="s">
        <v>5674</v>
      </c>
      <c r="E2657" s="6" t="s">
        <v>5675</v>
      </c>
      <c r="F2657" s="7" t="s">
        <v>4368</v>
      </c>
      <c r="G2657" s="7" t="s">
        <v>4367</v>
      </c>
      <c r="H2657" s="5" t="s">
        <v>209</v>
      </c>
      <c r="I2657" s="6" t="s">
        <v>210</v>
      </c>
      <c r="J2657" s="7" t="s">
        <v>11</v>
      </c>
      <c r="K2657" s="36">
        <v>4.4999999999999997E-3</v>
      </c>
      <c r="L2657" s="37">
        <v>558</v>
      </c>
    </row>
    <row r="2658" spans="1:12" ht="19.95" customHeight="1" x14ac:dyDescent="0.3">
      <c r="A2658" s="2" t="s">
        <v>4434</v>
      </c>
      <c r="B2658" s="3" t="s">
        <v>4351</v>
      </c>
      <c r="C2658" s="2" t="s">
        <v>5565</v>
      </c>
      <c r="D2658" s="3" t="s">
        <v>5674</v>
      </c>
      <c r="E2658" s="2" t="s">
        <v>5675</v>
      </c>
      <c r="F2658" s="3" t="s">
        <v>4368</v>
      </c>
      <c r="G2658" s="3" t="s">
        <v>4367</v>
      </c>
      <c r="H2658" s="1" t="s">
        <v>211</v>
      </c>
      <c r="I2658" s="2" t="s">
        <v>212</v>
      </c>
      <c r="J2658" s="3" t="s">
        <v>11</v>
      </c>
      <c r="K2658" s="38">
        <v>3.2000000000000002E-3</v>
      </c>
      <c r="L2658" s="39">
        <v>558</v>
      </c>
    </row>
    <row r="2659" spans="1:12" ht="19.95" customHeight="1" x14ac:dyDescent="0.3">
      <c r="A2659" s="6" t="s">
        <v>4434</v>
      </c>
      <c r="B2659" s="7" t="s">
        <v>4351</v>
      </c>
      <c r="C2659" s="6" t="s">
        <v>5565</v>
      </c>
      <c r="D2659" s="7" t="s">
        <v>5674</v>
      </c>
      <c r="E2659" s="6" t="s">
        <v>5675</v>
      </c>
      <c r="F2659" s="7" t="s">
        <v>4368</v>
      </c>
      <c r="G2659" s="7" t="s">
        <v>4367</v>
      </c>
      <c r="H2659" s="5" t="s">
        <v>197</v>
      </c>
      <c r="I2659" s="6" t="s">
        <v>198</v>
      </c>
      <c r="J2659" s="7" t="s">
        <v>11</v>
      </c>
      <c r="K2659" s="36">
        <v>1.4E-3</v>
      </c>
      <c r="L2659" s="37">
        <v>617</v>
      </c>
    </row>
    <row r="2660" spans="1:12" ht="19.95" customHeight="1" x14ac:dyDescent="0.3">
      <c r="A2660" s="2" t="s">
        <v>4434</v>
      </c>
      <c r="B2660" s="3" t="s">
        <v>4351</v>
      </c>
      <c r="C2660" s="2" t="s">
        <v>5565</v>
      </c>
      <c r="D2660" s="3" t="s">
        <v>5674</v>
      </c>
      <c r="E2660" s="2" t="s">
        <v>5675</v>
      </c>
      <c r="F2660" s="3" t="s">
        <v>4368</v>
      </c>
      <c r="G2660" s="3" t="s">
        <v>4367</v>
      </c>
      <c r="H2660" s="1" t="s">
        <v>221</v>
      </c>
      <c r="I2660" s="2" t="s">
        <v>222</v>
      </c>
      <c r="J2660" s="3" t="s">
        <v>11</v>
      </c>
      <c r="K2660" s="38">
        <v>2.9999999999999997E-4</v>
      </c>
      <c r="L2660" s="39">
        <v>738</v>
      </c>
    </row>
    <row r="2661" spans="1:12" ht="19.95" customHeight="1" x14ac:dyDescent="0.3">
      <c r="A2661" s="6" t="s">
        <v>4434</v>
      </c>
      <c r="B2661" s="7" t="s">
        <v>4351</v>
      </c>
      <c r="C2661" s="6" t="s">
        <v>5565</v>
      </c>
      <c r="D2661" s="7" t="s">
        <v>5674</v>
      </c>
      <c r="E2661" s="6" t="s">
        <v>5675</v>
      </c>
      <c r="F2661" s="7" t="s">
        <v>4368</v>
      </c>
      <c r="G2661" s="7" t="s">
        <v>4367</v>
      </c>
      <c r="H2661" s="5" t="s">
        <v>223</v>
      </c>
      <c r="I2661" s="6" t="s">
        <v>224</v>
      </c>
      <c r="J2661" s="7" t="s">
        <v>11</v>
      </c>
      <c r="K2661" s="36">
        <v>2.9999999999999997E-4</v>
      </c>
      <c r="L2661" s="37">
        <v>679</v>
      </c>
    </row>
    <row r="2662" spans="1:12" ht="19.95" customHeight="1" x14ac:dyDescent="0.3">
      <c r="A2662" s="2" t="s">
        <v>4434</v>
      </c>
      <c r="B2662" s="3" t="s">
        <v>4351</v>
      </c>
      <c r="C2662" s="2" t="s">
        <v>5565</v>
      </c>
      <c r="D2662" s="3" t="s">
        <v>5674</v>
      </c>
      <c r="E2662" s="2" t="s">
        <v>5675</v>
      </c>
      <c r="F2662" s="3" t="s">
        <v>4368</v>
      </c>
      <c r="G2662" s="3" t="s">
        <v>4367</v>
      </c>
      <c r="H2662" s="1" t="s">
        <v>231</v>
      </c>
      <c r="I2662" s="2" t="s">
        <v>232</v>
      </c>
      <c r="J2662" s="3" t="s">
        <v>11</v>
      </c>
      <c r="K2662" s="38">
        <v>2.0000000000000001E-4</v>
      </c>
      <c r="L2662" s="39">
        <v>617</v>
      </c>
    </row>
    <row r="2663" spans="1:12" ht="19.95" customHeight="1" x14ac:dyDescent="0.3">
      <c r="A2663" s="6" t="s">
        <v>4434</v>
      </c>
      <c r="B2663" s="7" t="s">
        <v>4351</v>
      </c>
      <c r="C2663" s="6" t="s">
        <v>5565</v>
      </c>
      <c r="D2663" s="7" t="s">
        <v>5676</v>
      </c>
      <c r="E2663" s="6" t="s">
        <v>5677</v>
      </c>
      <c r="F2663" s="7" t="s">
        <v>4368</v>
      </c>
      <c r="G2663" s="7" t="s">
        <v>4367</v>
      </c>
      <c r="H2663" s="5" t="s">
        <v>213</v>
      </c>
      <c r="I2663" s="6" t="s">
        <v>214</v>
      </c>
      <c r="J2663" s="7" t="s">
        <v>11</v>
      </c>
      <c r="K2663" s="36">
        <v>0.125</v>
      </c>
      <c r="L2663" s="37">
        <v>738</v>
      </c>
    </row>
    <row r="2664" spans="1:12" ht="19.95" customHeight="1" x14ac:dyDescent="0.3">
      <c r="A2664" s="2" t="s">
        <v>4434</v>
      </c>
      <c r="B2664" s="3" t="s">
        <v>4351</v>
      </c>
      <c r="C2664" s="2" t="s">
        <v>5565</v>
      </c>
      <c r="D2664" s="3" t="s">
        <v>5676</v>
      </c>
      <c r="E2664" s="2" t="s">
        <v>5677</v>
      </c>
      <c r="F2664" s="3" t="s">
        <v>4368</v>
      </c>
      <c r="G2664" s="3" t="s">
        <v>4367</v>
      </c>
      <c r="H2664" s="1" t="s">
        <v>223</v>
      </c>
      <c r="I2664" s="2" t="s">
        <v>224</v>
      </c>
      <c r="J2664" s="3" t="s">
        <v>11</v>
      </c>
      <c r="K2664" s="38">
        <v>0.75</v>
      </c>
      <c r="L2664" s="39">
        <v>679</v>
      </c>
    </row>
    <row r="2665" spans="1:12" ht="19.95" customHeight="1" x14ac:dyDescent="0.3">
      <c r="A2665" s="6" t="s">
        <v>4434</v>
      </c>
      <c r="B2665" s="7" t="s">
        <v>4351</v>
      </c>
      <c r="C2665" s="6" t="s">
        <v>5565</v>
      </c>
      <c r="D2665" s="7" t="s">
        <v>5676</v>
      </c>
      <c r="E2665" s="6" t="s">
        <v>5677</v>
      </c>
      <c r="F2665" s="7" t="s">
        <v>4368</v>
      </c>
      <c r="G2665" s="7" t="s">
        <v>4367</v>
      </c>
      <c r="H2665" s="5" t="s">
        <v>209</v>
      </c>
      <c r="I2665" s="6" t="s">
        <v>210</v>
      </c>
      <c r="J2665" s="7" t="s">
        <v>11</v>
      </c>
      <c r="K2665" s="36">
        <v>0.5</v>
      </c>
      <c r="L2665" s="37">
        <v>558</v>
      </c>
    </row>
    <row r="2666" spans="1:12" ht="19.95" customHeight="1" x14ac:dyDescent="0.3">
      <c r="A2666" s="2" t="s">
        <v>4434</v>
      </c>
      <c r="B2666" s="3" t="s">
        <v>4351</v>
      </c>
      <c r="C2666" s="2" t="s">
        <v>5565</v>
      </c>
      <c r="D2666" s="3" t="s">
        <v>5676</v>
      </c>
      <c r="E2666" s="2" t="s">
        <v>5677</v>
      </c>
      <c r="F2666" s="3" t="s">
        <v>4368</v>
      </c>
      <c r="G2666" s="3" t="s">
        <v>4367</v>
      </c>
      <c r="H2666" s="1" t="s">
        <v>209</v>
      </c>
      <c r="I2666" s="2" t="s">
        <v>210</v>
      </c>
      <c r="J2666" s="3" t="s">
        <v>11</v>
      </c>
      <c r="K2666" s="38">
        <v>4.4999999999999997E-3</v>
      </c>
      <c r="L2666" s="39">
        <v>558</v>
      </c>
    </row>
    <row r="2667" spans="1:12" ht="19.95" customHeight="1" x14ac:dyDescent="0.3">
      <c r="A2667" s="6" t="s">
        <v>4434</v>
      </c>
      <c r="B2667" s="7" t="s">
        <v>4351</v>
      </c>
      <c r="C2667" s="6" t="s">
        <v>5565</v>
      </c>
      <c r="D2667" s="7" t="s">
        <v>5676</v>
      </c>
      <c r="E2667" s="6" t="s">
        <v>5677</v>
      </c>
      <c r="F2667" s="7" t="s">
        <v>4368</v>
      </c>
      <c r="G2667" s="7" t="s">
        <v>4367</v>
      </c>
      <c r="H2667" s="5" t="s">
        <v>211</v>
      </c>
      <c r="I2667" s="6" t="s">
        <v>212</v>
      </c>
      <c r="J2667" s="7" t="s">
        <v>11</v>
      </c>
      <c r="K2667" s="36">
        <v>3.2000000000000002E-3</v>
      </c>
      <c r="L2667" s="37">
        <v>558</v>
      </c>
    </row>
    <row r="2668" spans="1:12" ht="19.95" customHeight="1" x14ac:dyDescent="0.3">
      <c r="A2668" s="2" t="s">
        <v>4434</v>
      </c>
      <c r="B2668" s="3" t="s">
        <v>4351</v>
      </c>
      <c r="C2668" s="2" t="s">
        <v>5565</v>
      </c>
      <c r="D2668" s="3" t="s">
        <v>5676</v>
      </c>
      <c r="E2668" s="2" t="s">
        <v>5677</v>
      </c>
      <c r="F2668" s="3" t="s">
        <v>4368</v>
      </c>
      <c r="G2668" s="3" t="s">
        <v>4367</v>
      </c>
      <c r="H2668" s="1" t="s">
        <v>197</v>
      </c>
      <c r="I2668" s="2" t="s">
        <v>198</v>
      </c>
      <c r="J2668" s="3" t="s">
        <v>11</v>
      </c>
      <c r="K2668" s="38">
        <v>1.4E-3</v>
      </c>
      <c r="L2668" s="39">
        <v>617</v>
      </c>
    </row>
    <row r="2669" spans="1:12" ht="19.95" customHeight="1" x14ac:dyDescent="0.3">
      <c r="A2669" s="6" t="s">
        <v>4434</v>
      </c>
      <c r="B2669" s="7" t="s">
        <v>4351</v>
      </c>
      <c r="C2669" s="6" t="s">
        <v>5565</v>
      </c>
      <c r="D2669" s="7" t="s">
        <v>5676</v>
      </c>
      <c r="E2669" s="6" t="s">
        <v>5677</v>
      </c>
      <c r="F2669" s="7" t="s">
        <v>4368</v>
      </c>
      <c r="G2669" s="7" t="s">
        <v>4367</v>
      </c>
      <c r="H2669" s="5" t="s">
        <v>221</v>
      </c>
      <c r="I2669" s="6" t="s">
        <v>222</v>
      </c>
      <c r="J2669" s="7" t="s">
        <v>11</v>
      </c>
      <c r="K2669" s="36">
        <v>2.9999999999999997E-4</v>
      </c>
      <c r="L2669" s="37">
        <v>738</v>
      </c>
    </row>
    <row r="2670" spans="1:12" ht="19.95" customHeight="1" x14ac:dyDescent="0.3">
      <c r="A2670" s="2" t="s">
        <v>4434</v>
      </c>
      <c r="B2670" s="3" t="s">
        <v>4351</v>
      </c>
      <c r="C2670" s="2" t="s">
        <v>5565</v>
      </c>
      <c r="D2670" s="3" t="s">
        <v>5676</v>
      </c>
      <c r="E2670" s="2" t="s">
        <v>5677</v>
      </c>
      <c r="F2670" s="3" t="s">
        <v>4368</v>
      </c>
      <c r="G2670" s="3" t="s">
        <v>4367</v>
      </c>
      <c r="H2670" s="1" t="s">
        <v>223</v>
      </c>
      <c r="I2670" s="2" t="s">
        <v>224</v>
      </c>
      <c r="J2670" s="3" t="s">
        <v>11</v>
      </c>
      <c r="K2670" s="38">
        <v>2.9999999999999997E-4</v>
      </c>
      <c r="L2670" s="39">
        <v>679</v>
      </c>
    </row>
    <row r="2671" spans="1:12" ht="19.95" customHeight="1" x14ac:dyDescent="0.3">
      <c r="A2671" s="6" t="s">
        <v>4434</v>
      </c>
      <c r="B2671" s="7" t="s">
        <v>4351</v>
      </c>
      <c r="C2671" s="6" t="s">
        <v>5565</v>
      </c>
      <c r="D2671" s="7" t="s">
        <v>5676</v>
      </c>
      <c r="E2671" s="6" t="s">
        <v>5677</v>
      </c>
      <c r="F2671" s="7" t="s">
        <v>4368</v>
      </c>
      <c r="G2671" s="7" t="s">
        <v>4367</v>
      </c>
      <c r="H2671" s="5" t="s">
        <v>231</v>
      </c>
      <c r="I2671" s="6" t="s">
        <v>232</v>
      </c>
      <c r="J2671" s="7" t="s">
        <v>11</v>
      </c>
      <c r="K2671" s="36">
        <v>2.0000000000000001E-4</v>
      </c>
      <c r="L2671" s="37">
        <v>617</v>
      </c>
    </row>
    <row r="2672" spans="1:12" ht="19.95" customHeight="1" x14ac:dyDescent="0.3">
      <c r="A2672" s="2" t="s">
        <v>4434</v>
      </c>
      <c r="B2672" s="3" t="s">
        <v>4351</v>
      </c>
      <c r="C2672" s="2" t="s">
        <v>5565</v>
      </c>
      <c r="D2672" s="3" t="s">
        <v>5678</v>
      </c>
      <c r="E2672" s="2" t="s">
        <v>5679</v>
      </c>
      <c r="F2672" s="3" t="s">
        <v>4437</v>
      </c>
      <c r="G2672" s="3" t="s">
        <v>4367</v>
      </c>
      <c r="H2672" s="1" t="s">
        <v>213</v>
      </c>
      <c r="I2672" s="2" t="s">
        <v>214</v>
      </c>
      <c r="J2672" s="3" t="s">
        <v>11</v>
      </c>
      <c r="K2672" s="38">
        <v>0.06</v>
      </c>
      <c r="L2672" s="39">
        <v>738</v>
      </c>
    </row>
    <row r="2673" spans="1:12" ht="19.95" customHeight="1" x14ac:dyDescent="0.3">
      <c r="A2673" s="6" t="s">
        <v>4434</v>
      </c>
      <c r="B2673" s="7" t="s">
        <v>4351</v>
      </c>
      <c r="C2673" s="6" t="s">
        <v>5565</v>
      </c>
      <c r="D2673" s="7" t="s">
        <v>5678</v>
      </c>
      <c r="E2673" s="6" t="s">
        <v>5679</v>
      </c>
      <c r="F2673" s="7" t="s">
        <v>4437</v>
      </c>
      <c r="G2673" s="7" t="s">
        <v>4367</v>
      </c>
      <c r="H2673" s="5" t="s">
        <v>215</v>
      </c>
      <c r="I2673" s="6" t="s">
        <v>216</v>
      </c>
      <c r="J2673" s="7" t="s">
        <v>11</v>
      </c>
      <c r="K2673" s="36">
        <v>0.06</v>
      </c>
      <c r="L2673" s="37">
        <v>679</v>
      </c>
    </row>
    <row r="2674" spans="1:12" ht="19.95" customHeight="1" x14ac:dyDescent="0.3">
      <c r="A2674" s="2" t="s">
        <v>4434</v>
      </c>
      <c r="B2674" s="3" t="s">
        <v>4351</v>
      </c>
      <c r="C2674" s="2" t="s">
        <v>5565</v>
      </c>
      <c r="D2674" s="3" t="s">
        <v>5678</v>
      </c>
      <c r="E2674" s="2" t="s">
        <v>5679</v>
      </c>
      <c r="F2674" s="3" t="s">
        <v>4437</v>
      </c>
      <c r="G2674" s="3" t="s">
        <v>4367</v>
      </c>
      <c r="H2674" s="1" t="s">
        <v>209</v>
      </c>
      <c r="I2674" s="2" t="s">
        <v>210</v>
      </c>
      <c r="J2674" s="3" t="s">
        <v>11</v>
      </c>
      <c r="K2674" s="38">
        <v>0.12</v>
      </c>
      <c r="L2674" s="39">
        <v>558</v>
      </c>
    </row>
    <row r="2675" spans="1:12" ht="19.95" customHeight="1" x14ac:dyDescent="0.3">
      <c r="A2675" s="6" t="s">
        <v>4434</v>
      </c>
      <c r="B2675" s="7" t="s">
        <v>4351</v>
      </c>
      <c r="C2675" s="6" t="s">
        <v>5565</v>
      </c>
      <c r="D2675" s="7" t="s">
        <v>5680</v>
      </c>
      <c r="E2675" s="6" t="s">
        <v>5681</v>
      </c>
      <c r="F2675" s="7" t="s">
        <v>4437</v>
      </c>
      <c r="G2675" s="7" t="s">
        <v>4367</v>
      </c>
      <c r="H2675" s="5" t="s">
        <v>213</v>
      </c>
      <c r="I2675" s="6" t="s">
        <v>214</v>
      </c>
      <c r="J2675" s="7" t="s">
        <v>11</v>
      </c>
      <c r="K2675" s="36">
        <v>0.08</v>
      </c>
      <c r="L2675" s="37">
        <v>738</v>
      </c>
    </row>
    <row r="2676" spans="1:12" ht="19.95" customHeight="1" x14ac:dyDescent="0.3">
      <c r="A2676" s="2" t="s">
        <v>4434</v>
      </c>
      <c r="B2676" s="3" t="s">
        <v>4351</v>
      </c>
      <c r="C2676" s="2" t="s">
        <v>5565</v>
      </c>
      <c r="D2676" s="3" t="s">
        <v>5680</v>
      </c>
      <c r="E2676" s="2" t="s">
        <v>5681</v>
      </c>
      <c r="F2676" s="3" t="s">
        <v>4437</v>
      </c>
      <c r="G2676" s="3" t="s">
        <v>4367</v>
      </c>
      <c r="H2676" s="1" t="s">
        <v>215</v>
      </c>
      <c r="I2676" s="2" t="s">
        <v>216</v>
      </c>
      <c r="J2676" s="3" t="s">
        <v>11</v>
      </c>
      <c r="K2676" s="38">
        <v>0.08</v>
      </c>
      <c r="L2676" s="39">
        <v>679</v>
      </c>
    </row>
    <row r="2677" spans="1:12" ht="19.95" customHeight="1" x14ac:dyDescent="0.3">
      <c r="A2677" s="6" t="s">
        <v>4434</v>
      </c>
      <c r="B2677" s="7" t="s">
        <v>4351</v>
      </c>
      <c r="C2677" s="6" t="s">
        <v>5565</v>
      </c>
      <c r="D2677" s="7" t="s">
        <v>5680</v>
      </c>
      <c r="E2677" s="6" t="s">
        <v>5681</v>
      </c>
      <c r="F2677" s="7" t="s">
        <v>4437</v>
      </c>
      <c r="G2677" s="7" t="s">
        <v>4367</v>
      </c>
      <c r="H2677" s="5" t="s">
        <v>209</v>
      </c>
      <c r="I2677" s="6" t="s">
        <v>210</v>
      </c>
      <c r="J2677" s="7" t="s">
        <v>11</v>
      </c>
      <c r="K2677" s="36">
        <v>0.15</v>
      </c>
      <c r="L2677" s="37">
        <v>558</v>
      </c>
    </row>
    <row r="2678" spans="1:12" ht="19.95" customHeight="1" x14ac:dyDescent="0.3">
      <c r="A2678" s="2" t="s">
        <v>4434</v>
      </c>
      <c r="B2678" s="3" t="s">
        <v>4351</v>
      </c>
      <c r="C2678" s="2" t="s">
        <v>5565</v>
      </c>
      <c r="D2678" s="3" t="s">
        <v>5682</v>
      </c>
      <c r="E2678" s="2" t="s">
        <v>5683</v>
      </c>
      <c r="F2678" s="3" t="s">
        <v>4344</v>
      </c>
      <c r="G2678" s="3" t="s">
        <v>4367</v>
      </c>
      <c r="H2678" s="1" t="s">
        <v>235</v>
      </c>
      <c r="I2678" s="2" t="s">
        <v>236</v>
      </c>
      <c r="J2678" s="3" t="s">
        <v>11</v>
      </c>
      <c r="K2678" s="38">
        <v>0.4</v>
      </c>
      <c r="L2678" s="39">
        <v>738</v>
      </c>
    </row>
    <row r="2679" spans="1:12" ht="19.95" customHeight="1" x14ac:dyDescent="0.3">
      <c r="A2679" s="6" t="s">
        <v>4434</v>
      </c>
      <c r="B2679" s="7" t="s">
        <v>4351</v>
      </c>
      <c r="C2679" s="6" t="s">
        <v>5565</v>
      </c>
      <c r="D2679" s="7" t="s">
        <v>5682</v>
      </c>
      <c r="E2679" s="6" t="s">
        <v>5683</v>
      </c>
      <c r="F2679" s="7" t="s">
        <v>4344</v>
      </c>
      <c r="G2679" s="7" t="s">
        <v>4367</v>
      </c>
      <c r="H2679" s="5" t="s">
        <v>199</v>
      </c>
      <c r="I2679" s="6" t="s">
        <v>200</v>
      </c>
      <c r="J2679" s="7" t="s">
        <v>11</v>
      </c>
      <c r="K2679" s="36">
        <v>1.2</v>
      </c>
      <c r="L2679" s="37">
        <v>738</v>
      </c>
    </row>
    <row r="2680" spans="1:12" ht="19.95" customHeight="1" x14ac:dyDescent="0.3">
      <c r="A2680" s="2" t="s">
        <v>4434</v>
      </c>
      <c r="B2680" s="3" t="s">
        <v>4351</v>
      </c>
      <c r="C2680" s="2" t="s">
        <v>5565</v>
      </c>
      <c r="D2680" s="3" t="s">
        <v>5682</v>
      </c>
      <c r="E2680" s="2" t="s">
        <v>5683</v>
      </c>
      <c r="F2680" s="3" t="s">
        <v>4344</v>
      </c>
      <c r="G2680" s="3" t="s">
        <v>4367</v>
      </c>
      <c r="H2680" s="1" t="s">
        <v>201</v>
      </c>
      <c r="I2680" s="2" t="s">
        <v>202</v>
      </c>
      <c r="J2680" s="3" t="s">
        <v>11</v>
      </c>
      <c r="K2680" s="38">
        <v>0.8</v>
      </c>
      <c r="L2680" s="39">
        <v>679</v>
      </c>
    </row>
    <row r="2681" spans="1:12" ht="19.95" customHeight="1" x14ac:dyDescent="0.3">
      <c r="A2681" s="6" t="s">
        <v>4434</v>
      </c>
      <c r="B2681" s="7" t="s">
        <v>4351</v>
      </c>
      <c r="C2681" s="6" t="s">
        <v>5565</v>
      </c>
      <c r="D2681" s="7" t="s">
        <v>5682</v>
      </c>
      <c r="E2681" s="6" t="s">
        <v>5683</v>
      </c>
      <c r="F2681" s="7" t="s">
        <v>4344</v>
      </c>
      <c r="G2681" s="7" t="s">
        <v>4367</v>
      </c>
      <c r="H2681" s="5" t="s">
        <v>209</v>
      </c>
      <c r="I2681" s="6" t="s">
        <v>210</v>
      </c>
      <c r="J2681" s="7" t="s">
        <v>11</v>
      </c>
      <c r="K2681" s="36">
        <v>2.4</v>
      </c>
      <c r="L2681" s="37">
        <v>558</v>
      </c>
    </row>
    <row r="2682" spans="1:12" ht="19.95" customHeight="1" x14ac:dyDescent="0.3">
      <c r="A2682" s="2" t="s">
        <v>4434</v>
      </c>
      <c r="B2682" s="3" t="s">
        <v>4351</v>
      </c>
      <c r="C2682" s="2" t="s">
        <v>5565</v>
      </c>
      <c r="D2682" s="3" t="s">
        <v>5684</v>
      </c>
      <c r="E2682" s="2" t="s">
        <v>5685</v>
      </c>
      <c r="F2682" s="3" t="s">
        <v>4344</v>
      </c>
      <c r="G2682" s="3" t="s">
        <v>4367</v>
      </c>
      <c r="H2682" s="1" t="s">
        <v>235</v>
      </c>
      <c r="I2682" s="2" t="s">
        <v>236</v>
      </c>
      <c r="J2682" s="3" t="s">
        <v>11</v>
      </c>
      <c r="K2682" s="38">
        <v>0.4</v>
      </c>
      <c r="L2682" s="39">
        <v>738</v>
      </c>
    </row>
    <row r="2683" spans="1:12" ht="19.95" customHeight="1" x14ac:dyDescent="0.3">
      <c r="A2683" s="6" t="s">
        <v>4434</v>
      </c>
      <c r="B2683" s="7" t="s">
        <v>4351</v>
      </c>
      <c r="C2683" s="6" t="s">
        <v>5565</v>
      </c>
      <c r="D2683" s="7" t="s">
        <v>5684</v>
      </c>
      <c r="E2683" s="6" t="s">
        <v>5685</v>
      </c>
      <c r="F2683" s="7" t="s">
        <v>4344</v>
      </c>
      <c r="G2683" s="7" t="s">
        <v>4367</v>
      </c>
      <c r="H2683" s="5" t="s">
        <v>199</v>
      </c>
      <c r="I2683" s="6" t="s">
        <v>200</v>
      </c>
      <c r="J2683" s="7" t="s">
        <v>11</v>
      </c>
      <c r="K2683" s="36">
        <v>1.2</v>
      </c>
      <c r="L2683" s="37">
        <v>738</v>
      </c>
    </row>
    <row r="2684" spans="1:12" ht="19.95" customHeight="1" x14ac:dyDescent="0.3">
      <c r="A2684" s="2" t="s">
        <v>4434</v>
      </c>
      <c r="B2684" s="3" t="s">
        <v>4351</v>
      </c>
      <c r="C2684" s="2" t="s">
        <v>5565</v>
      </c>
      <c r="D2684" s="3" t="s">
        <v>5684</v>
      </c>
      <c r="E2684" s="2" t="s">
        <v>5685</v>
      </c>
      <c r="F2684" s="3" t="s">
        <v>4344</v>
      </c>
      <c r="G2684" s="3" t="s">
        <v>4367</v>
      </c>
      <c r="H2684" s="1" t="s">
        <v>201</v>
      </c>
      <c r="I2684" s="2" t="s">
        <v>202</v>
      </c>
      <c r="J2684" s="3" t="s">
        <v>11</v>
      </c>
      <c r="K2684" s="38">
        <v>0.8</v>
      </c>
      <c r="L2684" s="39">
        <v>679</v>
      </c>
    </row>
    <row r="2685" spans="1:12" ht="19.95" customHeight="1" x14ac:dyDescent="0.3">
      <c r="A2685" s="6" t="s">
        <v>4434</v>
      </c>
      <c r="B2685" s="7" t="s">
        <v>4351</v>
      </c>
      <c r="C2685" s="6" t="s">
        <v>5565</v>
      </c>
      <c r="D2685" s="7" t="s">
        <v>5684</v>
      </c>
      <c r="E2685" s="6" t="s">
        <v>5685</v>
      </c>
      <c r="F2685" s="7" t="s">
        <v>4344</v>
      </c>
      <c r="G2685" s="7" t="s">
        <v>4367</v>
      </c>
      <c r="H2685" s="5" t="s">
        <v>209</v>
      </c>
      <c r="I2685" s="6" t="s">
        <v>210</v>
      </c>
      <c r="J2685" s="7" t="s">
        <v>11</v>
      </c>
      <c r="K2685" s="36">
        <v>2.4</v>
      </c>
      <c r="L2685" s="37">
        <v>558</v>
      </c>
    </row>
    <row r="2686" spans="1:12" ht="19.95" customHeight="1" x14ac:dyDescent="0.3">
      <c r="A2686" s="2" t="s">
        <v>4434</v>
      </c>
      <c r="B2686" s="3" t="s">
        <v>4351</v>
      </c>
      <c r="C2686" s="2" t="s">
        <v>5565</v>
      </c>
      <c r="D2686" s="3" t="s">
        <v>5686</v>
      </c>
      <c r="E2686" s="2" t="s">
        <v>5687</v>
      </c>
      <c r="F2686" s="3" t="s">
        <v>5014</v>
      </c>
      <c r="G2686" s="3" t="s">
        <v>4367</v>
      </c>
      <c r="H2686" s="1" t="s">
        <v>213</v>
      </c>
      <c r="I2686" s="2" t="s">
        <v>214</v>
      </c>
      <c r="J2686" s="3" t="s">
        <v>11</v>
      </c>
      <c r="K2686" s="38">
        <v>0.19</v>
      </c>
      <c r="L2686" s="39">
        <v>738</v>
      </c>
    </row>
    <row r="2687" spans="1:12" ht="19.95" customHeight="1" x14ac:dyDescent="0.3">
      <c r="A2687" s="6" t="s">
        <v>4434</v>
      </c>
      <c r="B2687" s="7" t="s">
        <v>4351</v>
      </c>
      <c r="C2687" s="6" t="s">
        <v>5565</v>
      </c>
      <c r="D2687" s="7" t="s">
        <v>5686</v>
      </c>
      <c r="E2687" s="6" t="s">
        <v>5687</v>
      </c>
      <c r="F2687" s="7" t="s">
        <v>5014</v>
      </c>
      <c r="G2687" s="7" t="s">
        <v>4367</v>
      </c>
      <c r="H2687" s="5" t="s">
        <v>209</v>
      </c>
      <c r="I2687" s="6" t="s">
        <v>210</v>
      </c>
      <c r="J2687" s="7" t="s">
        <v>11</v>
      </c>
      <c r="K2687" s="36">
        <v>0.37</v>
      </c>
      <c r="L2687" s="37">
        <v>558</v>
      </c>
    </row>
    <row r="2688" spans="1:12" ht="19.95" customHeight="1" x14ac:dyDescent="0.3">
      <c r="A2688" s="2" t="s">
        <v>4434</v>
      </c>
      <c r="B2688" s="3" t="s">
        <v>4351</v>
      </c>
      <c r="C2688" s="2" t="s">
        <v>5565</v>
      </c>
      <c r="D2688" s="3" t="s">
        <v>5686</v>
      </c>
      <c r="E2688" s="2" t="s">
        <v>5687</v>
      </c>
      <c r="F2688" s="3" t="s">
        <v>5014</v>
      </c>
      <c r="G2688" s="3" t="s">
        <v>4367</v>
      </c>
      <c r="H2688" s="1" t="s">
        <v>194</v>
      </c>
      <c r="I2688" s="2" t="s">
        <v>196</v>
      </c>
      <c r="J2688" s="3" t="s">
        <v>11</v>
      </c>
      <c r="K2688" s="38">
        <v>0.08</v>
      </c>
      <c r="L2688" s="39">
        <v>617</v>
      </c>
    </row>
    <row r="2689" spans="1:12" ht="19.95" customHeight="1" x14ac:dyDescent="0.3">
      <c r="A2689" s="6" t="s">
        <v>4434</v>
      </c>
      <c r="B2689" s="7" t="s">
        <v>4351</v>
      </c>
      <c r="C2689" s="6" t="s">
        <v>5565</v>
      </c>
      <c r="D2689" s="7" t="s">
        <v>5688</v>
      </c>
      <c r="E2689" s="6" t="s">
        <v>5689</v>
      </c>
      <c r="F2689" s="7" t="s">
        <v>5014</v>
      </c>
      <c r="G2689" s="7" t="s">
        <v>4367</v>
      </c>
      <c r="H2689" s="5" t="s">
        <v>213</v>
      </c>
      <c r="I2689" s="6" t="s">
        <v>214</v>
      </c>
      <c r="J2689" s="7" t="s">
        <v>11</v>
      </c>
      <c r="K2689" s="36">
        <v>0.23</v>
      </c>
      <c r="L2689" s="37">
        <v>738</v>
      </c>
    </row>
    <row r="2690" spans="1:12" ht="19.95" customHeight="1" x14ac:dyDescent="0.3">
      <c r="A2690" s="2" t="s">
        <v>4434</v>
      </c>
      <c r="B2690" s="3" t="s">
        <v>4351</v>
      </c>
      <c r="C2690" s="2" t="s">
        <v>5565</v>
      </c>
      <c r="D2690" s="3" t="s">
        <v>5688</v>
      </c>
      <c r="E2690" s="2" t="s">
        <v>5689</v>
      </c>
      <c r="F2690" s="3" t="s">
        <v>5014</v>
      </c>
      <c r="G2690" s="3" t="s">
        <v>4367</v>
      </c>
      <c r="H2690" s="1" t="s">
        <v>209</v>
      </c>
      <c r="I2690" s="2" t="s">
        <v>210</v>
      </c>
      <c r="J2690" s="3" t="s">
        <v>11</v>
      </c>
      <c r="K2690" s="38">
        <v>0.45</v>
      </c>
      <c r="L2690" s="39">
        <v>558</v>
      </c>
    </row>
    <row r="2691" spans="1:12" ht="19.95" customHeight="1" x14ac:dyDescent="0.3">
      <c r="A2691" s="6" t="s">
        <v>4434</v>
      </c>
      <c r="B2691" s="7" t="s">
        <v>4351</v>
      </c>
      <c r="C2691" s="6" t="s">
        <v>5565</v>
      </c>
      <c r="D2691" s="7" t="s">
        <v>5688</v>
      </c>
      <c r="E2691" s="6" t="s">
        <v>5689</v>
      </c>
      <c r="F2691" s="7" t="s">
        <v>5014</v>
      </c>
      <c r="G2691" s="7" t="s">
        <v>4367</v>
      </c>
      <c r="H2691" s="5" t="s">
        <v>194</v>
      </c>
      <c r="I2691" s="6" t="s">
        <v>196</v>
      </c>
      <c r="J2691" s="7" t="s">
        <v>11</v>
      </c>
      <c r="K2691" s="36">
        <v>0.11</v>
      </c>
      <c r="L2691" s="37">
        <v>617</v>
      </c>
    </row>
    <row r="2692" spans="1:12" ht="19.95" customHeight="1" x14ac:dyDescent="0.3">
      <c r="A2692" s="2" t="s">
        <v>4434</v>
      </c>
      <c r="B2692" s="3" t="s">
        <v>4351</v>
      </c>
      <c r="C2692" s="2" t="s">
        <v>5565</v>
      </c>
      <c r="D2692" s="3" t="s">
        <v>5690</v>
      </c>
      <c r="E2692" s="2" t="s">
        <v>5691</v>
      </c>
      <c r="F2692" s="3" t="s">
        <v>5692</v>
      </c>
      <c r="G2692" s="3" t="s">
        <v>4367</v>
      </c>
      <c r="H2692" s="1" t="s">
        <v>213</v>
      </c>
      <c r="I2692" s="2" t="s">
        <v>214</v>
      </c>
      <c r="J2692" s="3" t="s">
        <v>11</v>
      </c>
      <c r="K2692" s="38">
        <v>0.125</v>
      </c>
      <c r="L2692" s="39">
        <v>738</v>
      </c>
    </row>
    <row r="2693" spans="1:12" ht="19.95" customHeight="1" x14ac:dyDescent="0.3">
      <c r="A2693" s="6" t="s">
        <v>4434</v>
      </c>
      <c r="B2693" s="7" t="s">
        <v>4351</v>
      </c>
      <c r="C2693" s="6" t="s">
        <v>5565</v>
      </c>
      <c r="D2693" s="7" t="s">
        <v>5690</v>
      </c>
      <c r="E2693" s="6" t="s">
        <v>5691</v>
      </c>
      <c r="F2693" s="7" t="s">
        <v>5692</v>
      </c>
      <c r="G2693" s="7" t="s">
        <v>4367</v>
      </c>
      <c r="H2693" s="5" t="s">
        <v>223</v>
      </c>
      <c r="I2693" s="6" t="s">
        <v>224</v>
      </c>
      <c r="J2693" s="7" t="s">
        <v>11</v>
      </c>
      <c r="K2693" s="36">
        <v>0.75</v>
      </c>
      <c r="L2693" s="37">
        <v>679</v>
      </c>
    </row>
    <row r="2694" spans="1:12" ht="19.95" customHeight="1" x14ac:dyDescent="0.3">
      <c r="A2694" s="2" t="s">
        <v>4434</v>
      </c>
      <c r="B2694" s="3" t="s">
        <v>4351</v>
      </c>
      <c r="C2694" s="2" t="s">
        <v>5565</v>
      </c>
      <c r="D2694" s="3" t="s">
        <v>5690</v>
      </c>
      <c r="E2694" s="2" t="s">
        <v>5691</v>
      </c>
      <c r="F2694" s="3" t="s">
        <v>5692</v>
      </c>
      <c r="G2694" s="3" t="s">
        <v>4367</v>
      </c>
      <c r="H2694" s="1" t="s">
        <v>209</v>
      </c>
      <c r="I2694" s="2" t="s">
        <v>210</v>
      </c>
      <c r="J2694" s="3" t="s">
        <v>11</v>
      </c>
      <c r="K2694" s="38">
        <v>0.5</v>
      </c>
      <c r="L2694" s="39">
        <v>558</v>
      </c>
    </row>
    <row r="2695" spans="1:12" ht="19.95" customHeight="1" x14ac:dyDescent="0.3">
      <c r="A2695" s="6" t="s">
        <v>4434</v>
      </c>
      <c r="B2695" s="7" t="s">
        <v>4351</v>
      </c>
      <c r="C2695" s="6" t="s">
        <v>5565</v>
      </c>
      <c r="D2695" s="7" t="s">
        <v>5693</v>
      </c>
      <c r="E2695" s="6" t="s">
        <v>5694</v>
      </c>
      <c r="F2695" s="7" t="s">
        <v>5692</v>
      </c>
      <c r="G2695" s="7" t="s">
        <v>4367</v>
      </c>
      <c r="H2695" s="5" t="s">
        <v>213</v>
      </c>
      <c r="I2695" s="6" t="s">
        <v>214</v>
      </c>
      <c r="J2695" s="7" t="s">
        <v>11</v>
      </c>
      <c r="K2695" s="36">
        <v>0.125</v>
      </c>
      <c r="L2695" s="37">
        <v>738</v>
      </c>
    </row>
    <row r="2696" spans="1:12" ht="19.95" customHeight="1" x14ac:dyDescent="0.3">
      <c r="A2696" s="2" t="s">
        <v>4434</v>
      </c>
      <c r="B2696" s="3" t="s">
        <v>4351</v>
      </c>
      <c r="C2696" s="2" t="s">
        <v>5565</v>
      </c>
      <c r="D2696" s="3" t="s">
        <v>5693</v>
      </c>
      <c r="E2696" s="2" t="s">
        <v>5694</v>
      </c>
      <c r="F2696" s="3" t="s">
        <v>5692</v>
      </c>
      <c r="G2696" s="3" t="s">
        <v>4367</v>
      </c>
      <c r="H2696" s="1" t="s">
        <v>223</v>
      </c>
      <c r="I2696" s="2" t="s">
        <v>224</v>
      </c>
      <c r="J2696" s="3" t="s">
        <v>11</v>
      </c>
      <c r="K2696" s="38">
        <v>0.75</v>
      </c>
      <c r="L2696" s="39">
        <v>679</v>
      </c>
    </row>
    <row r="2697" spans="1:12" ht="19.95" customHeight="1" x14ac:dyDescent="0.3">
      <c r="A2697" s="6" t="s">
        <v>4434</v>
      </c>
      <c r="B2697" s="7" t="s">
        <v>4351</v>
      </c>
      <c r="C2697" s="6" t="s">
        <v>5565</v>
      </c>
      <c r="D2697" s="7" t="s">
        <v>5693</v>
      </c>
      <c r="E2697" s="6" t="s">
        <v>5694</v>
      </c>
      <c r="F2697" s="7" t="s">
        <v>5692</v>
      </c>
      <c r="G2697" s="7" t="s">
        <v>4367</v>
      </c>
      <c r="H2697" s="5" t="s">
        <v>209</v>
      </c>
      <c r="I2697" s="6" t="s">
        <v>210</v>
      </c>
      <c r="J2697" s="7" t="s">
        <v>11</v>
      </c>
      <c r="K2697" s="36">
        <v>0.5</v>
      </c>
      <c r="L2697" s="37">
        <v>558</v>
      </c>
    </row>
    <row r="2698" spans="1:12" ht="19.95" customHeight="1" x14ac:dyDescent="0.3">
      <c r="A2698" s="2" t="s">
        <v>4434</v>
      </c>
      <c r="B2698" s="3" t="s">
        <v>4351</v>
      </c>
      <c r="C2698" s="2" t="s">
        <v>5565</v>
      </c>
      <c r="D2698" s="3" t="s">
        <v>5695</v>
      </c>
      <c r="E2698" s="2" t="s">
        <v>5696</v>
      </c>
      <c r="F2698" s="3" t="s">
        <v>4344</v>
      </c>
      <c r="G2698" s="3" t="s">
        <v>4367</v>
      </c>
      <c r="H2698" s="1" t="s">
        <v>205</v>
      </c>
      <c r="I2698" s="2" t="s">
        <v>206</v>
      </c>
      <c r="J2698" s="3" t="s">
        <v>11</v>
      </c>
      <c r="K2698" s="38">
        <v>31.103999999999999</v>
      </c>
      <c r="L2698" s="39">
        <v>679</v>
      </c>
    </row>
    <row r="2699" spans="1:12" ht="19.95" customHeight="1" x14ac:dyDescent="0.3">
      <c r="A2699" s="6" t="s">
        <v>4434</v>
      </c>
      <c r="B2699" s="7" t="s">
        <v>4351</v>
      </c>
      <c r="C2699" s="6" t="s">
        <v>5565</v>
      </c>
      <c r="D2699" s="7" t="s">
        <v>5695</v>
      </c>
      <c r="E2699" s="6" t="s">
        <v>5696</v>
      </c>
      <c r="F2699" s="7" t="s">
        <v>4344</v>
      </c>
      <c r="G2699" s="7" t="s">
        <v>4367</v>
      </c>
      <c r="H2699" s="5" t="s">
        <v>209</v>
      </c>
      <c r="I2699" s="6" t="s">
        <v>210</v>
      </c>
      <c r="J2699" s="7" t="s">
        <v>11</v>
      </c>
      <c r="K2699" s="36">
        <v>31.103999999999999</v>
      </c>
      <c r="L2699" s="37">
        <v>558</v>
      </c>
    </row>
    <row r="2700" spans="1:12" ht="19.95" customHeight="1" x14ac:dyDescent="0.3">
      <c r="A2700" s="2" t="s">
        <v>4434</v>
      </c>
      <c r="B2700" s="3" t="s">
        <v>4351</v>
      </c>
      <c r="C2700" s="2" t="s">
        <v>5565</v>
      </c>
      <c r="D2700" s="3" t="s">
        <v>5697</v>
      </c>
      <c r="E2700" s="2" t="s">
        <v>5698</v>
      </c>
      <c r="F2700" s="3" t="s">
        <v>4344</v>
      </c>
      <c r="G2700" s="3" t="s">
        <v>4367</v>
      </c>
      <c r="H2700" s="1" t="s">
        <v>205</v>
      </c>
      <c r="I2700" s="2" t="s">
        <v>206</v>
      </c>
      <c r="J2700" s="3" t="s">
        <v>11</v>
      </c>
      <c r="K2700" s="38">
        <v>31.103999999999999</v>
      </c>
      <c r="L2700" s="39">
        <v>679</v>
      </c>
    </row>
    <row r="2701" spans="1:12" ht="19.95" customHeight="1" x14ac:dyDescent="0.3">
      <c r="A2701" s="6" t="s">
        <v>4434</v>
      </c>
      <c r="B2701" s="7" t="s">
        <v>4351</v>
      </c>
      <c r="C2701" s="6" t="s">
        <v>5565</v>
      </c>
      <c r="D2701" s="7" t="s">
        <v>5697</v>
      </c>
      <c r="E2701" s="6" t="s">
        <v>5698</v>
      </c>
      <c r="F2701" s="7" t="s">
        <v>4344</v>
      </c>
      <c r="G2701" s="7" t="s">
        <v>4367</v>
      </c>
      <c r="H2701" s="5" t="s">
        <v>209</v>
      </c>
      <c r="I2701" s="6" t="s">
        <v>210</v>
      </c>
      <c r="J2701" s="7" t="s">
        <v>11</v>
      </c>
      <c r="K2701" s="36">
        <v>31.103999999999999</v>
      </c>
      <c r="L2701" s="37">
        <v>558</v>
      </c>
    </row>
    <row r="2702" spans="1:12" ht="19.95" customHeight="1" x14ac:dyDescent="0.3">
      <c r="A2702" s="2" t="s">
        <v>4434</v>
      </c>
      <c r="B2702" s="3" t="s">
        <v>4351</v>
      </c>
      <c r="C2702" s="2" t="s">
        <v>5565</v>
      </c>
      <c r="D2702" s="3" t="s">
        <v>5699</v>
      </c>
      <c r="E2702" s="2" t="s">
        <v>5700</v>
      </c>
      <c r="F2702" s="3" t="s">
        <v>4344</v>
      </c>
      <c r="G2702" s="3" t="s">
        <v>4367</v>
      </c>
      <c r="H2702" s="1" t="s">
        <v>205</v>
      </c>
      <c r="I2702" s="2" t="s">
        <v>206</v>
      </c>
      <c r="J2702" s="3" t="s">
        <v>11</v>
      </c>
      <c r="K2702" s="38">
        <v>31.103999999999999</v>
      </c>
      <c r="L2702" s="39">
        <v>679</v>
      </c>
    </row>
    <row r="2703" spans="1:12" ht="19.95" customHeight="1" x14ac:dyDescent="0.3">
      <c r="A2703" s="6" t="s">
        <v>4434</v>
      </c>
      <c r="B2703" s="7" t="s">
        <v>4351</v>
      </c>
      <c r="C2703" s="6" t="s">
        <v>5565</v>
      </c>
      <c r="D2703" s="7" t="s">
        <v>5699</v>
      </c>
      <c r="E2703" s="6" t="s">
        <v>5700</v>
      </c>
      <c r="F2703" s="7" t="s">
        <v>4344</v>
      </c>
      <c r="G2703" s="7" t="s">
        <v>4367</v>
      </c>
      <c r="H2703" s="5" t="s">
        <v>209</v>
      </c>
      <c r="I2703" s="6" t="s">
        <v>210</v>
      </c>
      <c r="J2703" s="7" t="s">
        <v>11</v>
      </c>
      <c r="K2703" s="36">
        <v>31.103999999999999</v>
      </c>
      <c r="L2703" s="37">
        <v>558</v>
      </c>
    </row>
    <row r="2704" spans="1:12" ht="19.95" customHeight="1" x14ac:dyDescent="0.3">
      <c r="A2704" s="2" t="s">
        <v>4434</v>
      </c>
      <c r="B2704" s="3" t="s">
        <v>4351</v>
      </c>
      <c r="C2704" s="2" t="s">
        <v>5565</v>
      </c>
      <c r="D2704" s="3" t="s">
        <v>5701</v>
      </c>
      <c r="E2704" s="2" t="s">
        <v>5702</v>
      </c>
      <c r="F2704" s="3" t="s">
        <v>4344</v>
      </c>
      <c r="G2704" s="3" t="s">
        <v>4367</v>
      </c>
      <c r="H2704" s="1" t="s">
        <v>205</v>
      </c>
      <c r="I2704" s="2" t="s">
        <v>206</v>
      </c>
      <c r="J2704" s="3" t="s">
        <v>11</v>
      </c>
      <c r="K2704" s="38">
        <v>31.103999999999999</v>
      </c>
      <c r="L2704" s="39">
        <v>679</v>
      </c>
    </row>
    <row r="2705" spans="1:12" ht="19.95" customHeight="1" x14ac:dyDescent="0.3">
      <c r="A2705" s="6" t="s">
        <v>4434</v>
      </c>
      <c r="B2705" s="7" t="s">
        <v>4351</v>
      </c>
      <c r="C2705" s="6" t="s">
        <v>5565</v>
      </c>
      <c r="D2705" s="7" t="s">
        <v>5701</v>
      </c>
      <c r="E2705" s="6" t="s">
        <v>5702</v>
      </c>
      <c r="F2705" s="7" t="s">
        <v>4344</v>
      </c>
      <c r="G2705" s="7" t="s">
        <v>4367</v>
      </c>
      <c r="H2705" s="5" t="s">
        <v>209</v>
      </c>
      <c r="I2705" s="6" t="s">
        <v>210</v>
      </c>
      <c r="J2705" s="7" t="s">
        <v>11</v>
      </c>
      <c r="K2705" s="36">
        <v>31.103999999999999</v>
      </c>
      <c r="L2705" s="37">
        <v>558</v>
      </c>
    </row>
    <row r="2706" spans="1:12" ht="19.95" customHeight="1" x14ac:dyDescent="0.3">
      <c r="A2706" s="2" t="s">
        <v>4434</v>
      </c>
      <c r="B2706" s="3" t="s">
        <v>4351</v>
      </c>
      <c r="C2706" s="2" t="s">
        <v>5565</v>
      </c>
      <c r="D2706" s="3" t="s">
        <v>5703</v>
      </c>
      <c r="E2706" s="2" t="s">
        <v>5704</v>
      </c>
      <c r="F2706" s="3" t="s">
        <v>5705</v>
      </c>
      <c r="G2706" s="3" t="s">
        <v>4367</v>
      </c>
      <c r="H2706" s="1" t="s">
        <v>235</v>
      </c>
      <c r="I2706" s="2" t="s">
        <v>236</v>
      </c>
      <c r="J2706" s="3" t="s">
        <v>11</v>
      </c>
      <c r="K2706" s="38">
        <v>1.3</v>
      </c>
      <c r="L2706" s="39">
        <v>738</v>
      </c>
    </row>
    <row r="2707" spans="1:12" ht="19.95" customHeight="1" x14ac:dyDescent="0.3">
      <c r="A2707" s="6" t="s">
        <v>4434</v>
      </c>
      <c r="B2707" s="7" t="s">
        <v>4351</v>
      </c>
      <c r="C2707" s="6" t="s">
        <v>5565</v>
      </c>
      <c r="D2707" s="7" t="s">
        <v>5703</v>
      </c>
      <c r="E2707" s="6" t="s">
        <v>5704</v>
      </c>
      <c r="F2707" s="7" t="s">
        <v>5705</v>
      </c>
      <c r="G2707" s="7" t="s">
        <v>4367</v>
      </c>
      <c r="H2707" s="5" t="s">
        <v>205</v>
      </c>
      <c r="I2707" s="6" t="s">
        <v>206</v>
      </c>
      <c r="J2707" s="7" t="s">
        <v>11</v>
      </c>
      <c r="K2707" s="36">
        <v>15.5</v>
      </c>
      <c r="L2707" s="37">
        <v>679</v>
      </c>
    </row>
    <row r="2708" spans="1:12" ht="19.95" customHeight="1" x14ac:dyDescent="0.3">
      <c r="A2708" s="2" t="s">
        <v>4434</v>
      </c>
      <c r="B2708" s="3" t="s">
        <v>4351</v>
      </c>
      <c r="C2708" s="2" t="s">
        <v>5565</v>
      </c>
      <c r="D2708" s="3" t="s">
        <v>5703</v>
      </c>
      <c r="E2708" s="2" t="s">
        <v>5704</v>
      </c>
      <c r="F2708" s="3" t="s">
        <v>5705</v>
      </c>
      <c r="G2708" s="3" t="s">
        <v>4367</v>
      </c>
      <c r="H2708" s="1" t="s">
        <v>209</v>
      </c>
      <c r="I2708" s="2" t="s">
        <v>210</v>
      </c>
      <c r="J2708" s="3" t="s">
        <v>11</v>
      </c>
      <c r="K2708" s="38">
        <v>15.5</v>
      </c>
      <c r="L2708" s="39">
        <v>558</v>
      </c>
    </row>
    <row r="2709" spans="1:12" ht="19.95" customHeight="1" x14ac:dyDescent="0.3">
      <c r="A2709" s="6" t="s">
        <v>4434</v>
      </c>
      <c r="B2709" s="7" t="s">
        <v>4351</v>
      </c>
      <c r="C2709" s="6" t="s">
        <v>5565</v>
      </c>
      <c r="D2709" s="7" t="s">
        <v>5706</v>
      </c>
      <c r="E2709" s="6" t="s">
        <v>5707</v>
      </c>
      <c r="F2709" s="7" t="s">
        <v>5705</v>
      </c>
      <c r="G2709" s="7" t="s">
        <v>4367</v>
      </c>
      <c r="H2709" s="5" t="s">
        <v>235</v>
      </c>
      <c r="I2709" s="6" t="s">
        <v>236</v>
      </c>
      <c r="J2709" s="7" t="s">
        <v>11</v>
      </c>
      <c r="K2709" s="36">
        <v>1.3</v>
      </c>
      <c r="L2709" s="37">
        <v>738</v>
      </c>
    </row>
    <row r="2710" spans="1:12" ht="19.95" customHeight="1" x14ac:dyDescent="0.3">
      <c r="A2710" s="2" t="s">
        <v>4434</v>
      </c>
      <c r="B2710" s="3" t="s">
        <v>4351</v>
      </c>
      <c r="C2710" s="2" t="s">
        <v>5565</v>
      </c>
      <c r="D2710" s="3" t="s">
        <v>5706</v>
      </c>
      <c r="E2710" s="2" t="s">
        <v>5707</v>
      </c>
      <c r="F2710" s="3" t="s">
        <v>5705</v>
      </c>
      <c r="G2710" s="3" t="s">
        <v>4367</v>
      </c>
      <c r="H2710" s="1" t="s">
        <v>205</v>
      </c>
      <c r="I2710" s="2" t="s">
        <v>206</v>
      </c>
      <c r="J2710" s="3" t="s">
        <v>11</v>
      </c>
      <c r="K2710" s="38">
        <v>15.5</v>
      </c>
      <c r="L2710" s="39">
        <v>679</v>
      </c>
    </row>
    <row r="2711" spans="1:12" ht="19.95" customHeight="1" x14ac:dyDescent="0.3">
      <c r="A2711" s="6" t="s">
        <v>4434</v>
      </c>
      <c r="B2711" s="7" t="s">
        <v>4351</v>
      </c>
      <c r="C2711" s="6" t="s">
        <v>5565</v>
      </c>
      <c r="D2711" s="7" t="s">
        <v>5706</v>
      </c>
      <c r="E2711" s="6" t="s">
        <v>5707</v>
      </c>
      <c r="F2711" s="7" t="s">
        <v>5705</v>
      </c>
      <c r="G2711" s="7" t="s">
        <v>4367</v>
      </c>
      <c r="H2711" s="5" t="s">
        <v>209</v>
      </c>
      <c r="I2711" s="6" t="s">
        <v>210</v>
      </c>
      <c r="J2711" s="7" t="s">
        <v>11</v>
      </c>
      <c r="K2711" s="36">
        <v>15.5</v>
      </c>
      <c r="L2711" s="37">
        <v>558</v>
      </c>
    </row>
    <row r="2712" spans="1:12" ht="19.95" customHeight="1" x14ac:dyDescent="0.3">
      <c r="A2712" s="2" t="s">
        <v>4434</v>
      </c>
      <c r="B2712" s="3" t="s">
        <v>4351</v>
      </c>
      <c r="C2712" s="2" t="s">
        <v>5565</v>
      </c>
      <c r="D2712" s="3" t="s">
        <v>5708</v>
      </c>
      <c r="E2712" s="2" t="s">
        <v>5709</v>
      </c>
      <c r="F2712" s="3" t="s">
        <v>4416</v>
      </c>
      <c r="G2712" s="3" t="s">
        <v>4367</v>
      </c>
      <c r="H2712" s="1" t="s">
        <v>221</v>
      </c>
      <c r="I2712" s="2" t="s">
        <v>222</v>
      </c>
      <c r="J2712" s="3" t="s">
        <v>11</v>
      </c>
      <c r="K2712" s="38">
        <v>0.3</v>
      </c>
      <c r="L2712" s="39">
        <v>738</v>
      </c>
    </row>
    <row r="2713" spans="1:12" ht="19.95" customHeight="1" x14ac:dyDescent="0.3">
      <c r="A2713" s="6" t="s">
        <v>4434</v>
      </c>
      <c r="B2713" s="7" t="s">
        <v>4351</v>
      </c>
      <c r="C2713" s="6" t="s">
        <v>5565</v>
      </c>
      <c r="D2713" s="7" t="s">
        <v>5708</v>
      </c>
      <c r="E2713" s="6" t="s">
        <v>5709</v>
      </c>
      <c r="F2713" s="7" t="s">
        <v>4416</v>
      </c>
      <c r="G2713" s="7" t="s">
        <v>4367</v>
      </c>
      <c r="H2713" s="5" t="s">
        <v>209</v>
      </c>
      <c r="I2713" s="6" t="s">
        <v>210</v>
      </c>
      <c r="J2713" s="7" t="s">
        <v>11</v>
      </c>
      <c r="K2713" s="36">
        <v>1.56</v>
      </c>
      <c r="L2713" s="37">
        <v>558</v>
      </c>
    </row>
    <row r="2714" spans="1:12" ht="19.95" customHeight="1" x14ac:dyDescent="0.3">
      <c r="A2714" s="2" t="s">
        <v>4434</v>
      </c>
      <c r="B2714" s="3" t="s">
        <v>4351</v>
      </c>
      <c r="C2714" s="2" t="s">
        <v>5565</v>
      </c>
      <c r="D2714" s="3" t="s">
        <v>5710</v>
      </c>
      <c r="E2714" s="2" t="s">
        <v>5711</v>
      </c>
      <c r="F2714" s="3" t="s">
        <v>4371</v>
      </c>
      <c r="G2714" s="3" t="s">
        <v>4367</v>
      </c>
      <c r="H2714" s="1" t="s">
        <v>221</v>
      </c>
      <c r="I2714" s="2" t="s">
        <v>222</v>
      </c>
      <c r="J2714" s="3" t="s">
        <v>11</v>
      </c>
      <c r="K2714" s="38">
        <v>0.01</v>
      </c>
      <c r="L2714" s="39">
        <v>738</v>
      </c>
    </row>
    <row r="2715" spans="1:12" ht="19.95" customHeight="1" x14ac:dyDescent="0.3">
      <c r="A2715" s="6" t="s">
        <v>4434</v>
      </c>
      <c r="B2715" s="7" t="s">
        <v>4351</v>
      </c>
      <c r="C2715" s="6" t="s">
        <v>5565</v>
      </c>
      <c r="D2715" s="7" t="s">
        <v>5710</v>
      </c>
      <c r="E2715" s="6" t="s">
        <v>5711</v>
      </c>
      <c r="F2715" s="7" t="s">
        <v>4371</v>
      </c>
      <c r="G2715" s="7" t="s">
        <v>4367</v>
      </c>
      <c r="H2715" s="5" t="s">
        <v>209</v>
      </c>
      <c r="I2715" s="6" t="s">
        <v>210</v>
      </c>
      <c r="J2715" s="7" t="s">
        <v>11</v>
      </c>
      <c r="K2715" s="36">
        <v>0.15</v>
      </c>
      <c r="L2715" s="37">
        <v>558</v>
      </c>
    </row>
    <row r="2716" spans="1:12" ht="19.95" customHeight="1" x14ac:dyDescent="0.3">
      <c r="A2716" s="2" t="s">
        <v>4434</v>
      </c>
      <c r="B2716" s="3" t="s">
        <v>4351</v>
      </c>
      <c r="C2716" s="2" t="s">
        <v>5565</v>
      </c>
      <c r="D2716" s="3" t="s">
        <v>5712</v>
      </c>
      <c r="E2716" s="2" t="s">
        <v>5713</v>
      </c>
      <c r="F2716" s="3" t="s">
        <v>4435</v>
      </c>
      <c r="G2716" s="3" t="s">
        <v>4367</v>
      </c>
      <c r="H2716" s="1" t="s">
        <v>235</v>
      </c>
      <c r="I2716" s="2" t="s">
        <v>236</v>
      </c>
      <c r="J2716" s="3" t="s">
        <v>11</v>
      </c>
      <c r="K2716" s="38">
        <v>0.4</v>
      </c>
      <c r="L2716" s="39">
        <v>738</v>
      </c>
    </row>
    <row r="2717" spans="1:12" ht="19.95" customHeight="1" x14ac:dyDescent="0.3">
      <c r="A2717" s="6" t="s">
        <v>4434</v>
      </c>
      <c r="B2717" s="7" t="s">
        <v>4351</v>
      </c>
      <c r="C2717" s="6" t="s">
        <v>5565</v>
      </c>
      <c r="D2717" s="7" t="s">
        <v>5712</v>
      </c>
      <c r="E2717" s="6" t="s">
        <v>5713</v>
      </c>
      <c r="F2717" s="7" t="s">
        <v>4435</v>
      </c>
      <c r="G2717" s="7" t="s">
        <v>4367</v>
      </c>
      <c r="H2717" s="5" t="s">
        <v>199</v>
      </c>
      <c r="I2717" s="6" t="s">
        <v>200</v>
      </c>
      <c r="J2717" s="7" t="s">
        <v>11</v>
      </c>
      <c r="K2717" s="36">
        <v>1.2</v>
      </c>
      <c r="L2717" s="37">
        <v>738</v>
      </c>
    </row>
    <row r="2718" spans="1:12" ht="19.95" customHeight="1" x14ac:dyDescent="0.3">
      <c r="A2718" s="2" t="s">
        <v>4434</v>
      </c>
      <c r="B2718" s="3" t="s">
        <v>4351</v>
      </c>
      <c r="C2718" s="2" t="s">
        <v>5565</v>
      </c>
      <c r="D2718" s="3" t="s">
        <v>5712</v>
      </c>
      <c r="E2718" s="2" t="s">
        <v>5713</v>
      </c>
      <c r="F2718" s="3" t="s">
        <v>4435</v>
      </c>
      <c r="G2718" s="3" t="s">
        <v>4367</v>
      </c>
      <c r="H2718" s="1" t="s">
        <v>201</v>
      </c>
      <c r="I2718" s="2" t="s">
        <v>202</v>
      </c>
      <c r="J2718" s="3" t="s">
        <v>11</v>
      </c>
      <c r="K2718" s="38">
        <v>0.8</v>
      </c>
      <c r="L2718" s="39">
        <v>679</v>
      </c>
    </row>
    <row r="2719" spans="1:12" ht="19.95" customHeight="1" x14ac:dyDescent="0.3">
      <c r="A2719" s="6" t="s">
        <v>4434</v>
      </c>
      <c r="B2719" s="7" t="s">
        <v>4351</v>
      </c>
      <c r="C2719" s="6" t="s">
        <v>5565</v>
      </c>
      <c r="D2719" s="7" t="s">
        <v>5712</v>
      </c>
      <c r="E2719" s="6" t="s">
        <v>5713</v>
      </c>
      <c r="F2719" s="7" t="s">
        <v>4435</v>
      </c>
      <c r="G2719" s="7" t="s">
        <v>4367</v>
      </c>
      <c r="H2719" s="5" t="s">
        <v>209</v>
      </c>
      <c r="I2719" s="6" t="s">
        <v>210</v>
      </c>
      <c r="J2719" s="7" t="s">
        <v>11</v>
      </c>
      <c r="K2719" s="36">
        <v>2.4</v>
      </c>
      <c r="L2719" s="37">
        <v>558</v>
      </c>
    </row>
    <row r="2720" spans="1:12" ht="19.95" customHeight="1" x14ac:dyDescent="0.3">
      <c r="A2720" s="2" t="s">
        <v>4434</v>
      </c>
      <c r="B2720" s="3" t="s">
        <v>4351</v>
      </c>
      <c r="C2720" s="2" t="s">
        <v>5565</v>
      </c>
      <c r="D2720" s="3" t="s">
        <v>5714</v>
      </c>
      <c r="E2720" s="2" t="s">
        <v>5715</v>
      </c>
      <c r="F2720" s="3" t="s">
        <v>4368</v>
      </c>
      <c r="G2720" s="3" t="s">
        <v>4367</v>
      </c>
      <c r="H2720" s="1" t="s">
        <v>235</v>
      </c>
      <c r="I2720" s="2" t="s">
        <v>236</v>
      </c>
      <c r="J2720" s="3" t="s">
        <v>11</v>
      </c>
      <c r="K2720" s="38">
        <v>2.34</v>
      </c>
      <c r="L2720" s="39">
        <v>738</v>
      </c>
    </row>
    <row r="2721" spans="1:12" ht="19.95" customHeight="1" x14ac:dyDescent="0.3">
      <c r="A2721" s="6" t="s">
        <v>4434</v>
      </c>
      <c r="B2721" s="7" t="s">
        <v>4351</v>
      </c>
      <c r="C2721" s="6" t="s">
        <v>5565</v>
      </c>
      <c r="D2721" s="7" t="s">
        <v>5714</v>
      </c>
      <c r="E2721" s="6" t="s">
        <v>5715</v>
      </c>
      <c r="F2721" s="7" t="s">
        <v>4368</v>
      </c>
      <c r="G2721" s="7" t="s">
        <v>4367</v>
      </c>
      <c r="H2721" s="5" t="s">
        <v>205</v>
      </c>
      <c r="I2721" s="6" t="s">
        <v>206</v>
      </c>
      <c r="J2721" s="7" t="s">
        <v>11</v>
      </c>
      <c r="K2721" s="36">
        <v>9.34</v>
      </c>
      <c r="L2721" s="37">
        <v>679</v>
      </c>
    </row>
    <row r="2722" spans="1:12" ht="19.95" customHeight="1" x14ac:dyDescent="0.3">
      <c r="A2722" s="2" t="s">
        <v>4434</v>
      </c>
      <c r="B2722" s="3" t="s">
        <v>4351</v>
      </c>
      <c r="C2722" s="2" t="s">
        <v>5565</v>
      </c>
      <c r="D2722" s="3" t="s">
        <v>5714</v>
      </c>
      <c r="E2722" s="2" t="s">
        <v>5715</v>
      </c>
      <c r="F2722" s="3" t="s">
        <v>4368</v>
      </c>
      <c r="G2722" s="3" t="s">
        <v>4367</v>
      </c>
      <c r="H2722" s="1" t="s">
        <v>209</v>
      </c>
      <c r="I2722" s="2" t="s">
        <v>210</v>
      </c>
      <c r="J2722" s="3" t="s">
        <v>11</v>
      </c>
      <c r="K2722" s="38">
        <v>9.34</v>
      </c>
      <c r="L2722" s="39">
        <v>558</v>
      </c>
    </row>
    <row r="2723" spans="1:12" ht="19.95" customHeight="1" x14ac:dyDescent="0.3">
      <c r="A2723" s="6" t="s">
        <v>4434</v>
      </c>
      <c r="B2723" s="7" t="s">
        <v>4351</v>
      </c>
      <c r="C2723" s="6" t="s">
        <v>5565</v>
      </c>
      <c r="D2723" s="7" t="s">
        <v>5716</v>
      </c>
      <c r="E2723" s="6" t="s">
        <v>5717</v>
      </c>
      <c r="F2723" s="7" t="s">
        <v>4368</v>
      </c>
      <c r="G2723" s="7" t="s">
        <v>4367</v>
      </c>
      <c r="H2723" s="5" t="s">
        <v>235</v>
      </c>
      <c r="I2723" s="6" t="s">
        <v>236</v>
      </c>
      <c r="J2723" s="7" t="s">
        <v>11</v>
      </c>
      <c r="K2723" s="36">
        <v>0.14000000000000001</v>
      </c>
      <c r="L2723" s="37">
        <v>738</v>
      </c>
    </row>
    <row r="2724" spans="1:12" ht="19.95" customHeight="1" x14ac:dyDescent="0.3">
      <c r="A2724" s="2" t="s">
        <v>4434</v>
      </c>
      <c r="B2724" s="3" t="s">
        <v>4351</v>
      </c>
      <c r="C2724" s="2" t="s">
        <v>5565</v>
      </c>
      <c r="D2724" s="3" t="s">
        <v>5716</v>
      </c>
      <c r="E2724" s="2" t="s">
        <v>5717</v>
      </c>
      <c r="F2724" s="3" t="s">
        <v>4368</v>
      </c>
      <c r="G2724" s="3" t="s">
        <v>4367</v>
      </c>
      <c r="H2724" s="1" t="s">
        <v>205</v>
      </c>
      <c r="I2724" s="2" t="s">
        <v>206</v>
      </c>
      <c r="J2724" s="3" t="s">
        <v>11</v>
      </c>
      <c r="K2724" s="38">
        <v>0.55000000000000004</v>
      </c>
      <c r="L2724" s="39">
        <v>679</v>
      </c>
    </row>
    <row r="2725" spans="1:12" ht="19.95" customHeight="1" x14ac:dyDescent="0.3">
      <c r="A2725" s="6" t="s">
        <v>4434</v>
      </c>
      <c r="B2725" s="7" t="s">
        <v>4351</v>
      </c>
      <c r="C2725" s="6" t="s">
        <v>5565</v>
      </c>
      <c r="D2725" s="7" t="s">
        <v>5716</v>
      </c>
      <c r="E2725" s="6" t="s">
        <v>5717</v>
      </c>
      <c r="F2725" s="7" t="s">
        <v>4368</v>
      </c>
      <c r="G2725" s="7" t="s">
        <v>4367</v>
      </c>
      <c r="H2725" s="5" t="s">
        <v>209</v>
      </c>
      <c r="I2725" s="6" t="s">
        <v>210</v>
      </c>
      <c r="J2725" s="7" t="s">
        <v>11</v>
      </c>
      <c r="K2725" s="36">
        <v>1.64</v>
      </c>
      <c r="L2725" s="37">
        <v>558</v>
      </c>
    </row>
    <row r="2726" spans="1:12" ht="19.95" customHeight="1" x14ac:dyDescent="0.3">
      <c r="A2726" s="2" t="s">
        <v>4434</v>
      </c>
      <c r="B2726" s="3" t="s">
        <v>4351</v>
      </c>
      <c r="C2726" s="2" t="s">
        <v>5565</v>
      </c>
      <c r="D2726" s="3" t="s">
        <v>5718</v>
      </c>
      <c r="E2726" s="2" t="s">
        <v>5719</v>
      </c>
      <c r="F2726" s="3" t="s">
        <v>4368</v>
      </c>
      <c r="G2726" s="3" t="s">
        <v>4367</v>
      </c>
      <c r="H2726" s="1" t="s">
        <v>235</v>
      </c>
      <c r="I2726" s="2" t="s">
        <v>236</v>
      </c>
      <c r="J2726" s="3" t="s">
        <v>11</v>
      </c>
      <c r="K2726" s="38">
        <v>7.0000000000000007E-2</v>
      </c>
      <c r="L2726" s="39">
        <v>738</v>
      </c>
    </row>
    <row r="2727" spans="1:12" ht="19.95" customHeight="1" x14ac:dyDescent="0.3">
      <c r="A2727" s="6" t="s">
        <v>4434</v>
      </c>
      <c r="B2727" s="7" t="s">
        <v>4351</v>
      </c>
      <c r="C2727" s="6" t="s">
        <v>5565</v>
      </c>
      <c r="D2727" s="7" t="s">
        <v>5718</v>
      </c>
      <c r="E2727" s="6" t="s">
        <v>5719</v>
      </c>
      <c r="F2727" s="7" t="s">
        <v>4368</v>
      </c>
      <c r="G2727" s="7" t="s">
        <v>4367</v>
      </c>
      <c r="H2727" s="5" t="s">
        <v>205</v>
      </c>
      <c r="I2727" s="6" t="s">
        <v>206</v>
      </c>
      <c r="J2727" s="7" t="s">
        <v>11</v>
      </c>
      <c r="K2727" s="36">
        <v>0.28000000000000003</v>
      </c>
      <c r="L2727" s="37">
        <v>679</v>
      </c>
    </row>
    <row r="2728" spans="1:12" ht="19.95" customHeight="1" x14ac:dyDescent="0.3">
      <c r="A2728" s="2" t="s">
        <v>4434</v>
      </c>
      <c r="B2728" s="3" t="s">
        <v>4351</v>
      </c>
      <c r="C2728" s="2" t="s">
        <v>5565</v>
      </c>
      <c r="D2728" s="3" t="s">
        <v>5718</v>
      </c>
      <c r="E2728" s="2" t="s">
        <v>5719</v>
      </c>
      <c r="F2728" s="3" t="s">
        <v>4368</v>
      </c>
      <c r="G2728" s="3" t="s">
        <v>4367</v>
      </c>
      <c r="H2728" s="1" t="s">
        <v>209</v>
      </c>
      <c r="I2728" s="2" t="s">
        <v>210</v>
      </c>
      <c r="J2728" s="3" t="s">
        <v>11</v>
      </c>
      <c r="K2728" s="38">
        <v>0.82</v>
      </c>
      <c r="L2728" s="39">
        <v>558</v>
      </c>
    </row>
    <row r="2729" spans="1:12" ht="19.95" customHeight="1" x14ac:dyDescent="0.3">
      <c r="A2729" s="6" t="s">
        <v>4434</v>
      </c>
      <c r="B2729" s="7" t="s">
        <v>4351</v>
      </c>
      <c r="C2729" s="6" t="s">
        <v>5565</v>
      </c>
      <c r="D2729" s="7" t="s">
        <v>5720</v>
      </c>
      <c r="E2729" s="6" t="s">
        <v>5721</v>
      </c>
      <c r="F2729" s="7" t="s">
        <v>4368</v>
      </c>
      <c r="G2729" s="7" t="s">
        <v>4367</v>
      </c>
      <c r="H2729" s="5" t="s">
        <v>235</v>
      </c>
      <c r="I2729" s="6" t="s">
        <v>236</v>
      </c>
      <c r="J2729" s="7" t="s">
        <v>11</v>
      </c>
      <c r="K2729" s="36">
        <v>0.1</v>
      </c>
      <c r="L2729" s="37">
        <v>738</v>
      </c>
    </row>
    <row r="2730" spans="1:12" ht="19.95" customHeight="1" x14ac:dyDescent="0.3">
      <c r="A2730" s="2" t="s">
        <v>4434</v>
      </c>
      <c r="B2730" s="3" t="s">
        <v>4351</v>
      </c>
      <c r="C2730" s="2" t="s">
        <v>5565</v>
      </c>
      <c r="D2730" s="3" t="s">
        <v>5720</v>
      </c>
      <c r="E2730" s="2" t="s">
        <v>5721</v>
      </c>
      <c r="F2730" s="3" t="s">
        <v>4368</v>
      </c>
      <c r="G2730" s="3" t="s">
        <v>4367</v>
      </c>
      <c r="H2730" s="1" t="s">
        <v>205</v>
      </c>
      <c r="I2730" s="2" t="s">
        <v>206</v>
      </c>
      <c r="J2730" s="3" t="s">
        <v>11</v>
      </c>
      <c r="K2730" s="38">
        <v>0.3</v>
      </c>
      <c r="L2730" s="39">
        <v>679</v>
      </c>
    </row>
    <row r="2731" spans="1:12" ht="19.95" customHeight="1" x14ac:dyDescent="0.3">
      <c r="A2731" s="6" t="s">
        <v>4434</v>
      </c>
      <c r="B2731" s="7" t="s">
        <v>4351</v>
      </c>
      <c r="C2731" s="6" t="s">
        <v>5565</v>
      </c>
      <c r="D2731" s="7" t="s">
        <v>5720</v>
      </c>
      <c r="E2731" s="6" t="s">
        <v>5721</v>
      </c>
      <c r="F2731" s="7" t="s">
        <v>4368</v>
      </c>
      <c r="G2731" s="7" t="s">
        <v>4367</v>
      </c>
      <c r="H2731" s="5" t="s">
        <v>209</v>
      </c>
      <c r="I2731" s="6" t="s">
        <v>210</v>
      </c>
      <c r="J2731" s="7" t="s">
        <v>11</v>
      </c>
      <c r="K2731" s="36">
        <v>1</v>
      </c>
      <c r="L2731" s="37">
        <v>558</v>
      </c>
    </row>
    <row r="2732" spans="1:12" ht="19.95" customHeight="1" x14ac:dyDescent="0.3">
      <c r="A2732" s="2" t="s">
        <v>4434</v>
      </c>
      <c r="B2732" s="3" t="s">
        <v>4351</v>
      </c>
      <c r="C2732" s="2" t="s">
        <v>5565</v>
      </c>
      <c r="D2732" s="3" t="s">
        <v>5722</v>
      </c>
      <c r="E2732" s="2" t="s">
        <v>5723</v>
      </c>
      <c r="F2732" s="3" t="s">
        <v>5603</v>
      </c>
      <c r="G2732" s="3" t="s">
        <v>4367</v>
      </c>
      <c r="H2732" s="1" t="s">
        <v>235</v>
      </c>
      <c r="I2732" s="2" t="s">
        <v>236</v>
      </c>
      <c r="J2732" s="3" t="s">
        <v>11</v>
      </c>
      <c r="K2732" s="38">
        <v>0.04</v>
      </c>
      <c r="L2732" s="39">
        <v>738</v>
      </c>
    </row>
    <row r="2733" spans="1:12" ht="19.95" customHeight="1" x14ac:dyDescent="0.3">
      <c r="A2733" s="6" t="s">
        <v>4434</v>
      </c>
      <c r="B2733" s="7" t="s">
        <v>4351</v>
      </c>
      <c r="C2733" s="6" t="s">
        <v>5565</v>
      </c>
      <c r="D2733" s="7" t="s">
        <v>5722</v>
      </c>
      <c r="E2733" s="6" t="s">
        <v>5723</v>
      </c>
      <c r="F2733" s="7" t="s">
        <v>5603</v>
      </c>
      <c r="G2733" s="7" t="s">
        <v>4367</v>
      </c>
      <c r="H2733" s="5" t="s">
        <v>205</v>
      </c>
      <c r="I2733" s="6" t="s">
        <v>206</v>
      </c>
      <c r="J2733" s="7" t="s">
        <v>11</v>
      </c>
      <c r="K2733" s="36">
        <v>0.06</v>
      </c>
      <c r="L2733" s="37">
        <v>679</v>
      </c>
    </row>
    <row r="2734" spans="1:12" ht="19.95" customHeight="1" x14ac:dyDescent="0.3">
      <c r="A2734" s="2" t="s">
        <v>4434</v>
      </c>
      <c r="B2734" s="3" t="s">
        <v>4351</v>
      </c>
      <c r="C2734" s="2" t="s">
        <v>5565</v>
      </c>
      <c r="D2734" s="3" t="s">
        <v>5722</v>
      </c>
      <c r="E2734" s="2" t="s">
        <v>5723</v>
      </c>
      <c r="F2734" s="3" t="s">
        <v>5603</v>
      </c>
      <c r="G2734" s="3" t="s">
        <v>4367</v>
      </c>
      <c r="H2734" s="1" t="s">
        <v>209</v>
      </c>
      <c r="I2734" s="2" t="s">
        <v>210</v>
      </c>
      <c r="J2734" s="3" t="s">
        <v>11</v>
      </c>
      <c r="K2734" s="38">
        <v>0.4</v>
      </c>
      <c r="L2734" s="39">
        <v>558</v>
      </c>
    </row>
    <row r="2735" spans="1:12" ht="19.95" customHeight="1" x14ac:dyDescent="0.3">
      <c r="A2735" s="6" t="s">
        <v>4434</v>
      </c>
      <c r="B2735" s="7" t="s">
        <v>4351</v>
      </c>
      <c r="C2735" s="6" t="s">
        <v>5565</v>
      </c>
      <c r="D2735" s="7" t="s">
        <v>5724</v>
      </c>
      <c r="E2735" s="6" t="s">
        <v>5725</v>
      </c>
      <c r="F2735" s="7" t="s">
        <v>4368</v>
      </c>
      <c r="G2735" s="7" t="s">
        <v>4367</v>
      </c>
      <c r="H2735" s="5" t="s">
        <v>235</v>
      </c>
      <c r="I2735" s="6" t="s">
        <v>236</v>
      </c>
      <c r="J2735" s="7" t="s">
        <v>11</v>
      </c>
      <c r="K2735" s="36">
        <v>0.1</v>
      </c>
      <c r="L2735" s="37">
        <v>738</v>
      </c>
    </row>
    <row r="2736" spans="1:12" ht="19.95" customHeight="1" x14ac:dyDescent="0.3">
      <c r="A2736" s="2" t="s">
        <v>4434</v>
      </c>
      <c r="B2736" s="3" t="s">
        <v>4351</v>
      </c>
      <c r="C2736" s="2" t="s">
        <v>5565</v>
      </c>
      <c r="D2736" s="3" t="s">
        <v>5724</v>
      </c>
      <c r="E2736" s="2" t="s">
        <v>5725</v>
      </c>
      <c r="F2736" s="3" t="s">
        <v>4368</v>
      </c>
      <c r="G2736" s="3" t="s">
        <v>4367</v>
      </c>
      <c r="H2736" s="1" t="s">
        <v>205</v>
      </c>
      <c r="I2736" s="2" t="s">
        <v>206</v>
      </c>
      <c r="J2736" s="3" t="s">
        <v>11</v>
      </c>
      <c r="K2736" s="38">
        <v>0.3</v>
      </c>
      <c r="L2736" s="39">
        <v>679</v>
      </c>
    </row>
    <row r="2737" spans="1:12" ht="19.95" customHeight="1" x14ac:dyDescent="0.3">
      <c r="A2737" s="6" t="s">
        <v>4434</v>
      </c>
      <c r="B2737" s="7" t="s">
        <v>4351</v>
      </c>
      <c r="C2737" s="6" t="s">
        <v>5565</v>
      </c>
      <c r="D2737" s="7" t="s">
        <v>5724</v>
      </c>
      <c r="E2737" s="6" t="s">
        <v>5725</v>
      </c>
      <c r="F2737" s="7" t="s">
        <v>4368</v>
      </c>
      <c r="G2737" s="7" t="s">
        <v>4367</v>
      </c>
      <c r="H2737" s="5" t="s">
        <v>209</v>
      </c>
      <c r="I2737" s="6" t="s">
        <v>210</v>
      </c>
      <c r="J2737" s="7" t="s">
        <v>11</v>
      </c>
      <c r="K2737" s="36">
        <v>1</v>
      </c>
      <c r="L2737" s="37">
        <v>558</v>
      </c>
    </row>
    <row r="2738" spans="1:12" ht="19.95" customHeight="1" x14ac:dyDescent="0.3">
      <c r="A2738" s="2" t="s">
        <v>4434</v>
      </c>
      <c r="B2738" s="3" t="s">
        <v>4351</v>
      </c>
      <c r="C2738" s="2" t="s">
        <v>5565</v>
      </c>
      <c r="D2738" s="3" t="s">
        <v>5726</v>
      </c>
      <c r="E2738" s="2" t="s">
        <v>5727</v>
      </c>
      <c r="F2738" s="3" t="s">
        <v>4368</v>
      </c>
      <c r="G2738" s="3" t="s">
        <v>4367</v>
      </c>
      <c r="H2738" s="1" t="s">
        <v>199</v>
      </c>
      <c r="I2738" s="2" t="s">
        <v>200</v>
      </c>
      <c r="J2738" s="3" t="s">
        <v>11</v>
      </c>
      <c r="K2738" s="38">
        <v>0.5</v>
      </c>
      <c r="L2738" s="39">
        <v>738</v>
      </c>
    </row>
    <row r="2739" spans="1:12" ht="19.95" customHeight="1" x14ac:dyDescent="0.3">
      <c r="A2739" s="6" t="s">
        <v>4434</v>
      </c>
      <c r="B2739" s="7" t="s">
        <v>4351</v>
      </c>
      <c r="C2739" s="6" t="s">
        <v>5565</v>
      </c>
      <c r="D2739" s="7" t="s">
        <v>5726</v>
      </c>
      <c r="E2739" s="6" t="s">
        <v>5727</v>
      </c>
      <c r="F2739" s="7" t="s">
        <v>4368</v>
      </c>
      <c r="G2739" s="7" t="s">
        <v>4367</v>
      </c>
      <c r="H2739" s="5" t="s">
        <v>209</v>
      </c>
      <c r="I2739" s="6" t="s">
        <v>210</v>
      </c>
      <c r="J2739" s="7" t="s">
        <v>11</v>
      </c>
      <c r="K2739" s="36">
        <v>0.5</v>
      </c>
      <c r="L2739" s="37">
        <v>558</v>
      </c>
    </row>
    <row r="2740" spans="1:12" ht="19.95" customHeight="1" x14ac:dyDescent="0.3">
      <c r="A2740" s="2" t="s">
        <v>4434</v>
      </c>
      <c r="B2740" s="3" t="s">
        <v>4351</v>
      </c>
      <c r="C2740" s="2" t="s">
        <v>5565</v>
      </c>
      <c r="D2740" s="3" t="s">
        <v>5726</v>
      </c>
      <c r="E2740" s="2" t="s">
        <v>5727</v>
      </c>
      <c r="F2740" s="3" t="s">
        <v>4368</v>
      </c>
      <c r="G2740" s="3" t="s">
        <v>4367</v>
      </c>
      <c r="H2740" s="1" t="s">
        <v>235</v>
      </c>
      <c r="I2740" s="2" t="s">
        <v>236</v>
      </c>
      <c r="J2740" s="3" t="s">
        <v>11</v>
      </c>
      <c r="K2740" s="38">
        <v>0.28000000000000003</v>
      </c>
      <c r="L2740" s="39">
        <v>738</v>
      </c>
    </row>
    <row r="2741" spans="1:12" ht="19.95" customHeight="1" x14ac:dyDescent="0.3">
      <c r="A2741" s="6" t="s">
        <v>4434</v>
      </c>
      <c r="B2741" s="7" t="s">
        <v>4351</v>
      </c>
      <c r="C2741" s="6" t="s">
        <v>5565</v>
      </c>
      <c r="D2741" s="7" t="s">
        <v>5726</v>
      </c>
      <c r="E2741" s="6" t="s">
        <v>5727</v>
      </c>
      <c r="F2741" s="7" t="s">
        <v>4368</v>
      </c>
      <c r="G2741" s="7" t="s">
        <v>4367</v>
      </c>
      <c r="H2741" s="5" t="s">
        <v>199</v>
      </c>
      <c r="I2741" s="6" t="s">
        <v>200</v>
      </c>
      <c r="J2741" s="7" t="s">
        <v>11</v>
      </c>
      <c r="K2741" s="36">
        <v>0.84</v>
      </c>
      <c r="L2741" s="37">
        <v>738</v>
      </c>
    </row>
    <row r="2742" spans="1:12" ht="19.95" customHeight="1" x14ac:dyDescent="0.3">
      <c r="A2742" s="2" t="s">
        <v>4434</v>
      </c>
      <c r="B2742" s="3" t="s">
        <v>4351</v>
      </c>
      <c r="C2742" s="2" t="s">
        <v>5565</v>
      </c>
      <c r="D2742" s="3" t="s">
        <v>5726</v>
      </c>
      <c r="E2742" s="2" t="s">
        <v>5727</v>
      </c>
      <c r="F2742" s="3" t="s">
        <v>4368</v>
      </c>
      <c r="G2742" s="3" t="s">
        <v>4367</v>
      </c>
      <c r="H2742" s="1" t="s">
        <v>205</v>
      </c>
      <c r="I2742" s="2" t="s">
        <v>206</v>
      </c>
      <c r="J2742" s="3" t="s">
        <v>11</v>
      </c>
      <c r="K2742" s="38">
        <v>0.62</v>
      </c>
      <c r="L2742" s="39">
        <v>679</v>
      </c>
    </row>
    <row r="2743" spans="1:12" ht="19.95" customHeight="1" x14ac:dyDescent="0.3">
      <c r="A2743" s="6" t="s">
        <v>4434</v>
      </c>
      <c r="B2743" s="7" t="s">
        <v>4351</v>
      </c>
      <c r="C2743" s="6" t="s">
        <v>5565</v>
      </c>
      <c r="D2743" s="7" t="s">
        <v>5726</v>
      </c>
      <c r="E2743" s="6" t="s">
        <v>5727</v>
      </c>
      <c r="F2743" s="7" t="s">
        <v>4368</v>
      </c>
      <c r="G2743" s="7" t="s">
        <v>4367</v>
      </c>
      <c r="H2743" s="5" t="s">
        <v>209</v>
      </c>
      <c r="I2743" s="6" t="s">
        <v>210</v>
      </c>
      <c r="J2743" s="7" t="s">
        <v>11</v>
      </c>
      <c r="K2743" s="36">
        <v>1.68</v>
      </c>
      <c r="L2743" s="37">
        <v>558</v>
      </c>
    </row>
    <row r="2744" spans="1:12" ht="19.95" customHeight="1" x14ac:dyDescent="0.3">
      <c r="A2744" s="2" t="s">
        <v>4434</v>
      </c>
      <c r="B2744" s="3" t="s">
        <v>4351</v>
      </c>
      <c r="C2744" s="2" t="s">
        <v>5565</v>
      </c>
      <c r="D2744" s="3" t="s">
        <v>5728</v>
      </c>
      <c r="E2744" s="2" t="s">
        <v>5729</v>
      </c>
      <c r="F2744" s="3" t="s">
        <v>4519</v>
      </c>
      <c r="G2744" s="3" t="s">
        <v>4367</v>
      </c>
      <c r="H2744" s="1" t="s">
        <v>203</v>
      </c>
      <c r="I2744" s="2" t="s">
        <v>204</v>
      </c>
      <c r="J2744" s="3" t="s">
        <v>11</v>
      </c>
      <c r="K2744" s="38">
        <v>28</v>
      </c>
      <c r="L2744" s="39">
        <v>738</v>
      </c>
    </row>
    <row r="2745" spans="1:12" ht="19.95" customHeight="1" x14ac:dyDescent="0.3">
      <c r="A2745" s="6" t="s">
        <v>4434</v>
      </c>
      <c r="B2745" s="7" t="s">
        <v>4351</v>
      </c>
      <c r="C2745" s="6" t="s">
        <v>5565</v>
      </c>
      <c r="D2745" s="7" t="s">
        <v>5728</v>
      </c>
      <c r="E2745" s="6" t="s">
        <v>5729</v>
      </c>
      <c r="F2745" s="7" t="s">
        <v>4519</v>
      </c>
      <c r="G2745" s="7" t="s">
        <v>4367</v>
      </c>
      <c r="H2745" s="5" t="s">
        <v>209</v>
      </c>
      <c r="I2745" s="6" t="s">
        <v>210</v>
      </c>
      <c r="J2745" s="7" t="s">
        <v>11</v>
      </c>
      <c r="K2745" s="36">
        <v>23</v>
      </c>
      <c r="L2745" s="37">
        <v>558</v>
      </c>
    </row>
    <row r="2746" spans="1:12" ht="19.95" customHeight="1" x14ac:dyDescent="0.3">
      <c r="A2746" s="2" t="s">
        <v>4434</v>
      </c>
      <c r="B2746" s="3" t="s">
        <v>4351</v>
      </c>
      <c r="C2746" s="2" t="s">
        <v>5565</v>
      </c>
      <c r="D2746" s="3" t="s">
        <v>5730</v>
      </c>
      <c r="E2746" s="2" t="s">
        <v>5731</v>
      </c>
      <c r="F2746" s="3" t="s">
        <v>4519</v>
      </c>
      <c r="G2746" s="3" t="s">
        <v>4367</v>
      </c>
      <c r="H2746" s="1" t="s">
        <v>203</v>
      </c>
      <c r="I2746" s="2" t="s">
        <v>204</v>
      </c>
      <c r="J2746" s="3" t="s">
        <v>11</v>
      </c>
      <c r="K2746" s="38">
        <v>28</v>
      </c>
      <c r="L2746" s="39">
        <v>738</v>
      </c>
    </row>
    <row r="2747" spans="1:12" ht="19.95" customHeight="1" x14ac:dyDescent="0.3">
      <c r="A2747" s="6" t="s">
        <v>4434</v>
      </c>
      <c r="B2747" s="7" t="s">
        <v>4351</v>
      </c>
      <c r="C2747" s="6" t="s">
        <v>5565</v>
      </c>
      <c r="D2747" s="7" t="s">
        <v>5730</v>
      </c>
      <c r="E2747" s="6" t="s">
        <v>5731</v>
      </c>
      <c r="F2747" s="7" t="s">
        <v>4519</v>
      </c>
      <c r="G2747" s="7" t="s">
        <v>4367</v>
      </c>
      <c r="H2747" s="5" t="s">
        <v>209</v>
      </c>
      <c r="I2747" s="6" t="s">
        <v>210</v>
      </c>
      <c r="J2747" s="7" t="s">
        <v>11</v>
      </c>
      <c r="K2747" s="36">
        <v>23</v>
      </c>
      <c r="L2747" s="37">
        <v>558</v>
      </c>
    </row>
    <row r="2748" spans="1:12" ht="19.95" customHeight="1" x14ac:dyDescent="0.3">
      <c r="A2748" s="2" t="s">
        <v>4434</v>
      </c>
      <c r="B2748" s="3" t="s">
        <v>4351</v>
      </c>
      <c r="C2748" s="2" t="s">
        <v>5565</v>
      </c>
      <c r="D2748" s="3" t="s">
        <v>5732</v>
      </c>
      <c r="E2748" s="2" t="s">
        <v>5733</v>
      </c>
      <c r="F2748" s="3" t="s">
        <v>4519</v>
      </c>
      <c r="G2748" s="3" t="s">
        <v>4367</v>
      </c>
      <c r="H2748" s="1" t="s">
        <v>203</v>
      </c>
      <c r="I2748" s="2" t="s">
        <v>204</v>
      </c>
      <c r="J2748" s="3" t="s">
        <v>11</v>
      </c>
      <c r="K2748" s="38">
        <v>28</v>
      </c>
      <c r="L2748" s="39">
        <v>738</v>
      </c>
    </row>
    <row r="2749" spans="1:12" ht="19.95" customHeight="1" x14ac:dyDescent="0.3">
      <c r="A2749" s="6" t="s">
        <v>4434</v>
      </c>
      <c r="B2749" s="7" t="s">
        <v>4351</v>
      </c>
      <c r="C2749" s="6" t="s">
        <v>5565</v>
      </c>
      <c r="D2749" s="7" t="s">
        <v>5732</v>
      </c>
      <c r="E2749" s="6" t="s">
        <v>5733</v>
      </c>
      <c r="F2749" s="7" t="s">
        <v>4519</v>
      </c>
      <c r="G2749" s="7" t="s">
        <v>4367</v>
      </c>
      <c r="H2749" s="5" t="s">
        <v>209</v>
      </c>
      <c r="I2749" s="6" t="s">
        <v>210</v>
      </c>
      <c r="J2749" s="7" t="s">
        <v>11</v>
      </c>
      <c r="K2749" s="36">
        <v>23</v>
      </c>
      <c r="L2749" s="37">
        <v>558</v>
      </c>
    </row>
    <row r="2750" spans="1:12" ht="19.95" customHeight="1" x14ac:dyDescent="0.3">
      <c r="A2750" s="2" t="s">
        <v>4434</v>
      </c>
      <c r="B2750" s="3" t="s">
        <v>4351</v>
      </c>
      <c r="C2750" s="2" t="s">
        <v>5565</v>
      </c>
      <c r="D2750" s="3" t="s">
        <v>5734</v>
      </c>
      <c r="E2750" s="2" t="s">
        <v>5735</v>
      </c>
      <c r="F2750" s="3" t="s">
        <v>4519</v>
      </c>
      <c r="G2750" s="3" t="s">
        <v>4367</v>
      </c>
      <c r="H2750" s="1" t="s">
        <v>203</v>
      </c>
      <c r="I2750" s="2" t="s">
        <v>204</v>
      </c>
      <c r="J2750" s="3" t="s">
        <v>11</v>
      </c>
      <c r="K2750" s="38">
        <v>28</v>
      </c>
      <c r="L2750" s="39">
        <v>738</v>
      </c>
    </row>
    <row r="2751" spans="1:12" ht="19.95" customHeight="1" x14ac:dyDescent="0.3">
      <c r="A2751" s="6" t="s">
        <v>4434</v>
      </c>
      <c r="B2751" s="7" t="s">
        <v>4351</v>
      </c>
      <c r="C2751" s="6" t="s">
        <v>5565</v>
      </c>
      <c r="D2751" s="7" t="s">
        <v>5734</v>
      </c>
      <c r="E2751" s="6" t="s">
        <v>5735</v>
      </c>
      <c r="F2751" s="7" t="s">
        <v>4519</v>
      </c>
      <c r="G2751" s="7" t="s">
        <v>4367</v>
      </c>
      <c r="H2751" s="5" t="s">
        <v>209</v>
      </c>
      <c r="I2751" s="6" t="s">
        <v>210</v>
      </c>
      <c r="J2751" s="7" t="s">
        <v>11</v>
      </c>
      <c r="K2751" s="36">
        <v>23</v>
      </c>
      <c r="L2751" s="37">
        <v>558</v>
      </c>
    </row>
    <row r="2752" spans="1:12" ht="19.95" customHeight="1" x14ac:dyDescent="0.3">
      <c r="A2752" s="2" t="s">
        <v>4434</v>
      </c>
      <c r="B2752" s="3" t="s">
        <v>4351</v>
      </c>
      <c r="C2752" s="2" t="s">
        <v>5565</v>
      </c>
      <c r="D2752" s="3" t="s">
        <v>5736</v>
      </c>
      <c r="E2752" s="2" t="s">
        <v>5737</v>
      </c>
      <c r="F2752" s="3" t="s">
        <v>4519</v>
      </c>
      <c r="G2752" s="3" t="s">
        <v>4367</v>
      </c>
      <c r="H2752" s="1" t="s">
        <v>203</v>
      </c>
      <c r="I2752" s="2" t="s">
        <v>204</v>
      </c>
      <c r="J2752" s="3" t="s">
        <v>11</v>
      </c>
      <c r="K2752" s="38">
        <v>28</v>
      </c>
      <c r="L2752" s="39">
        <v>738</v>
      </c>
    </row>
    <row r="2753" spans="1:12" ht="19.95" customHeight="1" x14ac:dyDescent="0.3">
      <c r="A2753" s="6" t="s">
        <v>4434</v>
      </c>
      <c r="B2753" s="7" t="s">
        <v>4351</v>
      </c>
      <c r="C2753" s="6" t="s">
        <v>5565</v>
      </c>
      <c r="D2753" s="7" t="s">
        <v>5736</v>
      </c>
      <c r="E2753" s="6" t="s">
        <v>5737</v>
      </c>
      <c r="F2753" s="7" t="s">
        <v>4519</v>
      </c>
      <c r="G2753" s="7" t="s">
        <v>4367</v>
      </c>
      <c r="H2753" s="5" t="s">
        <v>209</v>
      </c>
      <c r="I2753" s="6" t="s">
        <v>210</v>
      </c>
      <c r="J2753" s="7" t="s">
        <v>11</v>
      </c>
      <c r="K2753" s="36">
        <v>23</v>
      </c>
      <c r="L2753" s="37">
        <v>558</v>
      </c>
    </row>
    <row r="2754" spans="1:12" ht="19.95" customHeight="1" x14ac:dyDescent="0.3">
      <c r="A2754" s="2" t="s">
        <v>4434</v>
      </c>
      <c r="B2754" s="3" t="s">
        <v>4351</v>
      </c>
      <c r="C2754" s="2" t="s">
        <v>5565</v>
      </c>
      <c r="D2754" s="3" t="s">
        <v>5738</v>
      </c>
      <c r="E2754" s="2" t="s">
        <v>5739</v>
      </c>
      <c r="F2754" s="3" t="s">
        <v>4519</v>
      </c>
      <c r="G2754" s="3" t="s">
        <v>4367</v>
      </c>
      <c r="H2754" s="1" t="s">
        <v>203</v>
      </c>
      <c r="I2754" s="2" t="s">
        <v>204</v>
      </c>
      <c r="J2754" s="3" t="s">
        <v>11</v>
      </c>
      <c r="K2754" s="38">
        <v>28</v>
      </c>
      <c r="L2754" s="39">
        <v>738</v>
      </c>
    </row>
    <row r="2755" spans="1:12" ht="19.95" customHeight="1" x14ac:dyDescent="0.3">
      <c r="A2755" s="6" t="s">
        <v>4434</v>
      </c>
      <c r="B2755" s="7" t="s">
        <v>4351</v>
      </c>
      <c r="C2755" s="6" t="s">
        <v>5565</v>
      </c>
      <c r="D2755" s="7" t="s">
        <v>5738</v>
      </c>
      <c r="E2755" s="6" t="s">
        <v>5739</v>
      </c>
      <c r="F2755" s="7" t="s">
        <v>4519</v>
      </c>
      <c r="G2755" s="7" t="s">
        <v>4367</v>
      </c>
      <c r="H2755" s="5" t="s">
        <v>209</v>
      </c>
      <c r="I2755" s="6" t="s">
        <v>210</v>
      </c>
      <c r="J2755" s="7" t="s">
        <v>11</v>
      </c>
      <c r="K2755" s="36">
        <v>23</v>
      </c>
      <c r="L2755" s="37">
        <v>558</v>
      </c>
    </row>
    <row r="2756" spans="1:12" ht="19.95" customHeight="1" x14ac:dyDescent="0.3">
      <c r="A2756" s="2" t="s">
        <v>4434</v>
      </c>
      <c r="B2756" s="3" t="s">
        <v>4351</v>
      </c>
      <c r="C2756" s="2" t="s">
        <v>5565</v>
      </c>
      <c r="D2756" s="3" t="s">
        <v>5740</v>
      </c>
      <c r="E2756" s="2" t="s">
        <v>5739</v>
      </c>
      <c r="F2756" s="3" t="s">
        <v>4519</v>
      </c>
      <c r="G2756" s="3" t="s">
        <v>4367</v>
      </c>
      <c r="H2756" s="1" t="s">
        <v>203</v>
      </c>
      <c r="I2756" s="2" t="s">
        <v>204</v>
      </c>
      <c r="J2756" s="3" t="s">
        <v>11</v>
      </c>
      <c r="K2756" s="38">
        <v>28</v>
      </c>
      <c r="L2756" s="39">
        <v>738</v>
      </c>
    </row>
    <row r="2757" spans="1:12" ht="19.95" customHeight="1" x14ac:dyDescent="0.3">
      <c r="A2757" s="6" t="s">
        <v>4434</v>
      </c>
      <c r="B2757" s="7" t="s">
        <v>4351</v>
      </c>
      <c r="C2757" s="6" t="s">
        <v>5565</v>
      </c>
      <c r="D2757" s="7" t="s">
        <v>5740</v>
      </c>
      <c r="E2757" s="6" t="s">
        <v>5739</v>
      </c>
      <c r="F2757" s="7" t="s">
        <v>4519</v>
      </c>
      <c r="G2757" s="7" t="s">
        <v>4367</v>
      </c>
      <c r="H2757" s="5" t="s">
        <v>209</v>
      </c>
      <c r="I2757" s="6" t="s">
        <v>210</v>
      </c>
      <c r="J2757" s="7" t="s">
        <v>11</v>
      </c>
      <c r="K2757" s="36">
        <v>23</v>
      </c>
      <c r="L2757" s="37">
        <v>558</v>
      </c>
    </row>
    <row r="2758" spans="1:12" ht="19.95" customHeight="1" x14ac:dyDescent="0.3">
      <c r="A2758" s="2" t="s">
        <v>4434</v>
      </c>
      <c r="B2758" s="3" t="s">
        <v>4351</v>
      </c>
      <c r="C2758" s="2" t="s">
        <v>5565</v>
      </c>
      <c r="D2758" s="3" t="s">
        <v>5741</v>
      </c>
      <c r="E2758" s="2" t="s">
        <v>5742</v>
      </c>
      <c r="F2758" s="3" t="s">
        <v>4416</v>
      </c>
      <c r="G2758" s="3" t="s">
        <v>4367</v>
      </c>
      <c r="H2758" s="1" t="s">
        <v>203</v>
      </c>
      <c r="I2758" s="2" t="s">
        <v>204</v>
      </c>
      <c r="J2758" s="3" t="s">
        <v>11</v>
      </c>
      <c r="K2758" s="38">
        <v>0.5</v>
      </c>
      <c r="L2758" s="39">
        <v>738</v>
      </c>
    </row>
    <row r="2759" spans="1:12" ht="19.95" customHeight="1" x14ac:dyDescent="0.3">
      <c r="A2759" s="6" t="s">
        <v>4434</v>
      </c>
      <c r="B2759" s="7" t="s">
        <v>4351</v>
      </c>
      <c r="C2759" s="6" t="s">
        <v>5565</v>
      </c>
      <c r="D2759" s="7" t="s">
        <v>5741</v>
      </c>
      <c r="E2759" s="6" t="s">
        <v>5742</v>
      </c>
      <c r="F2759" s="7" t="s">
        <v>4416</v>
      </c>
      <c r="G2759" s="7" t="s">
        <v>4367</v>
      </c>
      <c r="H2759" s="5" t="s">
        <v>209</v>
      </c>
      <c r="I2759" s="6" t="s">
        <v>210</v>
      </c>
      <c r="J2759" s="7" t="s">
        <v>11</v>
      </c>
      <c r="K2759" s="36">
        <v>0.5</v>
      </c>
      <c r="L2759" s="37">
        <v>558</v>
      </c>
    </row>
    <row r="2760" spans="1:12" ht="19.95" customHeight="1" x14ac:dyDescent="0.3">
      <c r="A2760" s="2" t="s">
        <v>4434</v>
      </c>
      <c r="B2760" s="3" t="s">
        <v>4351</v>
      </c>
      <c r="C2760" s="2" t="s">
        <v>5565</v>
      </c>
      <c r="D2760" s="3" t="s">
        <v>5743</v>
      </c>
      <c r="E2760" s="2" t="s">
        <v>5744</v>
      </c>
      <c r="F2760" s="3" t="s">
        <v>5745</v>
      </c>
      <c r="G2760" s="3" t="s">
        <v>4367</v>
      </c>
      <c r="H2760" s="1" t="s">
        <v>203</v>
      </c>
      <c r="I2760" s="2" t="s">
        <v>204</v>
      </c>
      <c r="J2760" s="3" t="s">
        <v>11</v>
      </c>
      <c r="K2760" s="38">
        <v>28</v>
      </c>
      <c r="L2760" s="39">
        <v>738</v>
      </c>
    </row>
    <row r="2761" spans="1:12" ht="19.95" customHeight="1" x14ac:dyDescent="0.3">
      <c r="A2761" s="6" t="s">
        <v>4434</v>
      </c>
      <c r="B2761" s="7" t="s">
        <v>4351</v>
      </c>
      <c r="C2761" s="6" t="s">
        <v>5565</v>
      </c>
      <c r="D2761" s="7" t="s">
        <v>5743</v>
      </c>
      <c r="E2761" s="6" t="s">
        <v>5744</v>
      </c>
      <c r="F2761" s="7" t="s">
        <v>5745</v>
      </c>
      <c r="G2761" s="7" t="s">
        <v>4367</v>
      </c>
      <c r="H2761" s="5" t="s">
        <v>209</v>
      </c>
      <c r="I2761" s="6" t="s">
        <v>210</v>
      </c>
      <c r="J2761" s="7" t="s">
        <v>11</v>
      </c>
      <c r="K2761" s="36">
        <v>23</v>
      </c>
      <c r="L2761" s="37">
        <v>558</v>
      </c>
    </row>
    <row r="2762" spans="1:12" ht="19.95" customHeight="1" x14ac:dyDescent="0.3">
      <c r="A2762" s="2" t="s">
        <v>4434</v>
      </c>
      <c r="B2762" s="3" t="s">
        <v>4351</v>
      </c>
      <c r="C2762" s="2" t="s">
        <v>5565</v>
      </c>
      <c r="D2762" s="3" t="s">
        <v>5746</v>
      </c>
      <c r="E2762" s="2" t="s">
        <v>5747</v>
      </c>
      <c r="F2762" s="3" t="s">
        <v>4344</v>
      </c>
      <c r="G2762" s="3" t="s">
        <v>4367</v>
      </c>
      <c r="H2762" s="1" t="s">
        <v>205</v>
      </c>
      <c r="I2762" s="2" t="s">
        <v>206</v>
      </c>
      <c r="J2762" s="3" t="s">
        <v>11</v>
      </c>
      <c r="K2762" s="38">
        <v>31.1</v>
      </c>
      <c r="L2762" s="39">
        <v>679</v>
      </c>
    </row>
    <row r="2763" spans="1:12" ht="19.95" customHeight="1" x14ac:dyDescent="0.3">
      <c r="A2763" s="6" t="s">
        <v>4434</v>
      </c>
      <c r="B2763" s="7" t="s">
        <v>4351</v>
      </c>
      <c r="C2763" s="6" t="s">
        <v>5565</v>
      </c>
      <c r="D2763" s="7" t="s">
        <v>5746</v>
      </c>
      <c r="E2763" s="6" t="s">
        <v>5747</v>
      </c>
      <c r="F2763" s="7" t="s">
        <v>4344</v>
      </c>
      <c r="G2763" s="7" t="s">
        <v>4367</v>
      </c>
      <c r="H2763" s="5" t="s">
        <v>209</v>
      </c>
      <c r="I2763" s="6" t="s">
        <v>210</v>
      </c>
      <c r="J2763" s="7" t="s">
        <v>11</v>
      </c>
      <c r="K2763" s="36">
        <v>31.1</v>
      </c>
      <c r="L2763" s="37">
        <v>558</v>
      </c>
    </row>
    <row r="2764" spans="1:12" ht="19.95" customHeight="1" x14ac:dyDescent="0.3">
      <c r="A2764" s="2" t="s">
        <v>4434</v>
      </c>
      <c r="B2764" s="3" t="s">
        <v>4351</v>
      </c>
      <c r="C2764" s="2" t="s">
        <v>5565</v>
      </c>
      <c r="D2764" s="3" t="s">
        <v>5748</v>
      </c>
      <c r="E2764" s="2" t="s">
        <v>5749</v>
      </c>
      <c r="F2764" s="3" t="s">
        <v>4350</v>
      </c>
      <c r="G2764" s="3" t="s">
        <v>4367</v>
      </c>
      <c r="H2764" s="1" t="s">
        <v>235</v>
      </c>
      <c r="I2764" s="2" t="s">
        <v>236</v>
      </c>
      <c r="J2764" s="3" t="s">
        <v>11</v>
      </c>
      <c r="K2764" s="38">
        <v>0.5</v>
      </c>
      <c r="L2764" s="39">
        <v>738</v>
      </c>
    </row>
    <row r="2765" spans="1:12" ht="19.95" customHeight="1" x14ac:dyDescent="0.3">
      <c r="A2765" s="6" t="s">
        <v>4434</v>
      </c>
      <c r="B2765" s="7" t="s">
        <v>4351</v>
      </c>
      <c r="C2765" s="6" t="s">
        <v>5565</v>
      </c>
      <c r="D2765" s="7" t="s">
        <v>5748</v>
      </c>
      <c r="E2765" s="6" t="s">
        <v>5749</v>
      </c>
      <c r="F2765" s="7" t="s">
        <v>4350</v>
      </c>
      <c r="G2765" s="7" t="s">
        <v>4367</v>
      </c>
      <c r="H2765" s="5" t="s">
        <v>199</v>
      </c>
      <c r="I2765" s="6" t="s">
        <v>200</v>
      </c>
      <c r="J2765" s="7" t="s">
        <v>11</v>
      </c>
      <c r="K2765" s="36">
        <v>1.48</v>
      </c>
      <c r="L2765" s="37">
        <v>738</v>
      </c>
    </row>
    <row r="2766" spans="1:12" ht="19.95" customHeight="1" x14ac:dyDescent="0.3">
      <c r="A2766" s="2" t="s">
        <v>4434</v>
      </c>
      <c r="B2766" s="3" t="s">
        <v>4351</v>
      </c>
      <c r="C2766" s="2" t="s">
        <v>5565</v>
      </c>
      <c r="D2766" s="3" t="s">
        <v>5748</v>
      </c>
      <c r="E2766" s="2" t="s">
        <v>5749</v>
      </c>
      <c r="F2766" s="3" t="s">
        <v>4350</v>
      </c>
      <c r="G2766" s="3" t="s">
        <v>4367</v>
      </c>
      <c r="H2766" s="1" t="s">
        <v>201</v>
      </c>
      <c r="I2766" s="2" t="s">
        <v>202</v>
      </c>
      <c r="J2766" s="3" t="s">
        <v>11</v>
      </c>
      <c r="K2766" s="38">
        <v>1</v>
      </c>
      <c r="L2766" s="39">
        <v>679</v>
      </c>
    </row>
    <row r="2767" spans="1:12" ht="19.95" customHeight="1" x14ac:dyDescent="0.3">
      <c r="A2767" s="6" t="s">
        <v>4434</v>
      </c>
      <c r="B2767" s="7" t="s">
        <v>4351</v>
      </c>
      <c r="C2767" s="6" t="s">
        <v>5565</v>
      </c>
      <c r="D2767" s="7" t="s">
        <v>5748</v>
      </c>
      <c r="E2767" s="6" t="s">
        <v>5749</v>
      </c>
      <c r="F2767" s="7" t="s">
        <v>4350</v>
      </c>
      <c r="G2767" s="7" t="s">
        <v>4367</v>
      </c>
      <c r="H2767" s="5" t="s">
        <v>209</v>
      </c>
      <c r="I2767" s="6" t="s">
        <v>210</v>
      </c>
      <c r="J2767" s="7" t="s">
        <v>11</v>
      </c>
      <c r="K2767" s="36">
        <v>3</v>
      </c>
      <c r="L2767" s="37">
        <v>558</v>
      </c>
    </row>
    <row r="2768" spans="1:12" ht="19.95" customHeight="1" x14ac:dyDescent="0.3">
      <c r="A2768" s="2" t="s">
        <v>4434</v>
      </c>
      <c r="B2768" s="3" t="s">
        <v>4351</v>
      </c>
      <c r="C2768" s="2" t="s">
        <v>5565</v>
      </c>
      <c r="D2768" s="3" t="s">
        <v>5750</v>
      </c>
      <c r="E2768" s="2" t="s">
        <v>5751</v>
      </c>
      <c r="F2768" s="3" t="s">
        <v>5752</v>
      </c>
      <c r="G2768" s="3" t="s">
        <v>4367</v>
      </c>
      <c r="H2768" s="1" t="s">
        <v>203</v>
      </c>
      <c r="I2768" s="2" t="s">
        <v>204</v>
      </c>
      <c r="J2768" s="3" t="s">
        <v>11</v>
      </c>
      <c r="K2768" s="38">
        <v>1</v>
      </c>
      <c r="L2768" s="39">
        <v>738</v>
      </c>
    </row>
    <row r="2769" spans="1:12" ht="19.95" customHeight="1" x14ac:dyDescent="0.3">
      <c r="A2769" s="6" t="s">
        <v>4434</v>
      </c>
      <c r="B2769" s="7" t="s">
        <v>4351</v>
      </c>
      <c r="C2769" s="6" t="s">
        <v>5565</v>
      </c>
      <c r="D2769" s="7" t="s">
        <v>5750</v>
      </c>
      <c r="E2769" s="6" t="s">
        <v>5751</v>
      </c>
      <c r="F2769" s="7" t="s">
        <v>5752</v>
      </c>
      <c r="G2769" s="7" t="s">
        <v>4367</v>
      </c>
      <c r="H2769" s="5" t="s">
        <v>209</v>
      </c>
      <c r="I2769" s="6" t="s">
        <v>210</v>
      </c>
      <c r="J2769" s="7" t="s">
        <v>11</v>
      </c>
      <c r="K2769" s="36">
        <v>2</v>
      </c>
      <c r="L2769" s="37">
        <v>558</v>
      </c>
    </row>
    <row r="2770" spans="1:12" ht="19.95" customHeight="1" x14ac:dyDescent="0.3">
      <c r="A2770" s="2" t="s">
        <v>4434</v>
      </c>
      <c r="B2770" s="3" t="s">
        <v>4351</v>
      </c>
      <c r="C2770" s="2" t="s">
        <v>5565</v>
      </c>
      <c r="D2770" s="3" t="s">
        <v>5753</v>
      </c>
      <c r="E2770" s="2" t="s">
        <v>5754</v>
      </c>
      <c r="F2770" s="3" t="s">
        <v>5752</v>
      </c>
      <c r="G2770" s="3" t="s">
        <v>4367</v>
      </c>
      <c r="H2770" s="1" t="s">
        <v>203</v>
      </c>
      <c r="I2770" s="2" t="s">
        <v>204</v>
      </c>
      <c r="J2770" s="3" t="s">
        <v>11</v>
      </c>
      <c r="K2770" s="38">
        <v>0.5</v>
      </c>
      <c r="L2770" s="39">
        <v>738</v>
      </c>
    </row>
    <row r="2771" spans="1:12" ht="19.95" customHeight="1" x14ac:dyDescent="0.3">
      <c r="A2771" s="6" t="s">
        <v>4434</v>
      </c>
      <c r="B2771" s="7" t="s">
        <v>4351</v>
      </c>
      <c r="C2771" s="6" t="s">
        <v>5565</v>
      </c>
      <c r="D2771" s="7" t="s">
        <v>5753</v>
      </c>
      <c r="E2771" s="6" t="s">
        <v>5754</v>
      </c>
      <c r="F2771" s="7" t="s">
        <v>5752</v>
      </c>
      <c r="G2771" s="7" t="s">
        <v>4367</v>
      </c>
      <c r="H2771" s="5" t="s">
        <v>209</v>
      </c>
      <c r="I2771" s="6" t="s">
        <v>210</v>
      </c>
      <c r="J2771" s="7" t="s">
        <v>11</v>
      </c>
      <c r="K2771" s="36">
        <v>0.5</v>
      </c>
      <c r="L2771" s="37">
        <v>558</v>
      </c>
    </row>
    <row r="2772" spans="1:12" ht="19.95" customHeight="1" x14ac:dyDescent="0.3">
      <c r="A2772" s="2" t="s">
        <v>4434</v>
      </c>
      <c r="B2772" s="3" t="s">
        <v>4351</v>
      </c>
      <c r="C2772" s="2" t="s">
        <v>5565</v>
      </c>
      <c r="D2772" s="3" t="s">
        <v>5755</v>
      </c>
      <c r="E2772" s="2" t="s">
        <v>5756</v>
      </c>
      <c r="F2772" s="3" t="s">
        <v>5752</v>
      </c>
      <c r="G2772" s="3" t="s">
        <v>4367</v>
      </c>
      <c r="H2772" s="1" t="s">
        <v>203</v>
      </c>
      <c r="I2772" s="2" t="s">
        <v>204</v>
      </c>
      <c r="J2772" s="3" t="s">
        <v>11</v>
      </c>
      <c r="K2772" s="38">
        <v>0.5</v>
      </c>
      <c r="L2772" s="39">
        <v>738</v>
      </c>
    </row>
    <row r="2773" spans="1:12" ht="19.95" customHeight="1" x14ac:dyDescent="0.3">
      <c r="A2773" s="6" t="s">
        <v>4434</v>
      </c>
      <c r="B2773" s="7" t="s">
        <v>4351</v>
      </c>
      <c r="C2773" s="6" t="s">
        <v>5565</v>
      </c>
      <c r="D2773" s="7" t="s">
        <v>5755</v>
      </c>
      <c r="E2773" s="6" t="s">
        <v>5756</v>
      </c>
      <c r="F2773" s="7" t="s">
        <v>5752</v>
      </c>
      <c r="G2773" s="7" t="s">
        <v>4367</v>
      </c>
      <c r="H2773" s="5" t="s">
        <v>209</v>
      </c>
      <c r="I2773" s="6" t="s">
        <v>210</v>
      </c>
      <c r="J2773" s="7" t="s">
        <v>11</v>
      </c>
      <c r="K2773" s="36">
        <v>0.5</v>
      </c>
      <c r="L2773" s="37">
        <v>558</v>
      </c>
    </row>
    <row r="2774" spans="1:12" ht="19.95" customHeight="1" x14ac:dyDescent="0.3">
      <c r="A2774" s="2" t="s">
        <v>4434</v>
      </c>
      <c r="B2774" s="3" t="s">
        <v>4351</v>
      </c>
      <c r="C2774" s="2" t="s">
        <v>5565</v>
      </c>
      <c r="D2774" s="3" t="s">
        <v>5757</v>
      </c>
      <c r="E2774" s="2" t="s">
        <v>5758</v>
      </c>
      <c r="F2774" s="3" t="s">
        <v>5608</v>
      </c>
      <c r="G2774" s="3" t="s">
        <v>4367</v>
      </c>
      <c r="H2774" s="1" t="s">
        <v>209</v>
      </c>
      <c r="I2774" s="2" t="s">
        <v>5759</v>
      </c>
      <c r="J2774" s="3" t="s">
        <v>11</v>
      </c>
      <c r="K2774" s="38">
        <v>0.54</v>
      </c>
      <c r="L2774" s="39">
        <v>558</v>
      </c>
    </row>
    <row r="2775" spans="1:12" ht="19.95" customHeight="1" x14ac:dyDescent="0.3">
      <c r="A2775" s="6" t="s">
        <v>4434</v>
      </c>
      <c r="B2775" s="7" t="s">
        <v>4351</v>
      </c>
      <c r="C2775" s="6" t="s">
        <v>5565</v>
      </c>
      <c r="D2775" s="7" t="s">
        <v>5760</v>
      </c>
      <c r="E2775" s="6" t="s">
        <v>5761</v>
      </c>
      <c r="F2775" s="7" t="s">
        <v>4435</v>
      </c>
      <c r="G2775" s="7" t="s">
        <v>4367</v>
      </c>
      <c r="H2775" s="5" t="s">
        <v>199</v>
      </c>
      <c r="I2775" s="6" t="s">
        <v>200</v>
      </c>
      <c r="J2775" s="7" t="s">
        <v>11</v>
      </c>
      <c r="K2775" s="36">
        <v>0.5</v>
      </c>
      <c r="L2775" s="37">
        <v>738</v>
      </c>
    </row>
    <row r="2776" spans="1:12" ht="19.95" customHeight="1" x14ac:dyDescent="0.3">
      <c r="A2776" s="2" t="s">
        <v>4434</v>
      </c>
      <c r="B2776" s="3" t="s">
        <v>4351</v>
      </c>
      <c r="C2776" s="2" t="s">
        <v>5565</v>
      </c>
      <c r="D2776" s="3" t="s">
        <v>5760</v>
      </c>
      <c r="E2776" s="2" t="s">
        <v>5761</v>
      </c>
      <c r="F2776" s="3" t="s">
        <v>4435</v>
      </c>
      <c r="G2776" s="3" t="s">
        <v>4367</v>
      </c>
      <c r="H2776" s="1" t="s">
        <v>209</v>
      </c>
      <c r="I2776" s="2" t="s">
        <v>210</v>
      </c>
      <c r="J2776" s="3" t="s">
        <v>11</v>
      </c>
      <c r="K2776" s="38">
        <v>0.5</v>
      </c>
      <c r="L2776" s="39">
        <v>558</v>
      </c>
    </row>
    <row r="2777" spans="1:12" ht="19.95" customHeight="1" x14ac:dyDescent="0.3">
      <c r="A2777" s="6" t="s">
        <v>4434</v>
      </c>
      <c r="B2777" s="7" t="s">
        <v>4351</v>
      </c>
      <c r="C2777" s="6" t="s">
        <v>5565</v>
      </c>
      <c r="D2777" s="7" t="s">
        <v>5760</v>
      </c>
      <c r="E2777" s="6" t="s">
        <v>5761</v>
      </c>
      <c r="F2777" s="7" t="s">
        <v>4435</v>
      </c>
      <c r="G2777" s="7" t="s">
        <v>4367</v>
      </c>
      <c r="H2777" s="5" t="s">
        <v>235</v>
      </c>
      <c r="I2777" s="6" t="s">
        <v>236</v>
      </c>
      <c r="J2777" s="7" t="s">
        <v>11</v>
      </c>
      <c r="K2777" s="36">
        <v>0.28000000000000003</v>
      </c>
      <c r="L2777" s="37">
        <v>738</v>
      </c>
    </row>
    <row r="2778" spans="1:12" ht="19.95" customHeight="1" x14ac:dyDescent="0.3">
      <c r="A2778" s="2" t="s">
        <v>4434</v>
      </c>
      <c r="B2778" s="3" t="s">
        <v>4351</v>
      </c>
      <c r="C2778" s="2" t="s">
        <v>5565</v>
      </c>
      <c r="D2778" s="3" t="s">
        <v>5760</v>
      </c>
      <c r="E2778" s="2" t="s">
        <v>5761</v>
      </c>
      <c r="F2778" s="3" t="s">
        <v>4435</v>
      </c>
      <c r="G2778" s="3" t="s">
        <v>4367</v>
      </c>
      <c r="H2778" s="1" t="s">
        <v>199</v>
      </c>
      <c r="I2778" s="2" t="s">
        <v>200</v>
      </c>
      <c r="J2778" s="3" t="s">
        <v>11</v>
      </c>
      <c r="K2778" s="38">
        <v>0.84</v>
      </c>
      <c r="L2778" s="39">
        <v>738</v>
      </c>
    </row>
    <row r="2779" spans="1:12" ht="19.95" customHeight="1" x14ac:dyDescent="0.3">
      <c r="A2779" s="6" t="s">
        <v>4434</v>
      </c>
      <c r="B2779" s="7" t="s">
        <v>4351</v>
      </c>
      <c r="C2779" s="6" t="s">
        <v>5565</v>
      </c>
      <c r="D2779" s="7" t="s">
        <v>5760</v>
      </c>
      <c r="E2779" s="6" t="s">
        <v>5761</v>
      </c>
      <c r="F2779" s="7" t="s">
        <v>4435</v>
      </c>
      <c r="G2779" s="7" t="s">
        <v>4367</v>
      </c>
      <c r="H2779" s="5" t="s">
        <v>205</v>
      </c>
      <c r="I2779" s="6" t="s">
        <v>206</v>
      </c>
      <c r="J2779" s="7" t="s">
        <v>11</v>
      </c>
      <c r="K2779" s="36">
        <v>0.62</v>
      </c>
      <c r="L2779" s="37">
        <v>679</v>
      </c>
    </row>
    <row r="2780" spans="1:12" ht="19.95" customHeight="1" x14ac:dyDescent="0.3">
      <c r="A2780" s="2" t="s">
        <v>4434</v>
      </c>
      <c r="B2780" s="3" t="s">
        <v>4351</v>
      </c>
      <c r="C2780" s="2" t="s">
        <v>5565</v>
      </c>
      <c r="D2780" s="3" t="s">
        <v>5760</v>
      </c>
      <c r="E2780" s="2" t="s">
        <v>5761</v>
      </c>
      <c r="F2780" s="3" t="s">
        <v>4435</v>
      </c>
      <c r="G2780" s="3" t="s">
        <v>4367</v>
      </c>
      <c r="H2780" s="1" t="s">
        <v>209</v>
      </c>
      <c r="I2780" s="2" t="s">
        <v>210</v>
      </c>
      <c r="J2780" s="3" t="s">
        <v>11</v>
      </c>
      <c r="K2780" s="38">
        <v>1.68</v>
      </c>
      <c r="L2780" s="39">
        <v>558</v>
      </c>
    </row>
    <row r="2781" spans="1:12" ht="19.95" customHeight="1" x14ac:dyDescent="0.3">
      <c r="A2781" s="6" t="s">
        <v>4434</v>
      </c>
      <c r="B2781" s="7" t="s">
        <v>4351</v>
      </c>
      <c r="C2781" s="6" t="s">
        <v>5565</v>
      </c>
      <c r="D2781" s="7" t="s">
        <v>5762</v>
      </c>
      <c r="E2781" s="6" t="s">
        <v>5763</v>
      </c>
      <c r="F2781" s="7" t="s">
        <v>4435</v>
      </c>
      <c r="G2781" s="7" t="s">
        <v>4367</v>
      </c>
      <c r="H2781" s="5" t="s">
        <v>199</v>
      </c>
      <c r="I2781" s="6" t="s">
        <v>200</v>
      </c>
      <c r="J2781" s="7" t="s">
        <v>11</v>
      </c>
      <c r="K2781" s="36">
        <v>0.5</v>
      </c>
      <c r="L2781" s="37">
        <v>738</v>
      </c>
    </row>
    <row r="2782" spans="1:12" ht="19.95" customHeight="1" x14ac:dyDescent="0.3">
      <c r="A2782" s="2" t="s">
        <v>4434</v>
      </c>
      <c r="B2782" s="3" t="s">
        <v>4351</v>
      </c>
      <c r="C2782" s="2" t="s">
        <v>5565</v>
      </c>
      <c r="D2782" s="3" t="s">
        <v>5762</v>
      </c>
      <c r="E2782" s="2" t="s">
        <v>5763</v>
      </c>
      <c r="F2782" s="3" t="s">
        <v>4435</v>
      </c>
      <c r="G2782" s="3" t="s">
        <v>4367</v>
      </c>
      <c r="H2782" s="1" t="s">
        <v>209</v>
      </c>
      <c r="I2782" s="2" t="s">
        <v>210</v>
      </c>
      <c r="J2782" s="3" t="s">
        <v>11</v>
      </c>
      <c r="K2782" s="38">
        <v>0.5</v>
      </c>
      <c r="L2782" s="39">
        <v>558</v>
      </c>
    </row>
    <row r="2783" spans="1:12" ht="19.95" customHeight="1" x14ac:dyDescent="0.3">
      <c r="A2783" s="6" t="s">
        <v>4434</v>
      </c>
      <c r="B2783" s="7" t="s">
        <v>4351</v>
      </c>
      <c r="C2783" s="6" t="s">
        <v>5565</v>
      </c>
      <c r="D2783" s="7" t="s">
        <v>5762</v>
      </c>
      <c r="E2783" s="6" t="s">
        <v>5763</v>
      </c>
      <c r="F2783" s="7" t="s">
        <v>4435</v>
      </c>
      <c r="G2783" s="7" t="s">
        <v>4367</v>
      </c>
      <c r="H2783" s="5" t="s">
        <v>235</v>
      </c>
      <c r="I2783" s="6" t="s">
        <v>236</v>
      </c>
      <c r="J2783" s="7" t="s">
        <v>11</v>
      </c>
      <c r="K2783" s="36">
        <v>0.28000000000000003</v>
      </c>
      <c r="L2783" s="37">
        <v>738</v>
      </c>
    </row>
    <row r="2784" spans="1:12" ht="19.95" customHeight="1" x14ac:dyDescent="0.3">
      <c r="A2784" s="2" t="s">
        <v>4434</v>
      </c>
      <c r="B2784" s="3" t="s">
        <v>4351</v>
      </c>
      <c r="C2784" s="2" t="s">
        <v>5565</v>
      </c>
      <c r="D2784" s="3" t="s">
        <v>5762</v>
      </c>
      <c r="E2784" s="2" t="s">
        <v>5763</v>
      </c>
      <c r="F2784" s="3" t="s">
        <v>4435</v>
      </c>
      <c r="G2784" s="3" t="s">
        <v>4367</v>
      </c>
      <c r="H2784" s="1" t="s">
        <v>199</v>
      </c>
      <c r="I2784" s="2" t="s">
        <v>200</v>
      </c>
      <c r="J2784" s="3" t="s">
        <v>11</v>
      </c>
      <c r="K2784" s="38">
        <v>0.84</v>
      </c>
      <c r="L2784" s="39">
        <v>738</v>
      </c>
    </row>
    <row r="2785" spans="1:12" ht="19.95" customHeight="1" x14ac:dyDescent="0.3">
      <c r="A2785" s="6" t="s">
        <v>4434</v>
      </c>
      <c r="B2785" s="7" t="s">
        <v>4351</v>
      </c>
      <c r="C2785" s="6" t="s">
        <v>5565</v>
      </c>
      <c r="D2785" s="7" t="s">
        <v>5762</v>
      </c>
      <c r="E2785" s="6" t="s">
        <v>5763</v>
      </c>
      <c r="F2785" s="7" t="s">
        <v>4435</v>
      </c>
      <c r="G2785" s="7" t="s">
        <v>4367</v>
      </c>
      <c r="H2785" s="5" t="s">
        <v>205</v>
      </c>
      <c r="I2785" s="6" t="s">
        <v>206</v>
      </c>
      <c r="J2785" s="7" t="s">
        <v>11</v>
      </c>
      <c r="K2785" s="36">
        <v>0.62</v>
      </c>
      <c r="L2785" s="37">
        <v>679</v>
      </c>
    </row>
    <row r="2786" spans="1:12" ht="19.95" customHeight="1" x14ac:dyDescent="0.3">
      <c r="A2786" s="2" t="s">
        <v>4434</v>
      </c>
      <c r="B2786" s="3" t="s">
        <v>4351</v>
      </c>
      <c r="C2786" s="2" t="s">
        <v>5565</v>
      </c>
      <c r="D2786" s="3" t="s">
        <v>5762</v>
      </c>
      <c r="E2786" s="2" t="s">
        <v>5763</v>
      </c>
      <c r="F2786" s="3" t="s">
        <v>4435</v>
      </c>
      <c r="G2786" s="3" t="s">
        <v>4367</v>
      </c>
      <c r="H2786" s="1" t="s">
        <v>209</v>
      </c>
      <c r="I2786" s="2" t="s">
        <v>210</v>
      </c>
      <c r="J2786" s="3" t="s">
        <v>11</v>
      </c>
      <c r="K2786" s="38">
        <v>1.68</v>
      </c>
      <c r="L2786" s="39">
        <v>558</v>
      </c>
    </row>
    <row r="2787" spans="1:12" ht="19.95" customHeight="1" x14ac:dyDescent="0.3">
      <c r="A2787" s="6" t="s">
        <v>4434</v>
      </c>
      <c r="B2787" s="7" t="s">
        <v>4351</v>
      </c>
      <c r="C2787" s="6" t="s">
        <v>5565</v>
      </c>
      <c r="D2787" s="7" t="s">
        <v>5764</v>
      </c>
      <c r="E2787" s="6" t="s">
        <v>5765</v>
      </c>
      <c r="F2787" s="7" t="s">
        <v>5766</v>
      </c>
      <c r="G2787" s="7" t="s">
        <v>4367</v>
      </c>
      <c r="H2787" s="5" t="s">
        <v>235</v>
      </c>
      <c r="I2787" s="6" t="s">
        <v>236</v>
      </c>
      <c r="J2787" s="7" t="s">
        <v>11</v>
      </c>
      <c r="K2787" s="36">
        <v>2.34</v>
      </c>
      <c r="L2787" s="37">
        <v>738</v>
      </c>
    </row>
    <row r="2788" spans="1:12" ht="19.95" customHeight="1" x14ac:dyDescent="0.3">
      <c r="A2788" s="2" t="s">
        <v>4434</v>
      </c>
      <c r="B2788" s="3" t="s">
        <v>4351</v>
      </c>
      <c r="C2788" s="2" t="s">
        <v>5565</v>
      </c>
      <c r="D2788" s="3" t="s">
        <v>5764</v>
      </c>
      <c r="E2788" s="2" t="s">
        <v>5765</v>
      </c>
      <c r="F2788" s="3" t="s">
        <v>5766</v>
      </c>
      <c r="G2788" s="3" t="s">
        <v>4367</v>
      </c>
      <c r="H2788" s="1" t="s">
        <v>205</v>
      </c>
      <c r="I2788" s="2" t="s">
        <v>206</v>
      </c>
      <c r="J2788" s="3" t="s">
        <v>11</v>
      </c>
      <c r="K2788" s="38">
        <v>9.34</v>
      </c>
      <c r="L2788" s="39">
        <v>679</v>
      </c>
    </row>
    <row r="2789" spans="1:12" ht="19.95" customHeight="1" x14ac:dyDescent="0.3">
      <c r="A2789" s="6" t="s">
        <v>4434</v>
      </c>
      <c r="B2789" s="7" t="s">
        <v>4351</v>
      </c>
      <c r="C2789" s="6" t="s">
        <v>5565</v>
      </c>
      <c r="D2789" s="7" t="s">
        <v>5764</v>
      </c>
      <c r="E2789" s="6" t="s">
        <v>5765</v>
      </c>
      <c r="F2789" s="7" t="s">
        <v>5766</v>
      </c>
      <c r="G2789" s="7" t="s">
        <v>4367</v>
      </c>
      <c r="H2789" s="5" t="s">
        <v>209</v>
      </c>
      <c r="I2789" s="6" t="s">
        <v>210</v>
      </c>
      <c r="J2789" s="7" t="s">
        <v>11</v>
      </c>
      <c r="K2789" s="36">
        <v>9.34</v>
      </c>
      <c r="L2789" s="37">
        <v>558</v>
      </c>
    </row>
    <row r="2790" spans="1:12" ht="19.95" customHeight="1" x14ac:dyDescent="0.3">
      <c r="A2790" s="2" t="s">
        <v>4434</v>
      </c>
      <c r="B2790" s="3" t="s">
        <v>4351</v>
      </c>
      <c r="C2790" s="2" t="s">
        <v>5565</v>
      </c>
      <c r="D2790" s="3" t="s">
        <v>5767</v>
      </c>
      <c r="E2790" s="2" t="s">
        <v>5768</v>
      </c>
      <c r="F2790" s="3" t="s">
        <v>5769</v>
      </c>
      <c r="G2790" s="3" t="s">
        <v>4367</v>
      </c>
      <c r="H2790" s="1" t="s">
        <v>203</v>
      </c>
      <c r="I2790" s="2" t="s">
        <v>204</v>
      </c>
      <c r="J2790" s="3" t="s">
        <v>11</v>
      </c>
      <c r="K2790" s="38">
        <v>0.12</v>
      </c>
      <c r="L2790" s="39">
        <v>738</v>
      </c>
    </row>
    <row r="2791" spans="1:12" ht="19.95" customHeight="1" x14ac:dyDescent="0.3">
      <c r="A2791" s="6" t="s">
        <v>4434</v>
      </c>
      <c r="B2791" s="7" t="s">
        <v>4351</v>
      </c>
      <c r="C2791" s="6" t="s">
        <v>5565</v>
      </c>
      <c r="D2791" s="7" t="s">
        <v>5767</v>
      </c>
      <c r="E2791" s="6" t="s">
        <v>5768</v>
      </c>
      <c r="F2791" s="7" t="s">
        <v>5769</v>
      </c>
      <c r="G2791" s="7" t="s">
        <v>4367</v>
      </c>
      <c r="H2791" s="5" t="s">
        <v>209</v>
      </c>
      <c r="I2791" s="6" t="s">
        <v>210</v>
      </c>
      <c r="J2791" s="7" t="s">
        <v>11</v>
      </c>
      <c r="K2791" s="36">
        <v>0.12</v>
      </c>
      <c r="L2791" s="37">
        <v>558</v>
      </c>
    </row>
    <row r="2792" spans="1:12" ht="19.95" customHeight="1" x14ac:dyDescent="0.3">
      <c r="A2792" s="2" t="s">
        <v>4434</v>
      </c>
      <c r="B2792" s="3" t="s">
        <v>4351</v>
      </c>
      <c r="C2792" s="2" t="s">
        <v>5565</v>
      </c>
      <c r="D2792" s="3" t="s">
        <v>4595</v>
      </c>
      <c r="E2792" s="2" t="s">
        <v>4931</v>
      </c>
      <c r="F2792" s="3" t="s">
        <v>4368</v>
      </c>
      <c r="G2792" s="3" t="s">
        <v>4367</v>
      </c>
      <c r="H2792" s="1" t="s">
        <v>223</v>
      </c>
      <c r="I2792" s="2" t="s">
        <v>224</v>
      </c>
      <c r="J2792" s="3" t="s">
        <v>11</v>
      </c>
      <c r="K2792" s="38">
        <v>1.3</v>
      </c>
      <c r="L2792" s="39">
        <v>679</v>
      </c>
    </row>
    <row r="2793" spans="1:12" ht="19.95" customHeight="1" x14ac:dyDescent="0.3">
      <c r="A2793" s="6" t="s">
        <v>4434</v>
      </c>
      <c r="B2793" s="7" t="s">
        <v>4351</v>
      </c>
      <c r="C2793" s="6" t="s">
        <v>5565</v>
      </c>
      <c r="D2793" s="7" t="s">
        <v>4595</v>
      </c>
      <c r="E2793" s="6" t="s">
        <v>4931</v>
      </c>
      <c r="F2793" s="7" t="s">
        <v>4368</v>
      </c>
      <c r="G2793" s="7" t="s">
        <v>4367</v>
      </c>
      <c r="H2793" s="5" t="s">
        <v>209</v>
      </c>
      <c r="I2793" s="6" t="s">
        <v>210</v>
      </c>
      <c r="J2793" s="7" t="s">
        <v>11</v>
      </c>
      <c r="K2793" s="36">
        <v>3.75</v>
      </c>
      <c r="L2793" s="37">
        <v>558</v>
      </c>
    </row>
    <row r="2794" spans="1:12" ht="19.95" customHeight="1" x14ac:dyDescent="0.3">
      <c r="A2794" s="2" t="s">
        <v>4434</v>
      </c>
      <c r="B2794" s="3" t="s">
        <v>4351</v>
      </c>
      <c r="C2794" s="2" t="s">
        <v>5565</v>
      </c>
      <c r="D2794" s="3" t="s">
        <v>4595</v>
      </c>
      <c r="E2794" s="2" t="s">
        <v>4931</v>
      </c>
      <c r="F2794" s="3" t="s">
        <v>4368</v>
      </c>
      <c r="G2794" s="3" t="s">
        <v>4367</v>
      </c>
      <c r="H2794" s="1" t="s">
        <v>197</v>
      </c>
      <c r="I2794" s="2" t="s">
        <v>198</v>
      </c>
      <c r="J2794" s="3" t="s">
        <v>11</v>
      </c>
      <c r="K2794" s="38">
        <v>1.1000000000000001</v>
      </c>
      <c r="L2794" s="39">
        <v>617</v>
      </c>
    </row>
    <row r="2795" spans="1:12" ht="19.95" customHeight="1" x14ac:dyDescent="0.3">
      <c r="A2795" s="6" t="s">
        <v>4434</v>
      </c>
      <c r="B2795" s="7" t="s">
        <v>4351</v>
      </c>
      <c r="C2795" s="6" t="s">
        <v>5565</v>
      </c>
      <c r="D2795" s="7" t="s">
        <v>4595</v>
      </c>
      <c r="E2795" s="6" t="s">
        <v>4931</v>
      </c>
      <c r="F2795" s="7" t="s">
        <v>4368</v>
      </c>
      <c r="G2795" s="7" t="s">
        <v>4367</v>
      </c>
      <c r="H2795" s="5" t="s">
        <v>223</v>
      </c>
      <c r="I2795" s="6" t="s">
        <v>224</v>
      </c>
      <c r="J2795" s="7" t="s">
        <v>11</v>
      </c>
      <c r="K2795" s="36">
        <v>1.3</v>
      </c>
      <c r="L2795" s="37">
        <v>679</v>
      </c>
    </row>
    <row r="2796" spans="1:12" ht="19.95" customHeight="1" x14ac:dyDescent="0.3">
      <c r="A2796" s="2" t="s">
        <v>4434</v>
      </c>
      <c r="B2796" s="3" t="s">
        <v>4351</v>
      </c>
      <c r="C2796" s="2" t="s">
        <v>5565</v>
      </c>
      <c r="D2796" s="3" t="s">
        <v>4595</v>
      </c>
      <c r="E2796" s="2" t="s">
        <v>4931</v>
      </c>
      <c r="F2796" s="3" t="s">
        <v>4368</v>
      </c>
      <c r="G2796" s="3" t="s">
        <v>4367</v>
      </c>
      <c r="H2796" s="1" t="s">
        <v>209</v>
      </c>
      <c r="I2796" s="2" t="s">
        <v>210</v>
      </c>
      <c r="J2796" s="3" t="s">
        <v>11</v>
      </c>
      <c r="K2796" s="38">
        <v>3.75</v>
      </c>
      <c r="L2796" s="39">
        <v>558</v>
      </c>
    </row>
    <row r="2797" spans="1:12" ht="19.95" customHeight="1" x14ac:dyDescent="0.3">
      <c r="A2797" s="6" t="s">
        <v>4434</v>
      </c>
      <c r="B2797" s="7" t="s">
        <v>4351</v>
      </c>
      <c r="C2797" s="6" t="s">
        <v>5565</v>
      </c>
      <c r="D2797" s="7" t="s">
        <v>4595</v>
      </c>
      <c r="E2797" s="6" t="s">
        <v>4931</v>
      </c>
      <c r="F2797" s="7" t="s">
        <v>4368</v>
      </c>
      <c r="G2797" s="7" t="s">
        <v>4367</v>
      </c>
      <c r="H2797" s="5" t="s">
        <v>197</v>
      </c>
      <c r="I2797" s="6" t="s">
        <v>198</v>
      </c>
      <c r="J2797" s="7" t="s">
        <v>11</v>
      </c>
      <c r="K2797" s="36">
        <v>1.1000000000000001</v>
      </c>
      <c r="L2797" s="37">
        <v>617</v>
      </c>
    </row>
    <row r="2798" spans="1:12" ht="19.95" customHeight="1" x14ac:dyDescent="0.3">
      <c r="A2798" s="2" t="s">
        <v>4434</v>
      </c>
      <c r="B2798" s="3" t="s">
        <v>4351</v>
      </c>
      <c r="C2798" s="2" t="s">
        <v>5565</v>
      </c>
      <c r="D2798" s="3" t="s">
        <v>4595</v>
      </c>
      <c r="E2798" s="2" t="s">
        <v>4931</v>
      </c>
      <c r="F2798" s="3" t="s">
        <v>4368</v>
      </c>
      <c r="G2798" s="3" t="s">
        <v>4367</v>
      </c>
      <c r="H2798" s="1" t="s">
        <v>223</v>
      </c>
      <c r="I2798" s="2" t="s">
        <v>224</v>
      </c>
      <c r="J2798" s="3" t="s">
        <v>11</v>
      </c>
      <c r="K2798" s="38">
        <v>0.81</v>
      </c>
      <c r="L2798" s="39">
        <v>679</v>
      </c>
    </row>
    <row r="2799" spans="1:12" ht="19.95" customHeight="1" x14ac:dyDescent="0.3">
      <c r="A2799" s="6" t="s">
        <v>4434</v>
      </c>
      <c r="B2799" s="7" t="s">
        <v>4351</v>
      </c>
      <c r="C2799" s="6" t="s">
        <v>5565</v>
      </c>
      <c r="D2799" s="7" t="s">
        <v>4595</v>
      </c>
      <c r="E2799" s="6" t="s">
        <v>4931</v>
      </c>
      <c r="F2799" s="7" t="s">
        <v>4368</v>
      </c>
      <c r="G2799" s="7" t="s">
        <v>4367</v>
      </c>
      <c r="H2799" s="5" t="s">
        <v>211</v>
      </c>
      <c r="I2799" s="6" t="s">
        <v>212</v>
      </c>
      <c r="J2799" s="7" t="s">
        <v>11</v>
      </c>
      <c r="K2799" s="36">
        <v>1.08</v>
      </c>
      <c r="L2799" s="37">
        <v>558</v>
      </c>
    </row>
    <row r="2800" spans="1:12" ht="19.95" customHeight="1" x14ac:dyDescent="0.3">
      <c r="A2800" s="2" t="s">
        <v>4434</v>
      </c>
      <c r="B2800" s="3" t="s">
        <v>4351</v>
      </c>
      <c r="C2800" s="2" t="s">
        <v>5565</v>
      </c>
      <c r="D2800" s="3" t="s">
        <v>4595</v>
      </c>
      <c r="E2800" s="2" t="s">
        <v>4931</v>
      </c>
      <c r="F2800" s="3" t="s">
        <v>4368</v>
      </c>
      <c r="G2800" s="3" t="s">
        <v>4367</v>
      </c>
      <c r="H2800" s="1" t="s">
        <v>197</v>
      </c>
      <c r="I2800" s="2" t="s">
        <v>198</v>
      </c>
      <c r="J2800" s="3" t="s">
        <v>11</v>
      </c>
      <c r="K2800" s="38">
        <v>0.27</v>
      </c>
      <c r="L2800" s="39">
        <v>617</v>
      </c>
    </row>
    <row r="2801" spans="1:12" ht="19.95" customHeight="1" x14ac:dyDescent="0.3">
      <c r="A2801" s="6" t="s">
        <v>4434</v>
      </c>
      <c r="B2801" s="7" t="s">
        <v>4351</v>
      </c>
      <c r="C2801" s="6" t="s">
        <v>5565</v>
      </c>
      <c r="D2801" s="7" t="s">
        <v>4595</v>
      </c>
      <c r="E2801" s="6" t="s">
        <v>4931</v>
      </c>
      <c r="F2801" s="7" t="s">
        <v>4368</v>
      </c>
      <c r="G2801" s="7" t="s">
        <v>4367</v>
      </c>
      <c r="H2801" s="5" t="s">
        <v>255</v>
      </c>
      <c r="I2801" s="6" t="s">
        <v>256</v>
      </c>
      <c r="J2801" s="7" t="s">
        <v>11</v>
      </c>
      <c r="K2801" s="36">
        <v>8.1000000000000003E-2</v>
      </c>
      <c r="L2801" s="37">
        <v>709</v>
      </c>
    </row>
    <row r="2802" spans="1:12" ht="19.95" customHeight="1" x14ac:dyDescent="0.3">
      <c r="A2802" s="2" t="s">
        <v>4434</v>
      </c>
      <c r="B2802" s="3" t="s">
        <v>4351</v>
      </c>
      <c r="C2802" s="2" t="s">
        <v>5565</v>
      </c>
      <c r="D2802" s="3" t="s">
        <v>4595</v>
      </c>
      <c r="E2802" s="2" t="s">
        <v>4931</v>
      </c>
      <c r="F2802" s="3" t="s">
        <v>4368</v>
      </c>
      <c r="G2802" s="3" t="s">
        <v>4367</v>
      </c>
      <c r="H2802" s="1" t="s">
        <v>211</v>
      </c>
      <c r="I2802" s="2" t="s">
        <v>212</v>
      </c>
      <c r="J2802" s="3" t="s">
        <v>11</v>
      </c>
      <c r="K2802" s="38">
        <v>0.10100000000000001</v>
      </c>
      <c r="L2802" s="39">
        <v>558</v>
      </c>
    </row>
    <row r="2803" spans="1:12" ht="19.95" customHeight="1" x14ac:dyDescent="0.3">
      <c r="A2803" s="6" t="s">
        <v>4434</v>
      </c>
      <c r="B2803" s="7" t="s">
        <v>4351</v>
      </c>
      <c r="C2803" s="6" t="s">
        <v>5565</v>
      </c>
      <c r="D2803" s="7" t="s">
        <v>4595</v>
      </c>
      <c r="E2803" s="6" t="s">
        <v>4931</v>
      </c>
      <c r="F2803" s="7" t="s">
        <v>4368</v>
      </c>
      <c r="G2803" s="7" t="s">
        <v>4367</v>
      </c>
      <c r="H2803" s="5" t="s">
        <v>197</v>
      </c>
      <c r="I2803" s="6" t="s">
        <v>198</v>
      </c>
      <c r="J2803" s="7" t="s">
        <v>11</v>
      </c>
      <c r="K2803" s="36">
        <v>3.3000000000000002E-2</v>
      </c>
      <c r="L2803" s="37">
        <v>617</v>
      </c>
    </row>
    <row r="2804" spans="1:12" ht="19.95" customHeight="1" x14ac:dyDescent="0.3">
      <c r="A2804" s="2" t="s">
        <v>4434</v>
      </c>
      <c r="B2804" s="3" t="s">
        <v>4351</v>
      </c>
      <c r="C2804" s="2" t="s">
        <v>5565</v>
      </c>
      <c r="D2804" s="3" t="s">
        <v>4595</v>
      </c>
      <c r="E2804" s="2" t="s">
        <v>4931</v>
      </c>
      <c r="F2804" s="3" t="s">
        <v>4368</v>
      </c>
      <c r="G2804" s="3" t="s">
        <v>4367</v>
      </c>
      <c r="H2804" s="1" t="s">
        <v>255</v>
      </c>
      <c r="I2804" s="2" t="s">
        <v>256</v>
      </c>
      <c r="J2804" s="3" t="s">
        <v>11</v>
      </c>
      <c r="K2804" s="38">
        <v>1.52</v>
      </c>
      <c r="L2804" s="39">
        <v>709</v>
      </c>
    </row>
    <row r="2805" spans="1:12" ht="19.95" customHeight="1" x14ac:dyDescent="0.3">
      <c r="A2805" s="6" t="s">
        <v>4434</v>
      </c>
      <c r="B2805" s="7" t="s">
        <v>4351</v>
      </c>
      <c r="C2805" s="6" t="s">
        <v>5565</v>
      </c>
      <c r="D2805" s="7" t="s">
        <v>4595</v>
      </c>
      <c r="E2805" s="6" t="s">
        <v>4931</v>
      </c>
      <c r="F2805" s="7" t="s">
        <v>4368</v>
      </c>
      <c r="G2805" s="7" t="s">
        <v>4367</v>
      </c>
      <c r="H2805" s="5" t="s">
        <v>194</v>
      </c>
      <c r="I2805" s="6" t="s">
        <v>196</v>
      </c>
      <c r="J2805" s="7" t="s">
        <v>11</v>
      </c>
      <c r="K2805" s="36">
        <v>1.82</v>
      </c>
      <c r="L2805" s="37">
        <v>617</v>
      </c>
    </row>
    <row r="2806" spans="1:12" ht="19.95" customHeight="1" x14ac:dyDescent="0.3">
      <c r="A2806" s="2" t="s">
        <v>4434</v>
      </c>
      <c r="B2806" s="3" t="s">
        <v>4351</v>
      </c>
      <c r="C2806" s="2" t="s">
        <v>5565</v>
      </c>
      <c r="D2806" s="3" t="s">
        <v>4595</v>
      </c>
      <c r="E2806" s="2" t="s">
        <v>4931</v>
      </c>
      <c r="F2806" s="3" t="s">
        <v>4368</v>
      </c>
      <c r="G2806" s="3" t="s">
        <v>4367</v>
      </c>
      <c r="H2806" s="1" t="s">
        <v>211</v>
      </c>
      <c r="I2806" s="2" t="s">
        <v>212</v>
      </c>
      <c r="J2806" s="3" t="s">
        <v>11</v>
      </c>
      <c r="K2806" s="38">
        <v>1.52</v>
      </c>
      <c r="L2806" s="39">
        <v>558</v>
      </c>
    </row>
    <row r="2807" spans="1:12" ht="19.95" customHeight="1" x14ac:dyDescent="0.3">
      <c r="A2807" s="6" t="s">
        <v>4434</v>
      </c>
      <c r="B2807" s="7" t="s">
        <v>4351</v>
      </c>
      <c r="C2807" s="6" t="s">
        <v>5565</v>
      </c>
      <c r="D2807" s="7" t="s">
        <v>4595</v>
      </c>
      <c r="E2807" s="6" t="s">
        <v>4931</v>
      </c>
      <c r="F2807" s="7" t="s">
        <v>4368</v>
      </c>
      <c r="G2807" s="7" t="s">
        <v>4367</v>
      </c>
      <c r="H2807" s="5" t="s">
        <v>197</v>
      </c>
      <c r="I2807" s="6" t="s">
        <v>198</v>
      </c>
      <c r="J2807" s="7" t="s">
        <v>11</v>
      </c>
      <c r="K2807" s="36">
        <v>0.3</v>
      </c>
      <c r="L2807" s="37">
        <v>617</v>
      </c>
    </row>
    <row r="2808" spans="1:12" ht="19.95" customHeight="1" x14ac:dyDescent="0.3">
      <c r="A2808" s="2" t="s">
        <v>4434</v>
      </c>
      <c r="B2808" s="3" t="s">
        <v>4351</v>
      </c>
      <c r="C2808" s="2" t="s">
        <v>5565</v>
      </c>
      <c r="D2808" s="3" t="s">
        <v>4605</v>
      </c>
      <c r="E2808" s="2" t="s">
        <v>4835</v>
      </c>
      <c r="F2808" s="3" t="s">
        <v>4368</v>
      </c>
      <c r="G2808" s="3" t="s">
        <v>4367</v>
      </c>
      <c r="H2808" s="1" t="s">
        <v>255</v>
      </c>
      <c r="I2808" s="2" t="s">
        <v>256</v>
      </c>
      <c r="J2808" s="3" t="s">
        <v>11</v>
      </c>
      <c r="K2808" s="38">
        <v>2.35E-2</v>
      </c>
      <c r="L2808" s="39">
        <v>709</v>
      </c>
    </row>
    <row r="2809" spans="1:12" ht="19.95" customHeight="1" x14ac:dyDescent="0.3">
      <c r="A2809" s="6" t="s">
        <v>4434</v>
      </c>
      <c r="B2809" s="7" t="s">
        <v>4351</v>
      </c>
      <c r="C2809" s="6" t="s">
        <v>5565</v>
      </c>
      <c r="D2809" s="7" t="s">
        <v>4605</v>
      </c>
      <c r="E2809" s="6" t="s">
        <v>4835</v>
      </c>
      <c r="F2809" s="7" t="s">
        <v>4368</v>
      </c>
      <c r="G2809" s="7" t="s">
        <v>4367</v>
      </c>
      <c r="H2809" s="5" t="s">
        <v>211</v>
      </c>
      <c r="I2809" s="6" t="s">
        <v>212</v>
      </c>
      <c r="J2809" s="7" t="s">
        <v>11</v>
      </c>
      <c r="K2809" s="36">
        <v>2.35E-2</v>
      </c>
      <c r="L2809" s="37">
        <v>558</v>
      </c>
    </row>
    <row r="2810" spans="1:12" ht="19.95" customHeight="1" x14ac:dyDescent="0.3">
      <c r="A2810" s="2" t="s">
        <v>4434</v>
      </c>
      <c r="B2810" s="3" t="s">
        <v>4351</v>
      </c>
      <c r="C2810" s="2" t="s">
        <v>5565</v>
      </c>
      <c r="D2810" s="3" t="s">
        <v>4605</v>
      </c>
      <c r="E2810" s="2" t="s">
        <v>4835</v>
      </c>
      <c r="F2810" s="3" t="s">
        <v>4368</v>
      </c>
      <c r="G2810" s="3" t="s">
        <v>4367</v>
      </c>
      <c r="H2810" s="1" t="s">
        <v>197</v>
      </c>
      <c r="I2810" s="2" t="s">
        <v>198</v>
      </c>
      <c r="J2810" s="3" t="s">
        <v>11</v>
      </c>
      <c r="K2810" s="38">
        <v>7.7999999999999996E-3</v>
      </c>
      <c r="L2810" s="39">
        <v>617</v>
      </c>
    </row>
    <row r="2811" spans="1:12" ht="19.95" customHeight="1" x14ac:dyDescent="0.3">
      <c r="A2811" s="6" t="s">
        <v>4434</v>
      </c>
      <c r="B2811" s="7" t="s">
        <v>4351</v>
      </c>
      <c r="C2811" s="6" t="s">
        <v>5565</v>
      </c>
      <c r="D2811" s="7" t="s">
        <v>4605</v>
      </c>
      <c r="E2811" s="6" t="s">
        <v>4835</v>
      </c>
      <c r="F2811" s="7" t="s">
        <v>4368</v>
      </c>
      <c r="G2811" s="7" t="s">
        <v>4367</v>
      </c>
      <c r="H2811" s="5" t="s">
        <v>255</v>
      </c>
      <c r="I2811" s="6" t="s">
        <v>256</v>
      </c>
      <c r="J2811" s="7" t="s">
        <v>11</v>
      </c>
      <c r="K2811" s="36">
        <v>8.0000000000000002E-3</v>
      </c>
      <c r="L2811" s="37">
        <v>709</v>
      </c>
    </row>
    <row r="2812" spans="1:12" ht="19.95" customHeight="1" x14ac:dyDescent="0.3">
      <c r="A2812" s="2" t="s">
        <v>4434</v>
      </c>
      <c r="B2812" s="3" t="s">
        <v>4351</v>
      </c>
      <c r="C2812" s="2" t="s">
        <v>5565</v>
      </c>
      <c r="D2812" s="3" t="s">
        <v>4605</v>
      </c>
      <c r="E2812" s="2" t="s">
        <v>4835</v>
      </c>
      <c r="F2812" s="3" t="s">
        <v>4368</v>
      </c>
      <c r="G2812" s="3" t="s">
        <v>4367</v>
      </c>
      <c r="H2812" s="1" t="s">
        <v>211</v>
      </c>
      <c r="I2812" s="2" t="s">
        <v>212</v>
      </c>
      <c r="J2812" s="3" t="s">
        <v>11</v>
      </c>
      <c r="K2812" s="38">
        <v>8.0000000000000002E-3</v>
      </c>
      <c r="L2812" s="39">
        <v>558</v>
      </c>
    </row>
    <row r="2813" spans="1:12" ht="19.95" customHeight="1" x14ac:dyDescent="0.3">
      <c r="A2813" s="6" t="s">
        <v>4434</v>
      </c>
      <c r="B2813" s="7" t="s">
        <v>4351</v>
      </c>
      <c r="C2813" s="6" t="s">
        <v>5565</v>
      </c>
      <c r="D2813" s="7" t="s">
        <v>4607</v>
      </c>
      <c r="E2813" s="6" t="s">
        <v>4838</v>
      </c>
      <c r="F2813" s="7" t="s">
        <v>4368</v>
      </c>
      <c r="G2813" s="7" t="s">
        <v>4367</v>
      </c>
      <c r="H2813" s="5" t="s">
        <v>221</v>
      </c>
      <c r="I2813" s="6" t="s">
        <v>222</v>
      </c>
      <c r="J2813" s="7" t="s">
        <v>11</v>
      </c>
      <c r="K2813" s="36">
        <v>0.6</v>
      </c>
      <c r="L2813" s="37">
        <v>738</v>
      </c>
    </row>
    <row r="2814" spans="1:12" ht="19.95" customHeight="1" x14ac:dyDescent="0.3">
      <c r="A2814" s="2" t="s">
        <v>4434</v>
      </c>
      <c r="B2814" s="3" t="s">
        <v>4351</v>
      </c>
      <c r="C2814" s="2" t="s">
        <v>5565</v>
      </c>
      <c r="D2814" s="3" t="s">
        <v>4607</v>
      </c>
      <c r="E2814" s="2" t="s">
        <v>4838</v>
      </c>
      <c r="F2814" s="3" t="s">
        <v>4368</v>
      </c>
      <c r="G2814" s="3" t="s">
        <v>4367</v>
      </c>
      <c r="H2814" s="1" t="s">
        <v>209</v>
      </c>
      <c r="I2814" s="2" t="s">
        <v>210</v>
      </c>
      <c r="J2814" s="3" t="s">
        <v>11</v>
      </c>
      <c r="K2814" s="38">
        <v>2.6</v>
      </c>
      <c r="L2814" s="39">
        <v>558</v>
      </c>
    </row>
    <row r="2815" spans="1:12" ht="19.95" customHeight="1" x14ac:dyDescent="0.3">
      <c r="A2815" s="6" t="s">
        <v>4434</v>
      </c>
      <c r="B2815" s="7" t="s">
        <v>4351</v>
      </c>
      <c r="C2815" s="6" t="s">
        <v>5565</v>
      </c>
      <c r="D2815" s="7" t="s">
        <v>4607</v>
      </c>
      <c r="E2815" s="6" t="s">
        <v>4838</v>
      </c>
      <c r="F2815" s="7" t="s">
        <v>4368</v>
      </c>
      <c r="G2815" s="7" t="s">
        <v>4367</v>
      </c>
      <c r="H2815" s="5" t="s">
        <v>255</v>
      </c>
      <c r="I2815" s="6" t="s">
        <v>256</v>
      </c>
      <c r="J2815" s="7" t="s">
        <v>11</v>
      </c>
      <c r="K2815" s="36">
        <v>1.52</v>
      </c>
      <c r="L2815" s="37">
        <v>709</v>
      </c>
    </row>
    <row r="2816" spans="1:12" ht="19.95" customHeight="1" x14ac:dyDescent="0.3">
      <c r="A2816" s="2" t="s">
        <v>4434</v>
      </c>
      <c r="B2816" s="3" t="s">
        <v>4351</v>
      </c>
      <c r="C2816" s="2" t="s">
        <v>5565</v>
      </c>
      <c r="D2816" s="3" t="s">
        <v>4607</v>
      </c>
      <c r="E2816" s="2" t="s">
        <v>4838</v>
      </c>
      <c r="F2816" s="3" t="s">
        <v>4368</v>
      </c>
      <c r="G2816" s="3" t="s">
        <v>4367</v>
      </c>
      <c r="H2816" s="1" t="s">
        <v>194</v>
      </c>
      <c r="I2816" s="2" t="s">
        <v>196</v>
      </c>
      <c r="J2816" s="3" t="s">
        <v>11</v>
      </c>
      <c r="K2816" s="38">
        <v>1.82</v>
      </c>
      <c r="L2816" s="39">
        <v>617</v>
      </c>
    </row>
    <row r="2817" spans="1:12" ht="19.95" customHeight="1" x14ac:dyDescent="0.3">
      <c r="A2817" s="6" t="s">
        <v>4434</v>
      </c>
      <c r="B2817" s="7" t="s">
        <v>4351</v>
      </c>
      <c r="C2817" s="6" t="s">
        <v>5565</v>
      </c>
      <c r="D2817" s="7" t="s">
        <v>4607</v>
      </c>
      <c r="E2817" s="6" t="s">
        <v>4838</v>
      </c>
      <c r="F2817" s="7" t="s">
        <v>4368</v>
      </c>
      <c r="G2817" s="7" t="s">
        <v>4367</v>
      </c>
      <c r="H2817" s="5" t="s">
        <v>211</v>
      </c>
      <c r="I2817" s="6" t="s">
        <v>212</v>
      </c>
      <c r="J2817" s="7" t="s">
        <v>11</v>
      </c>
      <c r="K2817" s="36">
        <v>1.52</v>
      </c>
      <c r="L2817" s="37">
        <v>558</v>
      </c>
    </row>
    <row r="2818" spans="1:12" ht="19.95" customHeight="1" x14ac:dyDescent="0.3">
      <c r="A2818" s="2" t="s">
        <v>4434</v>
      </c>
      <c r="B2818" s="3" t="s">
        <v>4351</v>
      </c>
      <c r="C2818" s="2" t="s">
        <v>5565</v>
      </c>
      <c r="D2818" s="3" t="s">
        <v>4607</v>
      </c>
      <c r="E2818" s="2" t="s">
        <v>4838</v>
      </c>
      <c r="F2818" s="3" t="s">
        <v>4368</v>
      </c>
      <c r="G2818" s="3" t="s">
        <v>4367</v>
      </c>
      <c r="H2818" s="1" t="s">
        <v>197</v>
      </c>
      <c r="I2818" s="2" t="s">
        <v>198</v>
      </c>
      <c r="J2818" s="3" t="s">
        <v>11</v>
      </c>
      <c r="K2818" s="38">
        <v>0.3</v>
      </c>
      <c r="L2818" s="39">
        <v>617</v>
      </c>
    </row>
    <row r="2819" spans="1:12" ht="19.95" customHeight="1" x14ac:dyDescent="0.3">
      <c r="A2819" s="6" t="s">
        <v>4434</v>
      </c>
      <c r="B2819" s="7" t="s">
        <v>4351</v>
      </c>
      <c r="C2819" s="6" t="s">
        <v>5565</v>
      </c>
      <c r="D2819" s="7" t="s">
        <v>4607</v>
      </c>
      <c r="E2819" s="6" t="s">
        <v>5770</v>
      </c>
      <c r="F2819" s="7" t="s">
        <v>4368</v>
      </c>
      <c r="G2819" s="7" t="s">
        <v>4367</v>
      </c>
      <c r="H2819" s="5" t="s">
        <v>223</v>
      </c>
      <c r="I2819" s="6" t="s">
        <v>224</v>
      </c>
      <c r="J2819" s="7" t="s">
        <v>11</v>
      </c>
      <c r="K2819" s="36">
        <v>1.6</v>
      </c>
      <c r="L2819" s="37">
        <v>679</v>
      </c>
    </row>
    <row r="2820" spans="1:12" ht="19.95" customHeight="1" x14ac:dyDescent="0.3">
      <c r="A2820" s="2" t="s">
        <v>4434</v>
      </c>
      <c r="B2820" s="3" t="s">
        <v>4351</v>
      </c>
      <c r="C2820" s="2" t="s">
        <v>5565</v>
      </c>
      <c r="D2820" s="3" t="s">
        <v>4607</v>
      </c>
      <c r="E2820" s="2" t="s">
        <v>5770</v>
      </c>
      <c r="F2820" s="3" t="s">
        <v>4368</v>
      </c>
      <c r="G2820" s="3" t="s">
        <v>4367</v>
      </c>
      <c r="H2820" s="1" t="s">
        <v>211</v>
      </c>
      <c r="I2820" s="2" t="s">
        <v>212</v>
      </c>
      <c r="J2820" s="3" t="s">
        <v>11</v>
      </c>
      <c r="K2820" s="38">
        <v>2</v>
      </c>
      <c r="L2820" s="39">
        <v>558</v>
      </c>
    </row>
    <row r="2821" spans="1:12" ht="19.95" customHeight="1" x14ac:dyDescent="0.3">
      <c r="A2821" s="6" t="s">
        <v>4434</v>
      </c>
      <c r="B2821" s="7" t="s">
        <v>4351</v>
      </c>
      <c r="C2821" s="6" t="s">
        <v>5565</v>
      </c>
      <c r="D2821" s="7" t="s">
        <v>4607</v>
      </c>
      <c r="E2821" s="6" t="s">
        <v>5770</v>
      </c>
      <c r="F2821" s="7" t="s">
        <v>4368</v>
      </c>
      <c r="G2821" s="7" t="s">
        <v>4367</v>
      </c>
      <c r="H2821" s="5" t="s">
        <v>249</v>
      </c>
      <c r="I2821" s="6" t="s">
        <v>250</v>
      </c>
      <c r="J2821" s="7" t="s">
        <v>11</v>
      </c>
      <c r="K2821" s="36">
        <v>1</v>
      </c>
      <c r="L2821" s="37">
        <v>617</v>
      </c>
    </row>
    <row r="2822" spans="1:12" ht="19.95" customHeight="1" x14ac:dyDescent="0.3">
      <c r="A2822" s="2" t="s">
        <v>4434</v>
      </c>
      <c r="B2822" s="3" t="s">
        <v>4351</v>
      </c>
      <c r="C2822" s="2" t="s">
        <v>5565</v>
      </c>
      <c r="D2822" s="3" t="s">
        <v>4607</v>
      </c>
      <c r="E2822" s="2" t="s">
        <v>5770</v>
      </c>
      <c r="F2822" s="3" t="s">
        <v>4368</v>
      </c>
      <c r="G2822" s="3" t="s">
        <v>4367</v>
      </c>
      <c r="H2822" s="1" t="s">
        <v>197</v>
      </c>
      <c r="I2822" s="2" t="s">
        <v>198</v>
      </c>
      <c r="J2822" s="3" t="s">
        <v>11</v>
      </c>
      <c r="K2822" s="38">
        <v>1</v>
      </c>
      <c r="L2822" s="39">
        <v>617</v>
      </c>
    </row>
    <row r="2823" spans="1:12" ht="19.95" customHeight="1" x14ac:dyDescent="0.3">
      <c r="A2823" s="6" t="s">
        <v>4434</v>
      </c>
      <c r="B2823" s="7" t="s">
        <v>4351</v>
      </c>
      <c r="C2823" s="6" t="s">
        <v>5565</v>
      </c>
      <c r="D2823" s="7" t="s">
        <v>4607</v>
      </c>
      <c r="E2823" s="6" t="s">
        <v>5770</v>
      </c>
      <c r="F2823" s="7" t="s">
        <v>4368</v>
      </c>
      <c r="G2823" s="7" t="s">
        <v>4369</v>
      </c>
      <c r="H2823" s="5" t="s">
        <v>35</v>
      </c>
      <c r="I2823" s="6" t="s">
        <v>36</v>
      </c>
      <c r="J2823" s="7" t="s">
        <v>11</v>
      </c>
      <c r="K2823" s="36">
        <v>1.6</v>
      </c>
      <c r="L2823" s="37">
        <v>300</v>
      </c>
    </row>
    <row r="2824" spans="1:12" ht="19.95" customHeight="1" x14ac:dyDescent="0.3">
      <c r="A2824" s="2" t="s">
        <v>4438</v>
      </c>
      <c r="B2824" s="3" t="s">
        <v>4348</v>
      </c>
      <c r="C2824" s="2" t="s">
        <v>5771</v>
      </c>
      <c r="D2824" s="3" t="s">
        <v>5772</v>
      </c>
      <c r="E2824" s="2" t="s">
        <v>5773</v>
      </c>
      <c r="F2824" s="3" t="s">
        <v>4416</v>
      </c>
      <c r="G2824" s="3" t="s">
        <v>4367</v>
      </c>
      <c r="H2824" s="1" t="s">
        <v>223</v>
      </c>
      <c r="I2824" s="2" t="s">
        <v>224</v>
      </c>
      <c r="J2824" s="3" t="s">
        <v>11</v>
      </c>
      <c r="K2824" s="38">
        <v>1.79</v>
      </c>
      <c r="L2824" s="39">
        <v>679</v>
      </c>
    </row>
    <row r="2825" spans="1:12" ht="19.95" customHeight="1" x14ac:dyDescent="0.3">
      <c r="A2825" s="6" t="s">
        <v>4438</v>
      </c>
      <c r="B2825" s="7" t="s">
        <v>4348</v>
      </c>
      <c r="C2825" s="6" t="s">
        <v>5771</v>
      </c>
      <c r="D2825" s="7" t="s">
        <v>5772</v>
      </c>
      <c r="E2825" s="6" t="s">
        <v>5773</v>
      </c>
      <c r="F2825" s="7" t="s">
        <v>4416</v>
      </c>
      <c r="G2825" s="7" t="s">
        <v>4367</v>
      </c>
      <c r="H2825" s="5" t="s">
        <v>209</v>
      </c>
      <c r="I2825" s="6" t="s">
        <v>210</v>
      </c>
      <c r="J2825" s="7" t="s">
        <v>11</v>
      </c>
      <c r="K2825" s="36">
        <v>1.99</v>
      </c>
      <c r="L2825" s="37">
        <v>558</v>
      </c>
    </row>
    <row r="2826" spans="1:12" ht="19.95" customHeight="1" x14ac:dyDescent="0.3">
      <c r="A2826" s="2" t="s">
        <v>4438</v>
      </c>
      <c r="B2826" s="3" t="s">
        <v>4348</v>
      </c>
      <c r="C2826" s="2" t="s">
        <v>5771</v>
      </c>
      <c r="D2826" s="3" t="s">
        <v>5772</v>
      </c>
      <c r="E2826" s="2" t="s">
        <v>5773</v>
      </c>
      <c r="F2826" s="3" t="s">
        <v>4416</v>
      </c>
      <c r="G2826" s="3" t="s">
        <v>4367</v>
      </c>
      <c r="H2826" s="1" t="s">
        <v>197</v>
      </c>
      <c r="I2826" s="2" t="s">
        <v>198</v>
      </c>
      <c r="J2826" s="3" t="s">
        <v>11</v>
      </c>
      <c r="K2826" s="38">
        <v>1.04</v>
      </c>
      <c r="L2826" s="39">
        <v>617</v>
      </c>
    </row>
    <row r="2827" spans="1:12" ht="19.95" customHeight="1" x14ac:dyDescent="0.3">
      <c r="A2827" s="6" t="s">
        <v>4438</v>
      </c>
      <c r="B2827" s="7" t="s">
        <v>4348</v>
      </c>
      <c r="C2827" s="6" t="s">
        <v>5771</v>
      </c>
      <c r="D2827" s="7" t="s">
        <v>5772</v>
      </c>
      <c r="E2827" s="6" t="s">
        <v>5773</v>
      </c>
      <c r="F2827" s="7" t="s">
        <v>4416</v>
      </c>
      <c r="G2827" s="7" t="s">
        <v>4367</v>
      </c>
      <c r="H2827" s="5" t="s">
        <v>229</v>
      </c>
      <c r="I2827" s="6" t="s">
        <v>4439</v>
      </c>
      <c r="J2827" s="7" t="s">
        <v>11</v>
      </c>
      <c r="K2827" s="36">
        <v>0.03</v>
      </c>
      <c r="L2827" s="37">
        <v>738</v>
      </c>
    </row>
    <row r="2828" spans="1:12" ht="19.95" customHeight="1" x14ac:dyDescent="0.3">
      <c r="A2828" s="2" t="s">
        <v>4438</v>
      </c>
      <c r="B2828" s="3" t="s">
        <v>4348</v>
      </c>
      <c r="C2828" s="2" t="s">
        <v>5771</v>
      </c>
      <c r="D2828" s="3" t="s">
        <v>5772</v>
      </c>
      <c r="E2828" s="2" t="s">
        <v>5773</v>
      </c>
      <c r="F2828" s="3" t="s">
        <v>4416</v>
      </c>
      <c r="G2828" s="3" t="s">
        <v>4369</v>
      </c>
      <c r="H2828" s="1" t="s">
        <v>12</v>
      </c>
      <c r="I2828" s="2" t="s">
        <v>4388</v>
      </c>
      <c r="J2828" s="3" t="s">
        <v>11</v>
      </c>
      <c r="K2828" s="38">
        <v>0.03</v>
      </c>
      <c r="L2828" s="39">
        <v>800</v>
      </c>
    </row>
    <row r="2829" spans="1:12" ht="19.95" customHeight="1" x14ac:dyDescent="0.3">
      <c r="A2829" s="6" t="s">
        <v>4438</v>
      </c>
      <c r="B2829" s="7" t="s">
        <v>4348</v>
      </c>
      <c r="C2829" s="6" t="s">
        <v>5771</v>
      </c>
      <c r="D2829" s="7" t="s">
        <v>5774</v>
      </c>
      <c r="E2829" s="6" t="s">
        <v>5775</v>
      </c>
      <c r="F2829" s="7" t="s">
        <v>4416</v>
      </c>
      <c r="G2829" s="7" t="s">
        <v>4367</v>
      </c>
      <c r="H2829" s="5" t="s">
        <v>223</v>
      </c>
      <c r="I2829" s="6" t="s">
        <v>224</v>
      </c>
      <c r="J2829" s="7" t="s">
        <v>11</v>
      </c>
      <c r="K2829" s="36">
        <v>1.79</v>
      </c>
      <c r="L2829" s="37">
        <v>679</v>
      </c>
    </row>
    <row r="2830" spans="1:12" ht="19.95" customHeight="1" x14ac:dyDescent="0.3">
      <c r="A2830" s="2" t="s">
        <v>4438</v>
      </c>
      <c r="B2830" s="3" t="s">
        <v>4348</v>
      </c>
      <c r="C2830" s="2" t="s">
        <v>5771</v>
      </c>
      <c r="D2830" s="3" t="s">
        <v>5774</v>
      </c>
      <c r="E2830" s="2" t="s">
        <v>5775</v>
      </c>
      <c r="F2830" s="3" t="s">
        <v>4416</v>
      </c>
      <c r="G2830" s="3" t="s">
        <v>4367</v>
      </c>
      <c r="H2830" s="1" t="s">
        <v>209</v>
      </c>
      <c r="I2830" s="2" t="s">
        <v>210</v>
      </c>
      <c r="J2830" s="3" t="s">
        <v>11</v>
      </c>
      <c r="K2830" s="38">
        <v>1.99</v>
      </c>
      <c r="L2830" s="39">
        <v>558</v>
      </c>
    </row>
    <row r="2831" spans="1:12" ht="19.95" customHeight="1" x14ac:dyDescent="0.3">
      <c r="A2831" s="6" t="s">
        <v>4438</v>
      </c>
      <c r="B2831" s="7" t="s">
        <v>4348</v>
      </c>
      <c r="C2831" s="6" t="s">
        <v>5771</v>
      </c>
      <c r="D2831" s="7" t="s">
        <v>5774</v>
      </c>
      <c r="E2831" s="6" t="s">
        <v>5775</v>
      </c>
      <c r="F2831" s="7" t="s">
        <v>4416</v>
      </c>
      <c r="G2831" s="7" t="s">
        <v>4367</v>
      </c>
      <c r="H2831" s="5" t="s">
        <v>197</v>
      </c>
      <c r="I2831" s="6" t="s">
        <v>198</v>
      </c>
      <c r="J2831" s="7" t="s">
        <v>11</v>
      </c>
      <c r="K2831" s="36">
        <v>1.04</v>
      </c>
      <c r="L2831" s="37">
        <v>617</v>
      </c>
    </row>
    <row r="2832" spans="1:12" ht="19.95" customHeight="1" x14ac:dyDescent="0.3">
      <c r="A2832" s="2" t="s">
        <v>4438</v>
      </c>
      <c r="B2832" s="3" t="s">
        <v>4348</v>
      </c>
      <c r="C2832" s="2" t="s">
        <v>5771</v>
      </c>
      <c r="D2832" s="3" t="s">
        <v>5774</v>
      </c>
      <c r="E2832" s="2" t="s">
        <v>5775</v>
      </c>
      <c r="F2832" s="3" t="s">
        <v>4416</v>
      </c>
      <c r="G2832" s="3" t="s">
        <v>4367</v>
      </c>
      <c r="H2832" s="1" t="s">
        <v>229</v>
      </c>
      <c r="I2832" s="2" t="s">
        <v>4439</v>
      </c>
      <c r="J2832" s="3" t="s">
        <v>11</v>
      </c>
      <c r="K2832" s="38">
        <v>0.03</v>
      </c>
      <c r="L2832" s="39">
        <v>738</v>
      </c>
    </row>
    <row r="2833" spans="1:12" ht="19.95" customHeight="1" x14ac:dyDescent="0.3">
      <c r="A2833" s="6" t="s">
        <v>4438</v>
      </c>
      <c r="B2833" s="7" t="s">
        <v>4348</v>
      </c>
      <c r="C2833" s="6" t="s">
        <v>5771</v>
      </c>
      <c r="D2833" s="7" t="s">
        <v>5774</v>
      </c>
      <c r="E2833" s="6" t="s">
        <v>5775</v>
      </c>
      <c r="F2833" s="7" t="s">
        <v>4416</v>
      </c>
      <c r="G2833" s="7" t="s">
        <v>4369</v>
      </c>
      <c r="H2833" s="5" t="s">
        <v>12</v>
      </c>
      <c r="I2833" s="6" t="s">
        <v>4388</v>
      </c>
      <c r="J2833" s="7" t="s">
        <v>11</v>
      </c>
      <c r="K2833" s="36">
        <v>0.03</v>
      </c>
      <c r="L2833" s="37">
        <v>800</v>
      </c>
    </row>
    <row r="2834" spans="1:12" ht="19.95" customHeight="1" x14ac:dyDescent="0.3">
      <c r="A2834" s="2" t="s">
        <v>4438</v>
      </c>
      <c r="B2834" s="3" t="s">
        <v>4348</v>
      </c>
      <c r="C2834" s="2" t="s">
        <v>5771</v>
      </c>
      <c r="D2834" s="3" t="s">
        <v>5776</v>
      </c>
      <c r="E2834" s="2" t="s">
        <v>5777</v>
      </c>
      <c r="F2834" s="3" t="s">
        <v>4416</v>
      </c>
      <c r="G2834" s="3" t="s">
        <v>4367</v>
      </c>
      <c r="H2834" s="1" t="s">
        <v>223</v>
      </c>
      <c r="I2834" s="2" t="s">
        <v>224</v>
      </c>
      <c r="J2834" s="3" t="s">
        <v>11</v>
      </c>
      <c r="K2834" s="38">
        <v>1.79</v>
      </c>
      <c r="L2834" s="39">
        <v>679</v>
      </c>
    </row>
    <row r="2835" spans="1:12" ht="19.95" customHeight="1" x14ac:dyDescent="0.3">
      <c r="A2835" s="6" t="s">
        <v>4438</v>
      </c>
      <c r="B2835" s="7" t="s">
        <v>4348</v>
      </c>
      <c r="C2835" s="6" t="s">
        <v>5771</v>
      </c>
      <c r="D2835" s="7" t="s">
        <v>5776</v>
      </c>
      <c r="E2835" s="6" t="s">
        <v>5777</v>
      </c>
      <c r="F2835" s="7" t="s">
        <v>4416</v>
      </c>
      <c r="G2835" s="7" t="s">
        <v>4367</v>
      </c>
      <c r="H2835" s="5" t="s">
        <v>209</v>
      </c>
      <c r="I2835" s="6" t="s">
        <v>210</v>
      </c>
      <c r="J2835" s="7" t="s">
        <v>11</v>
      </c>
      <c r="K2835" s="36">
        <v>1.99</v>
      </c>
      <c r="L2835" s="37">
        <v>558</v>
      </c>
    </row>
    <row r="2836" spans="1:12" ht="19.95" customHeight="1" x14ac:dyDescent="0.3">
      <c r="A2836" s="2" t="s">
        <v>4438</v>
      </c>
      <c r="B2836" s="3" t="s">
        <v>4348</v>
      </c>
      <c r="C2836" s="2" t="s">
        <v>5771</v>
      </c>
      <c r="D2836" s="3" t="s">
        <v>5776</v>
      </c>
      <c r="E2836" s="2" t="s">
        <v>5777</v>
      </c>
      <c r="F2836" s="3" t="s">
        <v>4416</v>
      </c>
      <c r="G2836" s="3" t="s">
        <v>4367</v>
      </c>
      <c r="H2836" s="1" t="s">
        <v>197</v>
      </c>
      <c r="I2836" s="2" t="s">
        <v>198</v>
      </c>
      <c r="J2836" s="3" t="s">
        <v>11</v>
      </c>
      <c r="K2836" s="38">
        <v>1.04</v>
      </c>
      <c r="L2836" s="39">
        <v>617</v>
      </c>
    </row>
    <row r="2837" spans="1:12" ht="19.95" customHeight="1" x14ac:dyDescent="0.3">
      <c r="A2837" s="6" t="s">
        <v>4438</v>
      </c>
      <c r="B2837" s="7" t="s">
        <v>4348</v>
      </c>
      <c r="C2837" s="6" t="s">
        <v>5771</v>
      </c>
      <c r="D2837" s="7" t="s">
        <v>5776</v>
      </c>
      <c r="E2837" s="6" t="s">
        <v>5777</v>
      </c>
      <c r="F2837" s="7" t="s">
        <v>4416</v>
      </c>
      <c r="G2837" s="7" t="s">
        <v>4367</v>
      </c>
      <c r="H2837" s="5" t="s">
        <v>229</v>
      </c>
      <c r="I2837" s="6" t="s">
        <v>4439</v>
      </c>
      <c r="J2837" s="7" t="s">
        <v>11</v>
      </c>
      <c r="K2837" s="36">
        <v>0.03</v>
      </c>
      <c r="L2837" s="37">
        <v>738</v>
      </c>
    </row>
    <row r="2838" spans="1:12" ht="19.95" customHeight="1" x14ac:dyDescent="0.3">
      <c r="A2838" s="2" t="s">
        <v>4438</v>
      </c>
      <c r="B2838" s="3" t="s">
        <v>4348</v>
      </c>
      <c r="C2838" s="2" t="s">
        <v>5771</v>
      </c>
      <c r="D2838" s="3" t="s">
        <v>5776</v>
      </c>
      <c r="E2838" s="2" t="s">
        <v>5777</v>
      </c>
      <c r="F2838" s="3" t="s">
        <v>4416</v>
      </c>
      <c r="G2838" s="3" t="s">
        <v>4369</v>
      </c>
      <c r="H2838" s="1" t="s">
        <v>12</v>
      </c>
      <c r="I2838" s="2" t="s">
        <v>4388</v>
      </c>
      <c r="J2838" s="3" t="s">
        <v>11</v>
      </c>
      <c r="K2838" s="38">
        <v>0.03</v>
      </c>
      <c r="L2838" s="39">
        <v>800</v>
      </c>
    </row>
    <row r="2839" spans="1:12" ht="19.95" customHeight="1" x14ac:dyDescent="0.3">
      <c r="A2839" s="6" t="s">
        <v>4438</v>
      </c>
      <c r="B2839" s="7" t="s">
        <v>4348</v>
      </c>
      <c r="C2839" s="6" t="s">
        <v>5771</v>
      </c>
      <c r="D2839" s="7" t="s">
        <v>5778</v>
      </c>
      <c r="E2839" s="6" t="s">
        <v>5779</v>
      </c>
      <c r="F2839" s="7" t="s">
        <v>4416</v>
      </c>
      <c r="G2839" s="7" t="s">
        <v>4367</v>
      </c>
      <c r="H2839" s="5" t="s">
        <v>223</v>
      </c>
      <c r="I2839" s="6" t="s">
        <v>224</v>
      </c>
      <c r="J2839" s="7" t="s">
        <v>11</v>
      </c>
      <c r="K2839" s="36">
        <v>1.79</v>
      </c>
      <c r="L2839" s="37">
        <v>679</v>
      </c>
    </row>
    <row r="2840" spans="1:12" ht="19.95" customHeight="1" x14ac:dyDescent="0.3">
      <c r="A2840" s="2" t="s">
        <v>4438</v>
      </c>
      <c r="B2840" s="3" t="s">
        <v>4348</v>
      </c>
      <c r="C2840" s="2" t="s">
        <v>5771</v>
      </c>
      <c r="D2840" s="3" t="s">
        <v>5778</v>
      </c>
      <c r="E2840" s="2" t="s">
        <v>5779</v>
      </c>
      <c r="F2840" s="3" t="s">
        <v>4416</v>
      </c>
      <c r="G2840" s="3" t="s">
        <v>4367</v>
      </c>
      <c r="H2840" s="1" t="s">
        <v>209</v>
      </c>
      <c r="I2840" s="2" t="s">
        <v>210</v>
      </c>
      <c r="J2840" s="3" t="s">
        <v>11</v>
      </c>
      <c r="K2840" s="38">
        <v>1.99</v>
      </c>
      <c r="L2840" s="39">
        <v>558</v>
      </c>
    </row>
    <row r="2841" spans="1:12" ht="19.95" customHeight="1" x14ac:dyDescent="0.3">
      <c r="A2841" s="6" t="s">
        <v>4438</v>
      </c>
      <c r="B2841" s="7" t="s">
        <v>4348</v>
      </c>
      <c r="C2841" s="6" t="s">
        <v>5771</v>
      </c>
      <c r="D2841" s="7" t="s">
        <v>5778</v>
      </c>
      <c r="E2841" s="6" t="s">
        <v>5779</v>
      </c>
      <c r="F2841" s="7" t="s">
        <v>4416</v>
      </c>
      <c r="G2841" s="7" t="s">
        <v>4367</v>
      </c>
      <c r="H2841" s="5" t="s">
        <v>197</v>
      </c>
      <c r="I2841" s="6" t="s">
        <v>198</v>
      </c>
      <c r="J2841" s="7" t="s">
        <v>11</v>
      </c>
      <c r="K2841" s="36">
        <v>1.04</v>
      </c>
      <c r="L2841" s="37">
        <v>617</v>
      </c>
    </row>
    <row r="2842" spans="1:12" ht="19.95" customHeight="1" x14ac:dyDescent="0.3">
      <c r="A2842" s="2" t="s">
        <v>4438</v>
      </c>
      <c r="B2842" s="3" t="s">
        <v>4348</v>
      </c>
      <c r="C2842" s="2" t="s">
        <v>5771</v>
      </c>
      <c r="D2842" s="3" t="s">
        <v>5778</v>
      </c>
      <c r="E2842" s="2" t="s">
        <v>5779</v>
      </c>
      <c r="F2842" s="3" t="s">
        <v>4416</v>
      </c>
      <c r="G2842" s="3" t="s">
        <v>4367</v>
      </c>
      <c r="H2842" s="1" t="s">
        <v>229</v>
      </c>
      <c r="I2842" s="2" t="s">
        <v>4439</v>
      </c>
      <c r="J2842" s="3" t="s">
        <v>11</v>
      </c>
      <c r="K2842" s="38">
        <v>0.03</v>
      </c>
      <c r="L2842" s="39">
        <v>738</v>
      </c>
    </row>
    <row r="2843" spans="1:12" ht="19.95" customHeight="1" x14ac:dyDescent="0.3">
      <c r="A2843" s="6" t="s">
        <v>4438</v>
      </c>
      <c r="B2843" s="7" t="s">
        <v>4348</v>
      </c>
      <c r="C2843" s="6" t="s">
        <v>5771</v>
      </c>
      <c r="D2843" s="7" t="s">
        <v>5778</v>
      </c>
      <c r="E2843" s="6" t="s">
        <v>5779</v>
      </c>
      <c r="F2843" s="7" t="s">
        <v>4416</v>
      </c>
      <c r="G2843" s="7" t="s">
        <v>4369</v>
      </c>
      <c r="H2843" s="5" t="s">
        <v>12</v>
      </c>
      <c r="I2843" s="6" t="s">
        <v>4388</v>
      </c>
      <c r="J2843" s="7" t="s">
        <v>11</v>
      </c>
      <c r="K2843" s="36">
        <v>0.03</v>
      </c>
      <c r="L2843" s="37">
        <v>800</v>
      </c>
    </row>
    <row r="2844" spans="1:12" ht="19.95" customHeight="1" x14ac:dyDescent="0.3">
      <c r="A2844" s="2" t="s">
        <v>4438</v>
      </c>
      <c r="B2844" s="3" t="s">
        <v>4348</v>
      </c>
      <c r="C2844" s="2" t="s">
        <v>5771</v>
      </c>
      <c r="D2844" s="3" t="s">
        <v>5780</v>
      </c>
      <c r="E2844" s="2" t="s">
        <v>5781</v>
      </c>
      <c r="F2844" s="3" t="s">
        <v>4416</v>
      </c>
      <c r="G2844" s="3" t="s">
        <v>4367</v>
      </c>
      <c r="H2844" s="1" t="s">
        <v>223</v>
      </c>
      <c r="I2844" s="2" t="s">
        <v>224</v>
      </c>
      <c r="J2844" s="3" t="s">
        <v>11</v>
      </c>
      <c r="K2844" s="38">
        <v>1.79</v>
      </c>
      <c r="L2844" s="39">
        <v>679</v>
      </c>
    </row>
    <row r="2845" spans="1:12" ht="19.95" customHeight="1" x14ac:dyDescent="0.3">
      <c r="A2845" s="6" t="s">
        <v>4438</v>
      </c>
      <c r="B2845" s="7" t="s">
        <v>4348</v>
      </c>
      <c r="C2845" s="6" t="s">
        <v>5771</v>
      </c>
      <c r="D2845" s="7" t="s">
        <v>5780</v>
      </c>
      <c r="E2845" s="6" t="s">
        <v>5781</v>
      </c>
      <c r="F2845" s="7" t="s">
        <v>4416</v>
      </c>
      <c r="G2845" s="7" t="s">
        <v>4367</v>
      </c>
      <c r="H2845" s="5" t="s">
        <v>209</v>
      </c>
      <c r="I2845" s="6" t="s">
        <v>210</v>
      </c>
      <c r="J2845" s="7" t="s">
        <v>11</v>
      </c>
      <c r="K2845" s="36">
        <v>1.99</v>
      </c>
      <c r="L2845" s="37">
        <v>558</v>
      </c>
    </row>
    <row r="2846" spans="1:12" ht="19.95" customHeight="1" x14ac:dyDescent="0.3">
      <c r="A2846" s="2" t="s">
        <v>4438</v>
      </c>
      <c r="B2846" s="3" t="s">
        <v>4348</v>
      </c>
      <c r="C2846" s="2" t="s">
        <v>5771</v>
      </c>
      <c r="D2846" s="3" t="s">
        <v>5780</v>
      </c>
      <c r="E2846" s="2" t="s">
        <v>5781</v>
      </c>
      <c r="F2846" s="3" t="s">
        <v>4416</v>
      </c>
      <c r="G2846" s="3" t="s">
        <v>4367</v>
      </c>
      <c r="H2846" s="1" t="s">
        <v>197</v>
      </c>
      <c r="I2846" s="2" t="s">
        <v>198</v>
      </c>
      <c r="J2846" s="3" t="s">
        <v>11</v>
      </c>
      <c r="K2846" s="38">
        <v>1.04</v>
      </c>
      <c r="L2846" s="39">
        <v>617</v>
      </c>
    </row>
    <row r="2847" spans="1:12" ht="19.95" customHeight="1" x14ac:dyDescent="0.3">
      <c r="A2847" s="6" t="s">
        <v>4438</v>
      </c>
      <c r="B2847" s="7" t="s">
        <v>4348</v>
      </c>
      <c r="C2847" s="6" t="s">
        <v>5771</v>
      </c>
      <c r="D2847" s="7" t="s">
        <v>5780</v>
      </c>
      <c r="E2847" s="6" t="s">
        <v>5781</v>
      </c>
      <c r="F2847" s="7" t="s">
        <v>4416</v>
      </c>
      <c r="G2847" s="7" t="s">
        <v>4367</v>
      </c>
      <c r="H2847" s="5" t="s">
        <v>229</v>
      </c>
      <c r="I2847" s="6" t="s">
        <v>4439</v>
      </c>
      <c r="J2847" s="7" t="s">
        <v>11</v>
      </c>
      <c r="K2847" s="36">
        <v>0.03</v>
      </c>
      <c r="L2847" s="37">
        <v>738</v>
      </c>
    </row>
    <row r="2848" spans="1:12" ht="19.95" customHeight="1" x14ac:dyDescent="0.3">
      <c r="A2848" s="2" t="s">
        <v>4438</v>
      </c>
      <c r="B2848" s="3" t="s">
        <v>4348</v>
      </c>
      <c r="C2848" s="2" t="s">
        <v>5771</v>
      </c>
      <c r="D2848" s="3" t="s">
        <v>5780</v>
      </c>
      <c r="E2848" s="2" t="s">
        <v>5781</v>
      </c>
      <c r="F2848" s="3" t="s">
        <v>4416</v>
      </c>
      <c r="G2848" s="3" t="s">
        <v>4369</v>
      </c>
      <c r="H2848" s="1" t="s">
        <v>12</v>
      </c>
      <c r="I2848" s="2" t="s">
        <v>4388</v>
      </c>
      <c r="J2848" s="3" t="s">
        <v>11</v>
      </c>
      <c r="K2848" s="38">
        <v>0.03</v>
      </c>
      <c r="L2848" s="39">
        <v>800</v>
      </c>
    </row>
    <row r="2849" spans="1:12" ht="19.95" customHeight="1" x14ac:dyDescent="0.3">
      <c r="A2849" s="6" t="s">
        <v>4438</v>
      </c>
      <c r="B2849" s="7" t="s">
        <v>4348</v>
      </c>
      <c r="C2849" s="6" t="s">
        <v>5771</v>
      </c>
      <c r="D2849" s="7" t="s">
        <v>5782</v>
      </c>
      <c r="E2849" s="6" t="s">
        <v>5783</v>
      </c>
      <c r="F2849" s="7" t="s">
        <v>4416</v>
      </c>
      <c r="G2849" s="7" t="s">
        <v>4367</v>
      </c>
      <c r="H2849" s="5" t="s">
        <v>223</v>
      </c>
      <c r="I2849" s="6" t="s">
        <v>224</v>
      </c>
      <c r="J2849" s="7" t="s">
        <v>11</v>
      </c>
      <c r="K2849" s="36">
        <v>1.79</v>
      </c>
      <c r="L2849" s="37">
        <v>679</v>
      </c>
    </row>
    <row r="2850" spans="1:12" ht="19.95" customHeight="1" x14ac:dyDescent="0.3">
      <c r="A2850" s="2" t="s">
        <v>4438</v>
      </c>
      <c r="B2850" s="3" t="s">
        <v>4348</v>
      </c>
      <c r="C2850" s="2" t="s">
        <v>5771</v>
      </c>
      <c r="D2850" s="3" t="s">
        <v>5782</v>
      </c>
      <c r="E2850" s="2" t="s">
        <v>5783</v>
      </c>
      <c r="F2850" s="3" t="s">
        <v>4416</v>
      </c>
      <c r="G2850" s="3" t="s">
        <v>4367</v>
      </c>
      <c r="H2850" s="1" t="s">
        <v>209</v>
      </c>
      <c r="I2850" s="2" t="s">
        <v>210</v>
      </c>
      <c r="J2850" s="3" t="s">
        <v>11</v>
      </c>
      <c r="K2850" s="38">
        <v>1.99</v>
      </c>
      <c r="L2850" s="39">
        <v>558</v>
      </c>
    </row>
    <row r="2851" spans="1:12" ht="19.95" customHeight="1" x14ac:dyDescent="0.3">
      <c r="A2851" s="6" t="s">
        <v>4438</v>
      </c>
      <c r="B2851" s="7" t="s">
        <v>4348</v>
      </c>
      <c r="C2851" s="6" t="s">
        <v>5771</v>
      </c>
      <c r="D2851" s="7" t="s">
        <v>5782</v>
      </c>
      <c r="E2851" s="6" t="s">
        <v>5783</v>
      </c>
      <c r="F2851" s="7" t="s">
        <v>4416</v>
      </c>
      <c r="G2851" s="7" t="s">
        <v>4367</v>
      </c>
      <c r="H2851" s="5" t="s">
        <v>197</v>
      </c>
      <c r="I2851" s="6" t="s">
        <v>198</v>
      </c>
      <c r="J2851" s="7" t="s">
        <v>11</v>
      </c>
      <c r="K2851" s="36">
        <v>1.04</v>
      </c>
      <c r="L2851" s="37">
        <v>617</v>
      </c>
    </row>
    <row r="2852" spans="1:12" ht="19.95" customHeight="1" x14ac:dyDescent="0.3">
      <c r="A2852" s="2" t="s">
        <v>4438</v>
      </c>
      <c r="B2852" s="3" t="s">
        <v>4348</v>
      </c>
      <c r="C2852" s="2" t="s">
        <v>5771</v>
      </c>
      <c r="D2852" s="3" t="s">
        <v>5782</v>
      </c>
      <c r="E2852" s="2" t="s">
        <v>5783</v>
      </c>
      <c r="F2852" s="3" t="s">
        <v>4416</v>
      </c>
      <c r="G2852" s="3" t="s">
        <v>4367</v>
      </c>
      <c r="H2852" s="1" t="s">
        <v>229</v>
      </c>
      <c r="I2852" s="2" t="s">
        <v>4439</v>
      </c>
      <c r="J2852" s="3" t="s">
        <v>11</v>
      </c>
      <c r="K2852" s="38">
        <v>0.03</v>
      </c>
      <c r="L2852" s="39">
        <v>738</v>
      </c>
    </row>
    <row r="2853" spans="1:12" ht="19.95" customHeight="1" x14ac:dyDescent="0.3">
      <c r="A2853" s="6" t="s">
        <v>4438</v>
      </c>
      <c r="B2853" s="7" t="s">
        <v>4348</v>
      </c>
      <c r="C2853" s="6" t="s">
        <v>5771</v>
      </c>
      <c r="D2853" s="7" t="s">
        <v>5782</v>
      </c>
      <c r="E2853" s="6" t="s">
        <v>5783</v>
      </c>
      <c r="F2853" s="7" t="s">
        <v>4416</v>
      </c>
      <c r="G2853" s="7" t="s">
        <v>4369</v>
      </c>
      <c r="H2853" s="5" t="s">
        <v>12</v>
      </c>
      <c r="I2853" s="6" t="s">
        <v>4388</v>
      </c>
      <c r="J2853" s="7" t="s">
        <v>11</v>
      </c>
      <c r="K2853" s="36">
        <v>0.03</v>
      </c>
      <c r="L2853" s="37">
        <v>800</v>
      </c>
    </row>
    <row r="2854" spans="1:12" ht="19.95" customHeight="1" x14ac:dyDescent="0.3">
      <c r="A2854" s="2" t="s">
        <v>4438</v>
      </c>
      <c r="B2854" s="3" t="s">
        <v>4348</v>
      </c>
      <c r="C2854" s="2" t="s">
        <v>5771</v>
      </c>
      <c r="D2854" s="3" t="s">
        <v>5784</v>
      </c>
      <c r="E2854" s="2" t="s">
        <v>5785</v>
      </c>
      <c r="F2854" s="3" t="s">
        <v>5786</v>
      </c>
      <c r="G2854" s="3" t="s">
        <v>4367</v>
      </c>
      <c r="H2854" s="1" t="s">
        <v>223</v>
      </c>
      <c r="I2854" s="2" t="s">
        <v>224</v>
      </c>
      <c r="J2854" s="3" t="s">
        <v>11</v>
      </c>
      <c r="K2854" s="38">
        <v>0.25</v>
      </c>
      <c r="L2854" s="39">
        <v>679</v>
      </c>
    </row>
    <row r="2855" spans="1:12" ht="19.95" customHeight="1" x14ac:dyDescent="0.3">
      <c r="A2855" s="6" t="s">
        <v>4438</v>
      </c>
      <c r="B2855" s="7" t="s">
        <v>4348</v>
      </c>
      <c r="C2855" s="6" t="s">
        <v>5771</v>
      </c>
      <c r="D2855" s="7" t="s">
        <v>5784</v>
      </c>
      <c r="E2855" s="6" t="s">
        <v>5785</v>
      </c>
      <c r="F2855" s="7" t="s">
        <v>5786</v>
      </c>
      <c r="G2855" s="7" t="s">
        <v>4367</v>
      </c>
      <c r="H2855" s="5" t="s">
        <v>209</v>
      </c>
      <c r="I2855" s="6" t="s">
        <v>210</v>
      </c>
      <c r="J2855" s="7" t="s">
        <v>11</v>
      </c>
      <c r="K2855" s="36">
        <v>0.25</v>
      </c>
      <c r="L2855" s="37">
        <v>558</v>
      </c>
    </row>
    <row r="2856" spans="1:12" ht="19.95" customHeight="1" x14ac:dyDescent="0.3">
      <c r="A2856" s="2" t="s">
        <v>4438</v>
      </c>
      <c r="B2856" s="3" t="s">
        <v>4348</v>
      </c>
      <c r="C2856" s="2" t="s">
        <v>5771</v>
      </c>
      <c r="D2856" s="3" t="s">
        <v>5787</v>
      </c>
      <c r="E2856" s="2" t="s">
        <v>5788</v>
      </c>
      <c r="F2856" s="3" t="s">
        <v>4416</v>
      </c>
      <c r="G2856" s="3" t="s">
        <v>4367</v>
      </c>
      <c r="H2856" s="1" t="s">
        <v>223</v>
      </c>
      <c r="I2856" s="2" t="s">
        <v>224</v>
      </c>
      <c r="J2856" s="3" t="s">
        <v>11</v>
      </c>
      <c r="K2856" s="38">
        <v>0.3</v>
      </c>
      <c r="L2856" s="39">
        <v>679</v>
      </c>
    </row>
    <row r="2857" spans="1:12" ht="19.95" customHeight="1" x14ac:dyDescent="0.3">
      <c r="A2857" s="6" t="s">
        <v>4438</v>
      </c>
      <c r="B2857" s="7" t="s">
        <v>4348</v>
      </c>
      <c r="C2857" s="6" t="s">
        <v>5771</v>
      </c>
      <c r="D2857" s="7" t="s">
        <v>5787</v>
      </c>
      <c r="E2857" s="6" t="s">
        <v>5788</v>
      </c>
      <c r="F2857" s="7" t="s">
        <v>4416</v>
      </c>
      <c r="G2857" s="7" t="s">
        <v>4367</v>
      </c>
      <c r="H2857" s="5" t="s">
        <v>209</v>
      </c>
      <c r="I2857" s="6" t="s">
        <v>210</v>
      </c>
      <c r="J2857" s="7" t="s">
        <v>11</v>
      </c>
      <c r="K2857" s="36">
        <v>0.3</v>
      </c>
      <c r="L2857" s="37">
        <v>558</v>
      </c>
    </row>
    <row r="2858" spans="1:12" ht="19.95" customHeight="1" x14ac:dyDescent="0.3">
      <c r="A2858" s="2" t="s">
        <v>4438</v>
      </c>
      <c r="B2858" s="3" t="s">
        <v>4348</v>
      </c>
      <c r="C2858" s="2" t="s">
        <v>5771</v>
      </c>
      <c r="D2858" s="3" t="s">
        <v>5787</v>
      </c>
      <c r="E2858" s="2" t="s">
        <v>5788</v>
      </c>
      <c r="F2858" s="3" t="s">
        <v>4416</v>
      </c>
      <c r="G2858" s="3" t="s">
        <v>4367</v>
      </c>
      <c r="H2858" s="1" t="s">
        <v>211</v>
      </c>
      <c r="I2858" s="2" t="s">
        <v>212</v>
      </c>
      <c r="J2858" s="3" t="s">
        <v>11</v>
      </c>
      <c r="K2858" s="38">
        <v>0.3</v>
      </c>
      <c r="L2858" s="39">
        <v>558</v>
      </c>
    </row>
    <row r="2859" spans="1:12" ht="19.95" customHeight="1" x14ac:dyDescent="0.3">
      <c r="A2859" s="6" t="s">
        <v>4438</v>
      </c>
      <c r="B2859" s="7" t="s">
        <v>4348</v>
      </c>
      <c r="C2859" s="6" t="s">
        <v>5771</v>
      </c>
      <c r="D2859" s="7" t="s">
        <v>5789</v>
      </c>
      <c r="E2859" s="6" t="s">
        <v>5790</v>
      </c>
      <c r="F2859" s="7" t="s">
        <v>4416</v>
      </c>
      <c r="G2859" s="7" t="s">
        <v>4367</v>
      </c>
      <c r="H2859" s="5" t="s">
        <v>223</v>
      </c>
      <c r="I2859" s="6" t="s">
        <v>224</v>
      </c>
      <c r="J2859" s="7" t="s">
        <v>11</v>
      </c>
      <c r="K2859" s="36">
        <v>0.22</v>
      </c>
      <c r="L2859" s="37">
        <v>679</v>
      </c>
    </row>
    <row r="2860" spans="1:12" ht="19.95" customHeight="1" x14ac:dyDescent="0.3">
      <c r="A2860" s="2" t="s">
        <v>4438</v>
      </c>
      <c r="B2860" s="3" t="s">
        <v>4348</v>
      </c>
      <c r="C2860" s="2" t="s">
        <v>5771</v>
      </c>
      <c r="D2860" s="3" t="s">
        <v>5789</v>
      </c>
      <c r="E2860" s="2" t="s">
        <v>5790</v>
      </c>
      <c r="F2860" s="3" t="s">
        <v>4416</v>
      </c>
      <c r="G2860" s="3" t="s">
        <v>4367</v>
      </c>
      <c r="H2860" s="1" t="s">
        <v>211</v>
      </c>
      <c r="I2860" s="2" t="s">
        <v>212</v>
      </c>
      <c r="J2860" s="3" t="s">
        <v>11</v>
      </c>
      <c r="K2860" s="38">
        <v>0.22</v>
      </c>
      <c r="L2860" s="39">
        <v>558</v>
      </c>
    </row>
    <row r="2861" spans="1:12" ht="19.95" customHeight="1" x14ac:dyDescent="0.3">
      <c r="A2861" s="6" t="s">
        <v>4438</v>
      </c>
      <c r="B2861" s="7" t="s">
        <v>4348</v>
      </c>
      <c r="C2861" s="6" t="s">
        <v>5771</v>
      </c>
      <c r="D2861" s="7" t="s">
        <v>5791</v>
      </c>
      <c r="E2861" s="6" t="s">
        <v>5792</v>
      </c>
      <c r="F2861" s="7" t="s">
        <v>4441</v>
      </c>
      <c r="G2861" s="7" t="s">
        <v>4367</v>
      </c>
      <c r="H2861" s="5" t="s">
        <v>227</v>
      </c>
      <c r="I2861" s="6" t="s">
        <v>228</v>
      </c>
      <c r="J2861" s="7" t="s">
        <v>11</v>
      </c>
      <c r="K2861" s="36">
        <v>2</v>
      </c>
      <c r="L2861" s="37">
        <v>738</v>
      </c>
    </row>
    <row r="2862" spans="1:12" ht="19.95" customHeight="1" x14ac:dyDescent="0.3">
      <c r="A2862" s="2" t="s">
        <v>4438</v>
      </c>
      <c r="B2862" s="3" t="s">
        <v>4348</v>
      </c>
      <c r="C2862" s="2" t="s">
        <v>5771</v>
      </c>
      <c r="D2862" s="3" t="s">
        <v>5791</v>
      </c>
      <c r="E2862" s="2" t="s">
        <v>5792</v>
      </c>
      <c r="F2862" s="3" t="s">
        <v>4441</v>
      </c>
      <c r="G2862" s="3" t="s">
        <v>4367</v>
      </c>
      <c r="H2862" s="1" t="s">
        <v>209</v>
      </c>
      <c r="I2862" s="2" t="s">
        <v>210</v>
      </c>
      <c r="J2862" s="3" t="s">
        <v>11</v>
      </c>
      <c r="K2862" s="38">
        <v>1.5</v>
      </c>
      <c r="L2862" s="39">
        <v>558</v>
      </c>
    </row>
    <row r="2863" spans="1:12" ht="19.95" customHeight="1" x14ac:dyDescent="0.3">
      <c r="A2863" s="6" t="s">
        <v>4438</v>
      </c>
      <c r="B2863" s="7" t="s">
        <v>4348</v>
      </c>
      <c r="C2863" s="6" t="s">
        <v>5771</v>
      </c>
      <c r="D2863" s="7" t="s">
        <v>5793</v>
      </c>
      <c r="E2863" s="6" t="s">
        <v>5794</v>
      </c>
      <c r="F2863" s="7" t="s">
        <v>4636</v>
      </c>
      <c r="G2863" s="7" t="s">
        <v>4367</v>
      </c>
      <c r="H2863" s="5" t="s">
        <v>221</v>
      </c>
      <c r="I2863" s="6" t="s">
        <v>222</v>
      </c>
      <c r="J2863" s="7" t="s">
        <v>11</v>
      </c>
      <c r="K2863" s="36">
        <v>1.95</v>
      </c>
      <c r="L2863" s="37">
        <v>738</v>
      </c>
    </row>
    <row r="2864" spans="1:12" ht="19.95" customHeight="1" x14ac:dyDescent="0.3">
      <c r="A2864" s="2" t="s">
        <v>4438</v>
      </c>
      <c r="B2864" s="3" t="s">
        <v>4348</v>
      </c>
      <c r="C2864" s="2" t="s">
        <v>5771</v>
      </c>
      <c r="D2864" s="3" t="s">
        <v>5793</v>
      </c>
      <c r="E2864" s="2" t="s">
        <v>5794</v>
      </c>
      <c r="F2864" s="3" t="s">
        <v>4636</v>
      </c>
      <c r="G2864" s="3" t="s">
        <v>4367</v>
      </c>
      <c r="H2864" s="1" t="s">
        <v>209</v>
      </c>
      <c r="I2864" s="2" t="s">
        <v>210</v>
      </c>
      <c r="J2864" s="3" t="s">
        <v>11</v>
      </c>
      <c r="K2864" s="38">
        <v>1.4</v>
      </c>
      <c r="L2864" s="39">
        <v>558</v>
      </c>
    </row>
    <row r="2865" spans="1:12" ht="19.95" customHeight="1" x14ac:dyDescent="0.3">
      <c r="A2865" s="6" t="s">
        <v>4438</v>
      </c>
      <c r="B2865" s="7" t="s">
        <v>4348</v>
      </c>
      <c r="C2865" s="6" t="s">
        <v>5771</v>
      </c>
      <c r="D2865" s="7" t="s">
        <v>5793</v>
      </c>
      <c r="E2865" s="6" t="s">
        <v>5794</v>
      </c>
      <c r="F2865" s="7" t="s">
        <v>4636</v>
      </c>
      <c r="G2865" s="7" t="s">
        <v>4367</v>
      </c>
      <c r="H2865" s="5" t="s">
        <v>211</v>
      </c>
      <c r="I2865" s="6" t="s">
        <v>212</v>
      </c>
      <c r="J2865" s="7" t="s">
        <v>11</v>
      </c>
      <c r="K2865" s="36">
        <v>0.75</v>
      </c>
      <c r="L2865" s="37">
        <v>558</v>
      </c>
    </row>
    <row r="2866" spans="1:12" ht="19.95" customHeight="1" x14ac:dyDescent="0.3">
      <c r="A2866" s="2" t="s">
        <v>4438</v>
      </c>
      <c r="B2866" s="3" t="s">
        <v>4348</v>
      </c>
      <c r="C2866" s="2" t="s">
        <v>5771</v>
      </c>
      <c r="D2866" s="3" t="s">
        <v>5795</v>
      </c>
      <c r="E2866" s="2" t="s">
        <v>5796</v>
      </c>
      <c r="F2866" s="3" t="s">
        <v>4416</v>
      </c>
      <c r="G2866" s="3" t="s">
        <v>4367</v>
      </c>
      <c r="H2866" s="1" t="s">
        <v>223</v>
      </c>
      <c r="I2866" s="2" t="s">
        <v>224</v>
      </c>
      <c r="J2866" s="3" t="s">
        <v>11</v>
      </c>
      <c r="K2866" s="38">
        <v>0.8</v>
      </c>
      <c r="L2866" s="39">
        <v>679</v>
      </c>
    </row>
    <row r="2867" spans="1:12" ht="19.95" customHeight="1" x14ac:dyDescent="0.3">
      <c r="A2867" s="6" t="s">
        <v>4438</v>
      </c>
      <c r="B2867" s="7" t="s">
        <v>4348</v>
      </c>
      <c r="C2867" s="6" t="s">
        <v>5771</v>
      </c>
      <c r="D2867" s="7" t="s">
        <v>5795</v>
      </c>
      <c r="E2867" s="6" t="s">
        <v>5796</v>
      </c>
      <c r="F2867" s="7" t="s">
        <v>4416</v>
      </c>
      <c r="G2867" s="7" t="s">
        <v>4367</v>
      </c>
      <c r="H2867" s="5" t="s">
        <v>209</v>
      </c>
      <c r="I2867" s="6" t="s">
        <v>210</v>
      </c>
      <c r="J2867" s="7" t="s">
        <v>11</v>
      </c>
      <c r="K2867" s="36">
        <v>1.4</v>
      </c>
      <c r="L2867" s="37">
        <v>558</v>
      </c>
    </row>
    <row r="2868" spans="1:12" ht="19.95" customHeight="1" x14ac:dyDescent="0.3">
      <c r="A2868" s="2" t="s">
        <v>4438</v>
      </c>
      <c r="B2868" s="3" t="s">
        <v>4348</v>
      </c>
      <c r="C2868" s="2" t="s">
        <v>5771</v>
      </c>
      <c r="D2868" s="3" t="s">
        <v>5795</v>
      </c>
      <c r="E2868" s="2" t="s">
        <v>5796</v>
      </c>
      <c r="F2868" s="3" t="s">
        <v>4416</v>
      </c>
      <c r="G2868" s="3" t="s">
        <v>4367</v>
      </c>
      <c r="H2868" s="1" t="s">
        <v>197</v>
      </c>
      <c r="I2868" s="2" t="s">
        <v>198</v>
      </c>
      <c r="J2868" s="3" t="s">
        <v>11</v>
      </c>
      <c r="K2868" s="38">
        <v>1.04</v>
      </c>
      <c r="L2868" s="39">
        <v>617</v>
      </c>
    </row>
    <row r="2869" spans="1:12" ht="19.95" customHeight="1" x14ac:dyDescent="0.3">
      <c r="A2869" s="6" t="s">
        <v>4438</v>
      </c>
      <c r="B2869" s="7" t="s">
        <v>4348</v>
      </c>
      <c r="C2869" s="6" t="s">
        <v>5771</v>
      </c>
      <c r="D2869" s="7" t="s">
        <v>5795</v>
      </c>
      <c r="E2869" s="6" t="s">
        <v>5796</v>
      </c>
      <c r="F2869" s="7" t="s">
        <v>4416</v>
      </c>
      <c r="G2869" s="7" t="s">
        <v>4367</v>
      </c>
      <c r="H2869" s="5" t="s">
        <v>229</v>
      </c>
      <c r="I2869" s="6" t="s">
        <v>4439</v>
      </c>
      <c r="J2869" s="7" t="s">
        <v>11</v>
      </c>
      <c r="K2869" s="36">
        <v>0.03</v>
      </c>
      <c r="L2869" s="37">
        <v>738</v>
      </c>
    </row>
    <row r="2870" spans="1:12" ht="19.95" customHeight="1" x14ac:dyDescent="0.3">
      <c r="A2870" s="2" t="s">
        <v>4438</v>
      </c>
      <c r="B2870" s="3" t="s">
        <v>4348</v>
      </c>
      <c r="C2870" s="2" t="s">
        <v>5771</v>
      </c>
      <c r="D2870" s="3" t="s">
        <v>5795</v>
      </c>
      <c r="E2870" s="2" t="s">
        <v>5796</v>
      </c>
      <c r="F2870" s="3" t="s">
        <v>4416</v>
      </c>
      <c r="G2870" s="3" t="s">
        <v>4369</v>
      </c>
      <c r="H2870" s="1" t="s">
        <v>12</v>
      </c>
      <c r="I2870" s="2" t="s">
        <v>4388</v>
      </c>
      <c r="J2870" s="3" t="s">
        <v>11</v>
      </c>
      <c r="K2870" s="38">
        <v>0.03</v>
      </c>
      <c r="L2870" s="39">
        <v>800</v>
      </c>
    </row>
    <row r="2871" spans="1:12" ht="19.95" customHeight="1" x14ac:dyDescent="0.3">
      <c r="A2871" s="6" t="s">
        <v>4438</v>
      </c>
      <c r="B2871" s="7" t="s">
        <v>4348</v>
      </c>
      <c r="C2871" s="6" t="s">
        <v>5771</v>
      </c>
      <c r="D2871" s="7" t="s">
        <v>5797</v>
      </c>
      <c r="E2871" s="6" t="s">
        <v>5798</v>
      </c>
      <c r="F2871" s="7" t="s">
        <v>4441</v>
      </c>
      <c r="G2871" s="7" t="s">
        <v>4367</v>
      </c>
      <c r="H2871" s="5" t="s">
        <v>227</v>
      </c>
      <c r="I2871" s="6" t="s">
        <v>228</v>
      </c>
      <c r="J2871" s="7" t="s">
        <v>11</v>
      </c>
      <c r="K2871" s="36">
        <v>1.5</v>
      </c>
      <c r="L2871" s="37">
        <v>738</v>
      </c>
    </row>
    <row r="2872" spans="1:12" ht="19.95" customHeight="1" x14ac:dyDescent="0.3">
      <c r="A2872" s="2" t="s">
        <v>4438</v>
      </c>
      <c r="B2872" s="3" t="s">
        <v>4348</v>
      </c>
      <c r="C2872" s="2" t="s">
        <v>5771</v>
      </c>
      <c r="D2872" s="3" t="s">
        <v>5799</v>
      </c>
      <c r="E2872" s="2" t="s">
        <v>5800</v>
      </c>
      <c r="F2872" s="3" t="s">
        <v>4636</v>
      </c>
      <c r="G2872" s="3" t="s">
        <v>4367</v>
      </c>
      <c r="H2872" s="1" t="s">
        <v>223</v>
      </c>
      <c r="I2872" s="2" t="s">
        <v>224</v>
      </c>
      <c r="J2872" s="3" t="s">
        <v>11</v>
      </c>
      <c r="K2872" s="38">
        <v>0.2</v>
      </c>
      <c r="L2872" s="39">
        <v>679</v>
      </c>
    </row>
    <row r="2873" spans="1:12" ht="19.95" customHeight="1" x14ac:dyDescent="0.3">
      <c r="A2873" s="6" t="s">
        <v>4438</v>
      </c>
      <c r="B2873" s="7" t="s">
        <v>4348</v>
      </c>
      <c r="C2873" s="6" t="s">
        <v>5771</v>
      </c>
      <c r="D2873" s="7" t="s">
        <v>5799</v>
      </c>
      <c r="E2873" s="6" t="s">
        <v>5800</v>
      </c>
      <c r="F2873" s="7" t="s">
        <v>4636</v>
      </c>
      <c r="G2873" s="7" t="s">
        <v>4367</v>
      </c>
      <c r="H2873" s="5" t="s">
        <v>209</v>
      </c>
      <c r="I2873" s="6" t="s">
        <v>210</v>
      </c>
      <c r="J2873" s="7" t="s">
        <v>11</v>
      </c>
      <c r="K2873" s="36">
        <v>0.2</v>
      </c>
      <c r="L2873" s="37">
        <v>558</v>
      </c>
    </row>
    <row r="2874" spans="1:12" ht="19.95" customHeight="1" x14ac:dyDescent="0.3">
      <c r="A2874" s="2" t="s">
        <v>4438</v>
      </c>
      <c r="B2874" s="3" t="s">
        <v>4348</v>
      </c>
      <c r="C2874" s="2" t="s">
        <v>5771</v>
      </c>
      <c r="D2874" s="3" t="s">
        <v>5801</v>
      </c>
      <c r="E2874" s="2" t="s">
        <v>5802</v>
      </c>
      <c r="F2874" s="3" t="s">
        <v>4440</v>
      </c>
      <c r="G2874" s="3" t="s">
        <v>4367</v>
      </c>
      <c r="H2874" s="1" t="s">
        <v>203</v>
      </c>
      <c r="I2874" s="2" t="s">
        <v>204</v>
      </c>
      <c r="J2874" s="3" t="s">
        <v>11</v>
      </c>
      <c r="K2874" s="38">
        <v>2.68</v>
      </c>
      <c r="L2874" s="39">
        <v>738</v>
      </c>
    </row>
    <row r="2875" spans="1:12" ht="19.95" customHeight="1" x14ac:dyDescent="0.3">
      <c r="A2875" s="6" t="s">
        <v>4438</v>
      </c>
      <c r="B2875" s="7" t="s">
        <v>4348</v>
      </c>
      <c r="C2875" s="6" t="s">
        <v>5771</v>
      </c>
      <c r="D2875" s="7" t="s">
        <v>5801</v>
      </c>
      <c r="E2875" s="6" t="s">
        <v>5802</v>
      </c>
      <c r="F2875" s="7" t="s">
        <v>4440</v>
      </c>
      <c r="G2875" s="7" t="s">
        <v>4367</v>
      </c>
      <c r="H2875" s="5" t="s">
        <v>209</v>
      </c>
      <c r="I2875" s="6" t="s">
        <v>210</v>
      </c>
      <c r="J2875" s="7" t="s">
        <v>11</v>
      </c>
      <c r="K2875" s="36">
        <v>1.35</v>
      </c>
      <c r="L2875" s="37">
        <v>558</v>
      </c>
    </row>
    <row r="2876" spans="1:12" ht="19.95" customHeight="1" x14ac:dyDescent="0.3">
      <c r="A2876" s="2" t="s">
        <v>4438</v>
      </c>
      <c r="B2876" s="3" t="s">
        <v>4348</v>
      </c>
      <c r="C2876" s="2" t="s">
        <v>5771</v>
      </c>
      <c r="D2876" s="3" t="s">
        <v>5803</v>
      </c>
      <c r="E2876" s="2" t="s">
        <v>5804</v>
      </c>
      <c r="F2876" s="3" t="s">
        <v>4440</v>
      </c>
      <c r="G2876" s="3" t="s">
        <v>4367</v>
      </c>
      <c r="H2876" s="1" t="s">
        <v>203</v>
      </c>
      <c r="I2876" s="2" t="s">
        <v>204</v>
      </c>
      <c r="J2876" s="3" t="s">
        <v>11</v>
      </c>
      <c r="K2876" s="38">
        <v>2.16</v>
      </c>
      <c r="L2876" s="39">
        <v>738</v>
      </c>
    </row>
    <row r="2877" spans="1:12" ht="19.95" customHeight="1" x14ac:dyDescent="0.3">
      <c r="A2877" s="6" t="s">
        <v>4438</v>
      </c>
      <c r="B2877" s="7" t="s">
        <v>4348</v>
      </c>
      <c r="C2877" s="6" t="s">
        <v>5771</v>
      </c>
      <c r="D2877" s="7" t="s">
        <v>5803</v>
      </c>
      <c r="E2877" s="6" t="s">
        <v>5804</v>
      </c>
      <c r="F2877" s="7" t="s">
        <v>4440</v>
      </c>
      <c r="G2877" s="7" t="s">
        <v>4367</v>
      </c>
      <c r="H2877" s="5" t="s">
        <v>209</v>
      </c>
      <c r="I2877" s="6" t="s">
        <v>210</v>
      </c>
      <c r="J2877" s="7" t="s">
        <v>11</v>
      </c>
      <c r="K2877" s="36">
        <v>1.08</v>
      </c>
      <c r="L2877" s="37">
        <v>558</v>
      </c>
    </row>
    <row r="2878" spans="1:12" ht="19.95" customHeight="1" x14ac:dyDescent="0.3">
      <c r="A2878" s="2" t="s">
        <v>4438</v>
      </c>
      <c r="B2878" s="3" t="s">
        <v>4348</v>
      </c>
      <c r="C2878" s="2" t="s">
        <v>5771</v>
      </c>
      <c r="D2878" s="3" t="s">
        <v>5805</v>
      </c>
      <c r="E2878" s="2" t="s">
        <v>5806</v>
      </c>
      <c r="F2878" s="3" t="s">
        <v>4443</v>
      </c>
      <c r="G2878" s="3" t="s">
        <v>4367</v>
      </c>
      <c r="H2878" s="1" t="s">
        <v>203</v>
      </c>
      <c r="I2878" s="2" t="s">
        <v>204</v>
      </c>
      <c r="J2878" s="3" t="s">
        <v>11</v>
      </c>
      <c r="K2878" s="38">
        <v>1.75</v>
      </c>
      <c r="L2878" s="39">
        <v>738</v>
      </c>
    </row>
    <row r="2879" spans="1:12" ht="19.95" customHeight="1" x14ac:dyDescent="0.3">
      <c r="A2879" s="6" t="s">
        <v>4438</v>
      </c>
      <c r="B2879" s="7" t="s">
        <v>4348</v>
      </c>
      <c r="C2879" s="6" t="s">
        <v>5771</v>
      </c>
      <c r="D2879" s="7" t="s">
        <v>5805</v>
      </c>
      <c r="E2879" s="6" t="s">
        <v>5806</v>
      </c>
      <c r="F2879" s="7" t="s">
        <v>4443</v>
      </c>
      <c r="G2879" s="7" t="s">
        <v>4367</v>
      </c>
      <c r="H2879" s="5" t="s">
        <v>209</v>
      </c>
      <c r="I2879" s="6" t="s">
        <v>210</v>
      </c>
      <c r="J2879" s="7" t="s">
        <v>11</v>
      </c>
      <c r="K2879" s="36">
        <v>2.25</v>
      </c>
      <c r="L2879" s="37">
        <v>558</v>
      </c>
    </row>
    <row r="2880" spans="1:12" ht="19.95" customHeight="1" x14ac:dyDescent="0.3">
      <c r="A2880" s="2" t="s">
        <v>4438</v>
      </c>
      <c r="B2880" s="3" t="s">
        <v>4348</v>
      </c>
      <c r="C2880" s="2" t="s">
        <v>5771</v>
      </c>
      <c r="D2880" s="3" t="s">
        <v>5805</v>
      </c>
      <c r="E2880" s="2" t="s">
        <v>5806</v>
      </c>
      <c r="F2880" s="3" t="s">
        <v>4443</v>
      </c>
      <c r="G2880" s="3" t="s">
        <v>4367</v>
      </c>
      <c r="H2880" s="1" t="s">
        <v>211</v>
      </c>
      <c r="I2880" s="2" t="s">
        <v>212</v>
      </c>
      <c r="J2880" s="3" t="s">
        <v>11</v>
      </c>
      <c r="K2880" s="38">
        <v>1.5</v>
      </c>
      <c r="L2880" s="39">
        <v>558</v>
      </c>
    </row>
    <row r="2881" spans="1:12" ht="19.95" customHeight="1" x14ac:dyDescent="0.3">
      <c r="A2881" s="6" t="s">
        <v>4438</v>
      </c>
      <c r="B2881" s="7" t="s">
        <v>4348</v>
      </c>
      <c r="C2881" s="6" t="s">
        <v>5771</v>
      </c>
      <c r="D2881" s="7" t="s">
        <v>5805</v>
      </c>
      <c r="E2881" s="6" t="s">
        <v>5806</v>
      </c>
      <c r="F2881" s="7" t="s">
        <v>4443</v>
      </c>
      <c r="G2881" s="7" t="s">
        <v>4367</v>
      </c>
      <c r="H2881" s="5" t="s">
        <v>235</v>
      </c>
      <c r="I2881" s="6" t="s">
        <v>236</v>
      </c>
      <c r="J2881" s="7" t="s">
        <v>11</v>
      </c>
      <c r="K2881" s="36">
        <v>0.1</v>
      </c>
      <c r="L2881" s="37">
        <v>738</v>
      </c>
    </row>
    <row r="2882" spans="1:12" ht="19.95" customHeight="1" x14ac:dyDescent="0.3">
      <c r="A2882" s="2" t="s">
        <v>4438</v>
      </c>
      <c r="B2882" s="3" t="s">
        <v>4348</v>
      </c>
      <c r="C2882" s="2" t="s">
        <v>5771</v>
      </c>
      <c r="D2882" s="3" t="s">
        <v>5807</v>
      </c>
      <c r="E2882" s="2" t="s">
        <v>5808</v>
      </c>
      <c r="F2882" s="3" t="s">
        <v>4442</v>
      </c>
      <c r="G2882" s="3" t="s">
        <v>4367</v>
      </c>
      <c r="H2882" s="1" t="s">
        <v>201</v>
      </c>
      <c r="I2882" s="2" t="s">
        <v>202</v>
      </c>
      <c r="J2882" s="3" t="s">
        <v>11</v>
      </c>
      <c r="K2882" s="38">
        <v>0.09</v>
      </c>
      <c r="L2882" s="39">
        <v>679</v>
      </c>
    </row>
    <row r="2883" spans="1:12" ht="19.95" customHeight="1" x14ac:dyDescent="0.3">
      <c r="A2883" s="6" t="s">
        <v>4438</v>
      </c>
      <c r="B2883" s="7" t="s">
        <v>4348</v>
      </c>
      <c r="C2883" s="6" t="s">
        <v>5771</v>
      </c>
      <c r="D2883" s="7" t="s">
        <v>5807</v>
      </c>
      <c r="E2883" s="6" t="s">
        <v>5808</v>
      </c>
      <c r="F2883" s="7" t="s">
        <v>4442</v>
      </c>
      <c r="G2883" s="7" t="s">
        <v>4367</v>
      </c>
      <c r="H2883" s="5" t="s">
        <v>221</v>
      </c>
      <c r="I2883" s="6" t="s">
        <v>222</v>
      </c>
      <c r="J2883" s="7" t="s">
        <v>11</v>
      </c>
      <c r="K2883" s="36">
        <v>0.45</v>
      </c>
      <c r="L2883" s="37">
        <v>738</v>
      </c>
    </row>
    <row r="2884" spans="1:12" ht="19.95" customHeight="1" x14ac:dyDescent="0.3">
      <c r="A2884" s="2" t="s">
        <v>4438</v>
      </c>
      <c r="B2884" s="3" t="s">
        <v>4348</v>
      </c>
      <c r="C2884" s="2" t="s">
        <v>5771</v>
      </c>
      <c r="D2884" s="3" t="s">
        <v>5807</v>
      </c>
      <c r="E2884" s="2" t="s">
        <v>5808</v>
      </c>
      <c r="F2884" s="3" t="s">
        <v>4442</v>
      </c>
      <c r="G2884" s="3" t="s">
        <v>4367</v>
      </c>
      <c r="H2884" s="1" t="s">
        <v>209</v>
      </c>
      <c r="I2884" s="2" t="s">
        <v>210</v>
      </c>
      <c r="J2884" s="3" t="s">
        <v>11</v>
      </c>
      <c r="K2884" s="38">
        <v>0.25</v>
      </c>
      <c r="L2884" s="39">
        <v>558</v>
      </c>
    </row>
    <row r="2885" spans="1:12" ht="19.95" customHeight="1" x14ac:dyDescent="0.3">
      <c r="A2885" s="6" t="s">
        <v>4438</v>
      </c>
      <c r="B2885" s="7" t="s">
        <v>4348</v>
      </c>
      <c r="C2885" s="6" t="s">
        <v>5771</v>
      </c>
      <c r="D2885" s="7" t="s">
        <v>5809</v>
      </c>
      <c r="E2885" s="6" t="s">
        <v>5810</v>
      </c>
      <c r="F2885" s="7" t="s">
        <v>4413</v>
      </c>
      <c r="G2885" s="7" t="s">
        <v>4367</v>
      </c>
      <c r="H2885" s="5" t="s">
        <v>221</v>
      </c>
      <c r="I2885" s="6" t="s">
        <v>222</v>
      </c>
      <c r="J2885" s="7" t="s">
        <v>11</v>
      </c>
      <c r="K2885" s="36">
        <v>0.2</v>
      </c>
      <c r="L2885" s="37">
        <v>738</v>
      </c>
    </row>
    <row r="2886" spans="1:12" ht="19.95" customHeight="1" x14ac:dyDescent="0.3">
      <c r="A2886" s="2" t="s">
        <v>4438</v>
      </c>
      <c r="B2886" s="3" t="s">
        <v>4348</v>
      </c>
      <c r="C2886" s="2" t="s">
        <v>5771</v>
      </c>
      <c r="D2886" s="3" t="s">
        <v>5809</v>
      </c>
      <c r="E2886" s="2" t="s">
        <v>5810</v>
      </c>
      <c r="F2886" s="3" t="s">
        <v>4413</v>
      </c>
      <c r="G2886" s="3" t="s">
        <v>4367</v>
      </c>
      <c r="H2886" s="1" t="s">
        <v>211</v>
      </c>
      <c r="I2886" s="2" t="s">
        <v>212</v>
      </c>
      <c r="J2886" s="3" t="s">
        <v>11</v>
      </c>
      <c r="K2886" s="38">
        <v>0.2</v>
      </c>
      <c r="L2886" s="39">
        <v>558</v>
      </c>
    </row>
    <row r="2887" spans="1:12" ht="19.95" customHeight="1" x14ac:dyDescent="0.3">
      <c r="A2887" s="6" t="s">
        <v>4438</v>
      </c>
      <c r="B2887" s="7" t="s">
        <v>4348</v>
      </c>
      <c r="C2887" s="6" t="s">
        <v>5771</v>
      </c>
      <c r="D2887" s="7" t="s">
        <v>5811</v>
      </c>
      <c r="E2887" s="6" t="s">
        <v>5812</v>
      </c>
      <c r="F2887" s="7" t="s">
        <v>4416</v>
      </c>
      <c r="G2887" s="7" t="s">
        <v>4367</v>
      </c>
      <c r="H2887" s="5" t="s">
        <v>209</v>
      </c>
      <c r="I2887" s="6" t="s">
        <v>210</v>
      </c>
      <c r="J2887" s="7" t="s">
        <v>11</v>
      </c>
      <c r="K2887" s="36">
        <v>0.7</v>
      </c>
      <c r="L2887" s="37">
        <v>558</v>
      </c>
    </row>
    <row r="2888" spans="1:12" ht="19.95" customHeight="1" x14ac:dyDescent="0.3">
      <c r="A2888" s="2" t="s">
        <v>4438</v>
      </c>
      <c r="B2888" s="3" t="s">
        <v>4348</v>
      </c>
      <c r="C2888" s="2" t="s">
        <v>5771</v>
      </c>
      <c r="D2888" s="3" t="s">
        <v>5811</v>
      </c>
      <c r="E2888" s="2" t="s">
        <v>5812</v>
      </c>
      <c r="F2888" s="3" t="s">
        <v>4416</v>
      </c>
      <c r="G2888" s="3" t="s">
        <v>4367</v>
      </c>
      <c r="H2888" s="1" t="s">
        <v>211</v>
      </c>
      <c r="I2888" s="2" t="s">
        <v>212</v>
      </c>
      <c r="J2888" s="3" t="s">
        <v>11</v>
      </c>
      <c r="K2888" s="38">
        <v>0.52</v>
      </c>
      <c r="L2888" s="39">
        <v>558</v>
      </c>
    </row>
    <row r="2889" spans="1:12" ht="19.95" customHeight="1" x14ac:dyDescent="0.3">
      <c r="A2889" s="6" t="s">
        <v>4438</v>
      </c>
      <c r="B2889" s="7" t="s">
        <v>4348</v>
      </c>
      <c r="C2889" s="6" t="s">
        <v>5771</v>
      </c>
      <c r="D2889" s="7" t="s">
        <v>5811</v>
      </c>
      <c r="E2889" s="6" t="s">
        <v>5812</v>
      </c>
      <c r="F2889" s="7" t="s">
        <v>4416</v>
      </c>
      <c r="G2889" s="7" t="s">
        <v>4367</v>
      </c>
      <c r="H2889" s="5" t="s">
        <v>197</v>
      </c>
      <c r="I2889" s="6" t="s">
        <v>198</v>
      </c>
      <c r="J2889" s="7" t="s">
        <v>11</v>
      </c>
      <c r="K2889" s="36">
        <v>0.36</v>
      </c>
      <c r="L2889" s="37">
        <v>617</v>
      </c>
    </row>
    <row r="2890" spans="1:12" ht="19.95" customHeight="1" x14ac:dyDescent="0.3">
      <c r="A2890" s="2" t="s">
        <v>4438</v>
      </c>
      <c r="B2890" s="3" t="s">
        <v>4348</v>
      </c>
      <c r="C2890" s="2" t="s">
        <v>5771</v>
      </c>
      <c r="D2890" s="3" t="s">
        <v>5813</v>
      </c>
      <c r="E2890" s="2" t="s">
        <v>5814</v>
      </c>
      <c r="F2890" s="3" t="s">
        <v>4413</v>
      </c>
      <c r="G2890" s="3" t="s">
        <v>4367</v>
      </c>
      <c r="H2890" s="1" t="s">
        <v>221</v>
      </c>
      <c r="I2890" s="2" t="s">
        <v>222</v>
      </c>
      <c r="J2890" s="3" t="s">
        <v>11</v>
      </c>
      <c r="K2890" s="38">
        <v>0.25</v>
      </c>
      <c r="L2890" s="39">
        <v>738</v>
      </c>
    </row>
    <row r="2891" spans="1:12" ht="19.95" customHeight="1" x14ac:dyDescent="0.3">
      <c r="A2891" s="6" t="s">
        <v>4438</v>
      </c>
      <c r="B2891" s="7" t="s">
        <v>4348</v>
      </c>
      <c r="C2891" s="6" t="s">
        <v>5771</v>
      </c>
      <c r="D2891" s="7" t="s">
        <v>5813</v>
      </c>
      <c r="E2891" s="6" t="s">
        <v>5814</v>
      </c>
      <c r="F2891" s="7" t="s">
        <v>4413</v>
      </c>
      <c r="G2891" s="7" t="s">
        <v>4367</v>
      </c>
      <c r="H2891" s="5" t="s">
        <v>211</v>
      </c>
      <c r="I2891" s="6" t="s">
        <v>212</v>
      </c>
      <c r="J2891" s="7" t="s">
        <v>11</v>
      </c>
      <c r="K2891" s="36">
        <v>0.5</v>
      </c>
      <c r="L2891" s="37">
        <v>558</v>
      </c>
    </row>
    <row r="2892" spans="1:12" ht="19.95" customHeight="1" x14ac:dyDescent="0.3">
      <c r="A2892" s="2" t="s">
        <v>4438</v>
      </c>
      <c r="B2892" s="3" t="s">
        <v>4348</v>
      </c>
      <c r="C2892" s="2" t="s">
        <v>5771</v>
      </c>
      <c r="D2892" s="3" t="s">
        <v>5815</v>
      </c>
      <c r="E2892" s="2" t="s">
        <v>5816</v>
      </c>
      <c r="F2892" s="3" t="s">
        <v>4413</v>
      </c>
      <c r="G2892" s="3" t="s">
        <v>4367</v>
      </c>
      <c r="H2892" s="1" t="s">
        <v>221</v>
      </c>
      <c r="I2892" s="2" t="s">
        <v>222</v>
      </c>
      <c r="J2892" s="3" t="s">
        <v>11</v>
      </c>
      <c r="K2892" s="38">
        <v>0.25</v>
      </c>
      <c r="L2892" s="39">
        <v>738</v>
      </c>
    </row>
    <row r="2893" spans="1:12" ht="19.95" customHeight="1" x14ac:dyDescent="0.3">
      <c r="A2893" s="6" t="s">
        <v>4438</v>
      </c>
      <c r="B2893" s="7" t="s">
        <v>4348</v>
      </c>
      <c r="C2893" s="6" t="s">
        <v>5771</v>
      </c>
      <c r="D2893" s="7" t="s">
        <v>5815</v>
      </c>
      <c r="E2893" s="6" t="s">
        <v>5816</v>
      </c>
      <c r="F2893" s="7" t="s">
        <v>4413</v>
      </c>
      <c r="G2893" s="7" t="s">
        <v>4367</v>
      </c>
      <c r="H2893" s="5" t="s">
        <v>211</v>
      </c>
      <c r="I2893" s="6" t="s">
        <v>212</v>
      </c>
      <c r="J2893" s="7" t="s">
        <v>11</v>
      </c>
      <c r="K2893" s="36">
        <v>0.5</v>
      </c>
      <c r="L2893" s="37">
        <v>558</v>
      </c>
    </row>
    <row r="2894" spans="1:12" ht="19.95" customHeight="1" x14ac:dyDescent="0.3">
      <c r="A2894" s="2" t="s">
        <v>4438</v>
      </c>
      <c r="B2894" s="3" t="s">
        <v>4348</v>
      </c>
      <c r="C2894" s="2" t="s">
        <v>5771</v>
      </c>
      <c r="D2894" s="3" t="s">
        <v>5817</v>
      </c>
      <c r="E2894" s="2" t="s">
        <v>5818</v>
      </c>
      <c r="F2894" s="3" t="s">
        <v>4413</v>
      </c>
      <c r="G2894" s="3" t="s">
        <v>4367</v>
      </c>
      <c r="H2894" s="1" t="s">
        <v>221</v>
      </c>
      <c r="I2894" s="2" t="s">
        <v>222</v>
      </c>
      <c r="J2894" s="3" t="s">
        <v>11</v>
      </c>
      <c r="K2894" s="38">
        <v>0.25</v>
      </c>
      <c r="L2894" s="39">
        <v>738</v>
      </c>
    </row>
    <row r="2895" spans="1:12" ht="19.95" customHeight="1" x14ac:dyDescent="0.3">
      <c r="A2895" s="6" t="s">
        <v>4438</v>
      </c>
      <c r="B2895" s="7" t="s">
        <v>4348</v>
      </c>
      <c r="C2895" s="6" t="s">
        <v>5771</v>
      </c>
      <c r="D2895" s="7" t="s">
        <v>5817</v>
      </c>
      <c r="E2895" s="6" t="s">
        <v>5818</v>
      </c>
      <c r="F2895" s="7" t="s">
        <v>4413</v>
      </c>
      <c r="G2895" s="7" t="s">
        <v>4367</v>
      </c>
      <c r="H2895" s="5" t="s">
        <v>211</v>
      </c>
      <c r="I2895" s="6" t="s">
        <v>212</v>
      </c>
      <c r="J2895" s="7" t="s">
        <v>11</v>
      </c>
      <c r="K2895" s="36">
        <v>0.5</v>
      </c>
      <c r="L2895" s="37">
        <v>558</v>
      </c>
    </row>
    <row r="2896" spans="1:12" ht="19.95" customHeight="1" x14ac:dyDescent="0.3">
      <c r="A2896" s="2" t="s">
        <v>4438</v>
      </c>
      <c r="B2896" s="3" t="s">
        <v>4348</v>
      </c>
      <c r="C2896" s="2" t="s">
        <v>5771</v>
      </c>
      <c r="D2896" s="3" t="s">
        <v>5819</v>
      </c>
      <c r="E2896" s="2" t="s">
        <v>5820</v>
      </c>
      <c r="F2896" s="3" t="s">
        <v>4413</v>
      </c>
      <c r="G2896" s="3" t="s">
        <v>4367</v>
      </c>
      <c r="H2896" s="1" t="s">
        <v>221</v>
      </c>
      <c r="I2896" s="2" t="s">
        <v>222</v>
      </c>
      <c r="J2896" s="3" t="s">
        <v>11</v>
      </c>
      <c r="K2896" s="38">
        <v>0.25</v>
      </c>
      <c r="L2896" s="39">
        <v>738</v>
      </c>
    </row>
    <row r="2897" spans="1:12" ht="19.95" customHeight="1" x14ac:dyDescent="0.3">
      <c r="A2897" s="6" t="s">
        <v>4438</v>
      </c>
      <c r="B2897" s="7" t="s">
        <v>4348</v>
      </c>
      <c r="C2897" s="6" t="s">
        <v>5771</v>
      </c>
      <c r="D2897" s="7" t="s">
        <v>5819</v>
      </c>
      <c r="E2897" s="6" t="s">
        <v>5820</v>
      </c>
      <c r="F2897" s="7" t="s">
        <v>4413</v>
      </c>
      <c r="G2897" s="7" t="s">
        <v>4367</v>
      </c>
      <c r="H2897" s="5" t="s">
        <v>211</v>
      </c>
      <c r="I2897" s="6" t="s">
        <v>212</v>
      </c>
      <c r="J2897" s="7" t="s">
        <v>11</v>
      </c>
      <c r="K2897" s="36">
        <v>0.5</v>
      </c>
      <c r="L2897" s="37">
        <v>558</v>
      </c>
    </row>
    <row r="2898" spans="1:12" ht="19.95" customHeight="1" x14ac:dyDescent="0.3">
      <c r="A2898" s="2" t="s">
        <v>4438</v>
      </c>
      <c r="B2898" s="3" t="s">
        <v>4348</v>
      </c>
      <c r="C2898" s="2" t="s">
        <v>5771</v>
      </c>
      <c r="D2898" s="3" t="s">
        <v>5821</v>
      </c>
      <c r="E2898" s="2" t="s">
        <v>5822</v>
      </c>
      <c r="F2898" s="3" t="s">
        <v>4413</v>
      </c>
      <c r="G2898" s="3" t="s">
        <v>4367</v>
      </c>
      <c r="H2898" s="1" t="s">
        <v>221</v>
      </c>
      <c r="I2898" s="2" t="s">
        <v>222</v>
      </c>
      <c r="J2898" s="3" t="s">
        <v>11</v>
      </c>
      <c r="K2898" s="38">
        <v>0.1</v>
      </c>
      <c r="L2898" s="39">
        <v>738</v>
      </c>
    </row>
    <row r="2899" spans="1:12" ht="19.95" customHeight="1" x14ac:dyDescent="0.3">
      <c r="A2899" s="6" t="s">
        <v>4438</v>
      </c>
      <c r="B2899" s="7" t="s">
        <v>4348</v>
      </c>
      <c r="C2899" s="6" t="s">
        <v>5771</v>
      </c>
      <c r="D2899" s="7" t="s">
        <v>5821</v>
      </c>
      <c r="E2899" s="6" t="s">
        <v>5822</v>
      </c>
      <c r="F2899" s="7" t="s">
        <v>4413</v>
      </c>
      <c r="G2899" s="7" t="s">
        <v>4367</v>
      </c>
      <c r="H2899" s="5" t="s">
        <v>211</v>
      </c>
      <c r="I2899" s="6" t="s">
        <v>212</v>
      </c>
      <c r="J2899" s="7" t="s">
        <v>11</v>
      </c>
      <c r="K2899" s="36">
        <v>0.1</v>
      </c>
      <c r="L2899" s="37">
        <v>558</v>
      </c>
    </row>
    <row r="2900" spans="1:12" ht="19.95" customHeight="1" x14ac:dyDescent="0.3">
      <c r="A2900" s="2" t="s">
        <v>4438</v>
      </c>
      <c r="B2900" s="3" t="s">
        <v>4348</v>
      </c>
      <c r="C2900" s="2" t="s">
        <v>5771</v>
      </c>
      <c r="D2900" s="3" t="s">
        <v>5823</v>
      </c>
      <c r="E2900" s="2" t="s">
        <v>5824</v>
      </c>
      <c r="F2900" s="3" t="s">
        <v>4413</v>
      </c>
      <c r="G2900" s="3" t="s">
        <v>4367</v>
      </c>
      <c r="H2900" s="1" t="s">
        <v>221</v>
      </c>
      <c r="I2900" s="2" t="s">
        <v>222</v>
      </c>
      <c r="J2900" s="3" t="s">
        <v>11</v>
      </c>
      <c r="K2900" s="38">
        <v>0.08</v>
      </c>
      <c r="L2900" s="39">
        <v>738</v>
      </c>
    </row>
    <row r="2901" spans="1:12" ht="19.95" customHeight="1" x14ac:dyDescent="0.3">
      <c r="A2901" s="6" t="s">
        <v>4438</v>
      </c>
      <c r="B2901" s="7" t="s">
        <v>4348</v>
      </c>
      <c r="C2901" s="6" t="s">
        <v>5771</v>
      </c>
      <c r="D2901" s="7" t="s">
        <v>5823</v>
      </c>
      <c r="E2901" s="6" t="s">
        <v>5824</v>
      </c>
      <c r="F2901" s="7" t="s">
        <v>4413</v>
      </c>
      <c r="G2901" s="7" t="s">
        <v>4367</v>
      </c>
      <c r="H2901" s="5" t="s">
        <v>211</v>
      </c>
      <c r="I2901" s="6" t="s">
        <v>212</v>
      </c>
      <c r="J2901" s="7" t="s">
        <v>11</v>
      </c>
      <c r="K2901" s="36">
        <v>0.08</v>
      </c>
      <c r="L2901" s="37">
        <v>558</v>
      </c>
    </row>
    <row r="2902" spans="1:12" ht="19.95" customHeight="1" x14ac:dyDescent="0.3">
      <c r="A2902" s="2" t="s">
        <v>4438</v>
      </c>
      <c r="B2902" s="3" t="s">
        <v>4348</v>
      </c>
      <c r="C2902" s="2" t="s">
        <v>5771</v>
      </c>
      <c r="D2902" s="3" t="s">
        <v>5825</v>
      </c>
      <c r="E2902" s="2" t="s">
        <v>5826</v>
      </c>
      <c r="F2902" s="3" t="s">
        <v>4413</v>
      </c>
      <c r="G2902" s="3" t="s">
        <v>4367</v>
      </c>
      <c r="H2902" s="1" t="s">
        <v>221</v>
      </c>
      <c r="I2902" s="2" t="s">
        <v>222</v>
      </c>
      <c r="J2902" s="3" t="s">
        <v>11</v>
      </c>
      <c r="K2902" s="38">
        <v>0.06</v>
      </c>
      <c r="L2902" s="39">
        <v>738</v>
      </c>
    </row>
    <row r="2903" spans="1:12" ht="19.95" customHeight="1" x14ac:dyDescent="0.3">
      <c r="A2903" s="6" t="s">
        <v>4438</v>
      </c>
      <c r="B2903" s="7" t="s">
        <v>4348</v>
      </c>
      <c r="C2903" s="6" t="s">
        <v>5771</v>
      </c>
      <c r="D2903" s="7" t="s">
        <v>5825</v>
      </c>
      <c r="E2903" s="6" t="s">
        <v>5826</v>
      </c>
      <c r="F2903" s="7" t="s">
        <v>4413</v>
      </c>
      <c r="G2903" s="7" t="s">
        <v>4367</v>
      </c>
      <c r="H2903" s="5" t="s">
        <v>211</v>
      </c>
      <c r="I2903" s="6" t="s">
        <v>212</v>
      </c>
      <c r="J2903" s="7" t="s">
        <v>11</v>
      </c>
      <c r="K2903" s="36">
        <v>0.06</v>
      </c>
      <c r="L2903" s="37">
        <v>558</v>
      </c>
    </row>
    <row r="2904" spans="1:12" ht="19.95" customHeight="1" x14ac:dyDescent="0.3">
      <c r="A2904" s="2" t="s">
        <v>4438</v>
      </c>
      <c r="B2904" s="3" t="s">
        <v>4348</v>
      </c>
      <c r="C2904" s="2" t="s">
        <v>5771</v>
      </c>
      <c r="D2904" s="3" t="s">
        <v>5827</v>
      </c>
      <c r="E2904" s="2" t="s">
        <v>5828</v>
      </c>
      <c r="F2904" s="3" t="s">
        <v>4413</v>
      </c>
      <c r="G2904" s="3" t="s">
        <v>4367</v>
      </c>
      <c r="H2904" s="1" t="s">
        <v>221</v>
      </c>
      <c r="I2904" s="2" t="s">
        <v>222</v>
      </c>
      <c r="J2904" s="3" t="s">
        <v>11</v>
      </c>
      <c r="K2904" s="38">
        <v>0.04</v>
      </c>
      <c r="L2904" s="39">
        <v>738</v>
      </c>
    </row>
    <row r="2905" spans="1:12" ht="19.95" customHeight="1" x14ac:dyDescent="0.3">
      <c r="A2905" s="6" t="s">
        <v>4438</v>
      </c>
      <c r="B2905" s="7" t="s">
        <v>4348</v>
      </c>
      <c r="C2905" s="6" t="s">
        <v>5771</v>
      </c>
      <c r="D2905" s="7" t="s">
        <v>5827</v>
      </c>
      <c r="E2905" s="6" t="s">
        <v>5828</v>
      </c>
      <c r="F2905" s="7" t="s">
        <v>4413</v>
      </c>
      <c r="G2905" s="7" t="s">
        <v>4367</v>
      </c>
      <c r="H2905" s="5" t="s">
        <v>211</v>
      </c>
      <c r="I2905" s="6" t="s">
        <v>212</v>
      </c>
      <c r="J2905" s="7" t="s">
        <v>11</v>
      </c>
      <c r="K2905" s="36">
        <v>0.04</v>
      </c>
      <c r="L2905" s="37">
        <v>558</v>
      </c>
    </row>
    <row r="2906" spans="1:12" ht="19.95" customHeight="1" x14ac:dyDescent="0.3">
      <c r="A2906" s="2" t="s">
        <v>4438</v>
      </c>
      <c r="B2906" s="3" t="s">
        <v>4348</v>
      </c>
      <c r="C2906" s="2" t="s">
        <v>5771</v>
      </c>
      <c r="D2906" s="3" t="s">
        <v>5829</v>
      </c>
      <c r="E2906" s="2" t="s">
        <v>5814</v>
      </c>
      <c r="F2906" s="3" t="s">
        <v>4413</v>
      </c>
      <c r="G2906" s="3" t="s">
        <v>4367</v>
      </c>
      <c r="H2906" s="1" t="s">
        <v>221</v>
      </c>
      <c r="I2906" s="2" t="s">
        <v>222</v>
      </c>
      <c r="J2906" s="3" t="s">
        <v>11</v>
      </c>
      <c r="K2906" s="38">
        <v>0.2</v>
      </c>
      <c r="L2906" s="39">
        <v>738</v>
      </c>
    </row>
    <row r="2907" spans="1:12" ht="19.95" customHeight="1" x14ac:dyDescent="0.3">
      <c r="A2907" s="6" t="s">
        <v>4438</v>
      </c>
      <c r="B2907" s="7" t="s">
        <v>4348</v>
      </c>
      <c r="C2907" s="6" t="s">
        <v>5771</v>
      </c>
      <c r="D2907" s="7" t="s">
        <v>5829</v>
      </c>
      <c r="E2907" s="6" t="s">
        <v>5814</v>
      </c>
      <c r="F2907" s="7" t="s">
        <v>4413</v>
      </c>
      <c r="G2907" s="7" t="s">
        <v>4367</v>
      </c>
      <c r="H2907" s="5" t="s">
        <v>211</v>
      </c>
      <c r="I2907" s="6" t="s">
        <v>212</v>
      </c>
      <c r="J2907" s="7" t="s">
        <v>11</v>
      </c>
      <c r="K2907" s="36">
        <v>0.4</v>
      </c>
      <c r="L2907" s="37">
        <v>558</v>
      </c>
    </row>
    <row r="2908" spans="1:12" ht="19.95" customHeight="1" x14ac:dyDescent="0.3">
      <c r="A2908" s="2" t="s">
        <v>4438</v>
      </c>
      <c r="B2908" s="3" t="s">
        <v>4348</v>
      </c>
      <c r="C2908" s="2" t="s">
        <v>5771</v>
      </c>
      <c r="D2908" s="3" t="s">
        <v>5830</v>
      </c>
      <c r="E2908" s="2" t="s">
        <v>5816</v>
      </c>
      <c r="F2908" s="3" t="s">
        <v>4413</v>
      </c>
      <c r="G2908" s="3" t="s">
        <v>4367</v>
      </c>
      <c r="H2908" s="1" t="s">
        <v>221</v>
      </c>
      <c r="I2908" s="2" t="s">
        <v>222</v>
      </c>
      <c r="J2908" s="3" t="s">
        <v>11</v>
      </c>
      <c r="K2908" s="38">
        <v>0.2</v>
      </c>
      <c r="L2908" s="39">
        <v>738</v>
      </c>
    </row>
    <row r="2909" spans="1:12" ht="19.95" customHeight="1" x14ac:dyDescent="0.3">
      <c r="A2909" s="6" t="s">
        <v>4438</v>
      </c>
      <c r="B2909" s="7" t="s">
        <v>4348</v>
      </c>
      <c r="C2909" s="6" t="s">
        <v>5771</v>
      </c>
      <c r="D2909" s="7" t="s">
        <v>5830</v>
      </c>
      <c r="E2909" s="6" t="s">
        <v>5816</v>
      </c>
      <c r="F2909" s="7" t="s">
        <v>4413</v>
      </c>
      <c r="G2909" s="7" t="s">
        <v>4367</v>
      </c>
      <c r="H2909" s="5" t="s">
        <v>211</v>
      </c>
      <c r="I2909" s="6" t="s">
        <v>212</v>
      </c>
      <c r="J2909" s="7" t="s">
        <v>11</v>
      </c>
      <c r="K2909" s="36">
        <v>0.4</v>
      </c>
      <c r="L2909" s="37">
        <v>558</v>
      </c>
    </row>
    <row r="2910" spans="1:12" ht="19.95" customHeight="1" x14ac:dyDescent="0.3">
      <c r="A2910" s="2" t="s">
        <v>4438</v>
      </c>
      <c r="B2910" s="3" t="s">
        <v>4348</v>
      </c>
      <c r="C2910" s="2" t="s">
        <v>5771</v>
      </c>
      <c r="D2910" s="3" t="s">
        <v>5831</v>
      </c>
      <c r="E2910" s="2" t="s">
        <v>5818</v>
      </c>
      <c r="F2910" s="3" t="s">
        <v>4413</v>
      </c>
      <c r="G2910" s="3" t="s">
        <v>4367</v>
      </c>
      <c r="H2910" s="1" t="s">
        <v>221</v>
      </c>
      <c r="I2910" s="2" t="s">
        <v>222</v>
      </c>
      <c r="J2910" s="3" t="s">
        <v>11</v>
      </c>
      <c r="K2910" s="38">
        <v>0.2</v>
      </c>
      <c r="L2910" s="39">
        <v>738</v>
      </c>
    </row>
    <row r="2911" spans="1:12" ht="19.95" customHeight="1" x14ac:dyDescent="0.3">
      <c r="A2911" s="6" t="s">
        <v>4438</v>
      </c>
      <c r="B2911" s="7" t="s">
        <v>4348</v>
      </c>
      <c r="C2911" s="6" t="s">
        <v>5771</v>
      </c>
      <c r="D2911" s="7" t="s">
        <v>5831</v>
      </c>
      <c r="E2911" s="6" t="s">
        <v>5818</v>
      </c>
      <c r="F2911" s="7" t="s">
        <v>4413</v>
      </c>
      <c r="G2911" s="7" t="s">
        <v>4367</v>
      </c>
      <c r="H2911" s="5" t="s">
        <v>211</v>
      </c>
      <c r="I2911" s="6" t="s">
        <v>212</v>
      </c>
      <c r="J2911" s="7" t="s">
        <v>11</v>
      </c>
      <c r="K2911" s="36">
        <v>0.4</v>
      </c>
      <c r="L2911" s="37">
        <v>558</v>
      </c>
    </row>
    <row r="2912" spans="1:12" ht="19.95" customHeight="1" x14ac:dyDescent="0.3">
      <c r="A2912" s="2" t="s">
        <v>4438</v>
      </c>
      <c r="B2912" s="3" t="s">
        <v>4348</v>
      </c>
      <c r="C2912" s="2" t="s">
        <v>5771</v>
      </c>
      <c r="D2912" s="3" t="s">
        <v>5832</v>
      </c>
      <c r="E2912" s="2" t="s">
        <v>5820</v>
      </c>
      <c r="F2912" s="3" t="s">
        <v>4413</v>
      </c>
      <c r="G2912" s="3" t="s">
        <v>4367</v>
      </c>
      <c r="H2912" s="1" t="s">
        <v>221</v>
      </c>
      <c r="I2912" s="2" t="s">
        <v>222</v>
      </c>
      <c r="J2912" s="3" t="s">
        <v>11</v>
      </c>
      <c r="K2912" s="38">
        <v>0.2</v>
      </c>
      <c r="L2912" s="39">
        <v>738</v>
      </c>
    </row>
    <row r="2913" spans="1:12" ht="19.95" customHeight="1" x14ac:dyDescent="0.3">
      <c r="A2913" s="6" t="s">
        <v>4438</v>
      </c>
      <c r="B2913" s="7" t="s">
        <v>4348</v>
      </c>
      <c r="C2913" s="6" t="s">
        <v>5771</v>
      </c>
      <c r="D2913" s="7" t="s">
        <v>5832</v>
      </c>
      <c r="E2913" s="6" t="s">
        <v>5820</v>
      </c>
      <c r="F2913" s="7" t="s">
        <v>4413</v>
      </c>
      <c r="G2913" s="7" t="s">
        <v>4367</v>
      </c>
      <c r="H2913" s="5" t="s">
        <v>211</v>
      </c>
      <c r="I2913" s="6" t="s">
        <v>212</v>
      </c>
      <c r="J2913" s="7" t="s">
        <v>11</v>
      </c>
      <c r="K2913" s="36">
        <v>0.4</v>
      </c>
      <c r="L2913" s="37">
        <v>558</v>
      </c>
    </row>
    <row r="2914" spans="1:12" ht="19.95" customHeight="1" x14ac:dyDescent="0.3">
      <c r="A2914" s="2" t="s">
        <v>4438</v>
      </c>
      <c r="B2914" s="3" t="s">
        <v>4348</v>
      </c>
      <c r="C2914" s="2" t="s">
        <v>5771</v>
      </c>
      <c r="D2914" s="3" t="s">
        <v>5833</v>
      </c>
      <c r="E2914" s="2" t="s">
        <v>5834</v>
      </c>
      <c r="F2914" s="3" t="s">
        <v>4368</v>
      </c>
      <c r="G2914" s="3" t="s">
        <v>4367</v>
      </c>
      <c r="H2914" s="1" t="s">
        <v>221</v>
      </c>
      <c r="I2914" s="2" t="s">
        <v>222</v>
      </c>
      <c r="J2914" s="3" t="s">
        <v>11</v>
      </c>
      <c r="K2914" s="38">
        <v>1.6</v>
      </c>
      <c r="L2914" s="39">
        <v>738</v>
      </c>
    </row>
    <row r="2915" spans="1:12" ht="19.95" customHeight="1" x14ac:dyDescent="0.3">
      <c r="A2915" s="6" t="s">
        <v>4438</v>
      </c>
      <c r="B2915" s="7" t="s">
        <v>4348</v>
      </c>
      <c r="C2915" s="6" t="s">
        <v>5771</v>
      </c>
      <c r="D2915" s="7" t="s">
        <v>5833</v>
      </c>
      <c r="E2915" s="6" t="s">
        <v>5834</v>
      </c>
      <c r="F2915" s="7" t="s">
        <v>4368</v>
      </c>
      <c r="G2915" s="7" t="s">
        <v>4367</v>
      </c>
      <c r="H2915" s="5" t="s">
        <v>211</v>
      </c>
      <c r="I2915" s="6" t="s">
        <v>212</v>
      </c>
      <c r="J2915" s="7" t="s">
        <v>11</v>
      </c>
      <c r="K2915" s="36">
        <v>1.6</v>
      </c>
      <c r="L2915" s="37">
        <v>558</v>
      </c>
    </row>
    <row r="2916" spans="1:12" ht="19.95" customHeight="1" x14ac:dyDescent="0.3">
      <c r="A2916" s="2" t="s">
        <v>4438</v>
      </c>
      <c r="B2916" s="3" t="s">
        <v>4348</v>
      </c>
      <c r="C2916" s="2" t="s">
        <v>5771</v>
      </c>
      <c r="D2916" s="3" t="s">
        <v>5835</v>
      </c>
      <c r="E2916" s="2" t="s">
        <v>5836</v>
      </c>
      <c r="F2916" s="3" t="s">
        <v>5837</v>
      </c>
      <c r="G2916" s="3" t="s">
        <v>4367</v>
      </c>
      <c r="H2916" s="1" t="s">
        <v>203</v>
      </c>
      <c r="I2916" s="2" t="s">
        <v>204</v>
      </c>
      <c r="J2916" s="3" t="s">
        <v>11</v>
      </c>
      <c r="K2916" s="38">
        <v>25</v>
      </c>
      <c r="L2916" s="39">
        <v>738</v>
      </c>
    </row>
    <row r="2917" spans="1:12" ht="19.95" customHeight="1" x14ac:dyDescent="0.3">
      <c r="A2917" s="6" t="s">
        <v>4438</v>
      </c>
      <c r="B2917" s="7" t="s">
        <v>4348</v>
      </c>
      <c r="C2917" s="6" t="s">
        <v>5771</v>
      </c>
      <c r="D2917" s="7" t="s">
        <v>5835</v>
      </c>
      <c r="E2917" s="6" t="s">
        <v>5836</v>
      </c>
      <c r="F2917" s="7" t="s">
        <v>5837</v>
      </c>
      <c r="G2917" s="7" t="s">
        <v>4367</v>
      </c>
      <c r="H2917" s="5" t="s">
        <v>209</v>
      </c>
      <c r="I2917" s="6" t="s">
        <v>210</v>
      </c>
      <c r="J2917" s="7" t="s">
        <v>11</v>
      </c>
      <c r="K2917" s="36">
        <v>25</v>
      </c>
      <c r="L2917" s="37">
        <v>558</v>
      </c>
    </row>
    <row r="2918" spans="1:12" ht="19.95" customHeight="1" x14ac:dyDescent="0.3">
      <c r="A2918" s="2" t="s">
        <v>4438</v>
      </c>
      <c r="B2918" s="3" t="s">
        <v>4348</v>
      </c>
      <c r="C2918" s="2" t="s">
        <v>5771</v>
      </c>
      <c r="D2918" s="3" t="s">
        <v>5838</v>
      </c>
      <c r="E2918" s="2" t="s">
        <v>5839</v>
      </c>
      <c r="F2918" s="3" t="s">
        <v>5837</v>
      </c>
      <c r="G2918" s="3" t="s">
        <v>4367</v>
      </c>
      <c r="H2918" s="1" t="s">
        <v>203</v>
      </c>
      <c r="I2918" s="2" t="s">
        <v>204</v>
      </c>
      <c r="J2918" s="3" t="s">
        <v>11</v>
      </c>
      <c r="K2918" s="38">
        <v>25</v>
      </c>
      <c r="L2918" s="39">
        <v>738</v>
      </c>
    </row>
    <row r="2919" spans="1:12" ht="19.95" customHeight="1" x14ac:dyDescent="0.3">
      <c r="A2919" s="6" t="s">
        <v>4438</v>
      </c>
      <c r="B2919" s="7" t="s">
        <v>4348</v>
      </c>
      <c r="C2919" s="6" t="s">
        <v>5771</v>
      </c>
      <c r="D2919" s="7" t="s">
        <v>5838</v>
      </c>
      <c r="E2919" s="6" t="s">
        <v>5839</v>
      </c>
      <c r="F2919" s="7" t="s">
        <v>5837</v>
      </c>
      <c r="G2919" s="7" t="s">
        <v>4367</v>
      </c>
      <c r="H2919" s="5" t="s">
        <v>209</v>
      </c>
      <c r="I2919" s="6" t="s">
        <v>210</v>
      </c>
      <c r="J2919" s="7" t="s">
        <v>11</v>
      </c>
      <c r="K2919" s="36">
        <v>25</v>
      </c>
      <c r="L2919" s="37">
        <v>558</v>
      </c>
    </row>
    <row r="2920" spans="1:12" ht="19.95" customHeight="1" x14ac:dyDescent="0.3">
      <c r="A2920" s="2" t="s">
        <v>4438</v>
      </c>
      <c r="B2920" s="3" t="s">
        <v>4348</v>
      </c>
      <c r="C2920" s="2" t="s">
        <v>5771</v>
      </c>
      <c r="D2920" s="3" t="s">
        <v>5840</v>
      </c>
      <c r="E2920" s="2" t="s">
        <v>5841</v>
      </c>
      <c r="F2920" s="3" t="s">
        <v>4368</v>
      </c>
      <c r="G2920" s="3" t="s">
        <v>4367</v>
      </c>
      <c r="H2920" s="1" t="s">
        <v>209</v>
      </c>
      <c r="I2920" s="2" t="s">
        <v>210</v>
      </c>
      <c r="J2920" s="3" t="s">
        <v>11</v>
      </c>
      <c r="K2920" s="38">
        <v>0.5</v>
      </c>
      <c r="L2920" s="39">
        <v>558</v>
      </c>
    </row>
    <row r="2921" spans="1:12" ht="19.95" customHeight="1" x14ac:dyDescent="0.3">
      <c r="A2921" s="6" t="s">
        <v>4438</v>
      </c>
      <c r="B2921" s="7" t="s">
        <v>4348</v>
      </c>
      <c r="C2921" s="6" t="s">
        <v>5771</v>
      </c>
      <c r="D2921" s="7" t="s">
        <v>5840</v>
      </c>
      <c r="E2921" s="6" t="s">
        <v>5841</v>
      </c>
      <c r="F2921" s="7" t="s">
        <v>4368</v>
      </c>
      <c r="G2921" s="7" t="s">
        <v>4367</v>
      </c>
      <c r="H2921" s="5" t="s">
        <v>221</v>
      </c>
      <c r="I2921" s="6" t="s">
        <v>222</v>
      </c>
      <c r="J2921" s="7" t="s">
        <v>11</v>
      </c>
      <c r="K2921" s="36">
        <v>1.2</v>
      </c>
      <c r="L2921" s="37">
        <v>738</v>
      </c>
    </row>
    <row r="2922" spans="1:12" ht="19.95" customHeight="1" x14ac:dyDescent="0.3">
      <c r="A2922" s="2" t="s">
        <v>4438</v>
      </c>
      <c r="B2922" s="3" t="s">
        <v>4348</v>
      </c>
      <c r="C2922" s="2" t="s">
        <v>5771</v>
      </c>
      <c r="D2922" s="3" t="s">
        <v>5840</v>
      </c>
      <c r="E2922" s="2" t="s">
        <v>5841</v>
      </c>
      <c r="F2922" s="3" t="s">
        <v>4368</v>
      </c>
      <c r="G2922" s="3" t="s">
        <v>4367</v>
      </c>
      <c r="H2922" s="1" t="s">
        <v>209</v>
      </c>
      <c r="I2922" s="2" t="s">
        <v>210</v>
      </c>
      <c r="J2922" s="3" t="s">
        <v>11</v>
      </c>
      <c r="K2922" s="38">
        <v>1</v>
      </c>
      <c r="L2922" s="39">
        <v>558</v>
      </c>
    </row>
    <row r="2923" spans="1:12" ht="19.95" customHeight="1" x14ac:dyDescent="0.3">
      <c r="A2923" s="6" t="s">
        <v>4438</v>
      </c>
      <c r="B2923" s="7" t="s">
        <v>4348</v>
      </c>
      <c r="C2923" s="6" t="s">
        <v>5771</v>
      </c>
      <c r="D2923" s="7" t="s">
        <v>5840</v>
      </c>
      <c r="E2923" s="6" t="s">
        <v>5841</v>
      </c>
      <c r="F2923" s="7" t="s">
        <v>4368</v>
      </c>
      <c r="G2923" s="7" t="s">
        <v>4367</v>
      </c>
      <c r="H2923" s="5" t="s">
        <v>211</v>
      </c>
      <c r="I2923" s="6" t="s">
        <v>212</v>
      </c>
      <c r="J2923" s="7" t="s">
        <v>11</v>
      </c>
      <c r="K2923" s="36">
        <v>1</v>
      </c>
      <c r="L2923" s="37">
        <v>558</v>
      </c>
    </row>
    <row r="2924" spans="1:12" ht="19.95" customHeight="1" x14ac:dyDescent="0.3">
      <c r="A2924" s="2" t="s">
        <v>4438</v>
      </c>
      <c r="B2924" s="3" t="s">
        <v>4348</v>
      </c>
      <c r="C2924" s="2" t="s">
        <v>5771</v>
      </c>
      <c r="D2924" s="3" t="s">
        <v>5840</v>
      </c>
      <c r="E2924" s="2" t="s">
        <v>5841</v>
      </c>
      <c r="F2924" s="3" t="s">
        <v>4368</v>
      </c>
      <c r="G2924" s="3" t="s">
        <v>4367</v>
      </c>
      <c r="H2924" s="1" t="s">
        <v>197</v>
      </c>
      <c r="I2924" s="2" t="s">
        <v>198</v>
      </c>
      <c r="J2924" s="3" t="s">
        <v>11</v>
      </c>
      <c r="K2924" s="38">
        <v>0.54</v>
      </c>
      <c r="L2924" s="39">
        <v>617</v>
      </c>
    </row>
    <row r="2925" spans="1:12" ht="19.95" customHeight="1" x14ac:dyDescent="0.3">
      <c r="A2925" s="6" t="s">
        <v>4438</v>
      </c>
      <c r="B2925" s="7" t="s">
        <v>4348</v>
      </c>
      <c r="C2925" s="6" t="s">
        <v>5771</v>
      </c>
      <c r="D2925" s="7" t="s">
        <v>5842</v>
      </c>
      <c r="E2925" s="6" t="s">
        <v>5843</v>
      </c>
      <c r="F2925" s="7" t="s">
        <v>4416</v>
      </c>
      <c r="G2925" s="7" t="s">
        <v>4367</v>
      </c>
      <c r="H2925" s="5" t="s">
        <v>223</v>
      </c>
      <c r="I2925" s="6" t="s">
        <v>224</v>
      </c>
      <c r="J2925" s="7" t="s">
        <v>11</v>
      </c>
      <c r="K2925" s="36">
        <v>0.36</v>
      </c>
      <c r="L2925" s="37">
        <v>679</v>
      </c>
    </row>
    <row r="2926" spans="1:12" ht="19.95" customHeight="1" x14ac:dyDescent="0.3">
      <c r="A2926" s="2" t="s">
        <v>4438</v>
      </c>
      <c r="B2926" s="3" t="s">
        <v>4348</v>
      </c>
      <c r="C2926" s="2" t="s">
        <v>5771</v>
      </c>
      <c r="D2926" s="3" t="s">
        <v>5842</v>
      </c>
      <c r="E2926" s="2" t="s">
        <v>5843</v>
      </c>
      <c r="F2926" s="3" t="s">
        <v>4416</v>
      </c>
      <c r="G2926" s="3" t="s">
        <v>4367</v>
      </c>
      <c r="H2926" s="1" t="s">
        <v>209</v>
      </c>
      <c r="I2926" s="2" t="s">
        <v>210</v>
      </c>
      <c r="J2926" s="3" t="s">
        <v>11</v>
      </c>
      <c r="K2926" s="38">
        <v>0.36</v>
      </c>
      <c r="L2926" s="39">
        <v>558</v>
      </c>
    </row>
    <row r="2927" spans="1:12" ht="19.95" customHeight="1" x14ac:dyDescent="0.3">
      <c r="A2927" s="6" t="s">
        <v>4438</v>
      </c>
      <c r="B2927" s="7" t="s">
        <v>4348</v>
      </c>
      <c r="C2927" s="6" t="s">
        <v>5771</v>
      </c>
      <c r="D2927" s="7" t="s">
        <v>5844</v>
      </c>
      <c r="E2927" s="6" t="s">
        <v>5845</v>
      </c>
      <c r="F2927" s="7" t="s">
        <v>4416</v>
      </c>
      <c r="G2927" s="7" t="s">
        <v>4367</v>
      </c>
      <c r="H2927" s="5" t="s">
        <v>223</v>
      </c>
      <c r="I2927" s="6" t="s">
        <v>224</v>
      </c>
      <c r="J2927" s="7" t="s">
        <v>11</v>
      </c>
      <c r="K2927" s="36">
        <v>1.79</v>
      </c>
      <c r="L2927" s="37">
        <v>679</v>
      </c>
    </row>
    <row r="2928" spans="1:12" ht="19.95" customHeight="1" x14ac:dyDescent="0.3">
      <c r="A2928" s="2" t="s">
        <v>4438</v>
      </c>
      <c r="B2928" s="3" t="s">
        <v>4348</v>
      </c>
      <c r="C2928" s="2" t="s">
        <v>5771</v>
      </c>
      <c r="D2928" s="3" t="s">
        <v>5844</v>
      </c>
      <c r="E2928" s="2" t="s">
        <v>5845</v>
      </c>
      <c r="F2928" s="3" t="s">
        <v>4416</v>
      </c>
      <c r="G2928" s="3" t="s">
        <v>4367</v>
      </c>
      <c r="H2928" s="1" t="s">
        <v>209</v>
      </c>
      <c r="I2928" s="2" t="s">
        <v>210</v>
      </c>
      <c r="J2928" s="3" t="s">
        <v>11</v>
      </c>
      <c r="K2928" s="38">
        <v>1.99</v>
      </c>
      <c r="L2928" s="39">
        <v>558</v>
      </c>
    </row>
    <row r="2929" spans="1:12" ht="19.95" customHeight="1" x14ac:dyDescent="0.3">
      <c r="A2929" s="6" t="s">
        <v>4438</v>
      </c>
      <c r="B2929" s="7" t="s">
        <v>4348</v>
      </c>
      <c r="C2929" s="6" t="s">
        <v>5771</v>
      </c>
      <c r="D2929" s="7" t="s">
        <v>5844</v>
      </c>
      <c r="E2929" s="6" t="s">
        <v>5845</v>
      </c>
      <c r="F2929" s="7" t="s">
        <v>4416</v>
      </c>
      <c r="G2929" s="7" t="s">
        <v>4367</v>
      </c>
      <c r="H2929" s="5" t="s">
        <v>197</v>
      </c>
      <c r="I2929" s="6" t="s">
        <v>198</v>
      </c>
      <c r="J2929" s="7" t="s">
        <v>11</v>
      </c>
      <c r="K2929" s="36">
        <v>1.04</v>
      </c>
      <c r="L2929" s="37">
        <v>617</v>
      </c>
    </row>
    <row r="2930" spans="1:12" ht="19.95" customHeight="1" x14ac:dyDescent="0.3">
      <c r="A2930" s="2" t="s">
        <v>4438</v>
      </c>
      <c r="B2930" s="3" t="s">
        <v>4348</v>
      </c>
      <c r="C2930" s="2" t="s">
        <v>5771</v>
      </c>
      <c r="D2930" s="3" t="s">
        <v>5844</v>
      </c>
      <c r="E2930" s="2" t="s">
        <v>5845</v>
      </c>
      <c r="F2930" s="3" t="s">
        <v>4416</v>
      </c>
      <c r="G2930" s="3" t="s">
        <v>4367</v>
      </c>
      <c r="H2930" s="1" t="s">
        <v>229</v>
      </c>
      <c r="I2930" s="2" t="s">
        <v>4439</v>
      </c>
      <c r="J2930" s="3" t="s">
        <v>11</v>
      </c>
      <c r="K2930" s="38">
        <v>0.03</v>
      </c>
      <c r="L2930" s="39">
        <v>738</v>
      </c>
    </row>
    <row r="2931" spans="1:12" ht="19.95" customHeight="1" x14ac:dyDescent="0.3">
      <c r="A2931" s="6" t="s">
        <v>4438</v>
      </c>
      <c r="B2931" s="7" t="s">
        <v>4348</v>
      </c>
      <c r="C2931" s="6" t="s">
        <v>5771</v>
      </c>
      <c r="D2931" s="7" t="s">
        <v>5844</v>
      </c>
      <c r="E2931" s="6" t="s">
        <v>5845</v>
      </c>
      <c r="F2931" s="7" t="s">
        <v>4416</v>
      </c>
      <c r="G2931" s="7" t="s">
        <v>4369</v>
      </c>
      <c r="H2931" s="5" t="s">
        <v>12</v>
      </c>
      <c r="I2931" s="6" t="s">
        <v>4388</v>
      </c>
      <c r="J2931" s="7" t="s">
        <v>11</v>
      </c>
      <c r="K2931" s="36">
        <v>0.03</v>
      </c>
      <c r="L2931" s="37">
        <v>800</v>
      </c>
    </row>
    <row r="2932" spans="1:12" ht="19.95" customHeight="1" x14ac:dyDescent="0.3">
      <c r="A2932" s="2" t="s">
        <v>4438</v>
      </c>
      <c r="B2932" s="3" t="s">
        <v>4348</v>
      </c>
      <c r="C2932" s="2" t="s">
        <v>5771</v>
      </c>
      <c r="D2932" s="3" t="s">
        <v>5846</v>
      </c>
      <c r="E2932" s="2" t="s">
        <v>5847</v>
      </c>
      <c r="F2932" s="3" t="s">
        <v>4416</v>
      </c>
      <c r="G2932" s="3" t="s">
        <v>4367</v>
      </c>
      <c r="H2932" s="1" t="s">
        <v>223</v>
      </c>
      <c r="I2932" s="2" t="s">
        <v>224</v>
      </c>
      <c r="J2932" s="3" t="s">
        <v>11</v>
      </c>
      <c r="K2932" s="38">
        <v>1.79</v>
      </c>
      <c r="L2932" s="39">
        <v>679</v>
      </c>
    </row>
    <row r="2933" spans="1:12" ht="19.95" customHeight="1" x14ac:dyDescent="0.3">
      <c r="A2933" s="6" t="s">
        <v>4438</v>
      </c>
      <c r="B2933" s="7" t="s">
        <v>4348</v>
      </c>
      <c r="C2933" s="6" t="s">
        <v>5771</v>
      </c>
      <c r="D2933" s="7" t="s">
        <v>5846</v>
      </c>
      <c r="E2933" s="6" t="s">
        <v>5847</v>
      </c>
      <c r="F2933" s="7" t="s">
        <v>4416</v>
      </c>
      <c r="G2933" s="7" t="s">
        <v>4367</v>
      </c>
      <c r="H2933" s="5" t="s">
        <v>209</v>
      </c>
      <c r="I2933" s="6" t="s">
        <v>210</v>
      </c>
      <c r="J2933" s="7" t="s">
        <v>11</v>
      </c>
      <c r="K2933" s="36">
        <v>1.99</v>
      </c>
      <c r="L2933" s="37">
        <v>558</v>
      </c>
    </row>
    <row r="2934" spans="1:12" ht="19.95" customHeight="1" x14ac:dyDescent="0.3">
      <c r="A2934" s="2" t="s">
        <v>4438</v>
      </c>
      <c r="B2934" s="3" t="s">
        <v>4348</v>
      </c>
      <c r="C2934" s="2" t="s">
        <v>5771</v>
      </c>
      <c r="D2934" s="3" t="s">
        <v>5846</v>
      </c>
      <c r="E2934" s="2" t="s">
        <v>5847</v>
      </c>
      <c r="F2934" s="3" t="s">
        <v>4416</v>
      </c>
      <c r="G2934" s="3" t="s">
        <v>4367</v>
      </c>
      <c r="H2934" s="1" t="s">
        <v>197</v>
      </c>
      <c r="I2934" s="2" t="s">
        <v>198</v>
      </c>
      <c r="J2934" s="3" t="s">
        <v>11</v>
      </c>
      <c r="K2934" s="38">
        <v>1.04</v>
      </c>
      <c r="L2934" s="39">
        <v>617</v>
      </c>
    </row>
    <row r="2935" spans="1:12" ht="19.95" customHeight="1" x14ac:dyDescent="0.3">
      <c r="A2935" s="6" t="s">
        <v>4438</v>
      </c>
      <c r="B2935" s="7" t="s">
        <v>4348</v>
      </c>
      <c r="C2935" s="6" t="s">
        <v>5771</v>
      </c>
      <c r="D2935" s="7" t="s">
        <v>5846</v>
      </c>
      <c r="E2935" s="6" t="s">
        <v>5847</v>
      </c>
      <c r="F2935" s="7" t="s">
        <v>4416</v>
      </c>
      <c r="G2935" s="7" t="s">
        <v>4367</v>
      </c>
      <c r="H2935" s="5" t="s">
        <v>229</v>
      </c>
      <c r="I2935" s="6" t="s">
        <v>4439</v>
      </c>
      <c r="J2935" s="7" t="s">
        <v>11</v>
      </c>
      <c r="K2935" s="36">
        <v>0.03</v>
      </c>
      <c r="L2935" s="37">
        <v>738</v>
      </c>
    </row>
    <row r="2936" spans="1:12" ht="19.95" customHeight="1" x14ac:dyDescent="0.3">
      <c r="A2936" s="2" t="s">
        <v>4438</v>
      </c>
      <c r="B2936" s="3" t="s">
        <v>4348</v>
      </c>
      <c r="C2936" s="2" t="s">
        <v>5771</v>
      </c>
      <c r="D2936" s="3" t="s">
        <v>5846</v>
      </c>
      <c r="E2936" s="2" t="s">
        <v>5847</v>
      </c>
      <c r="F2936" s="3" t="s">
        <v>4416</v>
      </c>
      <c r="G2936" s="3" t="s">
        <v>4369</v>
      </c>
      <c r="H2936" s="1" t="s">
        <v>12</v>
      </c>
      <c r="I2936" s="2" t="s">
        <v>4388</v>
      </c>
      <c r="J2936" s="3" t="s">
        <v>11</v>
      </c>
      <c r="K2936" s="38">
        <v>0.03</v>
      </c>
      <c r="L2936" s="39">
        <v>800</v>
      </c>
    </row>
    <row r="2937" spans="1:12" ht="19.95" customHeight="1" x14ac:dyDescent="0.3">
      <c r="A2937" s="6" t="s">
        <v>4438</v>
      </c>
      <c r="B2937" s="7" t="s">
        <v>4348</v>
      </c>
      <c r="C2937" s="6" t="s">
        <v>5771</v>
      </c>
      <c r="D2937" s="7" t="s">
        <v>5848</v>
      </c>
      <c r="E2937" s="6" t="s">
        <v>5849</v>
      </c>
      <c r="F2937" s="7" t="s">
        <v>4368</v>
      </c>
      <c r="G2937" s="7" t="s">
        <v>4367</v>
      </c>
      <c r="H2937" s="5" t="s">
        <v>221</v>
      </c>
      <c r="I2937" s="6" t="s">
        <v>222</v>
      </c>
      <c r="J2937" s="7" t="s">
        <v>11</v>
      </c>
      <c r="K2937" s="36">
        <v>0.5</v>
      </c>
      <c r="L2937" s="37">
        <v>738</v>
      </c>
    </row>
    <row r="2938" spans="1:12" ht="19.95" customHeight="1" x14ac:dyDescent="0.3">
      <c r="A2938" s="2" t="s">
        <v>4438</v>
      </c>
      <c r="B2938" s="3" t="s">
        <v>4348</v>
      </c>
      <c r="C2938" s="2" t="s">
        <v>5771</v>
      </c>
      <c r="D2938" s="3" t="s">
        <v>5848</v>
      </c>
      <c r="E2938" s="2" t="s">
        <v>5849</v>
      </c>
      <c r="F2938" s="3" t="s">
        <v>4368</v>
      </c>
      <c r="G2938" s="3" t="s">
        <v>4367</v>
      </c>
      <c r="H2938" s="1" t="s">
        <v>209</v>
      </c>
      <c r="I2938" s="2" t="s">
        <v>210</v>
      </c>
      <c r="J2938" s="3" t="s">
        <v>11</v>
      </c>
      <c r="K2938" s="38">
        <v>1</v>
      </c>
      <c r="L2938" s="39">
        <v>558</v>
      </c>
    </row>
    <row r="2939" spans="1:12" ht="19.95" customHeight="1" x14ac:dyDescent="0.3">
      <c r="A2939" s="6" t="s">
        <v>4438</v>
      </c>
      <c r="B2939" s="7" t="s">
        <v>4348</v>
      </c>
      <c r="C2939" s="6" t="s">
        <v>5771</v>
      </c>
      <c r="D2939" s="7" t="s">
        <v>4575</v>
      </c>
      <c r="E2939" s="6" t="s">
        <v>5850</v>
      </c>
      <c r="F2939" s="7" t="s">
        <v>4368</v>
      </c>
      <c r="G2939" s="7" t="s">
        <v>4367</v>
      </c>
      <c r="H2939" s="5" t="s">
        <v>221</v>
      </c>
      <c r="I2939" s="6" t="s">
        <v>222</v>
      </c>
      <c r="J2939" s="7" t="s">
        <v>11</v>
      </c>
      <c r="K2939" s="36">
        <v>3.1</v>
      </c>
      <c r="L2939" s="37">
        <v>738</v>
      </c>
    </row>
    <row r="2940" spans="1:12" ht="19.95" customHeight="1" x14ac:dyDescent="0.3">
      <c r="A2940" s="2" t="s">
        <v>4438</v>
      </c>
      <c r="B2940" s="3" t="s">
        <v>4348</v>
      </c>
      <c r="C2940" s="2" t="s">
        <v>5771</v>
      </c>
      <c r="D2940" s="3" t="s">
        <v>4575</v>
      </c>
      <c r="E2940" s="2" t="s">
        <v>5850</v>
      </c>
      <c r="F2940" s="3" t="s">
        <v>4368</v>
      </c>
      <c r="G2940" s="3" t="s">
        <v>4367</v>
      </c>
      <c r="H2940" s="1" t="s">
        <v>194</v>
      </c>
      <c r="I2940" s="2" t="s">
        <v>196</v>
      </c>
      <c r="J2940" s="3" t="s">
        <v>11</v>
      </c>
      <c r="K2940" s="38">
        <v>1.1000000000000001</v>
      </c>
      <c r="L2940" s="39">
        <v>617</v>
      </c>
    </row>
    <row r="2941" spans="1:12" ht="19.95" customHeight="1" x14ac:dyDescent="0.3">
      <c r="A2941" s="6" t="s">
        <v>4438</v>
      </c>
      <c r="B2941" s="7" t="s">
        <v>4348</v>
      </c>
      <c r="C2941" s="6" t="s">
        <v>5771</v>
      </c>
      <c r="D2941" s="7" t="s">
        <v>4575</v>
      </c>
      <c r="E2941" s="6" t="s">
        <v>5850</v>
      </c>
      <c r="F2941" s="7" t="s">
        <v>4368</v>
      </c>
      <c r="G2941" s="7" t="s">
        <v>4367</v>
      </c>
      <c r="H2941" s="5" t="s">
        <v>211</v>
      </c>
      <c r="I2941" s="6" t="s">
        <v>212</v>
      </c>
      <c r="J2941" s="7" t="s">
        <v>11</v>
      </c>
      <c r="K2941" s="36">
        <v>0.55000000000000004</v>
      </c>
      <c r="L2941" s="37">
        <v>558</v>
      </c>
    </row>
    <row r="2942" spans="1:12" ht="19.95" customHeight="1" x14ac:dyDescent="0.3">
      <c r="A2942" s="2" t="s">
        <v>4438</v>
      </c>
      <c r="B2942" s="3" t="s">
        <v>4348</v>
      </c>
      <c r="C2942" s="2" t="s">
        <v>5771</v>
      </c>
      <c r="D2942" s="3" t="s">
        <v>4575</v>
      </c>
      <c r="E2942" s="2" t="s">
        <v>5850</v>
      </c>
      <c r="F2942" s="3" t="s">
        <v>4368</v>
      </c>
      <c r="G2942" s="3" t="s">
        <v>4367</v>
      </c>
      <c r="H2942" s="1" t="s">
        <v>197</v>
      </c>
      <c r="I2942" s="2" t="s">
        <v>198</v>
      </c>
      <c r="J2942" s="3" t="s">
        <v>11</v>
      </c>
      <c r="K2942" s="38">
        <v>0.27</v>
      </c>
      <c r="L2942" s="39">
        <v>617</v>
      </c>
    </row>
    <row r="2943" spans="1:12" ht="19.95" customHeight="1" x14ac:dyDescent="0.3">
      <c r="A2943" s="6" t="s">
        <v>4438</v>
      </c>
      <c r="B2943" s="7" t="s">
        <v>4348</v>
      </c>
      <c r="C2943" s="6" t="s">
        <v>5771</v>
      </c>
      <c r="D2943" s="7" t="s">
        <v>4575</v>
      </c>
      <c r="E2943" s="6" t="s">
        <v>5850</v>
      </c>
      <c r="F2943" s="7" t="s">
        <v>4368</v>
      </c>
      <c r="G2943" s="7" t="s">
        <v>4367</v>
      </c>
      <c r="H2943" s="5" t="s">
        <v>221</v>
      </c>
      <c r="I2943" s="6" t="s">
        <v>222</v>
      </c>
      <c r="J2943" s="7" t="s">
        <v>11</v>
      </c>
      <c r="K2943" s="36">
        <v>3.1</v>
      </c>
      <c r="L2943" s="37">
        <v>738</v>
      </c>
    </row>
    <row r="2944" spans="1:12" ht="19.95" customHeight="1" x14ac:dyDescent="0.3">
      <c r="A2944" s="2" t="s">
        <v>4438</v>
      </c>
      <c r="B2944" s="3" t="s">
        <v>4348</v>
      </c>
      <c r="C2944" s="2" t="s">
        <v>5771</v>
      </c>
      <c r="D2944" s="3" t="s">
        <v>4575</v>
      </c>
      <c r="E2944" s="2" t="s">
        <v>5850</v>
      </c>
      <c r="F2944" s="3" t="s">
        <v>4368</v>
      </c>
      <c r="G2944" s="3" t="s">
        <v>4367</v>
      </c>
      <c r="H2944" s="1" t="s">
        <v>194</v>
      </c>
      <c r="I2944" s="2" t="s">
        <v>196</v>
      </c>
      <c r="J2944" s="3" t="s">
        <v>11</v>
      </c>
      <c r="K2944" s="38">
        <v>1.1000000000000001</v>
      </c>
      <c r="L2944" s="39">
        <v>617</v>
      </c>
    </row>
    <row r="2945" spans="1:12" ht="19.95" customHeight="1" x14ac:dyDescent="0.3">
      <c r="A2945" s="6" t="s">
        <v>4438</v>
      </c>
      <c r="B2945" s="7" t="s">
        <v>4348</v>
      </c>
      <c r="C2945" s="6" t="s">
        <v>5771</v>
      </c>
      <c r="D2945" s="7" t="s">
        <v>4575</v>
      </c>
      <c r="E2945" s="6" t="s">
        <v>5850</v>
      </c>
      <c r="F2945" s="7" t="s">
        <v>4368</v>
      </c>
      <c r="G2945" s="7" t="s">
        <v>4367</v>
      </c>
      <c r="H2945" s="5" t="s">
        <v>211</v>
      </c>
      <c r="I2945" s="6" t="s">
        <v>212</v>
      </c>
      <c r="J2945" s="7" t="s">
        <v>11</v>
      </c>
      <c r="K2945" s="36">
        <v>0.55000000000000004</v>
      </c>
      <c r="L2945" s="37">
        <v>558</v>
      </c>
    </row>
    <row r="2946" spans="1:12" ht="19.95" customHeight="1" x14ac:dyDescent="0.3">
      <c r="A2946" s="2" t="s">
        <v>4438</v>
      </c>
      <c r="B2946" s="3" t="s">
        <v>4348</v>
      </c>
      <c r="C2946" s="2" t="s">
        <v>5771</v>
      </c>
      <c r="D2946" s="3" t="s">
        <v>4575</v>
      </c>
      <c r="E2946" s="2" t="s">
        <v>5850</v>
      </c>
      <c r="F2946" s="3" t="s">
        <v>4368</v>
      </c>
      <c r="G2946" s="3" t="s">
        <v>4367</v>
      </c>
      <c r="H2946" s="1" t="s">
        <v>197</v>
      </c>
      <c r="I2946" s="2" t="s">
        <v>198</v>
      </c>
      <c r="J2946" s="3" t="s">
        <v>11</v>
      </c>
      <c r="K2946" s="38">
        <v>0.27</v>
      </c>
      <c r="L2946" s="39">
        <v>617</v>
      </c>
    </row>
    <row r="2947" spans="1:12" ht="19.95" customHeight="1" x14ac:dyDescent="0.3">
      <c r="A2947" s="6" t="s">
        <v>4438</v>
      </c>
      <c r="B2947" s="7" t="s">
        <v>4348</v>
      </c>
      <c r="C2947" s="6" t="s">
        <v>5771</v>
      </c>
      <c r="D2947" s="7" t="s">
        <v>4577</v>
      </c>
      <c r="E2947" s="6" t="s">
        <v>4832</v>
      </c>
      <c r="F2947" s="7" t="s">
        <v>4368</v>
      </c>
      <c r="G2947" s="7" t="s">
        <v>4367</v>
      </c>
      <c r="H2947" s="5" t="s">
        <v>223</v>
      </c>
      <c r="I2947" s="6" t="s">
        <v>224</v>
      </c>
      <c r="J2947" s="7" t="s">
        <v>11</v>
      </c>
      <c r="K2947" s="36">
        <v>1.08</v>
      </c>
      <c r="L2947" s="37">
        <v>679</v>
      </c>
    </row>
    <row r="2948" spans="1:12" ht="19.95" customHeight="1" x14ac:dyDescent="0.3">
      <c r="A2948" s="2" t="s">
        <v>4438</v>
      </c>
      <c r="B2948" s="3" t="s">
        <v>4348</v>
      </c>
      <c r="C2948" s="2" t="s">
        <v>5771</v>
      </c>
      <c r="D2948" s="3" t="s">
        <v>4577</v>
      </c>
      <c r="E2948" s="2" t="s">
        <v>4832</v>
      </c>
      <c r="F2948" s="3" t="s">
        <v>4368</v>
      </c>
      <c r="G2948" s="3" t="s">
        <v>4367</v>
      </c>
      <c r="H2948" s="1" t="s">
        <v>209</v>
      </c>
      <c r="I2948" s="2" t="s">
        <v>210</v>
      </c>
      <c r="J2948" s="3" t="s">
        <v>11</v>
      </c>
      <c r="K2948" s="38">
        <v>0.25</v>
      </c>
      <c r="L2948" s="39">
        <v>558</v>
      </c>
    </row>
    <row r="2949" spans="1:12" ht="19.95" customHeight="1" x14ac:dyDescent="0.3">
      <c r="A2949" s="6" t="s">
        <v>4438</v>
      </c>
      <c r="B2949" s="7" t="s">
        <v>4348</v>
      </c>
      <c r="C2949" s="6" t="s">
        <v>5771</v>
      </c>
      <c r="D2949" s="7" t="s">
        <v>4577</v>
      </c>
      <c r="E2949" s="6" t="s">
        <v>4832</v>
      </c>
      <c r="F2949" s="7" t="s">
        <v>4368</v>
      </c>
      <c r="G2949" s="7" t="s">
        <v>4367</v>
      </c>
      <c r="H2949" s="5" t="s">
        <v>211</v>
      </c>
      <c r="I2949" s="6" t="s">
        <v>212</v>
      </c>
      <c r="J2949" s="7" t="s">
        <v>11</v>
      </c>
      <c r="K2949" s="36">
        <v>1.62</v>
      </c>
      <c r="L2949" s="37">
        <v>558</v>
      </c>
    </row>
    <row r="2950" spans="1:12" ht="19.95" customHeight="1" x14ac:dyDescent="0.3">
      <c r="A2950" s="2" t="s">
        <v>4438</v>
      </c>
      <c r="B2950" s="3" t="s">
        <v>4348</v>
      </c>
      <c r="C2950" s="2" t="s">
        <v>5771</v>
      </c>
      <c r="D2950" s="3" t="s">
        <v>4577</v>
      </c>
      <c r="E2950" s="2" t="s">
        <v>4832</v>
      </c>
      <c r="F2950" s="3" t="s">
        <v>4368</v>
      </c>
      <c r="G2950" s="3" t="s">
        <v>4367</v>
      </c>
      <c r="H2950" s="1" t="s">
        <v>197</v>
      </c>
      <c r="I2950" s="2" t="s">
        <v>198</v>
      </c>
      <c r="J2950" s="3" t="s">
        <v>11</v>
      </c>
      <c r="K2950" s="38">
        <v>0.27</v>
      </c>
      <c r="L2950" s="39">
        <v>617</v>
      </c>
    </row>
    <row r="2951" spans="1:12" ht="19.95" customHeight="1" x14ac:dyDescent="0.3">
      <c r="A2951" s="6" t="s">
        <v>4438</v>
      </c>
      <c r="B2951" s="7" t="s">
        <v>4348</v>
      </c>
      <c r="C2951" s="6" t="s">
        <v>5771</v>
      </c>
      <c r="D2951" s="7" t="s">
        <v>4579</v>
      </c>
      <c r="E2951" s="6" t="s">
        <v>4864</v>
      </c>
      <c r="F2951" s="7" t="s">
        <v>4368</v>
      </c>
      <c r="G2951" s="7" t="s">
        <v>4367</v>
      </c>
      <c r="H2951" s="5" t="s">
        <v>221</v>
      </c>
      <c r="I2951" s="6" t="s">
        <v>222</v>
      </c>
      <c r="J2951" s="7" t="s">
        <v>11</v>
      </c>
      <c r="K2951" s="36">
        <v>3.9</v>
      </c>
      <c r="L2951" s="37">
        <v>738</v>
      </c>
    </row>
    <row r="2952" spans="1:12" ht="19.95" customHeight="1" x14ac:dyDescent="0.3">
      <c r="A2952" s="2" t="s">
        <v>4438</v>
      </c>
      <c r="B2952" s="3" t="s">
        <v>4348</v>
      </c>
      <c r="C2952" s="2" t="s">
        <v>5771</v>
      </c>
      <c r="D2952" s="3" t="s">
        <v>4579</v>
      </c>
      <c r="E2952" s="2" t="s">
        <v>4864</v>
      </c>
      <c r="F2952" s="3" t="s">
        <v>4368</v>
      </c>
      <c r="G2952" s="3" t="s">
        <v>4367</v>
      </c>
      <c r="H2952" s="1" t="s">
        <v>194</v>
      </c>
      <c r="I2952" s="2" t="s">
        <v>196</v>
      </c>
      <c r="J2952" s="3" t="s">
        <v>11</v>
      </c>
      <c r="K2952" s="38">
        <v>1.1000000000000001</v>
      </c>
      <c r="L2952" s="39">
        <v>617</v>
      </c>
    </row>
    <row r="2953" spans="1:12" ht="19.95" customHeight="1" x14ac:dyDescent="0.3">
      <c r="A2953" s="6" t="s">
        <v>4438</v>
      </c>
      <c r="B2953" s="7" t="s">
        <v>4348</v>
      </c>
      <c r="C2953" s="6" t="s">
        <v>5771</v>
      </c>
      <c r="D2953" s="7" t="s">
        <v>4579</v>
      </c>
      <c r="E2953" s="6" t="s">
        <v>4864</v>
      </c>
      <c r="F2953" s="7" t="s">
        <v>4368</v>
      </c>
      <c r="G2953" s="7" t="s">
        <v>4367</v>
      </c>
      <c r="H2953" s="5" t="s">
        <v>211</v>
      </c>
      <c r="I2953" s="6" t="s">
        <v>212</v>
      </c>
      <c r="J2953" s="7" t="s">
        <v>11</v>
      </c>
      <c r="K2953" s="36">
        <v>1.4</v>
      </c>
      <c r="L2953" s="37">
        <v>558</v>
      </c>
    </row>
    <row r="2954" spans="1:12" ht="19.95" customHeight="1" x14ac:dyDescent="0.3">
      <c r="A2954" s="2" t="s">
        <v>4438</v>
      </c>
      <c r="B2954" s="3" t="s">
        <v>4348</v>
      </c>
      <c r="C2954" s="2" t="s">
        <v>5771</v>
      </c>
      <c r="D2954" s="3" t="s">
        <v>4579</v>
      </c>
      <c r="E2954" s="2" t="s">
        <v>4864</v>
      </c>
      <c r="F2954" s="3" t="s">
        <v>4368</v>
      </c>
      <c r="G2954" s="3" t="s">
        <v>4367</v>
      </c>
      <c r="H2954" s="1" t="s">
        <v>197</v>
      </c>
      <c r="I2954" s="2" t="s">
        <v>198</v>
      </c>
      <c r="J2954" s="3" t="s">
        <v>11</v>
      </c>
      <c r="K2954" s="38">
        <v>0.55000000000000004</v>
      </c>
      <c r="L2954" s="39">
        <v>617</v>
      </c>
    </row>
    <row r="2955" spans="1:12" ht="19.95" customHeight="1" x14ac:dyDescent="0.3">
      <c r="A2955" s="6" t="s">
        <v>4438</v>
      </c>
      <c r="B2955" s="7" t="s">
        <v>4348</v>
      </c>
      <c r="C2955" s="6" t="s">
        <v>5771</v>
      </c>
      <c r="D2955" s="7" t="s">
        <v>4579</v>
      </c>
      <c r="E2955" s="6" t="s">
        <v>4864</v>
      </c>
      <c r="F2955" s="7" t="s">
        <v>4368</v>
      </c>
      <c r="G2955" s="7" t="s">
        <v>4367</v>
      </c>
      <c r="H2955" s="5" t="s">
        <v>221</v>
      </c>
      <c r="I2955" s="6" t="s">
        <v>222</v>
      </c>
      <c r="J2955" s="7" t="s">
        <v>11</v>
      </c>
      <c r="K2955" s="36">
        <v>3.9</v>
      </c>
      <c r="L2955" s="37">
        <v>738</v>
      </c>
    </row>
    <row r="2956" spans="1:12" ht="19.95" customHeight="1" x14ac:dyDescent="0.3">
      <c r="A2956" s="2" t="s">
        <v>4438</v>
      </c>
      <c r="B2956" s="3" t="s">
        <v>4348</v>
      </c>
      <c r="C2956" s="2" t="s">
        <v>5771</v>
      </c>
      <c r="D2956" s="3" t="s">
        <v>4579</v>
      </c>
      <c r="E2956" s="2" t="s">
        <v>4864</v>
      </c>
      <c r="F2956" s="3" t="s">
        <v>4368</v>
      </c>
      <c r="G2956" s="3" t="s">
        <v>4367</v>
      </c>
      <c r="H2956" s="1" t="s">
        <v>194</v>
      </c>
      <c r="I2956" s="2" t="s">
        <v>196</v>
      </c>
      <c r="J2956" s="3" t="s">
        <v>11</v>
      </c>
      <c r="K2956" s="38">
        <v>1.1000000000000001</v>
      </c>
      <c r="L2956" s="39">
        <v>617</v>
      </c>
    </row>
    <row r="2957" spans="1:12" ht="19.95" customHeight="1" x14ac:dyDescent="0.3">
      <c r="A2957" s="6" t="s">
        <v>4438</v>
      </c>
      <c r="B2957" s="7" t="s">
        <v>4348</v>
      </c>
      <c r="C2957" s="6" t="s">
        <v>5771</v>
      </c>
      <c r="D2957" s="7" t="s">
        <v>4579</v>
      </c>
      <c r="E2957" s="6" t="s">
        <v>4864</v>
      </c>
      <c r="F2957" s="7" t="s">
        <v>4368</v>
      </c>
      <c r="G2957" s="7" t="s">
        <v>4367</v>
      </c>
      <c r="H2957" s="5" t="s">
        <v>211</v>
      </c>
      <c r="I2957" s="6" t="s">
        <v>212</v>
      </c>
      <c r="J2957" s="7" t="s">
        <v>11</v>
      </c>
      <c r="K2957" s="36">
        <v>1.4</v>
      </c>
      <c r="L2957" s="37">
        <v>558</v>
      </c>
    </row>
    <row r="2958" spans="1:12" ht="19.95" customHeight="1" x14ac:dyDescent="0.3">
      <c r="A2958" s="2" t="s">
        <v>4438</v>
      </c>
      <c r="B2958" s="3" t="s">
        <v>4348</v>
      </c>
      <c r="C2958" s="2" t="s">
        <v>5771</v>
      </c>
      <c r="D2958" s="3" t="s">
        <v>4579</v>
      </c>
      <c r="E2958" s="2" t="s">
        <v>4864</v>
      </c>
      <c r="F2958" s="3" t="s">
        <v>4368</v>
      </c>
      <c r="G2958" s="3" t="s">
        <v>4367</v>
      </c>
      <c r="H2958" s="1" t="s">
        <v>197</v>
      </c>
      <c r="I2958" s="2" t="s">
        <v>198</v>
      </c>
      <c r="J2958" s="3" t="s">
        <v>11</v>
      </c>
      <c r="K2958" s="38">
        <v>0.55000000000000004</v>
      </c>
      <c r="L2958" s="39">
        <v>617</v>
      </c>
    </row>
    <row r="2959" spans="1:12" ht="19.95" customHeight="1" x14ac:dyDescent="0.3">
      <c r="A2959" s="6" t="s">
        <v>4438</v>
      </c>
      <c r="B2959" s="7" t="s">
        <v>4348</v>
      </c>
      <c r="C2959" s="6" t="s">
        <v>5771</v>
      </c>
      <c r="D2959" s="7" t="s">
        <v>4579</v>
      </c>
      <c r="E2959" s="6" t="s">
        <v>4864</v>
      </c>
      <c r="F2959" s="7" t="s">
        <v>4368</v>
      </c>
      <c r="G2959" s="7" t="s">
        <v>4367</v>
      </c>
      <c r="H2959" s="5" t="s">
        <v>221</v>
      </c>
      <c r="I2959" s="6" t="s">
        <v>222</v>
      </c>
      <c r="J2959" s="7" t="s">
        <v>11</v>
      </c>
      <c r="K2959" s="36">
        <v>3.9</v>
      </c>
      <c r="L2959" s="37">
        <v>738</v>
      </c>
    </row>
    <row r="2960" spans="1:12" ht="19.95" customHeight="1" x14ac:dyDescent="0.3">
      <c r="A2960" s="2" t="s">
        <v>4438</v>
      </c>
      <c r="B2960" s="3" t="s">
        <v>4348</v>
      </c>
      <c r="C2960" s="2" t="s">
        <v>5771</v>
      </c>
      <c r="D2960" s="3" t="s">
        <v>4579</v>
      </c>
      <c r="E2960" s="2" t="s">
        <v>4864</v>
      </c>
      <c r="F2960" s="3" t="s">
        <v>4368</v>
      </c>
      <c r="G2960" s="3" t="s">
        <v>4367</v>
      </c>
      <c r="H2960" s="1" t="s">
        <v>194</v>
      </c>
      <c r="I2960" s="2" t="s">
        <v>196</v>
      </c>
      <c r="J2960" s="3" t="s">
        <v>11</v>
      </c>
      <c r="K2960" s="38">
        <v>1.1000000000000001</v>
      </c>
      <c r="L2960" s="39">
        <v>617</v>
      </c>
    </row>
    <row r="2961" spans="1:12" ht="19.95" customHeight="1" x14ac:dyDescent="0.3">
      <c r="A2961" s="6" t="s">
        <v>4438</v>
      </c>
      <c r="B2961" s="7" t="s">
        <v>4348</v>
      </c>
      <c r="C2961" s="6" t="s">
        <v>5771</v>
      </c>
      <c r="D2961" s="7" t="s">
        <v>4579</v>
      </c>
      <c r="E2961" s="6" t="s">
        <v>4864</v>
      </c>
      <c r="F2961" s="7" t="s">
        <v>4368</v>
      </c>
      <c r="G2961" s="7" t="s">
        <v>4367</v>
      </c>
      <c r="H2961" s="5" t="s">
        <v>211</v>
      </c>
      <c r="I2961" s="6" t="s">
        <v>212</v>
      </c>
      <c r="J2961" s="7" t="s">
        <v>11</v>
      </c>
      <c r="K2961" s="36">
        <v>1.4</v>
      </c>
      <c r="L2961" s="37">
        <v>558</v>
      </c>
    </row>
    <row r="2962" spans="1:12" ht="19.95" customHeight="1" x14ac:dyDescent="0.3">
      <c r="A2962" s="2" t="s">
        <v>4438</v>
      </c>
      <c r="B2962" s="3" t="s">
        <v>4348</v>
      </c>
      <c r="C2962" s="2" t="s">
        <v>5771</v>
      </c>
      <c r="D2962" s="3" t="s">
        <v>4579</v>
      </c>
      <c r="E2962" s="2" t="s">
        <v>4864</v>
      </c>
      <c r="F2962" s="3" t="s">
        <v>4368</v>
      </c>
      <c r="G2962" s="3" t="s">
        <v>4367</v>
      </c>
      <c r="H2962" s="1" t="s">
        <v>197</v>
      </c>
      <c r="I2962" s="2" t="s">
        <v>198</v>
      </c>
      <c r="J2962" s="3" t="s">
        <v>11</v>
      </c>
      <c r="K2962" s="38">
        <v>0.55000000000000004</v>
      </c>
      <c r="L2962" s="39">
        <v>617</v>
      </c>
    </row>
    <row r="2963" spans="1:12" ht="19.95" customHeight="1" x14ac:dyDescent="0.3">
      <c r="A2963" s="6" t="s">
        <v>4438</v>
      </c>
      <c r="B2963" s="7" t="s">
        <v>4348</v>
      </c>
      <c r="C2963" s="6" t="s">
        <v>5771</v>
      </c>
      <c r="D2963" s="7" t="s">
        <v>4579</v>
      </c>
      <c r="E2963" s="6" t="s">
        <v>4864</v>
      </c>
      <c r="F2963" s="7" t="s">
        <v>4368</v>
      </c>
      <c r="G2963" s="7" t="s">
        <v>4367</v>
      </c>
      <c r="H2963" s="5" t="s">
        <v>221</v>
      </c>
      <c r="I2963" s="6" t="s">
        <v>222</v>
      </c>
      <c r="J2963" s="7" t="s">
        <v>11</v>
      </c>
      <c r="K2963" s="36">
        <v>3.9</v>
      </c>
      <c r="L2963" s="37">
        <v>738</v>
      </c>
    </row>
    <row r="2964" spans="1:12" ht="19.95" customHeight="1" x14ac:dyDescent="0.3">
      <c r="A2964" s="2" t="s">
        <v>4438</v>
      </c>
      <c r="B2964" s="3" t="s">
        <v>4348</v>
      </c>
      <c r="C2964" s="2" t="s">
        <v>5771</v>
      </c>
      <c r="D2964" s="3" t="s">
        <v>4579</v>
      </c>
      <c r="E2964" s="2" t="s">
        <v>4864</v>
      </c>
      <c r="F2964" s="3" t="s">
        <v>4368</v>
      </c>
      <c r="G2964" s="3" t="s">
        <v>4367</v>
      </c>
      <c r="H2964" s="1" t="s">
        <v>194</v>
      </c>
      <c r="I2964" s="2" t="s">
        <v>196</v>
      </c>
      <c r="J2964" s="3" t="s">
        <v>11</v>
      </c>
      <c r="K2964" s="38">
        <v>1.1000000000000001</v>
      </c>
      <c r="L2964" s="39">
        <v>617</v>
      </c>
    </row>
    <row r="2965" spans="1:12" ht="19.95" customHeight="1" x14ac:dyDescent="0.3">
      <c r="A2965" s="6" t="s">
        <v>4438</v>
      </c>
      <c r="B2965" s="7" t="s">
        <v>4348</v>
      </c>
      <c r="C2965" s="6" t="s">
        <v>5771</v>
      </c>
      <c r="D2965" s="7" t="s">
        <v>4579</v>
      </c>
      <c r="E2965" s="6" t="s">
        <v>4864</v>
      </c>
      <c r="F2965" s="7" t="s">
        <v>4368</v>
      </c>
      <c r="G2965" s="7" t="s">
        <v>4367</v>
      </c>
      <c r="H2965" s="5" t="s">
        <v>211</v>
      </c>
      <c r="I2965" s="6" t="s">
        <v>212</v>
      </c>
      <c r="J2965" s="7" t="s">
        <v>11</v>
      </c>
      <c r="K2965" s="36">
        <v>1.4</v>
      </c>
      <c r="L2965" s="37">
        <v>558</v>
      </c>
    </row>
    <row r="2966" spans="1:12" ht="19.95" customHeight="1" x14ac:dyDescent="0.3">
      <c r="A2966" s="2" t="s">
        <v>4438</v>
      </c>
      <c r="B2966" s="3" t="s">
        <v>4348</v>
      </c>
      <c r="C2966" s="2" t="s">
        <v>5771</v>
      </c>
      <c r="D2966" s="3" t="s">
        <v>4579</v>
      </c>
      <c r="E2966" s="2" t="s">
        <v>4864</v>
      </c>
      <c r="F2966" s="3" t="s">
        <v>4368</v>
      </c>
      <c r="G2966" s="3" t="s">
        <v>4367</v>
      </c>
      <c r="H2966" s="1" t="s">
        <v>197</v>
      </c>
      <c r="I2966" s="2" t="s">
        <v>198</v>
      </c>
      <c r="J2966" s="3" t="s">
        <v>11</v>
      </c>
      <c r="K2966" s="38">
        <v>0.55000000000000004</v>
      </c>
      <c r="L2966" s="39">
        <v>617</v>
      </c>
    </row>
    <row r="2967" spans="1:12" ht="19.95" customHeight="1" x14ac:dyDescent="0.3">
      <c r="A2967" s="6" t="s">
        <v>4438</v>
      </c>
      <c r="B2967" s="7" t="s">
        <v>4348</v>
      </c>
      <c r="C2967" s="6" t="s">
        <v>5771</v>
      </c>
      <c r="D2967" s="7" t="s">
        <v>4591</v>
      </c>
      <c r="E2967" s="6" t="s">
        <v>5851</v>
      </c>
      <c r="F2967" s="7" t="s">
        <v>4368</v>
      </c>
      <c r="G2967" s="7" t="s">
        <v>4367</v>
      </c>
      <c r="H2967" s="5" t="s">
        <v>223</v>
      </c>
      <c r="I2967" s="6" t="s">
        <v>224</v>
      </c>
      <c r="J2967" s="7" t="s">
        <v>11</v>
      </c>
      <c r="K2967" s="36">
        <v>0.9</v>
      </c>
      <c r="L2967" s="37">
        <v>679</v>
      </c>
    </row>
    <row r="2968" spans="1:12" ht="19.95" customHeight="1" x14ac:dyDescent="0.3">
      <c r="A2968" s="2" t="s">
        <v>4438</v>
      </c>
      <c r="B2968" s="3" t="s">
        <v>4348</v>
      </c>
      <c r="C2968" s="2" t="s">
        <v>5771</v>
      </c>
      <c r="D2968" s="3" t="s">
        <v>4591</v>
      </c>
      <c r="E2968" s="2" t="s">
        <v>5851</v>
      </c>
      <c r="F2968" s="3" t="s">
        <v>4368</v>
      </c>
      <c r="G2968" s="3" t="s">
        <v>4367</v>
      </c>
      <c r="H2968" s="1" t="s">
        <v>211</v>
      </c>
      <c r="I2968" s="2" t="s">
        <v>212</v>
      </c>
      <c r="J2968" s="3" t="s">
        <v>11</v>
      </c>
      <c r="K2968" s="38">
        <v>1.98</v>
      </c>
      <c r="L2968" s="39">
        <v>558</v>
      </c>
    </row>
    <row r="2969" spans="1:12" ht="19.95" customHeight="1" x14ac:dyDescent="0.3">
      <c r="A2969" s="6" t="s">
        <v>4438</v>
      </c>
      <c r="B2969" s="7" t="s">
        <v>4348</v>
      </c>
      <c r="C2969" s="6" t="s">
        <v>5771</v>
      </c>
      <c r="D2969" s="7" t="s">
        <v>4591</v>
      </c>
      <c r="E2969" s="6" t="s">
        <v>5851</v>
      </c>
      <c r="F2969" s="7" t="s">
        <v>4368</v>
      </c>
      <c r="G2969" s="7" t="s">
        <v>4367</v>
      </c>
      <c r="H2969" s="5" t="s">
        <v>197</v>
      </c>
      <c r="I2969" s="6" t="s">
        <v>198</v>
      </c>
      <c r="J2969" s="7" t="s">
        <v>11</v>
      </c>
      <c r="K2969" s="36">
        <v>0.05</v>
      </c>
      <c r="L2969" s="37">
        <v>617</v>
      </c>
    </row>
    <row r="2970" spans="1:12" ht="19.95" customHeight="1" x14ac:dyDescent="0.3">
      <c r="A2970" s="2" t="s">
        <v>4438</v>
      </c>
      <c r="B2970" s="3" t="s">
        <v>4348</v>
      </c>
      <c r="C2970" s="2" t="s">
        <v>5771</v>
      </c>
      <c r="D2970" s="3" t="s">
        <v>4605</v>
      </c>
      <c r="E2970" s="2" t="s">
        <v>4835</v>
      </c>
      <c r="F2970" s="3" t="s">
        <v>4368</v>
      </c>
      <c r="G2970" s="3" t="s">
        <v>4367</v>
      </c>
      <c r="H2970" s="1" t="s">
        <v>223</v>
      </c>
      <c r="I2970" s="2" t="s">
        <v>224</v>
      </c>
      <c r="J2970" s="3" t="s">
        <v>11</v>
      </c>
      <c r="K2970" s="38">
        <v>1.88</v>
      </c>
      <c r="L2970" s="39">
        <v>679</v>
      </c>
    </row>
    <row r="2971" spans="1:12" ht="19.95" customHeight="1" x14ac:dyDescent="0.3">
      <c r="A2971" s="6" t="s">
        <v>4438</v>
      </c>
      <c r="B2971" s="7" t="s">
        <v>4348</v>
      </c>
      <c r="C2971" s="6" t="s">
        <v>5771</v>
      </c>
      <c r="D2971" s="7" t="s">
        <v>4605</v>
      </c>
      <c r="E2971" s="6" t="s">
        <v>4835</v>
      </c>
      <c r="F2971" s="7" t="s">
        <v>4368</v>
      </c>
      <c r="G2971" s="7" t="s">
        <v>4367</v>
      </c>
      <c r="H2971" s="5" t="s">
        <v>211</v>
      </c>
      <c r="I2971" s="6" t="s">
        <v>212</v>
      </c>
      <c r="J2971" s="7" t="s">
        <v>11</v>
      </c>
      <c r="K2971" s="36">
        <v>1.88</v>
      </c>
      <c r="L2971" s="37">
        <v>558</v>
      </c>
    </row>
    <row r="2972" spans="1:12" ht="19.95" customHeight="1" x14ac:dyDescent="0.3">
      <c r="A2972" s="2" t="s">
        <v>4438</v>
      </c>
      <c r="B2972" s="3" t="s">
        <v>4348</v>
      </c>
      <c r="C2972" s="2" t="s">
        <v>5771</v>
      </c>
      <c r="D2972" s="3" t="s">
        <v>4605</v>
      </c>
      <c r="E2972" s="2" t="s">
        <v>4835</v>
      </c>
      <c r="F2972" s="3" t="s">
        <v>4368</v>
      </c>
      <c r="G2972" s="3" t="s">
        <v>4367</v>
      </c>
      <c r="H2972" s="1" t="s">
        <v>197</v>
      </c>
      <c r="I2972" s="2" t="s">
        <v>198</v>
      </c>
      <c r="J2972" s="3" t="s">
        <v>11</v>
      </c>
      <c r="K2972" s="38">
        <v>0.54</v>
      </c>
      <c r="L2972" s="39">
        <v>617</v>
      </c>
    </row>
    <row r="2973" spans="1:12" ht="19.95" customHeight="1" x14ac:dyDescent="0.3">
      <c r="A2973" s="6" t="s">
        <v>4438</v>
      </c>
      <c r="B2973" s="7" t="s">
        <v>4348</v>
      </c>
      <c r="C2973" s="6" t="s">
        <v>5771</v>
      </c>
      <c r="D2973" s="7" t="s">
        <v>4605</v>
      </c>
      <c r="E2973" s="6" t="s">
        <v>4835</v>
      </c>
      <c r="F2973" s="7" t="s">
        <v>4368</v>
      </c>
      <c r="G2973" s="7" t="s">
        <v>4367</v>
      </c>
      <c r="H2973" s="5" t="s">
        <v>223</v>
      </c>
      <c r="I2973" s="6" t="s">
        <v>224</v>
      </c>
      <c r="J2973" s="7" t="s">
        <v>11</v>
      </c>
      <c r="K2973" s="36">
        <v>3</v>
      </c>
      <c r="L2973" s="37">
        <v>679</v>
      </c>
    </row>
    <row r="2974" spans="1:12" ht="19.95" customHeight="1" x14ac:dyDescent="0.3">
      <c r="A2974" s="2" t="s">
        <v>4438</v>
      </c>
      <c r="B2974" s="3" t="s">
        <v>4348</v>
      </c>
      <c r="C2974" s="2" t="s">
        <v>5771</v>
      </c>
      <c r="D2974" s="3" t="s">
        <v>4605</v>
      </c>
      <c r="E2974" s="2" t="s">
        <v>4835</v>
      </c>
      <c r="F2974" s="3" t="s">
        <v>4368</v>
      </c>
      <c r="G2974" s="3" t="s">
        <v>4367</v>
      </c>
      <c r="H2974" s="1" t="s">
        <v>209</v>
      </c>
      <c r="I2974" s="2" t="s">
        <v>210</v>
      </c>
      <c r="J2974" s="3" t="s">
        <v>11</v>
      </c>
      <c r="K2974" s="38">
        <v>3</v>
      </c>
      <c r="L2974" s="39">
        <v>558</v>
      </c>
    </row>
    <row r="2975" spans="1:12" ht="19.95" customHeight="1" x14ac:dyDescent="0.3">
      <c r="A2975" s="6" t="s">
        <v>4438</v>
      </c>
      <c r="B2975" s="7" t="s">
        <v>4348</v>
      </c>
      <c r="C2975" s="6" t="s">
        <v>5771</v>
      </c>
      <c r="D2975" s="7" t="s">
        <v>4605</v>
      </c>
      <c r="E2975" s="6" t="s">
        <v>4835</v>
      </c>
      <c r="F2975" s="7" t="s">
        <v>4368</v>
      </c>
      <c r="G2975" s="7" t="s">
        <v>4367</v>
      </c>
      <c r="H2975" s="5" t="s">
        <v>197</v>
      </c>
      <c r="I2975" s="6" t="s">
        <v>198</v>
      </c>
      <c r="J2975" s="7" t="s">
        <v>11</v>
      </c>
      <c r="K2975" s="36">
        <v>1</v>
      </c>
      <c r="L2975" s="37">
        <v>617</v>
      </c>
    </row>
    <row r="2976" spans="1:12" ht="19.95" customHeight="1" x14ac:dyDescent="0.3">
      <c r="A2976" s="2" t="s">
        <v>4438</v>
      </c>
      <c r="B2976" s="3" t="s">
        <v>4348</v>
      </c>
      <c r="C2976" s="2" t="s">
        <v>5771</v>
      </c>
      <c r="D2976" s="3" t="s">
        <v>4605</v>
      </c>
      <c r="E2976" s="2" t="s">
        <v>4835</v>
      </c>
      <c r="F2976" s="3" t="s">
        <v>4368</v>
      </c>
      <c r="G2976" s="3" t="s">
        <v>4367</v>
      </c>
      <c r="H2976" s="1" t="s">
        <v>223</v>
      </c>
      <c r="I2976" s="2" t="s">
        <v>224</v>
      </c>
      <c r="J2976" s="3" t="s">
        <v>11</v>
      </c>
      <c r="K2976" s="38">
        <v>3</v>
      </c>
      <c r="L2976" s="39">
        <v>679</v>
      </c>
    </row>
    <row r="2977" spans="1:12" ht="19.95" customHeight="1" x14ac:dyDescent="0.3">
      <c r="A2977" s="6" t="s">
        <v>4438</v>
      </c>
      <c r="B2977" s="7" t="s">
        <v>4348</v>
      </c>
      <c r="C2977" s="6" t="s">
        <v>5771</v>
      </c>
      <c r="D2977" s="7" t="s">
        <v>4605</v>
      </c>
      <c r="E2977" s="6" t="s">
        <v>4835</v>
      </c>
      <c r="F2977" s="7" t="s">
        <v>4368</v>
      </c>
      <c r="G2977" s="7" t="s">
        <v>4367</v>
      </c>
      <c r="H2977" s="5" t="s">
        <v>209</v>
      </c>
      <c r="I2977" s="6" t="s">
        <v>210</v>
      </c>
      <c r="J2977" s="7" t="s">
        <v>11</v>
      </c>
      <c r="K2977" s="36">
        <v>3</v>
      </c>
      <c r="L2977" s="37">
        <v>558</v>
      </c>
    </row>
    <row r="2978" spans="1:12" ht="19.95" customHeight="1" x14ac:dyDescent="0.3">
      <c r="A2978" s="2" t="s">
        <v>4438</v>
      </c>
      <c r="B2978" s="3" t="s">
        <v>4348</v>
      </c>
      <c r="C2978" s="2" t="s">
        <v>5771</v>
      </c>
      <c r="D2978" s="3" t="s">
        <v>4605</v>
      </c>
      <c r="E2978" s="2" t="s">
        <v>4835</v>
      </c>
      <c r="F2978" s="3" t="s">
        <v>4368</v>
      </c>
      <c r="G2978" s="3" t="s">
        <v>4367</v>
      </c>
      <c r="H2978" s="1" t="s">
        <v>197</v>
      </c>
      <c r="I2978" s="2" t="s">
        <v>198</v>
      </c>
      <c r="J2978" s="3" t="s">
        <v>11</v>
      </c>
      <c r="K2978" s="38">
        <v>1</v>
      </c>
      <c r="L2978" s="39">
        <v>617</v>
      </c>
    </row>
    <row r="2979" spans="1:12" ht="19.95" customHeight="1" x14ac:dyDescent="0.3">
      <c r="A2979" s="6" t="s">
        <v>4438</v>
      </c>
      <c r="B2979" s="7" t="s">
        <v>4348</v>
      </c>
      <c r="C2979" s="6" t="s">
        <v>5771</v>
      </c>
      <c r="D2979" s="7" t="s">
        <v>4605</v>
      </c>
      <c r="E2979" s="6" t="s">
        <v>4835</v>
      </c>
      <c r="F2979" s="7" t="s">
        <v>4368</v>
      </c>
      <c r="G2979" s="7" t="s">
        <v>4367</v>
      </c>
      <c r="H2979" s="5" t="s">
        <v>223</v>
      </c>
      <c r="I2979" s="6" t="s">
        <v>224</v>
      </c>
      <c r="J2979" s="7" t="s">
        <v>11</v>
      </c>
      <c r="K2979" s="36">
        <v>3.25</v>
      </c>
      <c r="L2979" s="37">
        <v>679</v>
      </c>
    </row>
    <row r="2980" spans="1:12" ht="19.95" customHeight="1" x14ac:dyDescent="0.3">
      <c r="A2980" s="2" t="s">
        <v>4438</v>
      </c>
      <c r="B2980" s="3" t="s">
        <v>4348</v>
      </c>
      <c r="C2980" s="2" t="s">
        <v>5771</v>
      </c>
      <c r="D2980" s="3" t="s">
        <v>4605</v>
      </c>
      <c r="E2980" s="2" t="s">
        <v>4835</v>
      </c>
      <c r="F2980" s="3" t="s">
        <v>4368</v>
      </c>
      <c r="G2980" s="3" t="s">
        <v>4367</v>
      </c>
      <c r="H2980" s="1" t="s">
        <v>211</v>
      </c>
      <c r="I2980" s="2" t="s">
        <v>212</v>
      </c>
      <c r="J2980" s="3" t="s">
        <v>11</v>
      </c>
      <c r="K2980" s="38">
        <v>3.25</v>
      </c>
      <c r="L2980" s="39">
        <v>558</v>
      </c>
    </row>
    <row r="2981" spans="1:12" ht="19.95" customHeight="1" x14ac:dyDescent="0.3">
      <c r="A2981" s="6" t="s">
        <v>4438</v>
      </c>
      <c r="B2981" s="7" t="s">
        <v>4348</v>
      </c>
      <c r="C2981" s="6" t="s">
        <v>5771</v>
      </c>
      <c r="D2981" s="7" t="s">
        <v>4605</v>
      </c>
      <c r="E2981" s="6" t="s">
        <v>4835</v>
      </c>
      <c r="F2981" s="7" t="s">
        <v>4368</v>
      </c>
      <c r="G2981" s="7" t="s">
        <v>4367</v>
      </c>
      <c r="H2981" s="5" t="s">
        <v>223</v>
      </c>
      <c r="I2981" s="6" t="s">
        <v>224</v>
      </c>
      <c r="J2981" s="7" t="s">
        <v>11</v>
      </c>
      <c r="K2981" s="36">
        <v>3.25</v>
      </c>
      <c r="L2981" s="37">
        <v>679</v>
      </c>
    </row>
    <row r="2982" spans="1:12" ht="19.95" customHeight="1" x14ac:dyDescent="0.3">
      <c r="A2982" s="2" t="s">
        <v>4438</v>
      </c>
      <c r="B2982" s="3" t="s">
        <v>4348</v>
      </c>
      <c r="C2982" s="2" t="s">
        <v>5771</v>
      </c>
      <c r="D2982" s="3" t="s">
        <v>4605</v>
      </c>
      <c r="E2982" s="2" t="s">
        <v>4835</v>
      </c>
      <c r="F2982" s="3" t="s">
        <v>4368</v>
      </c>
      <c r="G2982" s="3" t="s">
        <v>4367</v>
      </c>
      <c r="H2982" s="1" t="s">
        <v>211</v>
      </c>
      <c r="I2982" s="2" t="s">
        <v>212</v>
      </c>
      <c r="J2982" s="3" t="s">
        <v>11</v>
      </c>
      <c r="K2982" s="38">
        <v>3.25</v>
      </c>
      <c r="L2982" s="39">
        <v>558</v>
      </c>
    </row>
    <row r="2983" spans="1:12" ht="19.95" customHeight="1" x14ac:dyDescent="0.3">
      <c r="A2983" s="6" t="s">
        <v>4438</v>
      </c>
      <c r="B2983" s="7" t="s">
        <v>4348</v>
      </c>
      <c r="C2983" s="6" t="s">
        <v>5771</v>
      </c>
      <c r="D2983" s="7" t="s">
        <v>4605</v>
      </c>
      <c r="E2983" s="6" t="s">
        <v>4835</v>
      </c>
      <c r="F2983" s="7" t="s">
        <v>4368</v>
      </c>
      <c r="G2983" s="7" t="s">
        <v>4367</v>
      </c>
      <c r="H2983" s="5" t="s">
        <v>223</v>
      </c>
      <c r="I2983" s="6" t="s">
        <v>224</v>
      </c>
      <c r="J2983" s="7" t="s">
        <v>11</v>
      </c>
      <c r="K2983" s="36">
        <v>3.25</v>
      </c>
      <c r="L2983" s="37">
        <v>679</v>
      </c>
    </row>
    <row r="2984" spans="1:12" ht="19.95" customHeight="1" x14ac:dyDescent="0.3">
      <c r="A2984" s="2" t="s">
        <v>4438</v>
      </c>
      <c r="B2984" s="3" t="s">
        <v>4348</v>
      </c>
      <c r="C2984" s="2" t="s">
        <v>5771</v>
      </c>
      <c r="D2984" s="3" t="s">
        <v>4605</v>
      </c>
      <c r="E2984" s="2" t="s">
        <v>4835</v>
      </c>
      <c r="F2984" s="3" t="s">
        <v>4368</v>
      </c>
      <c r="G2984" s="3" t="s">
        <v>4367</v>
      </c>
      <c r="H2984" s="1" t="s">
        <v>211</v>
      </c>
      <c r="I2984" s="2" t="s">
        <v>212</v>
      </c>
      <c r="J2984" s="3" t="s">
        <v>11</v>
      </c>
      <c r="K2984" s="38">
        <v>3.25</v>
      </c>
      <c r="L2984" s="39">
        <v>558</v>
      </c>
    </row>
    <row r="2985" spans="1:12" ht="19.95" customHeight="1" x14ac:dyDescent="0.3">
      <c r="A2985" s="6" t="s">
        <v>4438</v>
      </c>
      <c r="B2985" s="7" t="s">
        <v>4348</v>
      </c>
      <c r="C2985" s="6" t="s">
        <v>5771</v>
      </c>
      <c r="D2985" s="7" t="s">
        <v>4605</v>
      </c>
      <c r="E2985" s="6" t="s">
        <v>4835</v>
      </c>
      <c r="F2985" s="7" t="s">
        <v>4368</v>
      </c>
      <c r="G2985" s="7" t="s">
        <v>4367</v>
      </c>
      <c r="H2985" s="5" t="s">
        <v>223</v>
      </c>
      <c r="I2985" s="6" t="s">
        <v>224</v>
      </c>
      <c r="J2985" s="7" t="s">
        <v>11</v>
      </c>
      <c r="K2985" s="36">
        <v>3.25</v>
      </c>
      <c r="L2985" s="37">
        <v>679</v>
      </c>
    </row>
    <row r="2986" spans="1:12" ht="19.95" customHeight="1" x14ac:dyDescent="0.3">
      <c r="A2986" s="2" t="s">
        <v>4438</v>
      </c>
      <c r="B2986" s="3" t="s">
        <v>4348</v>
      </c>
      <c r="C2986" s="2" t="s">
        <v>5771</v>
      </c>
      <c r="D2986" s="3" t="s">
        <v>4605</v>
      </c>
      <c r="E2986" s="2" t="s">
        <v>4835</v>
      </c>
      <c r="F2986" s="3" t="s">
        <v>4368</v>
      </c>
      <c r="G2986" s="3" t="s">
        <v>4367</v>
      </c>
      <c r="H2986" s="1" t="s">
        <v>211</v>
      </c>
      <c r="I2986" s="2" t="s">
        <v>212</v>
      </c>
      <c r="J2986" s="3" t="s">
        <v>11</v>
      </c>
      <c r="K2986" s="38">
        <v>3.25</v>
      </c>
      <c r="L2986" s="39">
        <v>558</v>
      </c>
    </row>
    <row r="2987" spans="1:12" ht="19.95" customHeight="1" x14ac:dyDescent="0.3">
      <c r="A2987" s="6" t="s">
        <v>4438</v>
      </c>
      <c r="B2987" s="7" t="s">
        <v>4348</v>
      </c>
      <c r="C2987" s="6" t="s">
        <v>5771</v>
      </c>
      <c r="D2987" s="7" t="s">
        <v>4605</v>
      </c>
      <c r="E2987" s="6" t="s">
        <v>4835</v>
      </c>
      <c r="F2987" s="7" t="s">
        <v>4368</v>
      </c>
      <c r="G2987" s="7" t="s">
        <v>4367</v>
      </c>
      <c r="H2987" s="5" t="s">
        <v>221</v>
      </c>
      <c r="I2987" s="6" t="s">
        <v>222</v>
      </c>
      <c r="J2987" s="7" t="s">
        <v>11</v>
      </c>
      <c r="K2987" s="36">
        <v>0.25</v>
      </c>
      <c r="L2987" s="37">
        <v>738</v>
      </c>
    </row>
    <row r="2988" spans="1:12" ht="19.95" customHeight="1" x14ac:dyDescent="0.3">
      <c r="A2988" s="2" t="s">
        <v>4438</v>
      </c>
      <c r="B2988" s="3" t="s">
        <v>4348</v>
      </c>
      <c r="C2988" s="2" t="s">
        <v>5771</v>
      </c>
      <c r="D2988" s="3" t="s">
        <v>4605</v>
      </c>
      <c r="E2988" s="2" t="s">
        <v>4835</v>
      </c>
      <c r="F2988" s="3" t="s">
        <v>4368</v>
      </c>
      <c r="G2988" s="3" t="s">
        <v>4367</v>
      </c>
      <c r="H2988" s="1" t="s">
        <v>211</v>
      </c>
      <c r="I2988" s="2" t="s">
        <v>212</v>
      </c>
      <c r="J2988" s="3" t="s">
        <v>11</v>
      </c>
      <c r="K2988" s="38">
        <v>0.25</v>
      </c>
      <c r="L2988" s="39">
        <v>558</v>
      </c>
    </row>
    <row r="2989" spans="1:12" ht="19.95" customHeight="1" x14ac:dyDescent="0.3">
      <c r="A2989" s="6" t="s">
        <v>4438</v>
      </c>
      <c r="B2989" s="7" t="s">
        <v>4348</v>
      </c>
      <c r="C2989" s="6" t="s">
        <v>5771</v>
      </c>
      <c r="D2989" s="7" t="s">
        <v>4605</v>
      </c>
      <c r="E2989" s="6" t="s">
        <v>4835</v>
      </c>
      <c r="F2989" s="7" t="s">
        <v>4368</v>
      </c>
      <c r="G2989" s="7" t="s">
        <v>4367</v>
      </c>
      <c r="H2989" s="5" t="s">
        <v>223</v>
      </c>
      <c r="I2989" s="6" t="s">
        <v>224</v>
      </c>
      <c r="J2989" s="7" t="s">
        <v>11</v>
      </c>
      <c r="K2989" s="36">
        <v>3</v>
      </c>
      <c r="L2989" s="37">
        <v>679</v>
      </c>
    </row>
    <row r="2990" spans="1:12" ht="19.95" customHeight="1" x14ac:dyDescent="0.3">
      <c r="A2990" s="2" t="s">
        <v>4438</v>
      </c>
      <c r="B2990" s="3" t="s">
        <v>4348</v>
      </c>
      <c r="C2990" s="2" t="s">
        <v>5771</v>
      </c>
      <c r="D2990" s="3" t="s">
        <v>4605</v>
      </c>
      <c r="E2990" s="2" t="s">
        <v>4835</v>
      </c>
      <c r="F2990" s="3" t="s">
        <v>4368</v>
      </c>
      <c r="G2990" s="3" t="s">
        <v>4367</v>
      </c>
      <c r="H2990" s="1" t="s">
        <v>209</v>
      </c>
      <c r="I2990" s="2" t="s">
        <v>210</v>
      </c>
      <c r="J2990" s="3" t="s">
        <v>11</v>
      </c>
      <c r="K2990" s="38">
        <v>3</v>
      </c>
      <c r="L2990" s="39">
        <v>558</v>
      </c>
    </row>
    <row r="2991" spans="1:12" ht="19.95" customHeight="1" x14ac:dyDescent="0.3">
      <c r="A2991" s="6" t="s">
        <v>4438</v>
      </c>
      <c r="B2991" s="7" t="s">
        <v>4348</v>
      </c>
      <c r="C2991" s="6" t="s">
        <v>5771</v>
      </c>
      <c r="D2991" s="7" t="s">
        <v>4605</v>
      </c>
      <c r="E2991" s="6" t="s">
        <v>4835</v>
      </c>
      <c r="F2991" s="7" t="s">
        <v>4368</v>
      </c>
      <c r="G2991" s="7" t="s">
        <v>4367</v>
      </c>
      <c r="H2991" s="5" t="s">
        <v>211</v>
      </c>
      <c r="I2991" s="6" t="s">
        <v>212</v>
      </c>
      <c r="J2991" s="7" t="s">
        <v>11</v>
      </c>
      <c r="K2991" s="36">
        <v>1</v>
      </c>
      <c r="L2991" s="37">
        <v>558</v>
      </c>
    </row>
    <row r="2992" spans="1:12" ht="19.95" customHeight="1" x14ac:dyDescent="0.3">
      <c r="A2992" s="2" t="s">
        <v>4438</v>
      </c>
      <c r="B2992" s="3" t="s">
        <v>4348</v>
      </c>
      <c r="C2992" s="2" t="s">
        <v>5771</v>
      </c>
      <c r="D2992" s="3" t="s">
        <v>4605</v>
      </c>
      <c r="E2992" s="2" t="s">
        <v>5852</v>
      </c>
      <c r="F2992" s="3" t="s">
        <v>4368</v>
      </c>
      <c r="G2992" s="3" t="s">
        <v>4367</v>
      </c>
      <c r="H2992" s="1" t="s">
        <v>221</v>
      </c>
      <c r="I2992" s="2" t="s">
        <v>5853</v>
      </c>
      <c r="J2992" s="3" t="s">
        <v>11</v>
      </c>
      <c r="K2992" s="38">
        <v>0.25</v>
      </c>
      <c r="L2992" s="39">
        <v>738</v>
      </c>
    </row>
    <row r="2993" spans="1:12" ht="19.95" customHeight="1" x14ac:dyDescent="0.3">
      <c r="A2993" s="6" t="s">
        <v>4438</v>
      </c>
      <c r="B2993" s="7" t="s">
        <v>4348</v>
      </c>
      <c r="C2993" s="6" t="s">
        <v>5771</v>
      </c>
      <c r="D2993" s="7" t="s">
        <v>4605</v>
      </c>
      <c r="E2993" s="6" t="s">
        <v>5852</v>
      </c>
      <c r="F2993" s="7" t="s">
        <v>4368</v>
      </c>
      <c r="G2993" s="7" t="s">
        <v>4367</v>
      </c>
      <c r="H2993" s="5" t="s">
        <v>211</v>
      </c>
      <c r="I2993" s="6" t="s">
        <v>212</v>
      </c>
      <c r="J2993" s="7" t="s">
        <v>11</v>
      </c>
      <c r="K2993" s="36">
        <v>0.25</v>
      </c>
      <c r="L2993" s="37">
        <v>558</v>
      </c>
    </row>
    <row r="2994" spans="1:12" ht="19.95" customHeight="1" x14ac:dyDescent="0.3">
      <c r="A2994" s="2" t="s">
        <v>4438</v>
      </c>
      <c r="B2994" s="3" t="s">
        <v>4348</v>
      </c>
      <c r="C2994" s="2" t="s">
        <v>5771</v>
      </c>
      <c r="D2994" s="3" t="s">
        <v>4605</v>
      </c>
      <c r="E2994" s="2" t="s">
        <v>5854</v>
      </c>
      <c r="F2994" s="3" t="s">
        <v>4368</v>
      </c>
      <c r="G2994" s="3" t="s">
        <v>4367</v>
      </c>
      <c r="H2994" s="1" t="s">
        <v>221</v>
      </c>
      <c r="I2994" s="2" t="s">
        <v>222</v>
      </c>
      <c r="J2994" s="3" t="s">
        <v>11</v>
      </c>
      <c r="K2994" s="38">
        <v>0.25</v>
      </c>
      <c r="L2994" s="39">
        <v>738</v>
      </c>
    </row>
    <row r="2995" spans="1:12" ht="19.95" customHeight="1" x14ac:dyDescent="0.3">
      <c r="A2995" s="6" t="s">
        <v>4438</v>
      </c>
      <c r="B2995" s="7" t="s">
        <v>4348</v>
      </c>
      <c r="C2995" s="6" t="s">
        <v>5771</v>
      </c>
      <c r="D2995" s="7" t="s">
        <v>4605</v>
      </c>
      <c r="E2995" s="6" t="s">
        <v>5854</v>
      </c>
      <c r="F2995" s="7" t="s">
        <v>4368</v>
      </c>
      <c r="G2995" s="7" t="s">
        <v>4367</v>
      </c>
      <c r="H2995" s="5" t="s">
        <v>211</v>
      </c>
      <c r="I2995" s="6" t="s">
        <v>212</v>
      </c>
      <c r="J2995" s="7" t="s">
        <v>11</v>
      </c>
      <c r="K2995" s="36">
        <v>0.25</v>
      </c>
      <c r="L2995" s="37">
        <v>558</v>
      </c>
    </row>
    <row r="2996" spans="1:12" ht="19.95" customHeight="1" x14ac:dyDescent="0.3">
      <c r="A2996" s="2" t="s">
        <v>4438</v>
      </c>
      <c r="B2996" s="3" t="s">
        <v>4348</v>
      </c>
      <c r="C2996" s="2" t="s">
        <v>5771</v>
      </c>
      <c r="D2996" s="3" t="s">
        <v>4605</v>
      </c>
      <c r="E2996" s="2" t="s">
        <v>5854</v>
      </c>
      <c r="F2996" s="3" t="s">
        <v>4368</v>
      </c>
      <c r="G2996" s="3" t="s">
        <v>4367</v>
      </c>
      <c r="H2996" s="1" t="s">
        <v>221</v>
      </c>
      <c r="I2996" s="2" t="s">
        <v>222</v>
      </c>
      <c r="J2996" s="3" t="s">
        <v>11</v>
      </c>
      <c r="K2996" s="38">
        <v>0.25</v>
      </c>
      <c r="L2996" s="39">
        <v>738</v>
      </c>
    </row>
    <row r="2997" spans="1:12" ht="19.95" customHeight="1" x14ac:dyDescent="0.3">
      <c r="A2997" s="6" t="s">
        <v>4438</v>
      </c>
      <c r="B2997" s="7" t="s">
        <v>4348</v>
      </c>
      <c r="C2997" s="6" t="s">
        <v>5771</v>
      </c>
      <c r="D2997" s="7" t="s">
        <v>4605</v>
      </c>
      <c r="E2997" s="6" t="s">
        <v>5854</v>
      </c>
      <c r="F2997" s="7" t="s">
        <v>4368</v>
      </c>
      <c r="G2997" s="7" t="s">
        <v>4367</v>
      </c>
      <c r="H2997" s="5" t="s">
        <v>211</v>
      </c>
      <c r="I2997" s="6" t="s">
        <v>212</v>
      </c>
      <c r="J2997" s="7" t="s">
        <v>11</v>
      </c>
      <c r="K2997" s="36">
        <v>0.25</v>
      </c>
      <c r="L2997" s="37">
        <v>558</v>
      </c>
    </row>
    <row r="2998" spans="1:12" ht="19.95" customHeight="1" x14ac:dyDescent="0.3">
      <c r="A2998" s="2" t="s">
        <v>4438</v>
      </c>
      <c r="B2998" s="3" t="s">
        <v>4348</v>
      </c>
      <c r="C2998" s="2" t="s">
        <v>5771</v>
      </c>
      <c r="D2998" s="3" t="s">
        <v>4605</v>
      </c>
      <c r="E2998" s="2" t="s">
        <v>5854</v>
      </c>
      <c r="F2998" s="3" t="s">
        <v>4368</v>
      </c>
      <c r="G2998" s="3" t="s">
        <v>4367</v>
      </c>
      <c r="H2998" s="1" t="s">
        <v>221</v>
      </c>
      <c r="I2998" s="2" t="s">
        <v>222</v>
      </c>
      <c r="J2998" s="3" t="s">
        <v>11</v>
      </c>
      <c r="K2998" s="38">
        <v>0.25</v>
      </c>
      <c r="L2998" s="39">
        <v>738</v>
      </c>
    </row>
    <row r="2999" spans="1:12" ht="19.95" customHeight="1" x14ac:dyDescent="0.3">
      <c r="A2999" s="6" t="s">
        <v>4438</v>
      </c>
      <c r="B2999" s="7" t="s">
        <v>4348</v>
      </c>
      <c r="C2999" s="6" t="s">
        <v>5771</v>
      </c>
      <c r="D2999" s="7" t="s">
        <v>4605</v>
      </c>
      <c r="E2999" s="6" t="s">
        <v>5854</v>
      </c>
      <c r="F2999" s="7" t="s">
        <v>4368</v>
      </c>
      <c r="G2999" s="7" t="s">
        <v>4367</v>
      </c>
      <c r="H2999" s="5" t="s">
        <v>211</v>
      </c>
      <c r="I2999" s="6" t="s">
        <v>212</v>
      </c>
      <c r="J2999" s="7" t="s">
        <v>11</v>
      </c>
      <c r="K2999" s="36">
        <v>0.25</v>
      </c>
      <c r="L2999" s="37">
        <v>558</v>
      </c>
    </row>
    <row r="3000" spans="1:12" ht="19.95" customHeight="1" x14ac:dyDescent="0.3">
      <c r="A3000" s="2" t="s">
        <v>4438</v>
      </c>
      <c r="B3000" s="3" t="s">
        <v>4348</v>
      </c>
      <c r="C3000" s="2" t="s">
        <v>5771</v>
      </c>
      <c r="D3000" s="3" t="s">
        <v>4605</v>
      </c>
      <c r="E3000" s="2" t="s">
        <v>4932</v>
      </c>
      <c r="F3000" s="3" t="s">
        <v>4368</v>
      </c>
      <c r="G3000" s="3" t="s">
        <v>4367</v>
      </c>
      <c r="H3000" s="1" t="s">
        <v>221</v>
      </c>
      <c r="I3000" s="2" t="s">
        <v>222</v>
      </c>
      <c r="J3000" s="3" t="s">
        <v>11</v>
      </c>
      <c r="K3000" s="38">
        <v>0.25</v>
      </c>
      <c r="L3000" s="39">
        <v>738</v>
      </c>
    </row>
    <row r="3001" spans="1:12" ht="19.95" customHeight="1" x14ac:dyDescent="0.3">
      <c r="A3001" s="6" t="s">
        <v>4438</v>
      </c>
      <c r="B3001" s="7" t="s">
        <v>4348</v>
      </c>
      <c r="C3001" s="6" t="s">
        <v>5771</v>
      </c>
      <c r="D3001" s="7" t="s">
        <v>4605</v>
      </c>
      <c r="E3001" s="6" t="s">
        <v>4932</v>
      </c>
      <c r="F3001" s="7" t="s">
        <v>4368</v>
      </c>
      <c r="G3001" s="7" t="s">
        <v>4367</v>
      </c>
      <c r="H3001" s="5" t="s">
        <v>211</v>
      </c>
      <c r="I3001" s="6" t="s">
        <v>212</v>
      </c>
      <c r="J3001" s="7" t="s">
        <v>11</v>
      </c>
      <c r="K3001" s="36">
        <v>0.25</v>
      </c>
      <c r="L3001" s="37">
        <v>558</v>
      </c>
    </row>
    <row r="3002" spans="1:12" ht="19.95" customHeight="1" x14ac:dyDescent="0.3">
      <c r="A3002" s="2" t="s">
        <v>4438</v>
      </c>
      <c r="B3002" s="3" t="s">
        <v>4348</v>
      </c>
      <c r="C3002" s="2" t="s">
        <v>5771</v>
      </c>
      <c r="D3002" s="3" t="s">
        <v>4605</v>
      </c>
      <c r="E3002" s="2" t="s">
        <v>5855</v>
      </c>
      <c r="F3002" s="3" t="s">
        <v>4368</v>
      </c>
      <c r="G3002" s="3" t="s">
        <v>4367</v>
      </c>
      <c r="H3002" s="1" t="s">
        <v>221</v>
      </c>
      <c r="I3002" s="2" t="s">
        <v>5856</v>
      </c>
      <c r="J3002" s="3" t="s">
        <v>189</v>
      </c>
      <c r="K3002" s="38">
        <v>0.25</v>
      </c>
      <c r="L3002" s="39">
        <v>738</v>
      </c>
    </row>
    <row r="3003" spans="1:12" ht="19.95" customHeight="1" x14ac:dyDescent="0.3">
      <c r="A3003" s="6" t="s">
        <v>4438</v>
      </c>
      <c r="B3003" s="7" t="s">
        <v>4348</v>
      </c>
      <c r="C3003" s="6" t="s">
        <v>5771</v>
      </c>
      <c r="D3003" s="7" t="s">
        <v>4605</v>
      </c>
      <c r="E3003" s="6" t="s">
        <v>5855</v>
      </c>
      <c r="F3003" s="7" t="s">
        <v>4368</v>
      </c>
      <c r="G3003" s="7" t="s">
        <v>4367</v>
      </c>
      <c r="H3003" s="5" t="s">
        <v>211</v>
      </c>
      <c r="I3003" s="6" t="s">
        <v>212</v>
      </c>
      <c r="J3003" s="7" t="s">
        <v>189</v>
      </c>
      <c r="K3003" s="36">
        <v>0.25</v>
      </c>
      <c r="L3003" s="37">
        <v>558</v>
      </c>
    </row>
    <row r="3004" spans="1:12" ht="19.95" customHeight="1" x14ac:dyDescent="0.3">
      <c r="A3004" s="2" t="s">
        <v>4438</v>
      </c>
      <c r="B3004" s="3" t="s">
        <v>4348</v>
      </c>
      <c r="C3004" s="2" t="s">
        <v>5771</v>
      </c>
      <c r="D3004" s="3" t="s">
        <v>4607</v>
      </c>
      <c r="E3004" s="2" t="s">
        <v>4838</v>
      </c>
      <c r="F3004" s="3" t="s">
        <v>4368</v>
      </c>
      <c r="G3004" s="3" t="s">
        <v>4367</v>
      </c>
      <c r="H3004" s="1" t="s">
        <v>223</v>
      </c>
      <c r="I3004" s="2" t="s">
        <v>224</v>
      </c>
      <c r="J3004" s="3" t="s">
        <v>11</v>
      </c>
      <c r="K3004" s="38">
        <v>1.08</v>
      </c>
      <c r="L3004" s="39">
        <v>679</v>
      </c>
    </row>
    <row r="3005" spans="1:12" ht="19.95" customHeight="1" x14ac:dyDescent="0.3">
      <c r="A3005" s="6" t="s">
        <v>4438</v>
      </c>
      <c r="B3005" s="7" t="s">
        <v>4348</v>
      </c>
      <c r="C3005" s="6" t="s">
        <v>5771</v>
      </c>
      <c r="D3005" s="7" t="s">
        <v>4607</v>
      </c>
      <c r="E3005" s="6" t="s">
        <v>4838</v>
      </c>
      <c r="F3005" s="7" t="s">
        <v>4368</v>
      </c>
      <c r="G3005" s="7" t="s">
        <v>4367</v>
      </c>
      <c r="H3005" s="5" t="s">
        <v>209</v>
      </c>
      <c r="I3005" s="6" t="s">
        <v>210</v>
      </c>
      <c r="J3005" s="7" t="s">
        <v>11</v>
      </c>
      <c r="K3005" s="36">
        <v>0.25</v>
      </c>
      <c r="L3005" s="37">
        <v>558</v>
      </c>
    </row>
    <row r="3006" spans="1:12" ht="19.95" customHeight="1" x14ac:dyDescent="0.3">
      <c r="A3006" s="2" t="s">
        <v>4438</v>
      </c>
      <c r="B3006" s="3" t="s">
        <v>4348</v>
      </c>
      <c r="C3006" s="2" t="s">
        <v>5771</v>
      </c>
      <c r="D3006" s="3" t="s">
        <v>4607</v>
      </c>
      <c r="E3006" s="2" t="s">
        <v>4838</v>
      </c>
      <c r="F3006" s="3" t="s">
        <v>4368</v>
      </c>
      <c r="G3006" s="3" t="s">
        <v>4367</v>
      </c>
      <c r="H3006" s="1" t="s">
        <v>211</v>
      </c>
      <c r="I3006" s="2" t="s">
        <v>212</v>
      </c>
      <c r="J3006" s="3" t="s">
        <v>11</v>
      </c>
      <c r="K3006" s="38">
        <v>1.62</v>
      </c>
      <c r="L3006" s="39">
        <v>558</v>
      </c>
    </row>
    <row r="3007" spans="1:12" ht="19.95" customHeight="1" x14ac:dyDescent="0.3">
      <c r="A3007" s="6" t="s">
        <v>4438</v>
      </c>
      <c r="B3007" s="7" t="s">
        <v>4348</v>
      </c>
      <c r="C3007" s="6" t="s">
        <v>5771</v>
      </c>
      <c r="D3007" s="7" t="s">
        <v>4607</v>
      </c>
      <c r="E3007" s="6" t="s">
        <v>4838</v>
      </c>
      <c r="F3007" s="7" t="s">
        <v>4368</v>
      </c>
      <c r="G3007" s="7" t="s">
        <v>4367</v>
      </c>
      <c r="H3007" s="5" t="s">
        <v>197</v>
      </c>
      <c r="I3007" s="6" t="s">
        <v>198</v>
      </c>
      <c r="J3007" s="7" t="s">
        <v>11</v>
      </c>
      <c r="K3007" s="36">
        <v>0.27</v>
      </c>
      <c r="L3007" s="37">
        <v>617</v>
      </c>
    </row>
    <row r="3008" spans="1:12" ht="19.95" customHeight="1" x14ac:dyDescent="0.3">
      <c r="A3008" s="2" t="s">
        <v>4438</v>
      </c>
      <c r="B3008" s="3" t="s">
        <v>4348</v>
      </c>
      <c r="C3008" s="2" t="s">
        <v>5771</v>
      </c>
      <c r="D3008" s="3" t="s">
        <v>4607</v>
      </c>
      <c r="E3008" s="2" t="s">
        <v>4838</v>
      </c>
      <c r="F3008" s="3" t="s">
        <v>4368</v>
      </c>
      <c r="G3008" s="3" t="s">
        <v>4367</v>
      </c>
      <c r="H3008" s="1" t="s">
        <v>223</v>
      </c>
      <c r="I3008" s="2" t="s">
        <v>224</v>
      </c>
      <c r="J3008" s="3" t="s">
        <v>11</v>
      </c>
      <c r="K3008" s="38">
        <v>1.6</v>
      </c>
      <c r="L3008" s="39">
        <v>679</v>
      </c>
    </row>
    <row r="3009" spans="1:12" ht="19.95" customHeight="1" x14ac:dyDescent="0.3">
      <c r="A3009" s="6" t="s">
        <v>4438</v>
      </c>
      <c r="B3009" s="7" t="s">
        <v>4348</v>
      </c>
      <c r="C3009" s="6" t="s">
        <v>5771</v>
      </c>
      <c r="D3009" s="7" t="s">
        <v>4607</v>
      </c>
      <c r="E3009" s="6" t="s">
        <v>4838</v>
      </c>
      <c r="F3009" s="7" t="s">
        <v>4368</v>
      </c>
      <c r="G3009" s="7" t="s">
        <v>4367</v>
      </c>
      <c r="H3009" s="5" t="s">
        <v>211</v>
      </c>
      <c r="I3009" s="6" t="s">
        <v>212</v>
      </c>
      <c r="J3009" s="7" t="s">
        <v>11</v>
      </c>
      <c r="K3009" s="36">
        <v>2</v>
      </c>
      <c r="L3009" s="37">
        <v>558</v>
      </c>
    </row>
    <row r="3010" spans="1:12" ht="19.95" customHeight="1" x14ac:dyDescent="0.3">
      <c r="A3010" s="2" t="s">
        <v>4438</v>
      </c>
      <c r="B3010" s="3" t="s">
        <v>4348</v>
      </c>
      <c r="C3010" s="2" t="s">
        <v>5771</v>
      </c>
      <c r="D3010" s="3" t="s">
        <v>4607</v>
      </c>
      <c r="E3010" s="2" t="s">
        <v>4838</v>
      </c>
      <c r="F3010" s="3" t="s">
        <v>4368</v>
      </c>
      <c r="G3010" s="3" t="s">
        <v>4367</v>
      </c>
      <c r="H3010" s="1" t="s">
        <v>197</v>
      </c>
      <c r="I3010" s="2" t="s">
        <v>198</v>
      </c>
      <c r="J3010" s="3" t="s">
        <v>11</v>
      </c>
      <c r="K3010" s="38">
        <v>1</v>
      </c>
      <c r="L3010" s="39">
        <v>617</v>
      </c>
    </row>
    <row r="3011" spans="1:12" ht="19.95" customHeight="1" x14ac:dyDescent="0.3">
      <c r="A3011" s="6" t="s">
        <v>4438</v>
      </c>
      <c r="B3011" s="7" t="s">
        <v>4348</v>
      </c>
      <c r="C3011" s="6" t="s">
        <v>5771</v>
      </c>
      <c r="D3011" s="7" t="s">
        <v>4607</v>
      </c>
      <c r="E3011" s="6" t="s">
        <v>4838</v>
      </c>
      <c r="F3011" s="7" t="s">
        <v>4368</v>
      </c>
      <c r="G3011" s="7" t="s">
        <v>4367</v>
      </c>
      <c r="H3011" s="5" t="s">
        <v>223</v>
      </c>
      <c r="I3011" s="6" t="s">
        <v>224</v>
      </c>
      <c r="J3011" s="7" t="s">
        <v>11</v>
      </c>
      <c r="K3011" s="36">
        <v>1.6</v>
      </c>
      <c r="L3011" s="37">
        <v>679</v>
      </c>
    </row>
    <row r="3012" spans="1:12" ht="19.95" customHeight="1" x14ac:dyDescent="0.3">
      <c r="A3012" s="2" t="s">
        <v>4438</v>
      </c>
      <c r="B3012" s="3" t="s">
        <v>4348</v>
      </c>
      <c r="C3012" s="2" t="s">
        <v>5771</v>
      </c>
      <c r="D3012" s="3" t="s">
        <v>4607</v>
      </c>
      <c r="E3012" s="2" t="s">
        <v>4838</v>
      </c>
      <c r="F3012" s="3" t="s">
        <v>4368</v>
      </c>
      <c r="G3012" s="3" t="s">
        <v>4367</v>
      </c>
      <c r="H3012" s="1" t="s">
        <v>211</v>
      </c>
      <c r="I3012" s="2" t="s">
        <v>212</v>
      </c>
      <c r="J3012" s="3" t="s">
        <v>11</v>
      </c>
      <c r="K3012" s="38">
        <v>2</v>
      </c>
      <c r="L3012" s="39">
        <v>558</v>
      </c>
    </row>
    <row r="3013" spans="1:12" ht="19.95" customHeight="1" x14ac:dyDescent="0.3">
      <c r="A3013" s="6" t="s">
        <v>4438</v>
      </c>
      <c r="B3013" s="7" t="s">
        <v>4348</v>
      </c>
      <c r="C3013" s="6" t="s">
        <v>5771</v>
      </c>
      <c r="D3013" s="7" t="s">
        <v>4607</v>
      </c>
      <c r="E3013" s="6" t="s">
        <v>4838</v>
      </c>
      <c r="F3013" s="7" t="s">
        <v>4368</v>
      </c>
      <c r="G3013" s="7" t="s">
        <v>4367</v>
      </c>
      <c r="H3013" s="5" t="s">
        <v>197</v>
      </c>
      <c r="I3013" s="6" t="s">
        <v>198</v>
      </c>
      <c r="J3013" s="7" t="s">
        <v>11</v>
      </c>
      <c r="K3013" s="36">
        <v>1</v>
      </c>
      <c r="L3013" s="37">
        <v>617</v>
      </c>
    </row>
    <row r="3014" spans="1:12" ht="19.95" customHeight="1" x14ac:dyDescent="0.3">
      <c r="A3014" s="2" t="s">
        <v>4438</v>
      </c>
      <c r="B3014" s="3" t="s">
        <v>4348</v>
      </c>
      <c r="C3014" s="2" t="s">
        <v>5771</v>
      </c>
      <c r="D3014" s="3" t="s">
        <v>4607</v>
      </c>
      <c r="E3014" s="2" t="s">
        <v>4838</v>
      </c>
      <c r="F3014" s="3" t="s">
        <v>4368</v>
      </c>
      <c r="G3014" s="3" t="s">
        <v>4367</v>
      </c>
      <c r="H3014" s="1" t="s">
        <v>223</v>
      </c>
      <c r="I3014" s="2" t="s">
        <v>224</v>
      </c>
      <c r="J3014" s="3" t="s">
        <v>11</v>
      </c>
      <c r="K3014" s="38">
        <v>1.6</v>
      </c>
      <c r="L3014" s="39">
        <v>679</v>
      </c>
    </row>
    <row r="3015" spans="1:12" ht="19.95" customHeight="1" x14ac:dyDescent="0.3">
      <c r="A3015" s="6" t="s">
        <v>4438</v>
      </c>
      <c r="B3015" s="7" t="s">
        <v>4348</v>
      </c>
      <c r="C3015" s="6" t="s">
        <v>5771</v>
      </c>
      <c r="D3015" s="7" t="s">
        <v>4607</v>
      </c>
      <c r="E3015" s="6" t="s">
        <v>4838</v>
      </c>
      <c r="F3015" s="7" t="s">
        <v>4368</v>
      </c>
      <c r="G3015" s="7" t="s">
        <v>4367</v>
      </c>
      <c r="H3015" s="5" t="s">
        <v>211</v>
      </c>
      <c r="I3015" s="6" t="s">
        <v>212</v>
      </c>
      <c r="J3015" s="7" t="s">
        <v>11</v>
      </c>
      <c r="K3015" s="36">
        <v>2</v>
      </c>
      <c r="L3015" s="37">
        <v>558</v>
      </c>
    </row>
    <row r="3016" spans="1:12" ht="19.95" customHeight="1" x14ac:dyDescent="0.3">
      <c r="A3016" s="2" t="s">
        <v>4438</v>
      </c>
      <c r="B3016" s="3" t="s">
        <v>4348</v>
      </c>
      <c r="C3016" s="2" t="s">
        <v>5771</v>
      </c>
      <c r="D3016" s="3" t="s">
        <v>4607</v>
      </c>
      <c r="E3016" s="2" t="s">
        <v>4838</v>
      </c>
      <c r="F3016" s="3" t="s">
        <v>4368</v>
      </c>
      <c r="G3016" s="3" t="s">
        <v>4367</v>
      </c>
      <c r="H3016" s="1" t="s">
        <v>197</v>
      </c>
      <c r="I3016" s="2" t="s">
        <v>198</v>
      </c>
      <c r="J3016" s="3" t="s">
        <v>11</v>
      </c>
      <c r="K3016" s="38">
        <v>1</v>
      </c>
      <c r="L3016" s="39">
        <v>617</v>
      </c>
    </row>
    <row r="3017" spans="1:12" ht="19.95" customHeight="1" x14ac:dyDescent="0.3">
      <c r="A3017" s="6" t="s">
        <v>4438</v>
      </c>
      <c r="B3017" s="7" t="s">
        <v>4348</v>
      </c>
      <c r="C3017" s="6" t="s">
        <v>5771</v>
      </c>
      <c r="D3017" s="7" t="s">
        <v>4607</v>
      </c>
      <c r="E3017" s="6" t="s">
        <v>4838</v>
      </c>
      <c r="F3017" s="7" t="s">
        <v>4368</v>
      </c>
      <c r="G3017" s="7" t="s">
        <v>4367</v>
      </c>
      <c r="H3017" s="5" t="s">
        <v>223</v>
      </c>
      <c r="I3017" s="6" t="s">
        <v>224</v>
      </c>
      <c r="J3017" s="7" t="s">
        <v>11</v>
      </c>
      <c r="K3017" s="36">
        <v>1.6</v>
      </c>
      <c r="L3017" s="37">
        <v>679</v>
      </c>
    </row>
    <row r="3018" spans="1:12" ht="19.95" customHeight="1" x14ac:dyDescent="0.3">
      <c r="A3018" s="2" t="s">
        <v>4438</v>
      </c>
      <c r="B3018" s="3" t="s">
        <v>4348</v>
      </c>
      <c r="C3018" s="2" t="s">
        <v>5771</v>
      </c>
      <c r="D3018" s="3" t="s">
        <v>4607</v>
      </c>
      <c r="E3018" s="2" t="s">
        <v>4838</v>
      </c>
      <c r="F3018" s="3" t="s">
        <v>4368</v>
      </c>
      <c r="G3018" s="3" t="s">
        <v>4367</v>
      </c>
      <c r="H3018" s="1" t="s">
        <v>211</v>
      </c>
      <c r="I3018" s="2" t="s">
        <v>212</v>
      </c>
      <c r="J3018" s="3" t="s">
        <v>11</v>
      </c>
      <c r="K3018" s="38">
        <v>2</v>
      </c>
      <c r="L3018" s="39">
        <v>558</v>
      </c>
    </row>
    <row r="3019" spans="1:12" ht="19.95" customHeight="1" x14ac:dyDescent="0.3">
      <c r="A3019" s="6" t="s">
        <v>4438</v>
      </c>
      <c r="B3019" s="7" t="s">
        <v>4348</v>
      </c>
      <c r="C3019" s="6" t="s">
        <v>5771</v>
      </c>
      <c r="D3019" s="7" t="s">
        <v>4607</v>
      </c>
      <c r="E3019" s="6" t="s">
        <v>4838</v>
      </c>
      <c r="F3019" s="7" t="s">
        <v>4368</v>
      </c>
      <c r="G3019" s="7" t="s">
        <v>4367</v>
      </c>
      <c r="H3019" s="5" t="s">
        <v>197</v>
      </c>
      <c r="I3019" s="6" t="s">
        <v>198</v>
      </c>
      <c r="J3019" s="7" t="s">
        <v>11</v>
      </c>
      <c r="K3019" s="36">
        <v>1</v>
      </c>
      <c r="L3019" s="37">
        <v>617</v>
      </c>
    </row>
    <row r="3020" spans="1:12" ht="19.95" customHeight="1" x14ac:dyDescent="0.3">
      <c r="A3020" s="2" t="s">
        <v>4438</v>
      </c>
      <c r="B3020" s="3" t="s">
        <v>4348</v>
      </c>
      <c r="C3020" s="2" t="s">
        <v>5771</v>
      </c>
      <c r="D3020" s="3" t="s">
        <v>4607</v>
      </c>
      <c r="E3020" s="2" t="s">
        <v>4838</v>
      </c>
      <c r="F3020" s="3" t="s">
        <v>4368</v>
      </c>
      <c r="G3020" s="3" t="s">
        <v>4367</v>
      </c>
      <c r="H3020" s="1" t="s">
        <v>223</v>
      </c>
      <c r="I3020" s="2" t="s">
        <v>224</v>
      </c>
      <c r="J3020" s="3" t="s">
        <v>11</v>
      </c>
      <c r="K3020" s="38">
        <v>1.6</v>
      </c>
      <c r="L3020" s="39">
        <v>679</v>
      </c>
    </row>
    <row r="3021" spans="1:12" ht="19.95" customHeight="1" x14ac:dyDescent="0.3">
      <c r="A3021" s="6" t="s">
        <v>4438</v>
      </c>
      <c r="B3021" s="7" t="s">
        <v>4348</v>
      </c>
      <c r="C3021" s="6" t="s">
        <v>5771</v>
      </c>
      <c r="D3021" s="7" t="s">
        <v>4607</v>
      </c>
      <c r="E3021" s="6" t="s">
        <v>4838</v>
      </c>
      <c r="F3021" s="7" t="s">
        <v>4368</v>
      </c>
      <c r="G3021" s="7" t="s">
        <v>4367</v>
      </c>
      <c r="H3021" s="5" t="s">
        <v>211</v>
      </c>
      <c r="I3021" s="6" t="s">
        <v>212</v>
      </c>
      <c r="J3021" s="7" t="s">
        <v>11</v>
      </c>
      <c r="K3021" s="36">
        <v>2</v>
      </c>
      <c r="L3021" s="37">
        <v>558</v>
      </c>
    </row>
    <row r="3022" spans="1:12" ht="19.95" customHeight="1" x14ac:dyDescent="0.3">
      <c r="A3022" s="2" t="s">
        <v>4438</v>
      </c>
      <c r="B3022" s="3" t="s">
        <v>4348</v>
      </c>
      <c r="C3022" s="2" t="s">
        <v>5771</v>
      </c>
      <c r="D3022" s="3" t="s">
        <v>4607</v>
      </c>
      <c r="E3022" s="2" t="s">
        <v>4838</v>
      </c>
      <c r="F3022" s="3" t="s">
        <v>4368</v>
      </c>
      <c r="G3022" s="3" t="s">
        <v>4367</v>
      </c>
      <c r="H3022" s="1" t="s">
        <v>197</v>
      </c>
      <c r="I3022" s="2" t="s">
        <v>198</v>
      </c>
      <c r="J3022" s="3" t="s">
        <v>11</v>
      </c>
      <c r="K3022" s="38">
        <v>1</v>
      </c>
      <c r="L3022" s="39">
        <v>617</v>
      </c>
    </row>
    <row r="3023" spans="1:12" ht="19.95" customHeight="1" x14ac:dyDescent="0.3">
      <c r="A3023" s="6" t="s">
        <v>4438</v>
      </c>
      <c r="B3023" s="7" t="s">
        <v>4348</v>
      </c>
      <c r="C3023" s="6" t="s">
        <v>5771</v>
      </c>
      <c r="D3023" s="7" t="s">
        <v>4607</v>
      </c>
      <c r="E3023" s="6" t="s">
        <v>4838</v>
      </c>
      <c r="F3023" s="7" t="s">
        <v>4368</v>
      </c>
      <c r="G3023" s="7" t="s">
        <v>4367</v>
      </c>
      <c r="H3023" s="5" t="s">
        <v>223</v>
      </c>
      <c r="I3023" s="6" t="s">
        <v>224</v>
      </c>
      <c r="J3023" s="7" t="s">
        <v>11</v>
      </c>
      <c r="K3023" s="36">
        <v>1.6</v>
      </c>
      <c r="L3023" s="37">
        <v>679</v>
      </c>
    </row>
    <row r="3024" spans="1:12" ht="19.95" customHeight="1" x14ac:dyDescent="0.3">
      <c r="A3024" s="2" t="s">
        <v>4438</v>
      </c>
      <c r="B3024" s="3" t="s">
        <v>4348</v>
      </c>
      <c r="C3024" s="2" t="s">
        <v>5771</v>
      </c>
      <c r="D3024" s="3" t="s">
        <v>4607</v>
      </c>
      <c r="E3024" s="2" t="s">
        <v>4838</v>
      </c>
      <c r="F3024" s="3" t="s">
        <v>4368</v>
      </c>
      <c r="G3024" s="3" t="s">
        <v>4367</v>
      </c>
      <c r="H3024" s="1" t="s">
        <v>211</v>
      </c>
      <c r="I3024" s="2" t="s">
        <v>212</v>
      </c>
      <c r="J3024" s="3" t="s">
        <v>11</v>
      </c>
      <c r="K3024" s="38">
        <v>2</v>
      </c>
      <c r="L3024" s="39">
        <v>558</v>
      </c>
    </row>
    <row r="3025" spans="1:12" ht="19.95" customHeight="1" x14ac:dyDescent="0.3">
      <c r="A3025" s="6" t="s">
        <v>4438</v>
      </c>
      <c r="B3025" s="7" t="s">
        <v>4348</v>
      </c>
      <c r="C3025" s="6" t="s">
        <v>5771</v>
      </c>
      <c r="D3025" s="7" t="s">
        <v>4607</v>
      </c>
      <c r="E3025" s="6" t="s">
        <v>4838</v>
      </c>
      <c r="F3025" s="7" t="s">
        <v>4368</v>
      </c>
      <c r="G3025" s="7" t="s">
        <v>4367</v>
      </c>
      <c r="H3025" s="5" t="s">
        <v>197</v>
      </c>
      <c r="I3025" s="6" t="s">
        <v>198</v>
      </c>
      <c r="J3025" s="7" t="s">
        <v>11</v>
      </c>
      <c r="K3025" s="36">
        <v>1</v>
      </c>
      <c r="L3025" s="37">
        <v>617</v>
      </c>
    </row>
    <row r="3026" spans="1:12" ht="19.95" customHeight="1" x14ac:dyDescent="0.3">
      <c r="A3026" s="2" t="s">
        <v>4438</v>
      </c>
      <c r="B3026" s="3" t="s">
        <v>4348</v>
      </c>
      <c r="C3026" s="2" t="s">
        <v>5771</v>
      </c>
      <c r="D3026" s="3" t="s">
        <v>4607</v>
      </c>
      <c r="E3026" s="2" t="s">
        <v>4838</v>
      </c>
      <c r="F3026" s="3" t="s">
        <v>4368</v>
      </c>
      <c r="G3026" s="3" t="s">
        <v>4367</v>
      </c>
      <c r="H3026" s="1" t="s">
        <v>223</v>
      </c>
      <c r="I3026" s="2" t="s">
        <v>224</v>
      </c>
      <c r="J3026" s="3" t="s">
        <v>11</v>
      </c>
      <c r="K3026" s="38">
        <v>1.6</v>
      </c>
      <c r="L3026" s="39">
        <v>679</v>
      </c>
    </row>
    <row r="3027" spans="1:12" ht="19.95" customHeight="1" x14ac:dyDescent="0.3">
      <c r="A3027" s="6" t="s">
        <v>4438</v>
      </c>
      <c r="B3027" s="7" t="s">
        <v>4348</v>
      </c>
      <c r="C3027" s="6" t="s">
        <v>5771</v>
      </c>
      <c r="D3027" s="7" t="s">
        <v>4607</v>
      </c>
      <c r="E3027" s="6" t="s">
        <v>4838</v>
      </c>
      <c r="F3027" s="7" t="s">
        <v>4368</v>
      </c>
      <c r="G3027" s="7" t="s">
        <v>4367</v>
      </c>
      <c r="H3027" s="5" t="s">
        <v>211</v>
      </c>
      <c r="I3027" s="6" t="s">
        <v>212</v>
      </c>
      <c r="J3027" s="7" t="s">
        <v>11</v>
      </c>
      <c r="K3027" s="36">
        <v>2</v>
      </c>
      <c r="L3027" s="37">
        <v>558</v>
      </c>
    </row>
    <row r="3028" spans="1:12" ht="19.95" customHeight="1" x14ac:dyDescent="0.3">
      <c r="A3028" s="2" t="s">
        <v>4438</v>
      </c>
      <c r="B3028" s="3" t="s">
        <v>4348</v>
      </c>
      <c r="C3028" s="2" t="s">
        <v>5771</v>
      </c>
      <c r="D3028" s="3" t="s">
        <v>4607</v>
      </c>
      <c r="E3028" s="2" t="s">
        <v>4838</v>
      </c>
      <c r="F3028" s="3" t="s">
        <v>4368</v>
      </c>
      <c r="G3028" s="3" t="s">
        <v>4367</v>
      </c>
      <c r="H3028" s="1" t="s">
        <v>197</v>
      </c>
      <c r="I3028" s="2" t="s">
        <v>198</v>
      </c>
      <c r="J3028" s="3" t="s">
        <v>11</v>
      </c>
      <c r="K3028" s="38">
        <v>1</v>
      </c>
      <c r="L3028" s="39">
        <v>617</v>
      </c>
    </row>
    <row r="3029" spans="1:12" ht="19.95" customHeight="1" x14ac:dyDescent="0.3">
      <c r="A3029" s="6" t="s">
        <v>4438</v>
      </c>
      <c r="B3029" s="7" t="s">
        <v>4348</v>
      </c>
      <c r="C3029" s="6" t="s">
        <v>5771</v>
      </c>
      <c r="D3029" s="7" t="s">
        <v>4607</v>
      </c>
      <c r="E3029" s="6" t="s">
        <v>4838</v>
      </c>
      <c r="F3029" s="7" t="s">
        <v>4368</v>
      </c>
      <c r="G3029" s="7" t="s">
        <v>4367</v>
      </c>
      <c r="H3029" s="5" t="s">
        <v>223</v>
      </c>
      <c r="I3029" s="6" t="s">
        <v>224</v>
      </c>
      <c r="J3029" s="7" t="s">
        <v>11</v>
      </c>
      <c r="K3029" s="36">
        <v>1.6</v>
      </c>
      <c r="L3029" s="37">
        <v>679</v>
      </c>
    </row>
    <row r="3030" spans="1:12" ht="19.95" customHeight="1" x14ac:dyDescent="0.3">
      <c r="A3030" s="2" t="s">
        <v>4438</v>
      </c>
      <c r="B3030" s="3" t="s">
        <v>4348</v>
      </c>
      <c r="C3030" s="2" t="s">
        <v>5771</v>
      </c>
      <c r="D3030" s="3" t="s">
        <v>4607</v>
      </c>
      <c r="E3030" s="2" t="s">
        <v>4838</v>
      </c>
      <c r="F3030" s="3" t="s">
        <v>4368</v>
      </c>
      <c r="G3030" s="3" t="s">
        <v>4367</v>
      </c>
      <c r="H3030" s="1" t="s">
        <v>211</v>
      </c>
      <c r="I3030" s="2" t="s">
        <v>212</v>
      </c>
      <c r="J3030" s="3" t="s">
        <v>11</v>
      </c>
      <c r="K3030" s="38">
        <v>2</v>
      </c>
      <c r="L3030" s="39">
        <v>558</v>
      </c>
    </row>
    <row r="3031" spans="1:12" ht="19.95" customHeight="1" x14ac:dyDescent="0.3">
      <c r="A3031" s="6" t="s">
        <v>4438</v>
      </c>
      <c r="B3031" s="7" t="s">
        <v>4348</v>
      </c>
      <c r="C3031" s="6" t="s">
        <v>5771</v>
      </c>
      <c r="D3031" s="7" t="s">
        <v>4607</v>
      </c>
      <c r="E3031" s="6" t="s">
        <v>4838</v>
      </c>
      <c r="F3031" s="7" t="s">
        <v>4368</v>
      </c>
      <c r="G3031" s="7" t="s">
        <v>4367</v>
      </c>
      <c r="H3031" s="5" t="s">
        <v>197</v>
      </c>
      <c r="I3031" s="6" t="s">
        <v>198</v>
      </c>
      <c r="J3031" s="7" t="s">
        <v>11</v>
      </c>
      <c r="K3031" s="36">
        <v>1</v>
      </c>
      <c r="L3031" s="37">
        <v>617</v>
      </c>
    </row>
    <row r="3032" spans="1:12" ht="19.95" customHeight="1" x14ac:dyDescent="0.3">
      <c r="A3032" s="2" t="s">
        <v>4438</v>
      </c>
      <c r="B3032" s="3" t="s">
        <v>4348</v>
      </c>
      <c r="C3032" s="2" t="s">
        <v>5771</v>
      </c>
      <c r="D3032" s="3" t="s">
        <v>4607</v>
      </c>
      <c r="E3032" s="2" t="s">
        <v>4838</v>
      </c>
      <c r="F3032" s="3" t="s">
        <v>4368</v>
      </c>
      <c r="G3032" s="3" t="s">
        <v>4367</v>
      </c>
      <c r="H3032" s="1" t="s">
        <v>223</v>
      </c>
      <c r="I3032" s="2" t="s">
        <v>224</v>
      </c>
      <c r="J3032" s="3" t="s">
        <v>11</v>
      </c>
      <c r="K3032" s="38">
        <v>1.6</v>
      </c>
      <c r="L3032" s="39">
        <v>679</v>
      </c>
    </row>
    <row r="3033" spans="1:12" ht="19.95" customHeight="1" x14ac:dyDescent="0.3">
      <c r="A3033" s="6" t="s">
        <v>4438</v>
      </c>
      <c r="B3033" s="7" t="s">
        <v>4348</v>
      </c>
      <c r="C3033" s="6" t="s">
        <v>5771</v>
      </c>
      <c r="D3033" s="7" t="s">
        <v>4607</v>
      </c>
      <c r="E3033" s="6" t="s">
        <v>4838</v>
      </c>
      <c r="F3033" s="7" t="s">
        <v>4368</v>
      </c>
      <c r="G3033" s="7" t="s">
        <v>4367</v>
      </c>
      <c r="H3033" s="5" t="s">
        <v>211</v>
      </c>
      <c r="I3033" s="6" t="s">
        <v>212</v>
      </c>
      <c r="J3033" s="7" t="s">
        <v>11</v>
      </c>
      <c r="K3033" s="36">
        <v>2</v>
      </c>
      <c r="L3033" s="37">
        <v>558</v>
      </c>
    </row>
    <row r="3034" spans="1:12" ht="19.95" customHeight="1" x14ac:dyDescent="0.3">
      <c r="A3034" s="2" t="s">
        <v>4438</v>
      </c>
      <c r="B3034" s="3" t="s">
        <v>4348</v>
      </c>
      <c r="C3034" s="2" t="s">
        <v>5771</v>
      </c>
      <c r="D3034" s="3" t="s">
        <v>4607</v>
      </c>
      <c r="E3034" s="2" t="s">
        <v>4838</v>
      </c>
      <c r="F3034" s="3" t="s">
        <v>4368</v>
      </c>
      <c r="G3034" s="3" t="s">
        <v>4367</v>
      </c>
      <c r="H3034" s="1" t="s">
        <v>197</v>
      </c>
      <c r="I3034" s="2" t="s">
        <v>198</v>
      </c>
      <c r="J3034" s="3" t="s">
        <v>11</v>
      </c>
      <c r="K3034" s="38">
        <v>1</v>
      </c>
      <c r="L3034" s="39">
        <v>617</v>
      </c>
    </row>
    <row r="3035" spans="1:12" ht="19.95" customHeight="1" x14ac:dyDescent="0.3">
      <c r="A3035" s="6" t="s">
        <v>4438</v>
      </c>
      <c r="B3035" s="7" t="s">
        <v>4348</v>
      </c>
      <c r="C3035" s="6" t="s">
        <v>5771</v>
      </c>
      <c r="D3035" s="7" t="s">
        <v>4607</v>
      </c>
      <c r="E3035" s="6" t="s">
        <v>4838</v>
      </c>
      <c r="F3035" s="7" t="s">
        <v>4368</v>
      </c>
      <c r="G3035" s="7" t="s">
        <v>4367</v>
      </c>
      <c r="H3035" s="5" t="s">
        <v>223</v>
      </c>
      <c r="I3035" s="6" t="s">
        <v>224</v>
      </c>
      <c r="J3035" s="7" t="s">
        <v>11</v>
      </c>
      <c r="K3035" s="36">
        <v>1.6</v>
      </c>
      <c r="L3035" s="37">
        <v>679</v>
      </c>
    </row>
    <row r="3036" spans="1:12" ht="19.95" customHeight="1" x14ac:dyDescent="0.3">
      <c r="A3036" s="2" t="s">
        <v>4438</v>
      </c>
      <c r="B3036" s="3" t="s">
        <v>4348</v>
      </c>
      <c r="C3036" s="2" t="s">
        <v>5771</v>
      </c>
      <c r="D3036" s="3" t="s">
        <v>4607</v>
      </c>
      <c r="E3036" s="2" t="s">
        <v>4838</v>
      </c>
      <c r="F3036" s="3" t="s">
        <v>4368</v>
      </c>
      <c r="G3036" s="3" t="s">
        <v>4367</v>
      </c>
      <c r="H3036" s="1" t="s">
        <v>211</v>
      </c>
      <c r="I3036" s="2" t="s">
        <v>212</v>
      </c>
      <c r="J3036" s="3" t="s">
        <v>11</v>
      </c>
      <c r="K3036" s="38">
        <v>2</v>
      </c>
      <c r="L3036" s="39">
        <v>558</v>
      </c>
    </row>
    <row r="3037" spans="1:12" ht="19.95" customHeight="1" x14ac:dyDescent="0.3">
      <c r="A3037" s="6" t="s">
        <v>4438</v>
      </c>
      <c r="B3037" s="7" t="s">
        <v>4348</v>
      </c>
      <c r="C3037" s="6" t="s">
        <v>5771</v>
      </c>
      <c r="D3037" s="7" t="s">
        <v>4607</v>
      </c>
      <c r="E3037" s="6" t="s">
        <v>4838</v>
      </c>
      <c r="F3037" s="7" t="s">
        <v>4368</v>
      </c>
      <c r="G3037" s="7" t="s">
        <v>4367</v>
      </c>
      <c r="H3037" s="5" t="s">
        <v>197</v>
      </c>
      <c r="I3037" s="6" t="s">
        <v>198</v>
      </c>
      <c r="J3037" s="7" t="s">
        <v>11</v>
      </c>
      <c r="K3037" s="36">
        <v>1</v>
      </c>
      <c r="L3037" s="37">
        <v>617</v>
      </c>
    </row>
    <row r="3038" spans="1:12" ht="19.95" customHeight="1" x14ac:dyDescent="0.3">
      <c r="A3038" s="2" t="s">
        <v>4438</v>
      </c>
      <c r="B3038" s="3" t="s">
        <v>4348</v>
      </c>
      <c r="C3038" s="2" t="s">
        <v>5771</v>
      </c>
      <c r="D3038" s="3" t="s">
        <v>4607</v>
      </c>
      <c r="E3038" s="2" t="s">
        <v>4838</v>
      </c>
      <c r="F3038" s="3" t="s">
        <v>4368</v>
      </c>
      <c r="G3038" s="3" t="s">
        <v>4367</v>
      </c>
      <c r="H3038" s="1" t="s">
        <v>223</v>
      </c>
      <c r="I3038" s="2" t="s">
        <v>224</v>
      </c>
      <c r="J3038" s="3" t="s">
        <v>11</v>
      </c>
      <c r="K3038" s="38">
        <v>1.6</v>
      </c>
      <c r="L3038" s="39">
        <v>679</v>
      </c>
    </row>
    <row r="3039" spans="1:12" ht="19.95" customHeight="1" x14ac:dyDescent="0.3">
      <c r="A3039" s="6" t="s">
        <v>4438</v>
      </c>
      <c r="B3039" s="7" t="s">
        <v>4348</v>
      </c>
      <c r="C3039" s="6" t="s">
        <v>5771</v>
      </c>
      <c r="D3039" s="7" t="s">
        <v>4607</v>
      </c>
      <c r="E3039" s="6" t="s">
        <v>4838</v>
      </c>
      <c r="F3039" s="7" t="s">
        <v>4368</v>
      </c>
      <c r="G3039" s="7" t="s">
        <v>4367</v>
      </c>
      <c r="H3039" s="5" t="s">
        <v>211</v>
      </c>
      <c r="I3039" s="6" t="s">
        <v>212</v>
      </c>
      <c r="J3039" s="7" t="s">
        <v>11</v>
      </c>
      <c r="K3039" s="36">
        <v>2</v>
      </c>
      <c r="L3039" s="37">
        <v>558</v>
      </c>
    </row>
    <row r="3040" spans="1:12" ht="19.95" customHeight="1" x14ac:dyDescent="0.3">
      <c r="A3040" s="2" t="s">
        <v>4438</v>
      </c>
      <c r="B3040" s="3" t="s">
        <v>4348</v>
      </c>
      <c r="C3040" s="2" t="s">
        <v>5771</v>
      </c>
      <c r="D3040" s="3" t="s">
        <v>4607</v>
      </c>
      <c r="E3040" s="2" t="s">
        <v>4838</v>
      </c>
      <c r="F3040" s="3" t="s">
        <v>4368</v>
      </c>
      <c r="G3040" s="3" t="s">
        <v>4367</v>
      </c>
      <c r="H3040" s="1" t="s">
        <v>197</v>
      </c>
      <c r="I3040" s="2" t="s">
        <v>198</v>
      </c>
      <c r="J3040" s="3" t="s">
        <v>11</v>
      </c>
      <c r="K3040" s="38">
        <v>1</v>
      </c>
      <c r="L3040" s="39">
        <v>617</v>
      </c>
    </row>
    <row r="3041" spans="1:12" ht="19.95" customHeight="1" x14ac:dyDescent="0.3">
      <c r="A3041" s="6" t="s">
        <v>4438</v>
      </c>
      <c r="B3041" s="7" t="s">
        <v>4348</v>
      </c>
      <c r="C3041" s="6" t="s">
        <v>5771</v>
      </c>
      <c r="D3041" s="7" t="s">
        <v>4607</v>
      </c>
      <c r="E3041" s="6" t="s">
        <v>4838</v>
      </c>
      <c r="F3041" s="7" t="s">
        <v>4368</v>
      </c>
      <c r="G3041" s="7" t="s">
        <v>4367</v>
      </c>
      <c r="H3041" s="5" t="s">
        <v>223</v>
      </c>
      <c r="I3041" s="6" t="s">
        <v>224</v>
      </c>
      <c r="J3041" s="7" t="s">
        <v>11</v>
      </c>
      <c r="K3041" s="36">
        <v>1.6</v>
      </c>
      <c r="L3041" s="37">
        <v>679</v>
      </c>
    </row>
    <row r="3042" spans="1:12" ht="19.95" customHeight="1" x14ac:dyDescent="0.3">
      <c r="A3042" s="2" t="s">
        <v>4438</v>
      </c>
      <c r="B3042" s="3" t="s">
        <v>4348</v>
      </c>
      <c r="C3042" s="2" t="s">
        <v>5771</v>
      </c>
      <c r="D3042" s="3" t="s">
        <v>4607</v>
      </c>
      <c r="E3042" s="2" t="s">
        <v>4838</v>
      </c>
      <c r="F3042" s="3" t="s">
        <v>4368</v>
      </c>
      <c r="G3042" s="3" t="s">
        <v>4367</v>
      </c>
      <c r="H3042" s="1" t="s">
        <v>211</v>
      </c>
      <c r="I3042" s="2" t="s">
        <v>212</v>
      </c>
      <c r="J3042" s="3" t="s">
        <v>11</v>
      </c>
      <c r="K3042" s="38">
        <v>2</v>
      </c>
      <c r="L3042" s="39">
        <v>558</v>
      </c>
    </row>
    <row r="3043" spans="1:12" ht="19.95" customHeight="1" x14ac:dyDescent="0.3">
      <c r="A3043" s="6" t="s">
        <v>4438</v>
      </c>
      <c r="B3043" s="7" t="s">
        <v>4348</v>
      </c>
      <c r="C3043" s="6" t="s">
        <v>5771</v>
      </c>
      <c r="D3043" s="7" t="s">
        <v>4607</v>
      </c>
      <c r="E3043" s="6" t="s">
        <v>4838</v>
      </c>
      <c r="F3043" s="7" t="s">
        <v>4368</v>
      </c>
      <c r="G3043" s="7" t="s">
        <v>4367</v>
      </c>
      <c r="H3043" s="5" t="s">
        <v>197</v>
      </c>
      <c r="I3043" s="6" t="s">
        <v>198</v>
      </c>
      <c r="J3043" s="7" t="s">
        <v>11</v>
      </c>
      <c r="K3043" s="36">
        <v>1</v>
      </c>
      <c r="L3043" s="37">
        <v>617</v>
      </c>
    </row>
    <row r="3044" spans="1:12" ht="19.95" customHeight="1" x14ac:dyDescent="0.3">
      <c r="A3044" s="2" t="s">
        <v>4438</v>
      </c>
      <c r="B3044" s="3" t="s">
        <v>4348</v>
      </c>
      <c r="C3044" s="2" t="s">
        <v>5771</v>
      </c>
      <c r="D3044" s="3" t="s">
        <v>4607</v>
      </c>
      <c r="E3044" s="2" t="s">
        <v>4838</v>
      </c>
      <c r="F3044" s="3" t="s">
        <v>4368</v>
      </c>
      <c r="G3044" s="3" t="s">
        <v>4367</v>
      </c>
      <c r="H3044" s="1" t="s">
        <v>221</v>
      </c>
      <c r="I3044" s="2" t="s">
        <v>222</v>
      </c>
      <c r="J3044" s="3" t="s">
        <v>11</v>
      </c>
      <c r="K3044" s="38">
        <v>0.2</v>
      </c>
      <c r="L3044" s="39">
        <v>738</v>
      </c>
    </row>
    <row r="3045" spans="1:12" ht="19.95" customHeight="1" x14ac:dyDescent="0.3">
      <c r="A3045" s="6" t="s">
        <v>4438</v>
      </c>
      <c r="B3045" s="7" t="s">
        <v>4348</v>
      </c>
      <c r="C3045" s="6" t="s">
        <v>5771</v>
      </c>
      <c r="D3045" s="7" t="s">
        <v>4607</v>
      </c>
      <c r="E3045" s="6" t="s">
        <v>4838</v>
      </c>
      <c r="F3045" s="7" t="s">
        <v>4368</v>
      </c>
      <c r="G3045" s="7" t="s">
        <v>4367</v>
      </c>
      <c r="H3045" s="5" t="s">
        <v>211</v>
      </c>
      <c r="I3045" s="6" t="s">
        <v>212</v>
      </c>
      <c r="J3045" s="7" t="s">
        <v>11</v>
      </c>
      <c r="K3045" s="36">
        <v>0.2</v>
      </c>
      <c r="L3045" s="37">
        <v>558</v>
      </c>
    </row>
    <row r="3046" spans="1:12" ht="19.95" customHeight="1" x14ac:dyDescent="0.3">
      <c r="A3046" s="2" t="s">
        <v>4438</v>
      </c>
      <c r="B3046" s="3" t="s">
        <v>4348</v>
      </c>
      <c r="C3046" s="2" t="s">
        <v>5771</v>
      </c>
      <c r="D3046" s="3" t="s">
        <v>4607</v>
      </c>
      <c r="E3046" s="2" t="s">
        <v>4838</v>
      </c>
      <c r="F3046" s="3" t="s">
        <v>4368</v>
      </c>
      <c r="G3046" s="3" t="s">
        <v>4367</v>
      </c>
      <c r="H3046" s="1" t="s">
        <v>221</v>
      </c>
      <c r="I3046" s="2" t="s">
        <v>222</v>
      </c>
      <c r="J3046" s="3" t="s">
        <v>11</v>
      </c>
      <c r="K3046" s="38">
        <v>0.25</v>
      </c>
      <c r="L3046" s="39">
        <v>738</v>
      </c>
    </row>
    <row r="3047" spans="1:12" ht="19.95" customHeight="1" x14ac:dyDescent="0.3">
      <c r="A3047" s="6" t="s">
        <v>4438</v>
      </c>
      <c r="B3047" s="7" t="s">
        <v>4348</v>
      </c>
      <c r="C3047" s="6" t="s">
        <v>5771</v>
      </c>
      <c r="D3047" s="7" t="s">
        <v>4607</v>
      </c>
      <c r="E3047" s="6" t="s">
        <v>4838</v>
      </c>
      <c r="F3047" s="7" t="s">
        <v>4368</v>
      </c>
      <c r="G3047" s="7" t="s">
        <v>4367</v>
      </c>
      <c r="H3047" s="5" t="s">
        <v>211</v>
      </c>
      <c r="I3047" s="6" t="s">
        <v>212</v>
      </c>
      <c r="J3047" s="7" t="s">
        <v>11</v>
      </c>
      <c r="K3047" s="36">
        <v>0.25</v>
      </c>
      <c r="L3047" s="37">
        <v>558</v>
      </c>
    </row>
    <row r="3048" spans="1:12" ht="19.95" customHeight="1" x14ac:dyDescent="0.3">
      <c r="A3048" s="2" t="s">
        <v>4438</v>
      </c>
      <c r="B3048" s="3" t="s">
        <v>4348</v>
      </c>
      <c r="C3048" s="2" t="s">
        <v>5771</v>
      </c>
      <c r="D3048" s="3" t="s">
        <v>4607</v>
      </c>
      <c r="E3048" s="2" t="s">
        <v>4838</v>
      </c>
      <c r="F3048" s="3" t="s">
        <v>4368</v>
      </c>
      <c r="G3048" s="3" t="s">
        <v>4367</v>
      </c>
      <c r="H3048" s="1" t="s">
        <v>221</v>
      </c>
      <c r="I3048" s="2" t="s">
        <v>222</v>
      </c>
      <c r="J3048" s="3" t="s">
        <v>11</v>
      </c>
      <c r="K3048" s="38">
        <v>1.2</v>
      </c>
      <c r="L3048" s="39">
        <v>738</v>
      </c>
    </row>
    <row r="3049" spans="1:12" ht="19.95" customHeight="1" x14ac:dyDescent="0.3">
      <c r="A3049" s="6" t="s">
        <v>4438</v>
      </c>
      <c r="B3049" s="7" t="s">
        <v>4348</v>
      </c>
      <c r="C3049" s="6" t="s">
        <v>5771</v>
      </c>
      <c r="D3049" s="7" t="s">
        <v>4607</v>
      </c>
      <c r="E3049" s="6" t="s">
        <v>4838</v>
      </c>
      <c r="F3049" s="7" t="s">
        <v>4368</v>
      </c>
      <c r="G3049" s="7" t="s">
        <v>4367</v>
      </c>
      <c r="H3049" s="5" t="s">
        <v>209</v>
      </c>
      <c r="I3049" s="6" t="s">
        <v>210</v>
      </c>
      <c r="J3049" s="7" t="s">
        <v>11</v>
      </c>
      <c r="K3049" s="36">
        <v>1</v>
      </c>
      <c r="L3049" s="37">
        <v>558</v>
      </c>
    </row>
    <row r="3050" spans="1:12" ht="19.95" customHeight="1" x14ac:dyDescent="0.3">
      <c r="A3050" s="2" t="s">
        <v>4438</v>
      </c>
      <c r="B3050" s="3" t="s">
        <v>4348</v>
      </c>
      <c r="C3050" s="2" t="s">
        <v>5771</v>
      </c>
      <c r="D3050" s="3" t="s">
        <v>4607</v>
      </c>
      <c r="E3050" s="2" t="s">
        <v>4838</v>
      </c>
      <c r="F3050" s="3" t="s">
        <v>4368</v>
      </c>
      <c r="G3050" s="3" t="s">
        <v>4367</v>
      </c>
      <c r="H3050" s="1" t="s">
        <v>211</v>
      </c>
      <c r="I3050" s="2" t="s">
        <v>212</v>
      </c>
      <c r="J3050" s="3" t="s">
        <v>11</v>
      </c>
      <c r="K3050" s="38">
        <v>1</v>
      </c>
      <c r="L3050" s="39">
        <v>558</v>
      </c>
    </row>
    <row r="3051" spans="1:12" ht="19.95" customHeight="1" x14ac:dyDescent="0.3">
      <c r="A3051" s="6" t="s">
        <v>4438</v>
      </c>
      <c r="B3051" s="7" t="s">
        <v>4348</v>
      </c>
      <c r="C3051" s="6" t="s">
        <v>5771</v>
      </c>
      <c r="D3051" s="7" t="s">
        <v>4607</v>
      </c>
      <c r="E3051" s="6" t="s">
        <v>4838</v>
      </c>
      <c r="F3051" s="7" t="s">
        <v>4368</v>
      </c>
      <c r="G3051" s="7" t="s">
        <v>4367</v>
      </c>
      <c r="H3051" s="5" t="s">
        <v>221</v>
      </c>
      <c r="I3051" s="6" t="s">
        <v>222</v>
      </c>
      <c r="J3051" s="7" t="s">
        <v>11</v>
      </c>
      <c r="K3051" s="36">
        <v>1.2</v>
      </c>
      <c r="L3051" s="37">
        <v>738</v>
      </c>
    </row>
    <row r="3052" spans="1:12" ht="19.95" customHeight="1" x14ac:dyDescent="0.3">
      <c r="A3052" s="2" t="s">
        <v>4438</v>
      </c>
      <c r="B3052" s="3" t="s">
        <v>4348</v>
      </c>
      <c r="C3052" s="2" t="s">
        <v>5771</v>
      </c>
      <c r="D3052" s="3" t="s">
        <v>4607</v>
      </c>
      <c r="E3052" s="2" t="s">
        <v>4838</v>
      </c>
      <c r="F3052" s="3" t="s">
        <v>4368</v>
      </c>
      <c r="G3052" s="3" t="s">
        <v>4367</v>
      </c>
      <c r="H3052" s="1" t="s">
        <v>209</v>
      </c>
      <c r="I3052" s="2" t="s">
        <v>210</v>
      </c>
      <c r="J3052" s="3" t="s">
        <v>11</v>
      </c>
      <c r="K3052" s="38">
        <v>1</v>
      </c>
      <c r="L3052" s="39">
        <v>558</v>
      </c>
    </row>
    <row r="3053" spans="1:12" ht="19.95" customHeight="1" x14ac:dyDescent="0.3">
      <c r="A3053" s="6" t="s">
        <v>4438</v>
      </c>
      <c r="B3053" s="7" t="s">
        <v>4348</v>
      </c>
      <c r="C3053" s="6" t="s">
        <v>5771</v>
      </c>
      <c r="D3053" s="7" t="s">
        <v>4607</v>
      </c>
      <c r="E3053" s="6" t="s">
        <v>4838</v>
      </c>
      <c r="F3053" s="7" t="s">
        <v>4368</v>
      </c>
      <c r="G3053" s="7" t="s">
        <v>4367</v>
      </c>
      <c r="H3053" s="5" t="s">
        <v>211</v>
      </c>
      <c r="I3053" s="6" t="s">
        <v>212</v>
      </c>
      <c r="J3053" s="7" t="s">
        <v>11</v>
      </c>
      <c r="K3053" s="36">
        <v>1</v>
      </c>
      <c r="L3053" s="37">
        <v>558</v>
      </c>
    </row>
    <row r="3054" spans="1:12" ht="19.95" customHeight="1" x14ac:dyDescent="0.3">
      <c r="A3054" s="2" t="s">
        <v>4438</v>
      </c>
      <c r="B3054" s="3" t="s">
        <v>4348</v>
      </c>
      <c r="C3054" s="2" t="s">
        <v>5771</v>
      </c>
      <c r="D3054" s="3" t="s">
        <v>4607</v>
      </c>
      <c r="E3054" s="2" t="s">
        <v>4838</v>
      </c>
      <c r="F3054" s="3" t="s">
        <v>4368</v>
      </c>
      <c r="G3054" s="3" t="s">
        <v>4367</v>
      </c>
      <c r="H3054" s="1" t="s">
        <v>221</v>
      </c>
      <c r="I3054" s="2" t="s">
        <v>222</v>
      </c>
      <c r="J3054" s="3" t="s">
        <v>11</v>
      </c>
      <c r="K3054" s="38">
        <v>1.2</v>
      </c>
      <c r="L3054" s="39">
        <v>738</v>
      </c>
    </row>
    <row r="3055" spans="1:12" ht="19.95" customHeight="1" x14ac:dyDescent="0.3">
      <c r="A3055" s="6" t="s">
        <v>4438</v>
      </c>
      <c r="B3055" s="7" t="s">
        <v>4348</v>
      </c>
      <c r="C3055" s="6" t="s">
        <v>5771</v>
      </c>
      <c r="D3055" s="7" t="s">
        <v>4607</v>
      </c>
      <c r="E3055" s="6" t="s">
        <v>4838</v>
      </c>
      <c r="F3055" s="7" t="s">
        <v>4368</v>
      </c>
      <c r="G3055" s="7" t="s">
        <v>4367</v>
      </c>
      <c r="H3055" s="5" t="s">
        <v>209</v>
      </c>
      <c r="I3055" s="6" t="s">
        <v>210</v>
      </c>
      <c r="J3055" s="7" t="s">
        <v>11</v>
      </c>
      <c r="K3055" s="36">
        <v>1</v>
      </c>
      <c r="L3055" s="37">
        <v>558</v>
      </c>
    </row>
    <row r="3056" spans="1:12" ht="19.95" customHeight="1" x14ac:dyDescent="0.3">
      <c r="A3056" s="2" t="s">
        <v>4438</v>
      </c>
      <c r="B3056" s="3" t="s">
        <v>4348</v>
      </c>
      <c r="C3056" s="2" t="s">
        <v>5771</v>
      </c>
      <c r="D3056" s="3" t="s">
        <v>4607</v>
      </c>
      <c r="E3056" s="2" t="s">
        <v>4838</v>
      </c>
      <c r="F3056" s="3" t="s">
        <v>4368</v>
      </c>
      <c r="G3056" s="3" t="s">
        <v>4367</v>
      </c>
      <c r="H3056" s="1" t="s">
        <v>211</v>
      </c>
      <c r="I3056" s="2" t="s">
        <v>212</v>
      </c>
      <c r="J3056" s="3" t="s">
        <v>11</v>
      </c>
      <c r="K3056" s="38">
        <v>1</v>
      </c>
      <c r="L3056" s="39">
        <v>558</v>
      </c>
    </row>
    <row r="3057" spans="1:12" ht="19.95" customHeight="1" x14ac:dyDescent="0.3">
      <c r="A3057" s="6" t="s">
        <v>4438</v>
      </c>
      <c r="B3057" s="7" t="s">
        <v>4348</v>
      </c>
      <c r="C3057" s="6" t="s">
        <v>5771</v>
      </c>
      <c r="D3057" s="7" t="s">
        <v>4607</v>
      </c>
      <c r="E3057" s="6" t="s">
        <v>4838</v>
      </c>
      <c r="F3057" s="7" t="s">
        <v>4368</v>
      </c>
      <c r="G3057" s="7" t="s">
        <v>4367</v>
      </c>
      <c r="H3057" s="5" t="s">
        <v>221</v>
      </c>
      <c r="I3057" s="6" t="s">
        <v>222</v>
      </c>
      <c r="J3057" s="7" t="s">
        <v>11</v>
      </c>
      <c r="K3057" s="36">
        <v>1.2</v>
      </c>
      <c r="L3057" s="37">
        <v>738</v>
      </c>
    </row>
    <row r="3058" spans="1:12" ht="19.95" customHeight="1" x14ac:dyDescent="0.3">
      <c r="A3058" s="2" t="s">
        <v>4438</v>
      </c>
      <c r="B3058" s="3" t="s">
        <v>4348</v>
      </c>
      <c r="C3058" s="2" t="s">
        <v>5771</v>
      </c>
      <c r="D3058" s="3" t="s">
        <v>4607</v>
      </c>
      <c r="E3058" s="2" t="s">
        <v>4838</v>
      </c>
      <c r="F3058" s="3" t="s">
        <v>4368</v>
      </c>
      <c r="G3058" s="3" t="s">
        <v>4367</v>
      </c>
      <c r="H3058" s="1" t="s">
        <v>209</v>
      </c>
      <c r="I3058" s="2" t="s">
        <v>210</v>
      </c>
      <c r="J3058" s="3" t="s">
        <v>11</v>
      </c>
      <c r="K3058" s="38">
        <v>1</v>
      </c>
      <c r="L3058" s="39">
        <v>558</v>
      </c>
    </row>
    <row r="3059" spans="1:12" ht="19.95" customHeight="1" x14ac:dyDescent="0.3">
      <c r="A3059" s="6" t="s">
        <v>4438</v>
      </c>
      <c r="B3059" s="7" t="s">
        <v>4348</v>
      </c>
      <c r="C3059" s="6" t="s">
        <v>5771</v>
      </c>
      <c r="D3059" s="7" t="s">
        <v>4607</v>
      </c>
      <c r="E3059" s="6" t="s">
        <v>4838</v>
      </c>
      <c r="F3059" s="7" t="s">
        <v>4368</v>
      </c>
      <c r="G3059" s="7" t="s">
        <v>4367</v>
      </c>
      <c r="H3059" s="5" t="s">
        <v>211</v>
      </c>
      <c r="I3059" s="6" t="s">
        <v>212</v>
      </c>
      <c r="J3059" s="7" t="s">
        <v>11</v>
      </c>
      <c r="K3059" s="36">
        <v>1</v>
      </c>
      <c r="L3059" s="37">
        <v>558</v>
      </c>
    </row>
    <row r="3060" spans="1:12" ht="19.95" customHeight="1" x14ac:dyDescent="0.3">
      <c r="A3060" s="2" t="s">
        <v>4438</v>
      </c>
      <c r="B3060" s="3" t="s">
        <v>4348</v>
      </c>
      <c r="C3060" s="2" t="s">
        <v>5771</v>
      </c>
      <c r="D3060" s="3" t="s">
        <v>4607</v>
      </c>
      <c r="E3060" s="2" t="s">
        <v>4838</v>
      </c>
      <c r="F3060" s="3" t="s">
        <v>4368</v>
      </c>
      <c r="G3060" s="3" t="s">
        <v>4367</v>
      </c>
      <c r="H3060" s="1" t="s">
        <v>221</v>
      </c>
      <c r="I3060" s="2" t="s">
        <v>222</v>
      </c>
      <c r="J3060" s="3" t="s">
        <v>11</v>
      </c>
      <c r="K3060" s="38">
        <v>1.2</v>
      </c>
      <c r="L3060" s="39">
        <v>738</v>
      </c>
    </row>
    <row r="3061" spans="1:12" ht="19.95" customHeight="1" x14ac:dyDescent="0.3">
      <c r="A3061" s="6" t="s">
        <v>4438</v>
      </c>
      <c r="B3061" s="7" t="s">
        <v>4348</v>
      </c>
      <c r="C3061" s="6" t="s">
        <v>5771</v>
      </c>
      <c r="D3061" s="7" t="s">
        <v>4607</v>
      </c>
      <c r="E3061" s="6" t="s">
        <v>4838</v>
      </c>
      <c r="F3061" s="7" t="s">
        <v>4368</v>
      </c>
      <c r="G3061" s="7" t="s">
        <v>4367</v>
      </c>
      <c r="H3061" s="5" t="s">
        <v>209</v>
      </c>
      <c r="I3061" s="6" t="s">
        <v>210</v>
      </c>
      <c r="J3061" s="7" t="s">
        <v>11</v>
      </c>
      <c r="K3061" s="36">
        <v>1</v>
      </c>
      <c r="L3061" s="37">
        <v>558</v>
      </c>
    </row>
    <row r="3062" spans="1:12" ht="19.95" customHeight="1" x14ac:dyDescent="0.3">
      <c r="A3062" s="2" t="s">
        <v>4438</v>
      </c>
      <c r="B3062" s="3" t="s">
        <v>4348</v>
      </c>
      <c r="C3062" s="2" t="s">
        <v>5771</v>
      </c>
      <c r="D3062" s="3" t="s">
        <v>4607</v>
      </c>
      <c r="E3062" s="2" t="s">
        <v>4838</v>
      </c>
      <c r="F3062" s="3" t="s">
        <v>4368</v>
      </c>
      <c r="G3062" s="3" t="s">
        <v>4367</v>
      </c>
      <c r="H3062" s="1" t="s">
        <v>211</v>
      </c>
      <c r="I3062" s="2" t="s">
        <v>212</v>
      </c>
      <c r="J3062" s="3" t="s">
        <v>11</v>
      </c>
      <c r="K3062" s="38">
        <v>1</v>
      </c>
      <c r="L3062" s="39">
        <v>558</v>
      </c>
    </row>
    <row r="3063" spans="1:12" ht="19.95" customHeight="1" x14ac:dyDescent="0.3">
      <c r="A3063" s="6" t="s">
        <v>4438</v>
      </c>
      <c r="B3063" s="7" t="s">
        <v>4348</v>
      </c>
      <c r="C3063" s="6" t="s">
        <v>5771</v>
      </c>
      <c r="D3063" s="7" t="s">
        <v>4607</v>
      </c>
      <c r="E3063" s="6" t="s">
        <v>4838</v>
      </c>
      <c r="F3063" s="7" t="s">
        <v>4368</v>
      </c>
      <c r="G3063" s="7" t="s">
        <v>4367</v>
      </c>
      <c r="H3063" s="5" t="s">
        <v>221</v>
      </c>
      <c r="I3063" s="6" t="s">
        <v>222</v>
      </c>
      <c r="J3063" s="7" t="s">
        <v>11</v>
      </c>
      <c r="K3063" s="36">
        <v>1.2</v>
      </c>
      <c r="L3063" s="37">
        <v>738</v>
      </c>
    </row>
    <row r="3064" spans="1:12" ht="19.95" customHeight="1" x14ac:dyDescent="0.3">
      <c r="A3064" s="2" t="s">
        <v>4438</v>
      </c>
      <c r="B3064" s="3" t="s">
        <v>4348</v>
      </c>
      <c r="C3064" s="2" t="s">
        <v>5771</v>
      </c>
      <c r="D3064" s="3" t="s">
        <v>4607</v>
      </c>
      <c r="E3064" s="2" t="s">
        <v>4838</v>
      </c>
      <c r="F3064" s="3" t="s">
        <v>4368</v>
      </c>
      <c r="G3064" s="3" t="s">
        <v>4367</v>
      </c>
      <c r="H3064" s="1" t="s">
        <v>209</v>
      </c>
      <c r="I3064" s="2" t="s">
        <v>210</v>
      </c>
      <c r="J3064" s="3" t="s">
        <v>11</v>
      </c>
      <c r="K3064" s="38">
        <v>1</v>
      </c>
      <c r="L3064" s="39">
        <v>558</v>
      </c>
    </row>
    <row r="3065" spans="1:12" ht="19.95" customHeight="1" x14ac:dyDescent="0.3">
      <c r="A3065" s="6" t="s">
        <v>4438</v>
      </c>
      <c r="B3065" s="7" t="s">
        <v>4348</v>
      </c>
      <c r="C3065" s="6" t="s">
        <v>5771</v>
      </c>
      <c r="D3065" s="7" t="s">
        <v>4607</v>
      </c>
      <c r="E3065" s="6" t="s">
        <v>4838</v>
      </c>
      <c r="F3065" s="7" t="s">
        <v>4368</v>
      </c>
      <c r="G3065" s="7" t="s">
        <v>4367</v>
      </c>
      <c r="H3065" s="5" t="s">
        <v>211</v>
      </c>
      <c r="I3065" s="6" t="s">
        <v>212</v>
      </c>
      <c r="J3065" s="7" t="s">
        <v>11</v>
      </c>
      <c r="K3065" s="36">
        <v>1</v>
      </c>
      <c r="L3065" s="37">
        <v>558</v>
      </c>
    </row>
    <row r="3066" spans="1:12" ht="19.95" customHeight="1" x14ac:dyDescent="0.3">
      <c r="A3066" s="2" t="s">
        <v>4438</v>
      </c>
      <c r="B3066" s="3" t="s">
        <v>4348</v>
      </c>
      <c r="C3066" s="2" t="s">
        <v>5771</v>
      </c>
      <c r="D3066" s="3" t="s">
        <v>4607</v>
      </c>
      <c r="E3066" s="2" t="s">
        <v>4838</v>
      </c>
      <c r="F3066" s="3" t="s">
        <v>4368</v>
      </c>
      <c r="G3066" s="3" t="s">
        <v>4367</v>
      </c>
      <c r="H3066" s="1" t="s">
        <v>223</v>
      </c>
      <c r="I3066" s="2" t="s">
        <v>224</v>
      </c>
      <c r="J3066" s="3" t="s">
        <v>11</v>
      </c>
      <c r="K3066" s="38">
        <v>1.2</v>
      </c>
      <c r="L3066" s="39">
        <v>679</v>
      </c>
    </row>
    <row r="3067" spans="1:12" ht="19.95" customHeight="1" x14ac:dyDescent="0.3">
      <c r="A3067" s="6" t="s">
        <v>4438</v>
      </c>
      <c r="B3067" s="7" t="s">
        <v>4348</v>
      </c>
      <c r="C3067" s="6" t="s">
        <v>5771</v>
      </c>
      <c r="D3067" s="7" t="s">
        <v>4607</v>
      </c>
      <c r="E3067" s="6" t="s">
        <v>4838</v>
      </c>
      <c r="F3067" s="7" t="s">
        <v>4368</v>
      </c>
      <c r="G3067" s="7" t="s">
        <v>4367</v>
      </c>
      <c r="H3067" s="5" t="s">
        <v>209</v>
      </c>
      <c r="I3067" s="6" t="s">
        <v>210</v>
      </c>
      <c r="J3067" s="7" t="s">
        <v>11</v>
      </c>
      <c r="K3067" s="36">
        <v>1</v>
      </c>
      <c r="L3067" s="37">
        <v>558</v>
      </c>
    </row>
    <row r="3068" spans="1:12" ht="19.95" customHeight="1" x14ac:dyDescent="0.3">
      <c r="A3068" s="2" t="s">
        <v>4438</v>
      </c>
      <c r="B3068" s="3" t="s">
        <v>4348</v>
      </c>
      <c r="C3068" s="2" t="s">
        <v>5771</v>
      </c>
      <c r="D3068" s="3" t="s">
        <v>4607</v>
      </c>
      <c r="E3068" s="2" t="s">
        <v>4838</v>
      </c>
      <c r="F3068" s="3" t="s">
        <v>4368</v>
      </c>
      <c r="G3068" s="3" t="s">
        <v>4367</v>
      </c>
      <c r="H3068" s="1" t="s">
        <v>211</v>
      </c>
      <c r="I3068" s="2" t="s">
        <v>212</v>
      </c>
      <c r="J3068" s="3" t="s">
        <v>11</v>
      </c>
      <c r="K3068" s="38">
        <v>1</v>
      </c>
      <c r="L3068" s="39">
        <v>558</v>
      </c>
    </row>
    <row r="3069" spans="1:12" ht="19.95" customHeight="1" x14ac:dyDescent="0.3">
      <c r="A3069" s="6" t="s">
        <v>4438</v>
      </c>
      <c r="B3069" s="7" t="s">
        <v>4348</v>
      </c>
      <c r="C3069" s="6" t="s">
        <v>5771</v>
      </c>
      <c r="D3069" s="7" t="s">
        <v>4607</v>
      </c>
      <c r="E3069" s="6" t="s">
        <v>4838</v>
      </c>
      <c r="F3069" s="7" t="s">
        <v>4368</v>
      </c>
      <c r="G3069" s="7" t="s">
        <v>4367</v>
      </c>
      <c r="H3069" s="5" t="s">
        <v>221</v>
      </c>
      <c r="I3069" s="6" t="s">
        <v>222</v>
      </c>
      <c r="J3069" s="7" t="s">
        <v>11</v>
      </c>
      <c r="K3069" s="36">
        <v>0.2</v>
      </c>
      <c r="L3069" s="37">
        <v>738</v>
      </c>
    </row>
    <row r="3070" spans="1:12" ht="19.95" customHeight="1" x14ac:dyDescent="0.3">
      <c r="A3070" s="2" t="s">
        <v>4438</v>
      </c>
      <c r="B3070" s="3" t="s">
        <v>4348</v>
      </c>
      <c r="C3070" s="2" t="s">
        <v>5771</v>
      </c>
      <c r="D3070" s="3" t="s">
        <v>4607</v>
      </c>
      <c r="E3070" s="2" t="s">
        <v>4838</v>
      </c>
      <c r="F3070" s="3" t="s">
        <v>4368</v>
      </c>
      <c r="G3070" s="3" t="s">
        <v>4367</v>
      </c>
      <c r="H3070" s="1" t="s">
        <v>211</v>
      </c>
      <c r="I3070" s="2" t="s">
        <v>212</v>
      </c>
      <c r="J3070" s="3" t="s">
        <v>11</v>
      </c>
      <c r="K3070" s="38">
        <v>0.2</v>
      </c>
      <c r="L3070" s="39">
        <v>558</v>
      </c>
    </row>
    <row r="3071" spans="1:12" ht="19.95" customHeight="1" x14ac:dyDescent="0.3">
      <c r="A3071" s="6" t="s">
        <v>4438</v>
      </c>
      <c r="B3071" s="7" t="s">
        <v>4348</v>
      </c>
      <c r="C3071" s="6" t="s">
        <v>5771</v>
      </c>
      <c r="D3071" s="7" t="s">
        <v>4607</v>
      </c>
      <c r="E3071" s="6" t="s">
        <v>4838</v>
      </c>
      <c r="F3071" s="7" t="s">
        <v>4368</v>
      </c>
      <c r="G3071" s="7" t="s">
        <v>4367</v>
      </c>
      <c r="H3071" s="5" t="s">
        <v>221</v>
      </c>
      <c r="I3071" s="6" t="s">
        <v>222</v>
      </c>
      <c r="J3071" s="7" t="s">
        <v>11</v>
      </c>
      <c r="K3071" s="36">
        <v>0.2</v>
      </c>
      <c r="L3071" s="37">
        <v>738</v>
      </c>
    </row>
    <row r="3072" spans="1:12" ht="19.95" customHeight="1" x14ac:dyDescent="0.3">
      <c r="A3072" s="2" t="s">
        <v>4438</v>
      </c>
      <c r="B3072" s="3" t="s">
        <v>4348</v>
      </c>
      <c r="C3072" s="2" t="s">
        <v>5771</v>
      </c>
      <c r="D3072" s="3" t="s">
        <v>4607</v>
      </c>
      <c r="E3072" s="2" t="s">
        <v>4838</v>
      </c>
      <c r="F3072" s="3" t="s">
        <v>4368</v>
      </c>
      <c r="G3072" s="3" t="s">
        <v>4367</v>
      </c>
      <c r="H3072" s="1" t="s">
        <v>211</v>
      </c>
      <c r="I3072" s="2" t="s">
        <v>212</v>
      </c>
      <c r="J3072" s="3" t="s">
        <v>11</v>
      </c>
      <c r="K3072" s="38">
        <v>0.2</v>
      </c>
      <c r="L3072" s="39">
        <v>558</v>
      </c>
    </row>
    <row r="3073" spans="1:12" ht="19.95" customHeight="1" x14ac:dyDescent="0.3">
      <c r="A3073" s="6" t="s">
        <v>4438</v>
      </c>
      <c r="B3073" s="7" t="s">
        <v>4348</v>
      </c>
      <c r="C3073" s="6" t="s">
        <v>5771</v>
      </c>
      <c r="D3073" s="7" t="s">
        <v>4607</v>
      </c>
      <c r="E3073" s="6" t="s">
        <v>4838</v>
      </c>
      <c r="F3073" s="7" t="s">
        <v>4368</v>
      </c>
      <c r="G3073" s="7" t="s">
        <v>4367</v>
      </c>
      <c r="H3073" s="5" t="s">
        <v>221</v>
      </c>
      <c r="I3073" s="6" t="s">
        <v>222</v>
      </c>
      <c r="J3073" s="7" t="s">
        <v>11</v>
      </c>
      <c r="K3073" s="36">
        <v>0.2</v>
      </c>
      <c r="L3073" s="37">
        <v>738</v>
      </c>
    </row>
    <row r="3074" spans="1:12" ht="19.95" customHeight="1" x14ac:dyDescent="0.3">
      <c r="A3074" s="2" t="s">
        <v>4438</v>
      </c>
      <c r="B3074" s="3" t="s">
        <v>4348</v>
      </c>
      <c r="C3074" s="2" t="s">
        <v>5771</v>
      </c>
      <c r="D3074" s="3" t="s">
        <v>4607</v>
      </c>
      <c r="E3074" s="2" t="s">
        <v>4838</v>
      </c>
      <c r="F3074" s="3" t="s">
        <v>4368</v>
      </c>
      <c r="G3074" s="3" t="s">
        <v>4367</v>
      </c>
      <c r="H3074" s="1" t="s">
        <v>211</v>
      </c>
      <c r="I3074" s="2" t="s">
        <v>212</v>
      </c>
      <c r="J3074" s="3" t="s">
        <v>11</v>
      </c>
      <c r="K3074" s="38">
        <v>0.2</v>
      </c>
      <c r="L3074" s="39">
        <v>558</v>
      </c>
    </row>
    <row r="3075" spans="1:12" ht="19.95" customHeight="1" x14ac:dyDescent="0.3">
      <c r="A3075" s="6" t="s">
        <v>4438</v>
      </c>
      <c r="B3075" s="7" t="s">
        <v>4348</v>
      </c>
      <c r="C3075" s="6" t="s">
        <v>5771</v>
      </c>
      <c r="D3075" s="7" t="s">
        <v>4607</v>
      </c>
      <c r="E3075" s="6" t="s">
        <v>4838</v>
      </c>
      <c r="F3075" s="7" t="s">
        <v>4368</v>
      </c>
      <c r="G3075" s="7" t="s">
        <v>4367</v>
      </c>
      <c r="H3075" s="5" t="s">
        <v>221</v>
      </c>
      <c r="I3075" s="6" t="s">
        <v>222</v>
      </c>
      <c r="J3075" s="7" t="s">
        <v>11</v>
      </c>
      <c r="K3075" s="36">
        <v>0.2</v>
      </c>
      <c r="L3075" s="37">
        <v>738</v>
      </c>
    </row>
    <row r="3076" spans="1:12" ht="19.95" customHeight="1" x14ac:dyDescent="0.3">
      <c r="A3076" s="2" t="s">
        <v>4438</v>
      </c>
      <c r="B3076" s="3" t="s">
        <v>4348</v>
      </c>
      <c r="C3076" s="2" t="s">
        <v>5771</v>
      </c>
      <c r="D3076" s="3" t="s">
        <v>4607</v>
      </c>
      <c r="E3076" s="2" t="s">
        <v>4838</v>
      </c>
      <c r="F3076" s="3" t="s">
        <v>4368</v>
      </c>
      <c r="G3076" s="3" t="s">
        <v>4367</v>
      </c>
      <c r="H3076" s="1" t="s">
        <v>211</v>
      </c>
      <c r="I3076" s="2" t="s">
        <v>212</v>
      </c>
      <c r="J3076" s="3" t="s">
        <v>11</v>
      </c>
      <c r="K3076" s="38">
        <v>0.2</v>
      </c>
      <c r="L3076" s="39">
        <v>558</v>
      </c>
    </row>
    <row r="3077" spans="1:12" ht="19.95" customHeight="1" x14ac:dyDescent="0.3">
      <c r="A3077" s="6" t="s">
        <v>4438</v>
      </c>
      <c r="B3077" s="7" t="s">
        <v>4348</v>
      </c>
      <c r="C3077" s="6" t="s">
        <v>5771</v>
      </c>
      <c r="D3077" s="7" t="s">
        <v>4607</v>
      </c>
      <c r="E3077" s="6" t="s">
        <v>4838</v>
      </c>
      <c r="F3077" s="7" t="s">
        <v>4368</v>
      </c>
      <c r="G3077" s="7" t="s">
        <v>4367</v>
      </c>
      <c r="H3077" s="5" t="s">
        <v>221</v>
      </c>
      <c r="I3077" s="6" t="s">
        <v>222</v>
      </c>
      <c r="J3077" s="7" t="s">
        <v>11</v>
      </c>
      <c r="K3077" s="36">
        <v>0.2</v>
      </c>
      <c r="L3077" s="37">
        <v>738</v>
      </c>
    </row>
    <row r="3078" spans="1:12" ht="19.95" customHeight="1" x14ac:dyDescent="0.3">
      <c r="A3078" s="2" t="s">
        <v>4438</v>
      </c>
      <c r="B3078" s="3" t="s">
        <v>4348</v>
      </c>
      <c r="C3078" s="2" t="s">
        <v>5771</v>
      </c>
      <c r="D3078" s="3" t="s">
        <v>4607</v>
      </c>
      <c r="E3078" s="2" t="s">
        <v>4838</v>
      </c>
      <c r="F3078" s="3" t="s">
        <v>4368</v>
      </c>
      <c r="G3078" s="3" t="s">
        <v>4367</v>
      </c>
      <c r="H3078" s="1" t="s">
        <v>211</v>
      </c>
      <c r="I3078" s="2" t="s">
        <v>212</v>
      </c>
      <c r="J3078" s="3" t="s">
        <v>11</v>
      </c>
      <c r="K3078" s="38">
        <v>0.2</v>
      </c>
      <c r="L3078" s="39">
        <v>558</v>
      </c>
    </row>
    <row r="3079" spans="1:12" ht="19.95" customHeight="1" x14ac:dyDescent="0.3">
      <c r="A3079" s="6" t="s">
        <v>4438</v>
      </c>
      <c r="B3079" s="7" t="s">
        <v>4348</v>
      </c>
      <c r="C3079" s="6" t="s">
        <v>5771</v>
      </c>
      <c r="D3079" s="7" t="s">
        <v>4607</v>
      </c>
      <c r="E3079" s="6" t="s">
        <v>4838</v>
      </c>
      <c r="F3079" s="7" t="s">
        <v>4368</v>
      </c>
      <c r="G3079" s="7" t="s">
        <v>4367</v>
      </c>
      <c r="H3079" s="5" t="s">
        <v>221</v>
      </c>
      <c r="I3079" s="6" t="s">
        <v>222</v>
      </c>
      <c r="J3079" s="7" t="s">
        <v>11</v>
      </c>
      <c r="K3079" s="36">
        <v>0.2</v>
      </c>
      <c r="L3079" s="37">
        <v>738</v>
      </c>
    </row>
    <row r="3080" spans="1:12" ht="19.95" customHeight="1" x14ac:dyDescent="0.3">
      <c r="A3080" s="2" t="s">
        <v>4438</v>
      </c>
      <c r="B3080" s="3" t="s">
        <v>4348</v>
      </c>
      <c r="C3080" s="2" t="s">
        <v>5771</v>
      </c>
      <c r="D3080" s="3" t="s">
        <v>4607</v>
      </c>
      <c r="E3080" s="2" t="s">
        <v>4838</v>
      </c>
      <c r="F3080" s="3" t="s">
        <v>4368</v>
      </c>
      <c r="G3080" s="3" t="s">
        <v>4367</v>
      </c>
      <c r="H3080" s="1" t="s">
        <v>211</v>
      </c>
      <c r="I3080" s="2" t="s">
        <v>212</v>
      </c>
      <c r="J3080" s="3" t="s">
        <v>11</v>
      </c>
      <c r="K3080" s="38">
        <v>0.2</v>
      </c>
      <c r="L3080" s="39">
        <v>558</v>
      </c>
    </row>
    <row r="3081" spans="1:12" ht="19.95" customHeight="1" x14ac:dyDescent="0.3">
      <c r="A3081" s="6" t="s">
        <v>4438</v>
      </c>
      <c r="B3081" s="7" t="s">
        <v>4348</v>
      </c>
      <c r="C3081" s="6" t="s">
        <v>5771</v>
      </c>
      <c r="D3081" s="7" t="s">
        <v>4607</v>
      </c>
      <c r="E3081" s="6" t="s">
        <v>4838</v>
      </c>
      <c r="F3081" s="7" t="s">
        <v>4368</v>
      </c>
      <c r="G3081" s="7" t="s">
        <v>4367</v>
      </c>
      <c r="H3081" s="5" t="s">
        <v>221</v>
      </c>
      <c r="I3081" s="6" t="s">
        <v>222</v>
      </c>
      <c r="J3081" s="7" t="s">
        <v>11</v>
      </c>
      <c r="K3081" s="36">
        <v>0.2</v>
      </c>
      <c r="L3081" s="37">
        <v>738</v>
      </c>
    </row>
    <row r="3082" spans="1:12" ht="19.95" customHeight="1" x14ac:dyDescent="0.3">
      <c r="A3082" s="2" t="s">
        <v>4438</v>
      </c>
      <c r="B3082" s="3" t="s">
        <v>4348</v>
      </c>
      <c r="C3082" s="2" t="s">
        <v>5771</v>
      </c>
      <c r="D3082" s="3" t="s">
        <v>4607</v>
      </c>
      <c r="E3082" s="2" t="s">
        <v>4838</v>
      </c>
      <c r="F3082" s="3" t="s">
        <v>4368</v>
      </c>
      <c r="G3082" s="3" t="s">
        <v>4367</v>
      </c>
      <c r="H3082" s="1" t="s">
        <v>211</v>
      </c>
      <c r="I3082" s="2" t="s">
        <v>212</v>
      </c>
      <c r="J3082" s="3" t="s">
        <v>11</v>
      </c>
      <c r="K3082" s="38">
        <v>0.2</v>
      </c>
      <c r="L3082" s="39">
        <v>558</v>
      </c>
    </row>
    <row r="3083" spans="1:12" ht="19.95" customHeight="1" x14ac:dyDescent="0.3">
      <c r="A3083" s="6" t="s">
        <v>4438</v>
      </c>
      <c r="B3083" s="7" t="s">
        <v>4348</v>
      </c>
      <c r="C3083" s="6" t="s">
        <v>5771</v>
      </c>
      <c r="D3083" s="7" t="s">
        <v>4607</v>
      </c>
      <c r="E3083" s="6" t="s">
        <v>4838</v>
      </c>
      <c r="F3083" s="7" t="s">
        <v>4368</v>
      </c>
      <c r="G3083" s="7" t="s">
        <v>4367</v>
      </c>
      <c r="H3083" s="5" t="s">
        <v>221</v>
      </c>
      <c r="I3083" s="6" t="s">
        <v>222</v>
      </c>
      <c r="J3083" s="7" t="s">
        <v>11</v>
      </c>
      <c r="K3083" s="36">
        <v>0.2</v>
      </c>
      <c r="L3083" s="37">
        <v>738</v>
      </c>
    </row>
    <row r="3084" spans="1:12" ht="19.95" customHeight="1" x14ac:dyDescent="0.3">
      <c r="A3084" s="2" t="s">
        <v>4438</v>
      </c>
      <c r="B3084" s="3" t="s">
        <v>4348</v>
      </c>
      <c r="C3084" s="2" t="s">
        <v>5771</v>
      </c>
      <c r="D3084" s="3" t="s">
        <v>4607</v>
      </c>
      <c r="E3084" s="2" t="s">
        <v>4838</v>
      </c>
      <c r="F3084" s="3" t="s">
        <v>4368</v>
      </c>
      <c r="G3084" s="3" t="s">
        <v>4367</v>
      </c>
      <c r="H3084" s="1" t="s">
        <v>211</v>
      </c>
      <c r="I3084" s="2" t="s">
        <v>212</v>
      </c>
      <c r="J3084" s="3" t="s">
        <v>11</v>
      </c>
      <c r="K3084" s="38">
        <v>0.2</v>
      </c>
      <c r="L3084" s="39">
        <v>558</v>
      </c>
    </row>
    <row r="3085" spans="1:12" ht="19.95" customHeight="1" x14ac:dyDescent="0.3">
      <c r="A3085" s="6" t="s">
        <v>4438</v>
      </c>
      <c r="B3085" s="7" t="s">
        <v>4348</v>
      </c>
      <c r="C3085" s="6" t="s">
        <v>5771</v>
      </c>
      <c r="D3085" s="7" t="s">
        <v>4607</v>
      </c>
      <c r="E3085" s="6" t="s">
        <v>4838</v>
      </c>
      <c r="F3085" s="7" t="s">
        <v>4368</v>
      </c>
      <c r="G3085" s="7" t="s">
        <v>4367</v>
      </c>
      <c r="H3085" s="5" t="s">
        <v>221</v>
      </c>
      <c r="I3085" s="6" t="s">
        <v>222</v>
      </c>
      <c r="J3085" s="7" t="s">
        <v>11</v>
      </c>
      <c r="K3085" s="36">
        <v>0.2</v>
      </c>
      <c r="L3085" s="37">
        <v>738</v>
      </c>
    </row>
    <row r="3086" spans="1:12" ht="19.95" customHeight="1" x14ac:dyDescent="0.3">
      <c r="A3086" s="2" t="s">
        <v>4438</v>
      </c>
      <c r="B3086" s="3" t="s">
        <v>4348</v>
      </c>
      <c r="C3086" s="2" t="s">
        <v>5771</v>
      </c>
      <c r="D3086" s="3" t="s">
        <v>4607</v>
      </c>
      <c r="E3086" s="2" t="s">
        <v>4838</v>
      </c>
      <c r="F3086" s="3" t="s">
        <v>4368</v>
      </c>
      <c r="G3086" s="3" t="s">
        <v>4367</v>
      </c>
      <c r="H3086" s="1" t="s">
        <v>211</v>
      </c>
      <c r="I3086" s="2" t="s">
        <v>212</v>
      </c>
      <c r="J3086" s="3" t="s">
        <v>11</v>
      </c>
      <c r="K3086" s="38">
        <v>0.2</v>
      </c>
      <c r="L3086" s="39">
        <v>558</v>
      </c>
    </row>
    <row r="3087" spans="1:12" ht="19.95" customHeight="1" x14ac:dyDescent="0.3">
      <c r="A3087" s="6" t="s">
        <v>4438</v>
      </c>
      <c r="B3087" s="7" t="s">
        <v>4348</v>
      </c>
      <c r="C3087" s="6" t="s">
        <v>5771</v>
      </c>
      <c r="D3087" s="7" t="s">
        <v>4607</v>
      </c>
      <c r="E3087" s="6" t="s">
        <v>5770</v>
      </c>
      <c r="F3087" s="7" t="s">
        <v>4368</v>
      </c>
      <c r="G3087" s="7" t="s">
        <v>4367</v>
      </c>
      <c r="H3087" s="5" t="s">
        <v>223</v>
      </c>
      <c r="I3087" s="6" t="s">
        <v>224</v>
      </c>
      <c r="J3087" s="7" t="s">
        <v>11</v>
      </c>
      <c r="K3087" s="36">
        <v>0.67</v>
      </c>
      <c r="L3087" s="37">
        <v>679</v>
      </c>
    </row>
    <row r="3088" spans="1:12" ht="19.95" customHeight="1" x14ac:dyDescent="0.3">
      <c r="A3088" s="2" t="s">
        <v>4438</v>
      </c>
      <c r="B3088" s="3" t="s">
        <v>4348</v>
      </c>
      <c r="C3088" s="2" t="s">
        <v>5771</v>
      </c>
      <c r="D3088" s="3" t="s">
        <v>4607</v>
      </c>
      <c r="E3088" s="2" t="s">
        <v>5770</v>
      </c>
      <c r="F3088" s="3" t="s">
        <v>4368</v>
      </c>
      <c r="G3088" s="3" t="s">
        <v>4367</v>
      </c>
      <c r="H3088" s="1" t="s">
        <v>209</v>
      </c>
      <c r="I3088" s="2" t="s">
        <v>210</v>
      </c>
      <c r="J3088" s="3" t="s">
        <v>11</v>
      </c>
      <c r="K3088" s="38">
        <v>0.75</v>
      </c>
      <c r="L3088" s="39">
        <v>558</v>
      </c>
    </row>
    <row r="3089" spans="1:12" ht="19.95" customHeight="1" x14ac:dyDescent="0.3">
      <c r="A3089" s="6" t="s">
        <v>4438</v>
      </c>
      <c r="B3089" s="7" t="s">
        <v>4348</v>
      </c>
      <c r="C3089" s="6" t="s">
        <v>5771</v>
      </c>
      <c r="D3089" s="7" t="s">
        <v>4607</v>
      </c>
      <c r="E3089" s="6" t="s">
        <v>5770</v>
      </c>
      <c r="F3089" s="7" t="s">
        <v>4368</v>
      </c>
      <c r="G3089" s="7" t="s">
        <v>4367</v>
      </c>
      <c r="H3089" s="5" t="s">
        <v>197</v>
      </c>
      <c r="I3089" s="6" t="s">
        <v>198</v>
      </c>
      <c r="J3089" s="7" t="s">
        <v>11</v>
      </c>
      <c r="K3089" s="36">
        <v>0.92</v>
      </c>
      <c r="L3089" s="37">
        <v>617</v>
      </c>
    </row>
    <row r="3090" spans="1:12" ht="19.95" customHeight="1" x14ac:dyDescent="0.3">
      <c r="A3090" s="2" t="s">
        <v>4438</v>
      </c>
      <c r="B3090" s="3" t="s">
        <v>4348</v>
      </c>
      <c r="C3090" s="2" t="s">
        <v>5771</v>
      </c>
      <c r="D3090" s="3" t="s">
        <v>4607</v>
      </c>
      <c r="E3090" s="2" t="s">
        <v>5770</v>
      </c>
      <c r="F3090" s="3" t="s">
        <v>4368</v>
      </c>
      <c r="G3090" s="3" t="s">
        <v>4367</v>
      </c>
      <c r="H3090" s="1" t="s">
        <v>209</v>
      </c>
      <c r="I3090" s="2" t="s">
        <v>210</v>
      </c>
      <c r="J3090" s="3" t="s">
        <v>11</v>
      </c>
      <c r="K3090" s="38">
        <v>0.5</v>
      </c>
      <c r="L3090" s="39">
        <v>558</v>
      </c>
    </row>
    <row r="3091" spans="1:12" ht="19.95" customHeight="1" x14ac:dyDescent="0.3">
      <c r="A3091" s="6" t="s">
        <v>4438</v>
      </c>
      <c r="B3091" s="7" t="s">
        <v>4348</v>
      </c>
      <c r="C3091" s="6" t="s">
        <v>5771</v>
      </c>
      <c r="D3091" s="7" t="s">
        <v>4607</v>
      </c>
      <c r="E3091" s="6" t="s">
        <v>5770</v>
      </c>
      <c r="F3091" s="7" t="s">
        <v>4368</v>
      </c>
      <c r="G3091" s="7" t="s">
        <v>4367</v>
      </c>
      <c r="H3091" s="5" t="s">
        <v>221</v>
      </c>
      <c r="I3091" s="6" t="s">
        <v>222</v>
      </c>
      <c r="J3091" s="7" t="s">
        <v>11</v>
      </c>
      <c r="K3091" s="36">
        <v>1.2</v>
      </c>
      <c r="L3091" s="37">
        <v>738</v>
      </c>
    </row>
    <row r="3092" spans="1:12" ht="19.95" customHeight="1" x14ac:dyDescent="0.3">
      <c r="A3092" s="2" t="s">
        <v>4438</v>
      </c>
      <c r="B3092" s="3" t="s">
        <v>4348</v>
      </c>
      <c r="C3092" s="2" t="s">
        <v>5771</v>
      </c>
      <c r="D3092" s="3" t="s">
        <v>4607</v>
      </c>
      <c r="E3092" s="2" t="s">
        <v>5770</v>
      </c>
      <c r="F3092" s="3" t="s">
        <v>4368</v>
      </c>
      <c r="G3092" s="3" t="s">
        <v>4367</v>
      </c>
      <c r="H3092" s="1" t="s">
        <v>209</v>
      </c>
      <c r="I3092" s="2" t="s">
        <v>210</v>
      </c>
      <c r="J3092" s="3" t="s">
        <v>11</v>
      </c>
      <c r="K3092" s="38">
        <v>1</v>
      </c>
      <c r="L3092" s="39">
        <v>558</v>
      </c>
    </row>
    <row r="3093" spans="1:12" ht="19.95" customHeight="1" x14ac:dyDescent="0.3">
      <c r="A3093" s="6" t="s">
        <v>4438</v>
      </c>
      <c r="B3093" s="7" t="s">
        <v>4348</v>
      </c>
      <c r="C3093" s="6" t="s">
        <v>5771</v>
      </c>
      <c r="D3093" s="7" t="s">
        <v>4607</v>
      </c>
      <c r="E3093" s="6" t="s">
        <v>5770</v>
      </c>
      <c r="F3093" s="7" t="s">
        <v>4368</v>
      </c>
      <c r="G3093" s="7" t="s">
        <v>4367</v>
      </c>
      <c r="H3093" s="5" t="s">
        <v>211</v>
      </c>
      <c r="I3093" s="6" t="s">
        <v>212</v>
      </c>
      <c r="J3093" s="7" t="s">
        <v>11</v>
      </c>
      <c r="K3093" s="36">
        <v>1</v>
      </c>
      <c r="L3093" s="37">
        <v>558</v>
      </c>
    </row>
    <row r="3094" spans="1:12" ht="19.95" customHeight="1" x14ac:dyDescent="0.3">
      <c r="A3094" s="2" t="s">
        <v>4438</v>
      </c>
      <c r="B3094" s="3" t="s">
        <v>4348</v>
      </c>
      <c r="C3094" s="2" t="s">
        <v>5771</v>
      </c>
      <c r="D3094" s="3" t="s">
        <v>4607</v>
      </c>
      <c r="E3094" s="2" t="s">
        <v>5770</v>
      </c>
      <c r="F3094" s="3" t="s">
        <v>4368</v>
      </c>
      <c r="G3094" s="3" t="s">
        <v>4367</v>
      </c>
      <c r="H3094" s="1" t="s">
        <v>197</v>
      </c>
      <c r="I3094" s="2" t="s">
        <v>198</v>
      </c>
      <c r="J3094" s="3" t="s">
        <v>11</v>
      </c>
      <c r="K3094" s="38">
        <v>0.54</v>
      </c>
      <c r="L3094" s="39">
        <v>617</v>
      </c>
    </row>
    <row r="3095" spans="1:12" ht="19.95" customHeight="1" x14ac:dyDescent="0.3">
      <c r="A3095" s="6" t="s">
        <v>4438</v>
      </c>
      <c r="B3095" s="7" t="s">
        <v>4348</v>
      </c>
      <c r="C3095" s="6" t="s">
        <v>5771</v>
      </c>
      <c r="D3095" s="7" t="s">
        <v>4607</v>
      </c>
      <c r="E3095" s="6" t="s">
        <v>5857</v>
      </c>
      <c r="F3095" s="7" t="s">
        <v>4368</v>
      </c>
      <c r="G3095" s="7" t="s">
        <v>4367</v>
      </c>
      <c r="H3095" s="5" t="s">
        <v>221</v>
      </c>
      <c r="I3095" s="6" t="s">
        <v>222</v>
      </c>
      <c r="J3095" s="7" t="s">
        <v>11</v>
      </c>
      <c r="K3095" s="36">
        <v>1.2</v>
      </c>
      <c r="L3095" s="37">
        <v>738</v>
      </c>
    </row>
    <row r="3096" spans="1:12" ht="19.95" customHeight="1" x14ac:dyDescent="0.3">
      <c r="A3096" s="2" t="s">
        <v>4438</v>
      </c>
      <c r="B3096" s="3" t="s">
        <v>4348</v>
      </c>
      <c r="C3096" s="2" t="s">
        <v>5771</v>
      </c>
      <c r="D3096" s="3" t="s">
        <v>4607</v>
      </c>
      <c r="E3096" s="2" t="s">
        <v>5857</v>
      </c>
      <c r="F3096" s="3" t="s">
        <v>4368</v>
      </c>
      <c r="G3096" s="3" t="s">
        <v>4367</v>
      </c>
      <c r="H3096" s="1" t="s">
        <v>209</v>
      </c>
      <c r="I3096" s="2" t="s">
        <v>210</v>
      </c>
      <c r="J3096" s="3" t="s">
        <v>11</v>
      </c>
      <c r="K3096" s="38">
        <v>1</v>
      </c>
      <c r="L3096" s="39">
        <v>558</v>
      </c>
    </row>
    <row r="3097" spans="1:12" ht="19.95" customHeight="1" x14ac:dyDescent="0.3">
      <c r="A3097" s="6" t="s">
        <v>4438</v>
      </c>
      <c r="B3097" s="7" t="s">
        <v>4348</v>
      </c>
      <c r="C3097" s="6" t="s">
        <v>5771</v>
      </c>
      <c r="D3097" s="7" t="s">
        <v>4607</v>
      </c>
      <c r="E3097" s="6" t="s">
        <v>5857</v>
      </c>
      <c r="F3097" s="7" t="s">
        <v>4368</v>
      </c>
      <c r="G3097" s="7" t="s">
        <v>4367</v>
      </c>
      <c r="H3097" s="5" t="s">
        <v>211</v>
      </c>
      <c r="I3097" s="6" t="s">
        <v>212</v>
      </c>
      <c r="J3097" s="7" t="s">
        <v>11</v>
      </c>
      <c r="K3097" s="36">
        <v>1</v>
      </c>
      <c r="L3097" s="37">
        <v>558</v>
      </c>
    </row>
    <row r="3098" spans="1:12" ht="19.95" customHeight="1" x14ac:dyDescent="0.3">
      <c r="A3098" s="2" t="s">
        <v>4438</v>
      </c>
      <c r="B3098" s="3" t="s">
        <v>4348</v>
      </c>
      <c r="C3098" s="2" t="s">
        <v>5771</v>
      </c>
      <c r="D3098" s="3" t="s">
        <v>4607</v>
      </c>
      <c r="E3098" s="2" t="s">
        <v>5857</v>
      </c>
      <c r="F3098" s="3" t="s">
        <v>4368</v>
      </c>
      <c r="G3098" s="3" t="s">
        <v>4367</v>
      </c>
      <c r="H3098" s="1" t="s">
        <v>221</v>
      </c>
      <c r="I3098" s="2" t="s">
        <v>222</v>
      </c>
      <c r="J3098" s="3" t="s">
        <v>11</v>
      </c>
      <c r="K3098" s="38">
        <v>1.75</v>
      </c>
      <c r="L3098" s="39">
        <v>738</v>
      </c>
    </row>
    <row r="3099" spans="1:12" ht="19.95" customHeight="1" x14ac:dyDescent="0.3">
      <c r="A3099" s="6" t="s">
        <v>4438</v>
      </c>
      <c r="B3099" s="7" t="s">
        <v>4348</v>
      </c>
      <c r="C3099" s="6" t="s">
        <v>5771</v>
      </c>
      <c r="D3099" s="7" t="s">
        <v>4607</v>
      </c>
      <c r="E3099" s="6" t="s">
        <v>5857</v>
      </c>
      <c r="F3099" s="7" t="s">
        <v>4368</v>
      </c>
      <c r="G3099" s="7" t="s">
        <v>4367</v>
      </c>
      <c r="H3099" s="5" t="s">
        <v>209</v>
      </c>
      <c r="I3099" s="6" t="s">
        <v>210</v>
      </c>
      <c r="J3099" s="7" t="s">
        <v>11</v>
      </c>
      <c r="K3099" s="36">
        <v>1.25</v>
      </c>
      <c r="L3099" s="37">
        <v>558</v>
      </c>
    </row>
    <row r="3100" spans="1:12" ht="19.95" customHeight="1" x14ac:dyDescent="0.3">
      <c r="A3100" s="2" t="s">
        <v>4438</v>
      </c>
      <c r="B3100" s="3" t="s">
        <v>4348</v>
      </c>
      <c r="C3100" s="2" t="s">
        <v>5771</v>
      </c>
      <c r="D3100" s="3" t="s">
        <v>4607</v>
      </c>
      <c r="E3100" s="2" t="s">
        <v>5857</v>
      </c>
      <c r="F3100" s="3" t="s">
        <v>4368</v>
      </c>
      <c r="G3100" s="3" t="s">
        <v>4367</v>
      </c>
      <c r="H3100" s="1" t="s">
        <v>211</v>
      </c>
      <c r="I3100" s="2" t="s">
        <v>212</v>
      </c>
      <c r="J3100" s="3" t="s">
        <v>11</v>
      </c>
      <c r="K3100" s="38">
        <v>1</v>
      </c>
      <c r="L3100" s="39">
        <v>558</v>
      </c>
    </row>
    <row r="3101" spans="1:12" ht="19.95" customHeight="1" x14ac:dyDescent="0.3">
      <c r="A3101" s="6" t="s">
        <v>4438</v>
      </c>
      <c r="B3101" s="7" t="s">
        <v>4348</v>
      </c>
      <c r="C3101" s="6" t="s">
        <v>5771</v>
      </c>
      <c r="D3101" s="7" t="s">
        <v>4607</v>
      </c>
      <c r="E3101" s="6" t="s">
        <v>5858</v>
      </c>
      <c r="F3101" s="7" t="s">
        <v>4368</v>
      </c>
      <c r="G3101" s="7" t="s">
        <v>4367</v>
      </c>
      <c r="H3101" s="5" t="s">
        <v>223</v>
      </c>
      <c r="I3101" s="6" t="s">
        <v>224</v>
      </c>
      <c r="J3101" s="7" t="s">
        <v>11</v>
      </c>
      <c r="K3101" s="36">
        <v>1.2</v>
      </c>
      <c r="L3101" s="37">
        <v>679</v>
      </c>
    </row>
    <row r="3102" spans="1:12" ht="19.95" customHeight="1" x14ac:dyDescent="0.3">
      <c r="A3102" s="2" t="s">
        <v>4438</v>
      </c>
      <c r="B3102" s="3" t="s">
        <v>4348</v>
      </c>
      <c r="C3102" s="2" t="s">
        <v>5771</v>
      </c>
      <c r="D3102" s="3" t="s">
        <v>4607</v>
      </c>
      <c r="E3102" s="2" t="s">
        <v>5858</v>
      </c>
      <c r="F3102" s="3" t="s">
        <v>4368</v>
      </c>
      <c r="G3102" s="3" t="s">
        <v>4367</v>
      </c>
      <c r="H3102" s="1" t="s">
        <v>209</v>
      </c>
      <c r="I3102" s="2" t="s">
        <v>210</v>
      </c>
      <c r="J3102" s="3" t="s">
        <v>11</v>
      </c>
      <c r="K3102" s="38">
        <v>1</v>
      </c>
      <c r="L3102" s="39">
        <v>558</v>
      </c>
    </row>
    <row r="3103" spans="1:12" ht="19.95" customHeight="1" x14ac:dyDescent="0.3">
      <c r="A3103" s="6" t="s">
        <v>4438</v>
      </c>
      <c r="B3103" s="7" t="s">
        <v>4348</v>
      </c>
      <c r="C3103" s="6" t="s">
        <v>5771</v>
      </c>
      <c r="D3103" s="7" t="s">
        <v>4607</v>
      </c>
      <c r="E3103" s="6" t="s">
        <v>5858</v>
      </c>
      <c r="F3103" s="7" t="s">
        <v>4368</v>
      </c>
      <c r="G3103" s="7" t="s">
        <v>4367</v>
      </c>
      <c r="H3103" s="5" t="s">
        <v>211</v>
      </c>
      <c r="I3103" s="6" t="s">
        <v>212</v>
      </c>
      <c r="J3103" s="7" t="s">
        <v>11</v>
      </c>
      <c r="K3103" s="36">
        <v>1</v>
      </c>
      <c r="L3103" s="37">
        <v>558</v>
      </c>
    </row>
    <row r="3104" spans="1:12" ht="19.95" customHeight="1" x14ac:dyDescent="0.3">
      <c r="A3104" s="2" t="s">
        <v>4438</v>
      </c>
      <c r="B3104" s="3" t="s">
        <v>4348</v>
      </c>
      <c r="C3104" s="2" t="s">
        <v>5771</v>
      </c>
      <c r="D3104" s="3" t="s">
        <v>4607</v>
      </c>
      <c r="E3104" s="2" t="s">
        <v>5858</v>
      </c>
      <c r="F3104" s="3" t="s">
        <v>4368</v>
      </c>
      <c r="G3104" s="3" t="s">
        <v>4367</v>
      </c>
      <c r="H3104" s="1" t="s">
        <v>223</v>
      </c>
      <c r="I3104" s="2" t="s">
        <v>224</v>
      </c>
      <c r="J3104" s="3" t="s">
        <v>11</v>
      </c>
      <c r="K3104" s="38">
        <v>1.2</v>
      </c>
      <c r="L3104" s="39">
        <v>679</v>
      </c>
    </row>
    <row r="3105" spans="1:12" ht="19.95" customHeight="1" x14ac:dyDescent="0.3">
      <c r="A3105" s="6" t="s">
        <v>4438</v>
      </c>
      <c r="B3105" s="7" t="s">
        <v>4348</v>
      </c>
      <c r="C3105" s="6" t="s">
        <v>5771</v>
      </c>
      <c r="D3105" s="7" t="s">
        <v>4607</v>
      </c>
      <c r="E3105" s="6" t="s">
        <v>5858</v>
      </c>
      <c r="F3105" s="7" t="s">
        <v>4368</v>
      </c>
      <c r="G3105" s="7" t="s">
        <v>4367</v>
      </c>
      <c r="H3105" s="5" t="s">
        <v>209</v>
      </c>
      <c r="I3105" s="6" t="s">
        <v>210</v>
      </c>
      <c r="J3105" s="7" t="s">
        <v>11</v>
      </c>
      <c r="K3105" s="36">
        <v>1</v>
      </c>
      <c r="L3105" s="37">
        <v>558</v>
      </c>
    </row>
    <row r="3106" spans="1:12" ht="19.95" customHeight="1" x14ac:dyDescent="0.3">
      <c r="A3106" s="2" t="s">
        <v>4438</v>
      </c>
      <c r="B3106" s="3" t="s">
        <v>4348</v>
      </c>
      <c r="C3106" s="2" t="s">
        <v>5771</v>
      </c>
      <c r="D3106" s="3" t="s">
        <v>4607</v>
      </c>
      <c r="E3106" s="2" t="s">
        <v>5858</v>
      </c>
      <c r="F3106" s="3" t="s">
        <v>4368</v>
      </c>
      <c r="G3106" s="3" t="s">
        <v>4367</v>
      </c>
      <c r="H3106" s="1" t="s">
        <v>211</v>
      </c>
      <c r="I3106" s="2" t="s">
        <v>212</v>
      </c>
      <c r="J3106" s="3" t="s">
        <v>11</v>
      </c>
      <c r="K3106" s="38">
        <v>1</v>
      </c>
      <c r="L3106" s="39">
        <v>558</v>
      </c>
    </row>
    <row r="3107" spans="1:12" ht="19.95" customHeight="1" x14ac:dyDescent="0.3">
      <c r="A3107" s="6" t="s">
        <v>4438</v>
      </c>
      <c r="B3107" s="7" t="s">
        <v>4348</v>
      </c>
      <c r="C3107" s="6" t="s">
        <v>5771</v>
      </c>
      <c r="D3107" s="7" t="s">
        <v>4607</v>
      </c>
      <c r="E3107" s="6" t="s">
        <v>5858</v>
      </c>
      <c r="F3107" s="7" t="s">
        <v>4368</v>
      </c>
      <c r="G3107" s="7" t="s">
        <v>4369</v>
      </c>
      <c r="H3107" s="5" t="s">
        <v>47</v>
      </c>
      <c r="I3107" s="6" t="s">
        <v>4444</v>
      </c>
      <c r="J3107" s="7" t="s">
        <v>11</v>
      </c>
      <c r="K3107" s="36">
        <v>2</v>
      </c>
      <c r="L3107" s="37">
        <v>250</v>
      </c>
    </row>
    <row r="3108" spans="1:12" ht="19.95" customHeight="1" x14ac:dyDescent="0.3">
      <c r="A3108" s="2" t="s">
        <v>4438</v>
      </c>
      <c r="B3108" s="3" t="s">
        <v>4348</v>
      </c>
      <c r="C3108" s="2" t="s">
        <v>5771</v>
      </c>
      <c r="D3108" s="3" t="s">
        <v>4623</v>
      </c>
      <c r="E3108" s="2" t="s">
        <v>5859</v>
      </c>
      <c r="F3108" s="3" t="s">
        <v>4368</v>
      </c>
      <c r="G3108" s="3" t="s">
        <v>4367</v>
      </c>
      <c r="H3108" s="1" t="s">
        <v>223</v>
      </c>
      <c r="I3108" s="2" t="s">
        <v>224</v>
      </c>
      <c r="J3108" s="3" t="s">
        <v>11</v>
      </c>
      <c r="K3108" s="38">
        <v>0.35</v>
      </c>
      <c r="L3108" s="39">
        <v>679</v>
      </c>
    </row>
    <row r="3109" spans="1:12" ht="19.95" customHeight="1" x14ac:dyDescent="0.3">
      <c r="A3109" s="6" t="s">
        <v>4438</v>
      </c>
      <c r="B3109" s="7" t="s">
        <v>4348</v>
      </c>
      <c r="C3109" s="6" t="s">
        <v>5771</v>
      </c>
      <c r="D3109" s="7" t="s">
        <v>4623</v>
      </c>
      <c r="E3109" s="6" t="s">
        <v>5859</v>
      </c>
      <c r="F3109" s="7" t="s">
        <v>4368</v>
      </c>
      <c r="G3109" s="7" t="s">
        <v>4367</v>
      </c>
      <c r="H3109" s="5" t="s">
        <v>209</v>
      </c>
      <c r="I3109" s="6" t="s">
        <v>210</v>
      </c>
      <c r="J3109" s="7" t="s">
        <v>11</v>
      </c>
      <c r="K3109" s="36">
        <v>0.18</v>
      </c>
      <c r="L3109" s="37">
        <v>558</v>
      </c>
    </row>
    <row r="3110" spans="1:12" ht="19.95" customHeight="1" x14ac:dyDescent="0.3">
      <c r="A3110" s="2" t="s">
        <v>4438</v>
      </c>
      <c r="B3110" s="3" t="s">
        <v>4348</v>
      </c>
      <c r="C3110" s="2" t="s">
        <v>5771</v>
      </c>
      <c r="D3110" s="3" t="s">
        <v>4623</v>
      </c>
      <c r="E3110" s="2" t="s">
        <v>5859</v>
      </c>
      <c r="F3110" s="3" t="s">
        <v>4368</v>
      </c>
      <c r="G3110" s="3" t="s">
        <v>4367</v>
      </c>
      <c r="H3110" s="1" t="s">
        <v>197</v>
      </c>
      <c r="I3110" s="2" t="s">
        <v>198</v>
      </c>
      <c r="J3110" s="3" t="s">
        <v>11</v>
      </c>
      <c r="K3110" s="38">
        <v>0.05</v>
      </c>
      <c r="L3110" s="39">
        <v>617</v>
      </c>
    </row>
    <row r="3111" spans="1:12" ht="19.95" customHeight="1" x14ac:dyDescent="0.3">
      <c r="A3111" s="6" t="s">
        <v>4445</v>
      </c>
      <c r="B3111" s="7" t="s">
        <v>4348</v>
      </c>
      <c r="C3111" s="6" t="s">
        <v>5771</v>
      </c>
      <c r="D3111" s="7" t="s">
        <v>5772</v>
      </c>
      <c r="E3111" s="6" t="s">
        <v>5773</v>
      </c>
      <c r="F3111" s="7" t="s">
        <v>4416</v>
      </c>
      <c r="G3111" s="7" t="s">
        <v>4367</v>
      </c>
      <c r="H3111" s="5" t="s">
        <v>249</v>
      </c>
      <c r="I3111" s="6" t="s">
        <v>250</v>
      </c>
      <c r="J3111" s="7" t="s">
        <v>11</v>
      </c>
      <c r="K3111" s="36">
        <v>1</v>
      </c>
      <c r="L3111" s="37">
        <v>617</v>
      </c>
    </row>
    <row r="3112" spans="1:12" ht="19.95" customHeight="1" x14ac:dyDescent="0.3">
      <c r="A3112" s="2" t="s">
        <v>4445</v>
      </c>
      <c r="B3112" s="3" t="s">
        <v>4348</v>
      </c>
      <c r="C3112" s="2" t="s">
        <v>5771</v>
      </c>
      <c r="D3112" s="3" t="s">
        <v>5772</v>
      </c>
      <c r="E3112" s="2" t="s">
        <v>5773</v>
      </c>
      <c r="F3112" s="3" t="s">
        <v>4416</v>
      </c>
      <c r="G3112" s="3" t="s">
        <v>4369</v>
      </c>
      <c r="H3112" s="1" t="s">
        <v>35</v>
      </c>
      <c r="I3112" s="2" t="s">
        <v>36</v>
      </c>
      <c r="J3112" s="3" t="s">
        <v>11</v>
      </c>
      <c r="K3112" s="38">
        <v>1.6</v>
      </c>
      <c r="L3112" s="39">
        <v>300</v>
      </c>
    </row>
    <row r="3113" spans="1:12" ht="19.95" customHeight="1" x14ac:dyDescent="0.3">
      <c r="A3113" s="6" t="s">
        <v>4445</v>
      </c>
      <c r="B3113" s="7" t="s">
        <v>4348</v>
      </c>
      <c r="C3113" s="6" t="s">
        <v>5771</v>
      </c>
      <c r="D3113" s="7" t="s">
        <v>5774</v>
      </c>
      <c r="E3113" s="6" t="s">
        <v>5775</v>
      </c>
      <c r="F3113" s="7" t="s">
        <v>4416</v>
      </c>
      <c r="G3113" s="7" t="s">
        <v>4367</v>
      </c>
      <c r="H3113" s="5" t="s">
        <v>249</v>
      </c>
      <c r="I3113" s="6" t="s">
        <v>250</v>
      </c>
      <c r="J3113" s="7" t="s">
        <v>11</v>
      </c>
      <c r="K3113" s="36">
        <v>1</v>
      </c>
      <c r="L3113" s="37">
        <v>617</v>
      </c>
    </row>
    <row r="3114" spans="1:12" ht="19.95" customHeight="1" x14ac:dyDescent="0.3">
      <c r="A3114" s="2" t="s">
        <v>4445</v>
      </c>
      <c r="B3114" s="3" t="s">
        <v>4348</v>
      </c>
      <c r="C3114" s="2" t="s">
        <v>5771</v>
      </c>
      <c r="D3114" s="3" t="s">
        <v>5774</v>
      </c>
      <c r="E3114" s="2" t="s">
        <v>5775</v>
      </c>
      <c r="F3114" s="3" t="s">
        <v>4416</v>
      </c>
      <c r="G3114" s="3" t="s">
        <v>4369</v>
      </c>
      <c r="H3114" s="1" t="s">
        <v>35</v>
      </c>
      <c r="I3114" s="2" t="s">
        <v>36</v>
      </c>
      <c r="J3114" s="3" t="s">
        <v>11</v>
      </c>
      <c r="K3114" s="38">
        <v>1.6</v>
      </c>
      <c r="L3114" s="39">
        <v>300</v>
      </c>
    </row>
    <row r="3115" spans="1:12" ht="19.95" customHeight="1" x14ac:dyDescent="0.3">
      <c r="A3115" s="6" t="s">
        <v>4445</v>
      </c>
      <c r="B3115" s="7" t="s">
        <v>4348</v>
      </c>
      <c r="C3115" s="6" t="s">
        <v>5771</v>
      </c>
      <c r="D3115" s="7" t="s">
        <v>5776</v>
      </c>
      <c r="E3115" s="6" t="s">
        <v>5777</v>
      </c>
      <c r="F3115" s="7" t="s">
        <v>4416</v>
      </c>
      <c r="G3115" s="7" t="s">
        <v>4367</v>
      </c>
      <c r="H3115" s="5" t="s">
        <v>249</v>
      </c>
      <c r="I3115" s="6" t="s">
        <v>250</v>
      </c>
      <c r="J3115" s="7" t="s">
        <v>11</v>
      </c>
      <c r="K3115" s="36">
        <v>1</v>
      </c>
      <c r="L3115" s="37">
        <v>617</v>
      </c>
    </row>
    <row r="3116" spans="1:12" ht="19.95" customHeight="1" x14ac:dyDescent="0.3">
      <c r="A3116" s="2" t="s">
        <v>4445</v>
      </c>
      <c r="B3116" s="3" t="s">
        <v>4348</v>
      </c>
      <c r="C3116" s="2" t="s">
        <v>5771</v>
      </c>
      <c r="D3116" s="3" t="s">
        <v>5776</v>
      </c>
      <c r="E3116" s="2" t="s">
        <v>5777</v>
      </c>
      <c r="F3116" s="3" t="s">
        <v>4416</v>
      </c>
      <c r="G3116" s="3" t="s">
        <v>4369</v>
      </c>
      <c r="H3116" s="1" t="s">
        <v>35</v>
      </c>
      <c r="I3116" s="2" t="s">
        <v>36</v>
      </c>
      <c r="J3116" s="3" t="s">
        <v>11</v>
      </c>
      <c r="K3116" s="38">
        <v>1.6</v>
      </c>
      <c r="L3116" s="39">
        <v>300</v>
      </c>
    </row>
    <row r="3117" spans="1:12" ht="19.95" customHeight="1" x14ac:dyDescent="0.3">
      <c r="A3117" s="6" t="s">
        <v>4445</v>
      </c>
      <c r="B3117" s="7" t="s">
        <v>4348</v>
      </c>
      <c r="C3117" s="6" t="s">
        <v>5771</v>
      </c>
      <c r="D3117" s="7" t="s">
        <v>5778</v>
      </c>
      <c r="E3117" s="6" t="s">
        <v>5779</v>
      </c>
      <c r="F3117" s="7" t="s">
        <v>4416</v>
      </c>
      <c r="G3117" s="7" t="s">
        <v>4367</v>
      </c>
      <c r="H3117" s="5" t="s">
        <v>249</v>
      </c>
      <c r="I3117" s="6" t="s">
        <v>250</v>
      </c>
      <c r="J3117" s="7" t="s">
        <v>11</v>
      </c>
      <c r="K3117" s="36">
        <v>1</v>
      </c>
      <c r="L3117" s="37">
        <v>617</v>
      </c>
    </row>
    <row r="3118" spans="1:12" ht="19.95" customHeight="1" x14ac:dyDescent="0.3">
      <c r="A3118" s="2" t="s">
        <v>4445</v>
      </c>
      <c r="B3118" s="3" t="s">
        <v>4348</v>
      </c>
      <c r="C3118" s="2" t="s">
        <v>5771</v>
      </c>
      <c r="D3118" s="3" t="s">
        <v>5778</v>
      </c>
      <c r="E3118" s="2" t="s">
        <v>5779</v>
      </c>
      <c r="F3118" s="3" t="s">
        <v>4416</v>
      </c>
      <c r="G3118" s="3" t="s">
        <v>4369</v>
      </c>
      <c r="H3118" s="1" t="s">
        <v>35</v>
      </c>
      <c r="I3118" s="2" t="s">
        <v>36</v>
      </c>
      <c r="J3118" s="3" t="s">
        <v>11</v>
      </c>
      <c r="K3118" s="38">
        <v>1.6</v>
      </c>
      <c r="L3118" s="39">
        <v>300</v>
      </c>
    </row>
    <row r="3119" spans="1:12" ht="19.95" customHeight="1" x14ac:dyDescent="0.3">
      <c r="A3119" s="6" t="s">
        <v>4445</v>
      </c>
      <c r="B3119" s="7" t="s">
        <v>4348</v>
      </c>
      <c r="C3119" s="6" t="s">
        <v>5771</v>
      </c>
      <c r="D3119" s="7" t="s">
        <v>5780</v>
      </c>
      <c r="E3119" s="6" t="s">
        <v>5781</v>
      </c>
      <c r="F3119" s="7" t="s">
        <v>4416</v>
      </c>
      <c r="G3119" s="7" t="s">
        <v>4367</v>
      </c>
      <c r="H3119" s="5" t="s">
        <v>249</v>
      </c>
      <c r="I3119" s="6" t="s">
        <v>250</v>
      </c>
      <c r="J3119" s="7" t="s">
        <v>11</v>
      </c>
      <c r="K3119" s="36">
        <v>1</v>
      </c>
      <c r="L3119" s="37">
        <v>617</v>
      </c>
    </row>
    <row r="3120" spans="1:12" ht="19.95" customHeight="1" x14ac:dyDescent="0.3">
      <c r="A3120" s="2" t="s">
        <v>4445</v>
      </c>
      <c r="B3120" s="3" t="s">
        <v>4348</v>
      </c>
      <c r="C3120" s="2" t="s">
        <v>5771</v>
      </c>
      <c r="D3120" s="3" t="s">
        <v>5780</v>
      </c>
      <c r="E3120" s="2" t="s">
        <v>5781</v>
      </c>
      <c r="F3120" s="3" t="s">
        <v>4416</v>
      </c>
      <c r="G3120" s="3" t="s">
        <v>4369</v>
      </c>
      <c r="H3120" s="1" t="s">
        <v>35</v>
      </c>
      <c r="I3120" s="2" t="s">
        <v>36</v>
      </c>
      <c r="J3120" s="3" t="s">
        <v>11</v>
      </c>
      <c r="K3120" s="38">
        <v>1.6</v>
      </c>
      <c r="L3120" s="39">
        <v>300</v>
      </c>
    </row>
    <row r="3121" spans="1:12" ht="19.95" customHeight="1" x14ac:dyDescent="0.3">
      <c r="A3121" s="6" t="s">
        <v>4445</v>
      </c>
      <c r="B3121" s="7" t="s">
        <v>4348</v>
      </c>
      <c r="C3121" s="6" t="s">
        <v>5771</v>
      </c>
      <c r="D3121" s="7" t="s">
        <v>5782</v>
      </c>
      <c r="E3121" s="6" t="s">
        <v>5783</v>
      </c>
      <c r="F3121" s="7" t="s">
        <v>4416</v>
      </c>
      <c r="G3121" s="7" t="s">
        <v>4367</v>
      </c>
      <c r="H3121" s="5" t="s">
        <v>249</v>
      </c>
      <c r="I3121" s="6" t="s">
        <v>250</v>
      </c>
      <c r="J3121" s="7" t="s">
        <v>11</v>
      </c>
      <c r="K3121" s="36">
        <v>1</v>
      </c>
      <c r="L3121" s="37">
        <v>617</v>
      </c>
    </row>
    <row r="3122" spans="1:12" ht="19.95" customHeight="1" x14ac:dyDescent="0.3">
      <c r="A3122" s="2" t="s">
        <v>4445</v>
      </c>
      <c r="B3122" s="3" t="s">
        <v>4348</v>
      </c>
      <c r="C3122" s="2" t="s">
        <v>5771</v>
      </c>
      <c r="D3122" s="3" t="s">
        <v>5782</v>
      </c>
      <c r="E3122" s="2" t="s">
        <v>5783</v>
      </c>
      <c r="F3122" s="3" t="s">
        <v>4416</v>
      </c>
      <c r="G3122" s="3" t="s">
        <v>4369</v>
      </c>
      <c r="H3122" s="1" t="s">
        <v>35</v>
      </c>
      <c r="I3122" s="2" t="s">
        <v>36</v>
      </c>
      <c r="J3122" s="3" t="s">
        <v>11</v>
      </c>
      <c r="K3122" s="38">
        <v>1.6</v>
      </c>
      <c r="L3122" s="39">
        <v>300</v>
      </c>
    </row>
    <row r="3123" spans="1:12" ht="19.95" customHeight="1" x14ac:dyDescent="0.3">
      <c r="A3123" s="6" t="s">
        <v>4445</v>
      </c>
      <c r="B3123" s="7" t="s">
        <v>4348</v>
      </c>
      <c r="C3123" s="6" t="s">
        <v>5771</v>
      </c>
      <c r="D3123" s="7" t="s">
        <v>5789</v>
      </c>
      <c r="E3123" s="6" t="s">
        <v>5790</v>
      </c>
      <c r="F3123" s="7" t="s">
        <v>4416</v>
      </c>
      <c r="G3123" s="7" t="s">
        <v>4367</v>
      </c>
      <c r="H3123" s="5" t="s">
        <v>249</v>
      </c>
      <c r="I3123" s="6" t="s">
        <v>250</v>
      </c>
      <c r="J3123" s="7" t="s">
        <v>11</v>
      </c>
      <c r="K3123" s="36">
        <v>0.65</v>
      </c>
      <c r="L3123" s="37">
        <v>617</v>
      </c>
    </row>
    <row r="3124" spans="1:12" ht="19.95" customHeight="1" x14ac:dyDescent="0.3">
      <c r="A3124" s="2" t="s">
        <v>4445</v>
      </c>
      <c r="B3124" s="3" t="s">
        <v>4348</v>
      </c>
      <c r="C3124" s="2" t="s">
        <v>5771</v>
      </c>
      <c r="D3124" s="3" t="s">
        <v>5791</v>
      </c>
      <c r="E3124" s="2" t="s">
        <v>5792</v>
      </c>
      <c r="F3124" s="3" t="s">
        <v>4441</v>
      </c>
      <c r="G3124" s="3" t="s">
        <v>4367</v>
      </c>
      <c r="H3124" s="1" t="s">
        <v>249</v>
      </c>
      <c r="I3124" s="2" t="s">
        <v>250</v>
      </c>
      <c r="J3124" s="3" t="s">
        <v>11</v>
      </c>
      <c r="K3124" s="38">
        <v>2.5</v>
      </c>
      <c r="L3124" s="39">
        <v>617</v>
      </c>
    </row>
    <row r="3125" spans="1:12" ht="19.95" customHeight="1" x14ac:dyDescent="0.3">
      <c r="A3125" s="6" t="s">
        <v>4445</v>
      </c>
      <c r="B3125" s="7" t="s">
        <v>4348</v>
      </c>
      <c r="C3125" s="6" t="s">
        <v>5771</v>
      </c>
      <c r="D3125" s="7" t="s">
        <v>5793</v>
      </c>
      <c r="E3125" s="6" t="s">
        <v>5794</v>
      </c>
      <c r="F3125" s="7" t="s">
        <v>4636</v>
      </c>
      <c r="G3125" s="7" t="s">
        <v>4367</v>
      </c>
      <c r="H3125" s="5" t="s">
        <v>249</v>
      </c>
      <c r="I3125" s="6" t="s">
        <v>250</v>
      </c>
      <c r="J3125" s="7" t="s">
        <v>11</v>
      </c>
      <c r="K3125" s="36">
        <v>3.18</v>
      </c>
      <c r="L3125" s="37">
        <v>617</v>
      </c>
    </row>
    <row r="3126" spans="1:12" ht="19.95" customHeight="1" x14ac:dyDescent="0.3">
      <c r="A3126" s="2" t="s">
        <v>4445</v>
      </c>
      <c r="B3126" s="3" t="s">
        <v>4348</v>
      </c>
      <c r="C3126" s="2" t="s">
        <v>5771</v>
      </c>
      <c r="D3126" s="3" t="s">
        <v>5860</v>
      </c>
      <c r="E3126" s="2" t="s">
        <v>5861</v>
      </c>
      <c r="F3126" s="3" t="s">
        <v>4416</v>
      </c>
      <c r="G3126" s="3" t="s">
        <v>4367</v>
      </c>
      <c r="H3126" s="1" t="s">
        <v>223</v>
      </c>
      <c r="I3126" s="2" t="s">
        <v>224</v>
      </c>
      <c r="J3126" s="3" t="s">
        <v>11</v>
      </c>
      <c r="K3126" s="38">
        <v>2.15</v>
      </c>
      <c r="L3126" s="39">
        <v>679</v>
      </c>
    </row>
    <row r="3127" spans="1:12" ht="19.95" customHeight="1" x14ac:dyDescent="0.3">
      <c r="A3127" s="6" t="s">
        <v>4445</v>
      </c>
      <c r="B3127" s="7" t="s">
        <v>4348</v>
      </c>
      <c r="C3127" s="6" t="s">
        <v>5771</v>
      </c>
      <c r="D3127" s="7" t="s">
        <v>5860</v>
      </c>
      <c r="E3127" s="6" t="s">
        <v>5861</v>
      </c>
      <c r="F3127" s="7" t="s">
        <v>4416</v>
      </c>
      <c r="G3127" s="7" t="s">
        <v>4367</v>
      </c>
      <c r="H3127" s="5" t="s">
        <v>209</v>
      </c>
      <c r="I3127" s="6" t="s">
        <v>210</v>
      </c>
      <c r="J3127" s="7" t="s">
        <v>11</v>
      </c>
      <c r="K3127" s="36">
        <v>1.6</v>
      </c>
      <c r="L3127" s="37">
        <v>558</v>
      </c>
    </row>
    <row r="3128" spans="1:12" ht="19.95" customHeight="1" x14ac:dyDescent="0.3">
      <c r="A3128" s="2" t="s">
        <v>4445</v>
      </c>
      <c r="B3128" s="3" t="s">
        <v>4348</v>
      </c>
      <c r="C3128" s="2" t="s">
        <v>5771</v>
      </c>
      <c r="D3128" s="3" t="s">
        <v>5860</v>
      </c>
      <c r="E3128" s="2" t="s">
        <v>5861</v>
      </c>
      <c r="F3128" s="3" t="s">
        <v>4416</v>
      </c>
      <c r="G3128" s="3" t="s">
        <v>4367</v>
      </c>
      <c r="H3128" s="1" t="s">
        <v>211</v>
      </c>
      <c r="I3128" s="2" t="s">
        <v>212</v>
      </c>
      <c r="J3128" s="3" t="s">
        <v>11</v>
      </c>
      <c r="K3128" s="38">
        <v>1.88</v>
      </c>
      <c r="L3128" s="39">
        <v>558</v>
      </c>
    </row>
    <row r="3129" spans="1:12" ht="19.95" customHeight="1" x14ac:dyDescent="0.3">
      <c r="A3129" s="6" t="s">
        <v>4445</v>
      </c>
      <c r="B3129" s="7" t="s">
        <v>4348</v>
      </c>
      <c r="C3129" s="6" t="s">
        <v>5771</v>
      </c>
      <c r="D3129" s="7" t="s">
        <v>5860</v>
      </c>
      <c r="E3129" s="6" t="s">
        <v>5861</v>
      </c>
      <c r="F3129" s="7" t="s">
        <v>4416</v>
      </c>
      <c r="G3129" s="7" t="s">
        <v>4367</v>
      </c>
      <c r="H3129" s="5" t="s">
        <v>197</v>
      </c>
      <c r="I3129" s="6" t="s">
        <v>198</v>
      </c>
      <c r="J3129" s="7" t="s">
        <v>11</v>
      </c>
      <c r="K3129" s="36">
        <v>0.27</v>
      </c>
      <c r="L3129" s="37">
        <v>617</v>
      </c>
    </row>
    <row r="3130" spans="1:12" ht="19.95" customHeight="1" x14ac:dyDescent="0.3">
      <c r="A3130" s="2" t="s">
        <v>4445</v>
      </c>
      <c r="B3130" s="3" t="s">
        <v>4348</v>
      </c>
      <c r="C3130" s="2" t="s">
        <v>5771</v>
      </c>
      <c r="D3130" s="3" t="s">
        <v>5862</v>
      </c>
      <c r="E3130" s="2" t="s">
        <v>5863</v>
      </c>
      <c r="F3130" s="3" t="s">
        <v>4416</v>
      </c>
      <c r="G3130" s="3" t="s">
        <v>4367</v>
      </c>
      <c r="H3130" s="1" t="s">
        <v>223</v>
      </c>
      <c r="I3130" s="2" t="s">
        <v>224</v>
      </c>
      <c r="J3130" s="3" t="s">
        <v>11</v>
      </c>
      <c r="K3130" s="38">
        <v>2.15</v>
      </c>
      <c r="L3130" s="39">
        <v>679</v>
      </c>
    </row>
    <row r="3131" spans="1:12" ht="19.95" customHeight="1" x14ac:dyDescent="0.3">
      <c r="A3131" s="6" t="s">
        <v>4445</v>
      </c>
      <c r="B3131" s="7" t="s">
        <v>4348</v>
      </c>
      <c r="C3131" s="6" t="s">
        <v>5771</v>
      </c>
      <c r="D3131" s="7" t="s">
        <v>5862</v>
      </c>
      <c r="E3131" s="6" t="s">
        <v>5863</v>
      </c>
      <c r="F3131" s="7" t="s">
        <v>4416</v>
      </c>
      <c r="G3131" s="7" t="s">
        <v>4367</v>
      </c>
      <c r="H3131" s="5" t="s">
        <v>209</v>
      </c>
      <c r="I3131" s="6" t="s">
        <v>210</v>
      </c>
      <c r="J3131" s="7" t="s">
        <v>11</v>
      </c>
      <c r="K3131" s="36">
        <v>1.86</v>
      </c>
      <c r="L3131" s="37">
        <v>558</v>
      </c>
    </row>
    <row r="3132" spans="1:12" ht="19.95" customHeight="1" x14ac:dyDescent="0.3">
      <c r="A3132" s="2" t="s">
        <v>4445</v>
      </c>
      <c r="B3132" s="3" t="s">
        <v>4348</v>
      </c>
      <c r="C3132" s="2" t="s">
        <v>5771</v>
      </c>
      <c r="D3132" s="3" t="s">
        <v>5862</v>
      </c>
      <c r="E3132" s="2" t="s">
        <v>5863</v>
      </c>
      <c r="F3132" s="3" t="s">
        <v>4416</v>
      </c>
      <c r="G3132" s="3" t="s">
        <v>4367</v>
      </c>
      <c r="H3132" s="1" t="s">
        <v>211</v>
      </c>
      <c r="I3132" s="2" t="s">
        <v>212</v>
      </c>
      <c r="J3132" s="3" t="s">
        <v>11</v>
      </c>
      <c r="K3132" s="38">
        <v>1.88</v>
      </c>
      <c r="L3132" s="39">
        <v>558</v>
      </c>
    </row>
    <row r="3133" spans="1:12" ht="19.95" customHeight="1" x14ac:dyDescent="0.3">
      <c r="A3133" s="6" t="s">
        <v>4445</v>
      </c>
      <c r="B3133" s="7" t="s">
        <v>4348</v>
      </c>
      <c r="C3133" s="6" t="s">
        <v>5771</v>
      </c>
      <c r="D3133" s="7" t="s">
        <v>5862</v>
      </c>
      <c r="E3133" s="6" t="s">
        <v>5863</v>
      </c>
      <c r="F3133" s="7" t="s">
        <v>4416</v>
      </c>
      <c r="G3133" s="7" t="s">
        <v>4367</v>
      </c>
      <c r="H3133" s="5" t="s">
        <v>197</v>
      </c>
      <c r="I3133" s="6" t="s">
        <v>198</v>
      </c>
      <c r="J3133" s="7" t="s">
        <v>11</v>
      </c>
      <c r="K3133" s="36">
        <v>0.27</v>
      </c>
      <c r="L3133" s="37">
        <v>617</v>
      </c>
    </row>
    <row r="3134" spans="1:12" ht="19.95" customHeight="1" x14ac:dyDescent="0.3">
      <c r="A3134" s="2" t="s">
        <v>4445</v>
      </c>
      <c r="B3134" s="3" t="s">
        <v>4348</v>
      </c>
      <c r="C3134" s="2" t="s">
        <v>5771</v>
      </c>
      <c r="D3134" s="3" t="s">
        <v>5840</v>
      </c>
      <c r="E3134" s="2" t="s">
        <v>5841</v>
      </c>
      <c r="F3134" s="3" t="s">
        <v>4368</v>
      </c>
      <c r="G3134" s="3" t="s">
        <v>4367</v>
      </c>
      <c r="H3134" s="1" t="s">
        <v>249</v>
      </c>
      <c r="I3134" s="2" t="s">
        <v>250</v>
      </c>
      <c r="J3134" s="3" t="s">
        <v>11</v>
      </c>
      <c r="K3134" s="38">
        <v>5</v>
      </c>
      <c r="L3134" s="39">
        <v>617</v>
      </c>
    </row>
    <row r="3135" spans="1:12" ht="19.95" customHeight="1" x14ac:dyDescent="0.3">
      <c r="A3135" s="6" t="s">
        <v>4445</v>
      </c>
      <c r="B3135" s="7" t="s">
        <v>4348</v>
      </c>
      <c r="C3135" s="6" t="s">
        <v>5771</v>
      </c>
      <c r="D3135" s="7" t="s">
        <v>5840</v>
      </c>
      <c r="E3135" s="6" t="s">
        <v>5841</v>
      </c>
      <c r="F3135" s="7" t="s">
        <v>4368</v>
      </c>
      <c r="G3135" s="7" t="s">
        <v>4369</v>
      </c>
      <c r="H3135" s="5" t="s">
        <v>35</v>
      </c>
      <c r="I3135" s="6" t="s">
        <v>36</v>
      </c>
      <c r="J3135" s="7" t="s">
        <v>11</v>
      </c>
      <c r="K3135" s="36">
        <v>4</v>
      </c>
      <c r="L3135" s="37">
        <v>300</v>
      </c>
    </row>
    <row r="3136" spans="1:12" ht="19.95" customHeight="1" x14ac:dyDescent="0.3">
      <c r="A3136" s="2" t="s">
        <v>4445</v>
      </c>
      <c r="B3136" s="3" t="s">
        <v>4348</v>
      </c>
      <c r="C3136" s="2" t="s">
        <v>5771</v>
      </c>
      <c r="D3136" s="3" t="s">
        <v>5844</v>
      </c>
      <c r="E3136" s="2" t="s">
        <v>5845</v>
      </c>
      <c r="F3136" s="3" t="s">
        <v>4416</v>
      </c>
      <c r="G3136" s="3" t="s">
        <v>4367</v>
      </c>
      <c r="H3136" s="1" t="s">
        <v>249</v>
      </c>
      <c r="I3136" s="2" t="s">
        <v>250</v>
      </c>
      <c r="J3136" s="3" t="s">
        <v>11</v>
      </c>
      <c r="K3136" s="38">
        <v>1</v>
      </c>
      <c r="L3136" s="39">
        <v>617</v>
      </c>
    </row>
    <row r="3137" spans="1:12" ht="19.95" customHeight="1" x14ac:dyDescent="0.3">
      <c r="A3137" s="6" t="s">
        <v>4445</v>
      </c>
      <c r="B3137" s="7" t="s">
        <v>4348</v>
      </c>
      <c r="C3137" s="6" t="s">
        <v>5771</v>
      </c>
      <c r="D3137" s="7" t="s">
        <v>5844</v>
      </c>
      <c r="E3137" s="6" t="s">
        <v>5845</v>
      </c>
      <c r="F3137" s="7" t="s">
        <v>4416</v>
      </c>
      <c r="G3137" s="7" t="s">
        <v>4369</v>
      </c>
      <c r="H3137" s="5" t="s">
        <v>35</v>
      </c>
      <c r="I3137" s="6" t="s">
        <v>36</v>
      </c>
      <c r="J3137" s="7" t="s">
        <v>11</v>
      </c>
      <c r="K3137" s="36">
        <v>1.6</v>
      </c>
      <c r="L3137" s="37">
        <v>300</v>
      </c>
    </row>
    <row r="3138" spans="1:12" ht="19.95" customHeight="1" x14ac:dyDescent="0.3">
      <c r="A3138" s="2" t="s">
        <v>4445</v>
      </c>
      <c r="B3138" s="3" t="s">
        <v>4348</v>
      </c>
      <c r="C3138" s="2" t="s">
        <v>5771</v>
      </c>
      <c r="D3138" s="3" t="s">
        <v>5846</v>
      </c>
      <c r="E3138" s="2" t="s">
        <v>5847</v>
      </c>
      <c r="F3138" s="3" t="s">
        <v>4416</v>
      </c>
      <c r="G3138" s="3" t="s">
        <v>4367</v>
      </c>
      <c r="H3138" s="1" t="s">
        <v>249</v>
      </c>
      <c r="I3138" s="2" t="s">
        <v>250</v>
      </c>
      <c r="J3138" s="3" t="s">
        <v>11</v>
      </c>
      <c r="K3138" s="38">
        <v>1</v>
      </c>
      <c r="L3138" s="39">
        <v>617</v>
      </c>
    </row>
    <row r="3139" spans="1:12" ht="19.95" customHeight="1" x14ac:dyDescent="0.3">
      <c r="A3139" s="6" t="s">
        <v>4445</v>
      </c>
      <c r="B3139" s="7" t="s">
        <v>4348</v>
      </c>
      <c r="C3139" s="6" t="s">
        <v>5771</v>
      </c>
      <c r="D3139" s="7" t="s">
        <v>5846</v>
      </c>
      <c r="E3139" s="6" t="s">
        <v>5847</v>
      </c>
      <c r="F3139" s="7" t="s">
        <v>4416</v>
      </c>
      <c r="G3139" s="7" t="s">
        <v>4369</v>
      </c>
      <c r="H3139" s="5" t="s">
        <v>35</v>
      </c>
      <c r="I3139" s="6" t="s">
        <v>36</v>
      </c>
      <c r="J3139" s="7" t="s">
        <v>11</v>
      </c>
      <c r="K3139" s="36">
        <v>1.6</v>
      </c>
      <c r="L3139" s="37">
        <v>300</v>
      </c>
    </row>
    <row r="3140" spans="1:12" ht="19.95" customHeight="1" x14ac:dyDescent="0.3">
      <c r="A3140" s="2" t="s">
        <v>4445</v>
      </c>
      <c r="B3140" s="3" t="s">
        <v>4348</v>
      </c>
      <c r="C3140" s="2" t="s">
        <v>5771</v>
      </c>
      <c r="D3140" s="3" t="s">
        <v>4579</v>
      </c>
      <c r="E3140" s="2" t="s">
        <v>4864</v>
      </c>
      <c r="F3140" s="3" t="s">
        <v>4368</v>
      </c>
      <c r="G3140" s="3" t="s">
        <v>4367</v>
      </c>
      <c r="H3140" s="1" t="s">
        <v>249</v>
      </c>
      <c r="I3140" s="2" t="s">
        <v>250</v>
      </c>
      <c r="J3140" s="3" t="s">
        <v>11</v>
      </c>
      <c r="K3140" s="38">
        <v>0.61799999999999999</v>
      </c>
      <c r="L3140" s="39">
        <v>617</v>
      </c>
    </row>
    <row r="3141" spans="1:12" ht="19.95" customHeight="1" x14ac:dyDescent="0.3">
      <c r="A3141" s="6" t="s">
        <v>4445</v>
      </c>
      <c r="B3141" s="7" t="s">
        <v>4348</v>
      </c>
      <c r="C3141" s="6" t="s">
        <v>5771</v>
      </c>
      <c r="D3141" s="7" t="s">
        <v>4579</v>
      </c>
      <c r="E3141" s="6" t="s">
        <v>4864</v>
      </c>
      <c r="F3141" s="7" t="s">
        <v>4368</v>
      </c>
      <c r="G3141" s="7" t="s">
        <v>4369</v>
      </c>
      <c r="H3141" s="5" t="s">
        <v>35</v>
      </c>
      <c r="I3141" s="6" t="s">
        <v>36</v>
      </c>
      <c r="J3141" s="7" t="s">
        <v>11</v>
      </c>
      <c r="K3141" s="36">
        <v>0.98799999999999999</v>
      </c>
      <c r="L3141" s="37">
        <v>300</v>
      </c>
    </row>
    <row r="3142" spans="1:12" ht="19.95" customHeight="1" x14ac:dyDescent="0.3">
      <c r="A3142" s="2" t="s">
        <v>4445</v>
      </c>
      <c r="B3142" s="3" t="s">
        <v>4348</v>
      </c>
      <c r="C3142" s="2" t="s">
        <v>5771</v>
      </c>
      <c r="D3142" s="3" t="s">
        <v>4579</v>
      </c>
      <c r="E3142" s="2" t="s">
        <v>4864</v>
      </c>
      <c r="F3142" s="3" t="s">
        <v>4368</v>
      </c>
      <c r="G3142" s="3" t="s">
        <v>4367</v>
      </c>
      <c r="H3142" s="1" t="s">
        <v>249</v>
      </c>
      <c r="I3142" s="2" t="s">
        <v>250</v>
      </c>
      <c r="J3142" s="3" t="s">
        <v>11</v>
      </c>
      <c r="K3142" s="38">
        <v>0.61799999999999999</v>
      </c>
      <c r="L3142" s="39">
        <v>617</v>
      </c>
    </row>
    <row r="3143" spans="1:12" ht="19.95" customHeight="1" x14ac:dyDescent="0.3">
      <c r="A3143" s="6" t="s">
        <v>4445</v>
      </c>
      <c r="B3143" s="7" t="s">
        <v>4348</v>
      </c>
      <c r="C3143" s="6" t="s">
        <v>5771</v>
      </c>
      <c r="D3143" s="7" t="s">
        <v>4579</v>
      </c>
      <c r="E3143" s="6" t="s">
        <v>4864</v>
      </c>
      <c r="F3143" s="7" t="s">
        <v>4368</v>
      </c>
      <c r="G3143" s="7" t="s">
        <v>4369</v>
      </c>
      <c r="H3143" s="5" t="s">
        <v>35</v>
      </c>
      <c r="I3143" s="6" t="s">
        <v>36</v>
      </c>
      <c r="J3143" s="7" t="s">
        <v>11</v>
      </c>
      <c r="K3143" s="36">
        <v>0.98799999999999999</v>
      </c>
      <c r="L3143" s="37">
        <v>300</v>
      </c>
    </row>
    <row r="3144" spans="1:12" ht="19.95" customHeight="1" x14ac:dyDescent="0.3">
      <c r="A3144" s="2" t="s">
        <v>4445</v>
      </c>
      <c r="B3144" s="3" t="s">
        <v>4348</v>
      </c>
      <c r="C3144" s="2" t="s">
        <v>5771</v>
      </c>
      <c r="D3144" s="3" t="s">
        <v>4605</v>
      </c>
      <c r="E3144" s="2" t="s">
        <v>4835</v>
      </c>
      <c r="F3144" s="3" t="s">
        <v>4368</v>
      </c>
      <c r="G3144" s="3" t="s">
        <v>4367</v>
      </c>
      <c r="H3144" s="1" t="s">
        <v>249</v>
      </c>
      <c r="I3144" s="2" t="s">
        <v>250</v>
      </c>
      <c r="J3144" s="3" t="s">
        <v>11</v>
      </c>
      <c r="K3144" s="38">
        <v>7</v>
      </c>
      <c r="L3144" s="39">
        <v>617</v>
      </c>
    </row>
    <row r="3145" spans="1:12" ht="19.95" customHeight="1" x14ac:dyDescent="0.3">
      <c r="A3145" s="6" t="s">
        <v>4445</v>
      </c>
      <c r="B3145" s="7" t="s">
        <v>4348</v>
      </c>
      <c r="C3145" s="6" t="s">
        <v>5771</v>
      </c>
      <c r="D3145" s="7" t="s">
        <v>4605</v>
      </c>
      <c r="E3145" s="6" t="s">
        <v>4835</v>
      </c>
      <c r="F3145" s="7" t="s">
        <v>4368</v>
      </c>
      <c r="G3145" s="7" t="s">
        <v>4367</v>
      </c>
      <c r="H3145" s="5" t="s">
        <v>249</v>
      </c>
      <c r="I3145" s="6" t="s">
        <v>250</v>
      </c>
      <c r="J3145" s="7" t="s">
        <v>11</v>
      </c>
      <c r="K3145" s="36">
        <v>7</v>
      </c>
      <c r="L3145" s="37">
        <v>617</v>
      </c>
    </row>
    <row r="3146" spans="1:12" ht="19.95" customHeight="1" x14ac:dyDescent="0.3">
      <c r="A3146" s="2" t="s">
        <v>4445</v>
      </c>
      <c r="B3146" s="3" t="s">
        <v>4348</v>
      </c>
      <c r="C3146" s="2" t="s">
        <v>5771</v>
      </c>
      <c r="D3146" s="3" t="s">
        <v>4605</v>
      </c>
      <c r="E3146" s="2" t="s">
        <v>4835</v>
      </c>
      <c r="F3146" s="3" t="s">
        <v>4368</v>
      </c>
      <c r="G3146" s="3" t="s">
        <v>4367</v>
      </c>
      <c r="H3146" s="1" t="s">
        <v>249</v>
      </c>
      <c r="I3146" s="2" t="s">
        <v>250</v>
      </c>
      <c r="J3146" s="3" t="s">
        <v>11</v>
      </c>
      <c r="K3146" s="38">
        <v>7.6</v>
      </c>
      <c r="L3146" s="39">
        <v>617</v>
      </c>
    </row>
    <row r="3147" spans="1:12" ht="19.95" customHeight="1" x14ac:dyDescent="0.3">
      <c r="A3147" s="6" t="s">
        <v>4445</v>
      </c>
      <c r="B3147" s="7" t="s">
        <v>4348</v>
      </c>
      <c r="C3147" s="6" t="s">
        <v>5771</v>
      </c>
      <c r="D3147" s="7" t="s">
        <v>4605</v>
      </c>
      <c r="E3147" s="6" t="s">
        <v>4835</v>
      </c>
      <c r="F3147" s="7" t="s">
        <v>4368</v>
      </c>
      <c r="G3147" s="7" t="s">
        <v>4367</v>
      </c>
      <c r="H3147" s="5" t="s">
        <v>249</v>
      </c>
      <c r="I3147" s="6" t="s">
        <v>250</v>
      </c>
      <c r="J3147" s="7" t="s">
        <v>11</v>
      </c>
      <c r="K3147" s="36">
        <v>7.6</v>
      </c>
      <c r="L3147" s="37">
        <v>617</v>
      </c>
    </row>
    <row r="3148" spans="1:12" ht="19.95" customHeight="1" x14ac:dyDescent="0.3">
      <c r="A3148" s="2" t="s">
        <v>4445</v>
      </c>
      <c r="B3148" s="3" t="s">
        <v>4348</v>
      </c>
      <c r="C3148" s="2" t="s">
        <v>5771</v>
      </c>
      <c r="D3148" s="3" t="s">
        <v>4605</v>
      </c>
      <c r="E3148" s="2" t="s">
        <v>4835</v>
      </c>
      <c r="F3148" s="3" t="s">
        <v>4368</v>
      </c>
      <c r="G3148" s="3" t="s">
        <v>4367</v>
      </c>
      <c r="H3148" s="1" t="s">
        <v>249</v>
      </c>
      <c r="I3148" s="2" t="s">
        <v>250</v>
      </c>
      <c r="J3148" s="3" t="s">
        <v>11</v>
      </c>
      <c r="K3148" s="38">
        <v>7.6</v>
      </c>
      <c r="L3148" s="39">
        <v>617</v>
      </c>
    </row>
    <row r="3149" spans="1:12" ht="19.95" customHeight="1" x14ac:dyDescent="0.3">
      <c r="A3149" s="6" t="s">
        <v>4445</v>
      </c>
      <c r="B3149" s="7" t="s">
        <v>4348</v>
      </c>
      <c r="C3149" s="6" t="s">
        <v>5771</v>
      </c>
      <c r="D3149" s="7" t="s">
        <v>4605</v>
      </c>
      <c r="E3149" s="6" t="s">
        <v>4835</v>
      </c>
      <c r="F3149" s="7" t="s">
        <v>4368</v>
      </c>
      <c r="G3149" s="7" t="s">
        <v>4367</v>
      </c>
      <c r="H3149" s="5" t="s">
        <v>249</v>
      </c>
      <c r="I3149" s="6" t="s">
        <v>250</v>
      </c>
      <c r="J3149" s="7" t="s">
        <v>11</v>
      </c>
      <c r="K3149" s="36">
        <v>7.6</v>
      </c>
      <c r="L3149" s="37">
        <v>617</v>
      </c>
    </row>
    <row r="3150" spans="1:12" ht="19.95" customHeight="1" x14ac:dyDescent="0.3">
      <c r="A3150" s="2" t="s">
        <v>4445</v>
      </c>
      <c r="B3150" s="3" t="s">
        <v>4348</v>
      </c>
      <c r="C3150" s="2" t="s">
        <v>5771</v>
      </c>
      <c r="D3150" s="3" t="s">
        <v>4605</v>
      </c>
      <c r="E3150" s="2" t="s">
        <v>4835</v>
      </c>
      <c r="F3150" s="3" t="s">
        <v>4368</v>
      </c>
      <c r="G3150" s="3" t="s">
        <v>4367</v>
      </c>
      <c r="H3150" s="1" t="s">
        <v>249</v>
      </c>
      <c r="I3150" s="2" t="s">
        <v>250</v>
      </c>
      <c r="J3150" s="3" t="s">
        <v>11</v>
      </c>
      <c r="K3150" s="38">
        <v>7</v>
      </c>
      <c r="L3150" s="39">
        <v>617</v>
      </c>
    </row>
    <row r="3151" spans="1:12" ht="19.95" customHeight="1" x14ac:dyDescent="0.3">
      <c r="A3151" s="6" t="s">
        <v>4445</v>
      </c>
      <c r="B3151" s="7" t="s">
        <v>4348</v>
      </c>
      <c r="C3151" s="6" t="s">
        <v>5771</v>
      </c>
      <c r="D3151" s="7" t="s">
        <v>4607</v>
      </c>
      <c r="E3151" s="6" t="s">
        <v>4838</v>
      </c>
      <c r="F3151" s="7" t="s">
        <v>4368</v>
      </c>
      <c r="G3151" s="7" t="s">
        <v>4367</v>
      </c>
      <c r="H3151" s="5" t="s">
        <v>249</v>
      </c>
      <c r="I3151" s="6" t="s">
        <v>250</v>
      </c>
      <c r="J3151" s="7" t="s">
        <v>11</v>
      </c>
      <c r="K3151" s="36">
        <v>1</v>
      </c>
      <c r="L3151" s="37">
        <v>617</v>
      </c>
    </row>
    <row r="3152" spans="1:12" ht="19.95" customHeight="1" x14ac:dyDescent="0.3">
      <c r="A3152" s="2" t="s">
        <v>4445</v>
      </c>
      <c r="B3152" s="3" t="s">
        <v>4348</v>
      </c>
      <c r="C3152" s="2" t="s">
        <v>5771</v>
      </c>
      <c r="D3152" s="3" t="s">
        <v>4607</v>
      </c>
      <c r="E3152" s="2" t="s">
        <v>4838</v>
      </c>
      <c r="F3152" s="3" t="s">
        <v>4368</v>
      </c>
      <c r="G3152" s="3" t="s">
        <v>4369</v>
      </c>
      <c r="H3152" s="1" t="s">
        <v>35</v>
      </c>
      <c r="I3152" s="2" t="s">
        <v>36</v>
      </c>
      <c r="J3152" s="3" t="s">
        <v>11</v>
      </c>
      <c r="K3152" s="38">
        <v>1.6</v>
      </c>
      <c r="L3152" s="39">
        <v>300</v>
      </c>
    </row>
    <row r="3153" spans="1:12" ht="19.95" customHeight="1" x14ac:dyDescent="0.3">
      <c r="A3153" s="6" t="s">
        <v>4445</v>
      </c>
      <c r="B3153" s="7" t="s">
        <v>4348</v>
      </c>
      <c r="C3153" s="6" t="s">
        <v>5771</v>
      </c>
      <c r="D3153" s="7" t="s">
        <v>4607</v>
      </c>
      <c r="E3153" s="6" t="s">
        <v>4838</v>
      </c>
      <c r="F3153" s="7" t="s">
        <v>4368</v>
      </c>
      <c r="G3153" s="7" t="s">
        <v>4367</v>
      </c>
      <c r="H3153" s="5" t="s">
        <v>249</v>
      </c>
      <c r="I3153" s="6" t="s">
        <v>250</v>
      </c>
      <c r="J3153" s="7" t="s">
        <v>11</v>
      </c>
      <c r="K3153" s="36">
        <v>1</v>
      </c>
      <c r="L3153" s="37">
        <v>617</v>
      </c>
    </row>
    <row r="3154" spans="1:12" ht="19.95" customHeight="1" x14ac:dyDescent="0.3">
      <c r="A3154" s="2" t="s">
        <v>4445</v>
      </c>
      <c r="B3154" s="3" t="s">
        <v>4348</v>
      </c>
      <c r="C3154" s="2" t="s">
        <v>5771</v>
      </c>
      <c r="D3154" s="3" t="s">
        <v>4607</v>
      </c>
      <c r="E3154" s="2" t="s">
        <v>4838</v>
      </c>
      <c r="F3154" s="3" t="s">
        <v>4368</v>
      </c>
      <c r="G3154" s="3" t="s">
        <v>4369</v>
      </c>
      <c r="H3154" s="1" t="s">
        <v>35</v>
      </c>
      <c r="I3154" s="2" t="s">
        <v>36</v>
      </c>
      <c r="J3154" s="3" t="s">
        <v>11</v>
      </c>
      <c r="K3154" s="38">
        <v>1.6</v>
      </c>
      <c r="L3154" s="39">
        <v>300</v>
      </c>
    </row>
    <row r="3155" spans="1:12" ht="19.95" customHeight="1" x14ac:dyDescent="0.3">
      <c r="A3155" s="6" t="s">
        <v>4445</v>
      </c>
      <c r="B3155" s="7" t="s">
        <v>4348</v>
      </c>
      <c r="C3155" s="6" t="s">
        <v>5771</v>
      </c>
      <c r="D3155" s="7" t="s">
        <v>4607</v>
      </c>
      <c r="E3155" s="6" t="s">
        <v>4838</v>
      </c>
      <c r="F3155" s="7" t="s">
        <v>4368</v>
      </c>
      <c r="G3155" s="7" t="s">
        <v>4367</v>
      </c>
      <c r="H3155" s="5" t="s">
        <v>249</v>
      </c>
      <c r="I3155" s="6" t="s">
        <v>250</v>
      </c>
      <c r="J3155" s="7" t="s">
        <v>11</v>
      </c>
      <c r="K3155" s="36">
        <v>1</v>
      </c>
      <c r="L3155" s="37">
        <v>617</v>
      </c>
    </row>
    <row r="3156" spans="1:12" ht="19.95" customHeight="1" x14ac:dyDescent="0.3">
      <c r="A3156" s="2" t="s">
        <v>4445</v>
      </c>
      <c r="B3156" s="3" t="s">
        <v>4348</v>
      </c>
      <c r="C3156" s="2" t="s">
        <v>5771</v>
      </c>
      <c r="D3156" s="3" t="s">
        <v>4607</v>
      </c>
      <c r="E3156" s="2" t="s">
        <v>4838</v>
      </c>
      <c r="F3156" s="3" t="s">
        <v>4368</v>
      </c>
      <c r="G3156" s="3" t="s">
        <v>4369</v>
      </c>
      <c r="H3156" s="1" t="s">
        <v>35</v>
      </c>
      <c r="I3156" s="2" t="s">
        <v>36</v>
      </c>
      <c r="J3156" s="3" t="s">
        <v>11</v>
      </c>
      <c r="K3156" s="38">
        <v>1.6</v>
      </c>
      <c r="L3156" s="39">
        <v>300</v>
      </c>
    </row>
    <row r="3157" spans="1:12" ht="19.95" customHeight="1" x14ac:dyDescent="0.3">
      <c r="A3157" s="6" t="s">
        <v>4445</v>
      </c>
      <c r="B3157" s="7" t="s">
        <v>4348</v>
      </c>
      <c r="C3157" s="6" t="s">
        <v>5771</v>
      </c>
      <c r="D3157" s="7" t="s">
        <v>4607</v>
      </c>
      <c r="E3157" s="6" t="s">
        <v>4838</v>
      </c>
      <c r="F3157" s="7" t="s">
        <v>4368</v>
      </c>
      <c r="G3157" s="7" t="s">
        <v>4367</v>
      </c>
      <c r="H3157" s="5" t="s">
        <v>249</v>
      </c>
      <c r="I3157" s="6" t="s">
        <v>250</v>
      </c>
      <c r="J3157" s="7" t="s">
        <v>11</v>
      </c>
      <c r="K3157" s="36">
        <v>1</v>
      </c>
      <c r="L3157" s="37">
        <v>617</v>
      </c>
    </row>
    <row r="3158" spans="1:12" ht="19.95" customHeight="1" x14ac:dyDescent="0.3">
      <c r="A3158" s="2" t="s">
        <v>4445</v>
      </c>
      <c r="B3158" s="3" t="s">
        <v>4348</v>
      </c>
      <c r="C3158" s="2" t="s">
        <v>5771</v>
      </c>
      <c r="D3158" s="3" t="s">
        <v>4607</v>
      </c>
      <c r="E3158" s="2" t="s">
        <v>4838</v>
      </c>
      <c r="F3158" s="3" t="s">
        <v>4368</v>
      </c>
      <c r="G3158" s="3" t="s">
        <v>4369</v>
      </c>
      <c r="H3158" s="1" t="s">
        <v>35</v>
      </c>
      <c r="I3158" s="2" t="s">
        <v>36</v>
      </c>
      <c r="J3158" s="3" t="s">
        <v>11</v>
      </c>
      <c r="K3158" s="38">
        <v>1.6</v>
      </c>
      <c r="L3158" s="39">
        <v>300</v>
      </c>
    </row>
    <row r="3159" spans="1:12" ht="19.95" customHeight="1" x14ac:dyDescent="0.3">
      <c r="A3159" s="6" t="s">
        <v>4445</v>
      </c>
      <c r="B3159" s="7" t="s">
        <v>4348</v>
      </c>
      <c r="C3159" s="6" t="s">
        <v>5771</v>
      </c>
      <c r="D3159" s="7" t="s">
        <v>4607</v>
      </c>
      <c r="E3159" s="6" t="s">
        <v>4838</v>
      </c>
      <c r="F3159" s="7" t="s">
        <v>4368</v>
      </c>
      <c r="G3159" s="7" t="s">
        <v>4367</v>
      </c>
      <c r="H3159" s="5" t="s">
        <v>249</v>
      </c>
      <c r="I3159" s="6" t="s">
        <v>250</v>
      </c>
      <c r="J3159" s="7" t="s">
        <v>11</v>
      </c>
      <c r="K3159" s="36">
        <v>1</v>
      </c>
      <c r="L3159" s="37">
        <v>617</v>
      </c>
    </row>
    <row r="3160" spans="1:12" ht="19.95" customHeight="1" x14ac:dyDescent="0.3">
      <c r="A3160" s="2" t="s">
        <v>4445</v>
      </c>
      <c r="B3160" s="3" t="s">
        <v>4348</v>
      </c>
      <c r="C3160" s="2" t="s">
        <v>5771</v>
      </c>
      <c r="D3160" s="3" t="s">
        <v>4607</v>
      </c>
      <c r="E3160" s="2" t="s">
        <v>4838</v>
      </c>
      <c r="F3160" s="3" t="s">
        <v>4368</v>
      </c>
      <c r="G3160" s="3" t="s">
        <v>4369</v>
      </c>
      <c r="H3160" s="1" t="s">
        <v>35</v>
      </c>
      <c r="I3160" s="2" t="s">
        <v>36</v>
      </c>
      <c r="J3160" s="3" t="s">
        <v>11</v>
      </c>
      <c r="K3160" s="38">
        <v>1.6</v>
      </c>
      <c r="L3160" s="39">
        <v>300</v>
      </c>
    </row>
    <row r="3161" spans="1:12" ht="19.95" customHeight="1" x14ac:dyDescent="0.3">
      <c r="A3161" s="6" t="s">
        <v>4445</v>
      </c>
      <c r="B3161" s="7" t="s">
        <v>4348</v>
      </c>
      <c r="C3161" s="6" t="s">
        <v>5771</v>
      </c>
      <c r="D3161" s="7" t="s">
        <v>4607</v>
      </c>
      <c r="E3161" s="6" t="s">
        <v>4838</v>
      </c>
      <c r="F3161" s="7" t="s">
        <v>4368</v>
      </c>
      <c r="G3161" s="7" t="s">
        <v>4367</v>
      </c>
      <c r="H3161" s="5" t="s">
        <v>249</v>
      </c>
      <c r="I3161" s="6" t="s">
        <v>250</v>
      </c>
      <c r="J3161" s="7" t="s">
        <v>11</v>
      </c>
      <c r="K3161" s="36">
        <v>1</v>
      </c>
      <c r="L3161" s="37">
        <v>617</v>
      </c>
    </row>
    <row r="3162" spans="1:12" ht="19.95" customHeight="1" x14ac:dyDescent="0.3">
      <c r="A3162" s="2" t="s">
        <v>4445</v>
      </c>
      <c r="B3162" s="3" t="s">
        <v>4348</v>
      </c>
      <c r="C3162" s="2" t="s">
        <v>5771</v>
      </c>
      <c r="D3162" s="3" t="s">
        <v>4607</v>
      </c>
      <c r="E3162" s="2" t="s">
        <v>4838</v>
      </c>
      <c r="F3162" s="3" t="s">
        <v>4368</v>
      </c>
      <c r="G3162" s="3" t="s">
        <v>4369</v>
      </c>
      <c r="H3162" s="1" t="s">
        <v>35</v>
      </c>
      <c r="I3162" s="2" t="s">
        <v>36</v>
      </c>
      <c r="J3162" s="3" t="s">
        <v>11</v>
      </c>
      <c r="K3162" s="38">
        <v>1.6</v>
      </c>
      <c r="L3162" s="39">
        <v>300</v>
      </c>
    </row>
    <row r="3163" spans="1:12" ht="19.95" customHeight="1" x14ac:dyDescent="0.3">
      <c r="A3163" s="6" t="s">
        <v>4445</v>
      </c>
      <c r="B3163" s="7" t="s">
        <v>4348</v>
      </c>
      <c r="C3163" s="6" t="s">
        <v>5771</v>
      </c>
      <c r="D3163" s="7" t="s">
        <v>4607</v>
      </c>
      <c r="E3163" s="6" t="s">
        <v>4838</v>
      </c>
      <c r="F3163" s="7" t="s">
        <v>4368</v>
      </c>
      <c r="G3163" s="7" t="s">
        <v>4367</v>
      </c>
      <c r="H3163" s="5" t="s">
        <v>249</v>
      </c>
      <c r="I3163" s="6" t="s">
        <v>250</v>
      </c>
      <c r="J3163" s="7" t="s">
        <v>11</v>
      </c>
      <c r="K3163" s="36">
        <v>1</v>
      </c>
      <c r="L3163" s="37">
        <v>617</v>
      </c>
    </row>
    <row r="3164" spans="1:12" ht="19.95" customHeight="1" x14ac:dyDescent="0.3">
      <c r="A3164" s="2" t="s">
        <v>4445</v>
      </c>
      <c r="B3164" s="3" t="s">
        <v>4348</v>
      </c>
      <c r="C3164" s="2" t="s">
        <v>5771</v>
      </c>
      <c r="D3164" s="3" t="s">
        <v>4607</v>
      </c>
      <c r="E3164" s="2" t="s">
        <v>4838</v>
      </c>
      <c r="F3164" s="3" t="s">
        <v>4368</v>
      </c>
      <c r="G3164" s="3" t="s">
        <v>4369</v>
      </c>
      <c r="H3164" s="1" t="s">
        <v>35</v>
      </c>
      <c r="I3164" s="2" t="s">
        <v>36</v>
      </c>
      <c r="J3164" s="3" t="s">
        <v>11</v>
      </c>
      <c r="K3164" s="38">
        <v>1.6</v>
      </c>
      <c r="L3164" s="39">
        <v>300</v>
      </c>
    </row>
    <row r="3165" spans="1:12" ht="19.95" customHeight="1" x14ac:dyDescent="0.3">
      <c r="A3165" s="6" t="s">
        <v>4445</v>
      </c>
      <c r="B3165" s="7" t="s">
        <v>4348</v>
      </c>
      <c r="C3165" s="6" t="s">
        <v>5771</v>
      </c>
      <c r="D3165" s="7" t="s">
        <v>4607</v>
      </c>
      <c r="E3165" s="6" t="s">
        <v>4838</v>
      </c>
      <c r="F3165" s="7" t="s">
        <v>4368</v>
      </c>
      <c r="G3165" s="7" t="s">
        <v>4367</v>
      </c>
      <c r="H3165" s="5" t="s">
        <v>249</v>
      </c>
      <c r="I3165" s="6" t="s">
        <v>250</v>
      </c>
      <c r="J3165" s="7" t="s">
        <v>11</v>
      </c>
      <c r="K3165" s="36">
        <v>1</v>
      </c>
      <c r="L3165" s="37">
        <v>617</v>
      </c>
    </row>
    <row r="3166" spans="1:12" ht="19.95" customHeight="1" x14ac:dyDescent="0.3">
      <c r="A3166" s="2" t="s">
        <v>4445</v>
      </c>
      <c r="B3166" s="3" t="s">
        <v>4348</v>
      </c>
      <c r="C3166" s="2" t="s">
        <v>5771</v>
      </c>
      <c r="D3166" s="3" t="s">
        <v>4607</v>
      </c>
      <c r="E3166" s="2" t="s">
        <v>4838</v>
      </c>
      <c r="F3166" s="3" t="s">
        <v>4368</v>
      </c>
      <c r="G3166" s="3" t="s">
        <v>4369</v>
      </c>
      <c r="H3166" s="1" t="s">
        <v>35</v>
      </c>
      <c r="I3166" s="2" t="s">
        <v>36</v>
      </c>
      <c r="J3166" s="3" t="s">
        <v>11</v>
      </c>
      <c r="K3166" s="38">
        <v>1.6</v>
      </c>
      <c r="L3166" s="39">
        <v>300</v>
      </c>
    </row>
    <row r="3167" spans="1:12" ht="19.95" customHeight="1" x14ac:dyDescent="0.3">
      <c r="A3167" s="6" t="s">
        <v>4445</v>
      </c>
      <c r="B3167" s="7" t="s">
        <v>4348</v>
      </c>
      <c r="C3167" s="6" t="s">
        <v>5771</v>
      </c>
      <c r="D3167" s="7" t="s">
        <v>4607</v>
      </c>
      <c r="E3167" s="6" t="s">
        <v>4838</v>
      </c>
      <c r="F3167" s="7" t="s">
        <v>4368</v>
      </c>
      <c r="G3167" s="7" t="s">
        <v>4367</v>
      </c>
      <c r="H3167" s="5" t="s">
        <v>249</v>
      </c>
      <c r="I3167" s="6" t="s">
        <v>250</v>
      </c>
      <c r="J3167" s="7" t="s">
        <v>11</v>
      </c>
      <c r="K3167" s="36">
        <v>5</v>
      </c>
      <c r="L3167" s="37">
        <v>617</v>
      </c>
    </row>
    <row r="3168" spans="1:12" ht="19.95" customHeight="1" x14ac:dyDescent="0.3">
      <c r="A3168" s="2" t="s">
        <v>4445</v>
      </c>
      <c r="B3168" s="3" t="s">
        <v>4348</v>
      </c>
      <c r="C3168" s="2" t="s">
        <v>5771</v>
      </c>
      <c r="D3168" s="3" t="s">
        <v>4607</v>
      </c>
      <c r="E3168" s="2" t="s">
        <v>4838</v>
      </c>
      <c r="F3168" s="3" t="s">
        <v>4368</v>
      </c>
      <c r="G3168" s="3" t="s">
        <v>4369</v>
      </c>
      <c r="H3168" s="1" t="s">
        <v>35</v>
      </c>
      <c r="I3168" s="2" t="s">
        <v>36</v>
      </c>
      <c r="J3168" s="3" t="s">
        <v>11</v>
      </c>
      <c r="K3168" s="38">
        <v>4</v>
      </c>
      <c r="L3168" s="39">
        <v>300</v>
      </c>
    </row>
    <row r="3169" spans="1:12" ht="19.95" customHeight="1" x14ac:dyDescent="0.3">
      <c r="A3169" s="6" t="s">
        <v>4445</v>
      </c>
      <c r="B3169" s="7" t="s">
        <v>4348</v>
      </c>
      <c r="C3169" s="6" t="s">
        <v>5771</v>
      </c>
      <c r="D3169" s="7" t="s">
        <v>4607</v>
      </c>
      <c r="E3169" s="6" t="s">
        <v>4838</v>
      </c>
      <c r="F3169" s="7" t="s">
        <v>4368</v>
      </c>
      <c r="G3169" s="7" t="s">
        <v>4367</v>
      </c>
      <c r="H3169" s="5" t="s">
        <v>249</v>
      </c>
      <c r="I3169" s="6" t="s">
        <v>250</v>
      </c>
      <c r="J3169" s="7" t="s">
        <v>11</v>
      </c>
      <c r="K3169" s="36">
        <v>5</v>
      </c>
      <c r="L3169" s="37">
        <v>617</v>
      </c>
    </row>
    <row r="3170" spans="1:12" ht="19.95" customHeight="1" x14ac:dyDescent="0.3">
      <c r="A3170" s="2" t="s">
        <v>4445</v>
      </c>
      <c r="B3170" s="3" t="s">
        <v>4348</v>
      </c>
      <c r="C3170" s="2" t="s">
        <v>5771</v>
      </c>
      <c r="D3170" s="3" t="s">
        <v>4607</v>
      </c>
      <c r="E3170" s="2" t="s">
        <v>4838</v>
      </c>
      <c r="F3170" s="3" t="s">
        <v>4368</v>
      </c>
      <c r="G3170" s="3" t="s">
        <v>4369</v>
      </c>
      <c r="H3170" s="1" t="s">
        <v>35</v>
      </c>
      <c r="I3170" s="2" t="s">
        <v>36</v>
      </c>
      <c r="J3170" s="3" t="s">
        <v>11</v>
      </c>
      <c r="K3170" s="38">
        <v>4</v>
      </c>
      <c r="L3170" s="39">
        <v>300</v>
      </c>
    </row>
    <row r="3171" spans="1:12" ht="19.95" customHeight="1" x14ac:dyDescent="0.3">
      <c r="A3171" s="6" t="s">
        <v>4445</v>
      </c>
      <c r="B3171" s="7" t="s">
        <v>4348</v>
      </c>
      <c r="C3171" s="6" t="s">
        <v>5771</v>
      </c>
      <c r="D3171" s="7" t="s">
        <v>4607</v>
      </c>
      <c r="E3171" s="6" t="s">
        <v>4838</v>
      </c>
      <c r="F3171" s="7" t="s">
        <v>4368</v>
      </c>
      <c r="G3171" s="7" t="s">
        <v>4367</v>
      </c>
      <c r="H3171" s="5" t="s">
        <v>249</v>
      </c>
      <c r="I3171" s="6" t="s">
        <v>250</v>
      </c>
      <c r="J3171" s="7" t="s">
        <v>11</v>
      </c>
      <c r="K3171" s="36">
        <v>5</v>
      </c>
      <c r="L3171" s="37">
        <v>617</v>
      </c>
    </row>
    <row r="3172" spans="1:12" ht="19.95" customHeight="1" x14ac:dyDescent="0.3">
      <c r="A3172" s="2" t="s">
        <v>4445</v>
      </c>
      <c r="B3172" s="3" t="s">
        <v>4348</v>
      </c>
      <c r="C3172" s="2" t="s">
        <v>5771</v>
      </c>
      <c r="D3172" s="3" t="s">
        <v>4607</v>
      </c>
      <c r="E3172" s="2" t="s">
        <v>4838</v>
      </c>
      <c r="F3172" s="3" t="s">
        <v>4368</v>
      </c>
      <c r="G3172" s="3" t="s">
        <v>4369</v>
      </c>
      <c r="H3172" s="1" t="s">
        <v>35</v>
      </c>
      <c r="I3172" s="2" t="s">
        <v>36</v>
      </c>
      <c r="J3172" s="3" t="s">
        <v>11</v>
      </c>
      <c r="K3172" s="38">
        <v>4</v>
      </c>
      <c r="L3172" s="39">
        <v>300</v>
      </c>
    </row>
    <row r="3173" spans="1:12" ht="19.95" customHeight="1" x14ac:dyDescent="0.3">
      <c r="A3173" s="6" t="s">
        <v>4445</v>
      </c>
      <c r="B3173" s="7" t="s">
        <v>4348</v>
      </c>
      <c r="C3173" s="6" t="s">
        <v>5771</v>
      </c>
      <c r="D3173" s="7" t="s">
        <v>4607</v>
      </c>
      <c r="E3173" s="6" t="s">
        <v>4838</v>
      </c>
      <c r="F3173" s="7" t="s">
        <v>4368</v>
      </c>
      <c r="G3173" s="7" t="s">
        <v>4367</v>
      </c>
      <c r="H3173" s="5" t="s">
        <v>249</v>
      </c>
      <c r="I3173" s="6" t="s">
        <v>250</v>
      </c>
      <c r="J3173" s="7" t="s">
        <v>11</v>
      </c>
      <c r="K3173" s="36">
        <v>5</v>
      </c>
      <c r="L3173" s="37">
        <v>617</v>
      </c>
    </row>
    <row r="3174" spans="1:12" ht="19.95" customHeight="1" x14ac:dyDescent="0.3">
      <c r="A3174" s="2" t="s">
        <v>4445</v>
      </c>
      <c r="B3174" s="3" t="s">
        <v>4348</v>
      </c>
      <c r="C3174" s="2" t="s">
        <v>5771</v>
      </c>
      <c r="D3174" s="3" t="s">
        <v>4607</v>
      </c>
      <c r="E3174" s="2" t="s">
        <v>4838</v>
      </c>
      <c r="F3174" s="3" t="s">
        <v>4368</v>
      </c>
      <c r="G3174" s="3" t="s">
        <v>4369</v>
      </c>
      <c r="H3174" s="1" t="s">
        <v>35</v>
      </c>
      <c r="I3174" s="2" t="s">
        <v>36</v>
      </c>
      <c r="J3174" s="3" t="s">
        <v>11</v>
      </c>
      <c r="K3174" s="38">
        <v>4</v>
      </c>
      <c r="L3174" s="39">
        <v>300</v>
      </c>
    </row>
    <row r="3175" spans="1:12" ht="19.95" customHeight="1" x14ac:dyDescent="0.3">
      <c r="A3175" s="6" t="s">
        <v>4445</v>
      </c>
      <c r="B3175" s="7" t="s">
        <v>4348</v>
      </c>
      <c r="C3175" s="6" t="s">
        <v>5771</v>
      </c>
      <c r="D3175" s="7" t="s">
        <v>4607</v>
      </c>
      <c r="E3175" s="6" t="s">
        <v>4838</v>
      </c>
      <c r="F3175" s="7" t="s">
        <v>4368</v>
      </c>
      <c r="G3175" s="7" t="s">
        <v>4367</v>
      </c>
      <c r="H3175" s="5" t="s">
        <v>249</v>
      </c>
      <c r="I3175" s="6" t="s">
        <v>250</v>
      </c>
      <c r="J3175" s="7" t="s">
        <v>11</v>
      </c>
      <c r="K3175" s="36">
        <v>5</v>
      </c>
      <c r="L3175" s="37">
        <v>617</v>
      </c>
    </row>
    <row r="3176" spans="1:12" ht="19.95" customHeight="1" x14ac:dyDescent="0.3">
      <c r="A3176" s="2" t="s">
        <v>4445</v>
      </c>
      <c r="B3176" s="3" t="s">
        <v>4348</v>
      </c>
      <c r="C3176" s="2" t="s">
        <v>5771</v>
      </c>
      <c r="D3176" s="3" t="s">
        <v>4607</v>
      </c>
      <c r="E3176" s="2" t="s">
        <v>4838</v>
      </c>
      <c r="F3176" s="3" t="s">
        <v>4368</v>
      </c>
      <c r="G3176" s="3" t="s">
        <v>4369</v>
      </c>
      <c r="H3176" s="1" t="s">
        <v>35</v>
      </c>
      <c r="I3176" s="2" t="s">
        <v>36</v>
      </c>
      <c r="J3176" s="3" t="s">
        <v>11</v>
      </c>
      <c r="K3176" s="38">
        <v>4</v>
      </c>
      <c r="L3176" s="39">
        <v>300</v>
      </c>
    </row>
    <row r="3177" spans="1:12" ht="19.95" customHeight="1" x14ac:dyDescent="0.3">
      <c r="A3177" s="6" t="s">
        <v>4445</v>
      </c>
      <c r="B3177" s="7" t="s">
        <v>4348</v>
      </c>
      <c r="C3177" s="6" t="s">
        <v>5771</v>
      </c>
      <c r="D3177" s="7" t="s">
        <v>4607</v>
      </c>
      <c r="E3177" s="6" t="s">
        <v>4838</v>
      </c>
      <c r="F3177" s="7" t="s">
        <v>4368</v>
      </c>
      <c r="G3177" s="7" t="s">
        <v>4367</v>
      </c>
      <c r="H3177" s="5" t="s">
        <v>249</v>
      </c>
      <c r="I3177" s="6" t="s">
        <v>250</v>
      </c>
      <c r="J3177" s="7" t="s">
        <v>11</v>
      </c>
      <c r="K3177" s="36">
        <v>5</v>
      </c>
      <c r="L3177" s="37">
        <v>617</v>
      </c>
    </row>
    <row r="3178" spans="1:12" ht="19.95" customHeight="1" x14ac:dyDescent="0.3">
      <c r="A3178" s="2" t="s">
        <v>4445</v>
      </c>
      <c r="B3178" s="3" t="s">
        <v>4348</v>
      </c>
      <c r="C3178" s="2" t="s">
        <v>5771</v>
      </c>
      <c r="D3178" s="3" t="s">
        <v>4607</v>
      </c>
      <c r="E3178" s="2" t="s">
        <v>4838</v>
      </c>
      <c r="F3178" s="3" t="s">
        <v>4368</v>
      </c>
      <c r="G3178" s="3" t="s">
        <v>4369</v>
      </c>
      <c r="H3178" s="1" t="s">
        <v>35</v>
      </c>
      <c r="I3178" s="2" t="s">
        <v>36</v>
      </c>
      <c r="J3178" s="3" t="s">
        <v>11</v>
      </c>
      <c r="K3178" s="38">
        <v>4</v>
      </c>
      <c r="L3178" s="39">
        <v>300</v>
      </c>
    </row>
    <row r="3179" spans="1:12" ht="19.95" customHeight="1" x14ac:dyDescent="0.3">
      <c r="A3179" s="6" t="s">
        <v>4445</v>
      </c>
      <c r="B3179" s="7" t="s">
        <v>4348</v>
      </c>
      <c r="C3179" s="6" t="s">
        <v>5771</v>
      </c>
      <c r="D3179" s="7" t="s">
        <v>4607</v>
      </c>
      <c r="E3179" s="6" t="s">
        <v>4838</v>
      </c>
      <c r="F3179" s="7" t="s">
        <v>4368</v>
      </c>
      <c r="G3179" s="7" t="s">
        <v>4367</v>
      </c>
      <c r="H3179" s="5" t="s">
        <v>249</v>
      </c>
      <c r="I3179" s="6" t="s">
        <v>250</v>
      </c>
      <c r="J3179" s="7" t="s">
        <v>11</v>
      </c>
      <c r="K3179" s="36">
        <v>5</v>
      </c>
      <c r="L3179" s="37">
        <v>617</v>
      </c>
    </row>
    <row r="3180" spans="1:12" ht="19.95" customHeight="1" x14ac:dyDescent="0.3">
      <c r="A3180" s="2" t="s">
        <v>4445</v>
      </c>
      <c r="B3180" s="3" t="s">
        <v>4348</v>
      </c>
      <c r="C3180" s="2" t="s">
        <v>5771</v>
      </c>
      <c r="D3180" s="3" t="s">
        <v>4607</v>
      </c>
      <c r="E3180" s="2" t="s">
        <v>4838</v>
      </c>
      <c r="F3180" s="3" t="s">
        <v>4368</v>
      </c>
      <c r="G3180" s="3" t="s">
        <v>4369</v>
      </c>
      <c r="H3180" s="1" t="s">
        <v>35</v>
      </c>
      <c r="I3180" s="2" t="s">
        <v>36</v>
      </c>
      <c r="J3180" s="3" t="s">
        <v>11</v>
      </c>
      <c r="K3180" s="38">
        <v>4</v>
      </c>
      <c r="L3180" s="39">
        <v>300</v>
      </c>
    </row>
    <row r="3181" spans="1:12" ht="19.95" customHeight="1" x14ac:dyDescent="0.3">
      <c r="A3181" s="6" t="s">
        <v>4445</v>
      </c>
      <c r="B3181" s="7" t="s">
        <v>4348</v>
      </c>
      <c r="C3181" s="6" t="s">
        <v>5771</v>
      </c>
      <c r="D3181" s="7" t="s">
        <v>4607</v>
      </c>
      <c r="E3181" s="6" t="s">
        <v>5857</v>
      </c>
      <c r="F3181" s="7" t="s">
        <v>4368</v>
      </c>
      <c r="G3181" s="7" t="s">
        <v>4367</v>
      </c>
      <c r="H3181" s="5" t="s">
        <v>249</v>
      </c>
      <c r="I3181" s="6" t="s">
        <v>250</v>
      </c>
      <c r="J3181" s="7" t="s">
        <v>11</v>
      </c>
      <c r="K3181" s="36">
        <v>5</v>
      </c>
      <c r="L3181" s="37">
        <v>617</v>
      </c>
    </row>
    <row r="3182" spans="1:12" ht="19.95" customHeight="1" x14ac:dyDescent="0.3">
      <c r="A3182" s="2" t="s">
        <v>4445</v>
      </c>
      <c r="B3182" s="3" t="s">
        <v>4348</v>
      </c>
      <c r="C3182" s="2" t="s">
        <v>5771</v>
      </c>
      <c r="D3182" s="3" t="s">
        <v>4607</v>
      </c>
      <c r="E3182" s="2" t="s">
        <v>5857</v>
      </c>
      <c r="F3182" s="3" t="s">
        <v>4368</v>
      </c>
      <c r="G3182" s="3" t="s">
        <v>4369</v>
      </c>
      <c r="H3182" s="1" t="s">
        <v>35</v>
      </c>
      <c r="I3182" s="2" t="s">
        <v>36</v>
      </c>
      <c r="J3182" s="3" t="s">
        <v>11</v>
      </c>
      <c r="K3182" s="38">
        <v>4</v>
      </c>
      <c r="L3182" s="39">
        <v>300</v>
      </c>
    </row>
    <row r="3183" spans="1:12" ht="19.95" customHeight="1" x14ac:dyDescent="0.3">
      <c r="A3183" s="6" t="s">
        <v>4445</v>
      </c>
      <c r="B3183" s="7" t="s">
        <v>4348</v>
      </c>
      <c r="C3183" s="6" t="s">
        <v>5771</v>
      </c>
      <c r="D3183" s="7" t="s">
        <v>4607</v>
      </c>
      <c r="E3183" s="6" t="s">
        <v>5857</v>
      </c>
      <c r="F3183" s="7" t="s">
        <v>4368</v>
      </c>
      <c r="G3183" s="7" t="s">
        <v>4367</v>
      </c>
      <c r="H3183" s="5" t="s">
        <v>249</v>
      </c>
      <c r="I3183" s="6" t="s">
        <v>250</v>
      </c>
      <c r="J3183" s="7" t="s">
        <v>11</v>
      </c>
      <c r="K3183" s="36">
        <v>5</v>
      </c>
      <c r="L3183" s="37">
        <v>617</v>
      </c>
    </row>
    <row r="3184" spans="1:12" ht="19.95" customHeight="1" x14ac:dyDescent="0.3">
      <c r="A3184" s="2" t="s">
        <v>4445</v>
      </c>
      <c r="B3184" s="3" t="s">
        <v>4348</v>
      </c>
      <c r="C3184" s="2" t="s">
        <v>5771</v>
      </c>
      <c r="D3184" s="3" t="s">
        <v>4607</v>
      </c>
      <c r="E3184" s="2" t="s">
        <v>5857</v>
      </c>
      <c r="F3184" s="3" t="s">
        <v>4368</v>
      </c>
      <c r="G3184" s="3" t="s">
        <v>4369</v>
      </c>
      <c r="H3184" s="1" t="s">
        <v>35</v>
      </c>
      <c r="I3184" s="2" t="s">
        <v>36</v>
      </c>
      <c r="J3184" s="3" t="s">
        <v>11</v>
      </c>
      <c r="K3184" s="38">
        <v>4</v>
      </c>
      <c r="L3184" s="39">
        <v>300</v>
      </c>
    </row>
    <row r="3185" spans="1:12" ht="19.95" customHeight="1" x14ac:dyDescent="0.3">
      <c r="A3185" s="6" t="s">
        <v>4445</v>
      </c>
      <c r="B3185" s="7" t="s">
        <v>4348</v>
      </c>
      <c r="C3185" s="6" t="s">
        <v>5771</v>
      </c>
      <c r="D3185" s="7" t="s">
        <v>4607</v>
      </c>
      <c r="E3185" s="6" t="s">
        <v>5858</v>
      </c>
      <c r="F3185" s="7" t="s">
        <v>4368</v>
      </c>
      <c r="G3185" s="7" t="s">
        <v>4367</v>
      </c>
      <c r="H3185" s="5" t="s">
        <v>249</v>
      </c>
      <c r="I3185" s="6" t="s">
        <v>250</v>
      </c>
      <c r="J3185" s="7" t="s">
        <v>11</v>
      </c>
      <c r="K3185" s="36">
        <v>5</v>
      </c>
      <c r="L3185" s="37">
        <v>617</v>
      </c>
    </row>
    <row r="3186" spans="1:12" ht="19.95" customHeight="1" x14ac:dyDescent="0.3">
      <c r="A3186" s="2" t="s">
        <v>4445</v>
      </c>
      <c r="B3186" s="3" t="s">
        <v>4348</v>
      </c>
      <c r="C3186" s="2" t="s">
        <v>5771</v>
      </c>
      <c r="D3186" s="3" t="s">
        <v>4607</v>
      </c>
      <c r="E3186" s="2" t="s">
        <v>5858</v>
      </c>
      <c r="F3186" s="3" t="s">
        <v>4368</v>
      </c>
      <c r="G3186" s="3" t="s">
        <v>4367</v>
      </c>
      <c r="H3186" s="1" t="s">
        <v>249</v>
      </c>
      <c r="I3186" s="2" t="s">
        <v>250</v>
      </c>
      <c r="J3186" s="3" t="s">
        <v>11</v>
      </c>
      <c r="K3186" s="38">
        <v>2</v>
      </c>
      <c r="L3186" s="39">
        <v>617</v>
      </c>
    </row>
    <row r="3187" spans="1:12" ht="19.95" customHeight="1" x14ac:dyDescent="0.3">
      <c r="A3187" s="6" t="s">
        <v>4446</v>
      </c>
      <c r="B3187" s="7" t="s">
        <v>4447</v>
      </c>
      <c r="C3187" s="6" t="s">
        <v>4609</v>
      </c>
      <c r="D3187" s="7" t="s">
        <v>4634</v>
      </c>
      <c r="E3187" s="6" t="s">
        <v>4635</v>
      </c>
      <c r="F3187" s="7" t="s">
        <v>4636</v>
      </c>
      <c r="G3187" s="7" t="s">
        <v>4367</v>
      </c>
      <c r="H3187" s="5" t="s">
        <v>237</v>
      </c>
      <c r="I3187" s="6" t="s">
        <v>238</v>
      </c>
      <c r="J3187" s="7" t="s">
        <v>11</v>
      </c>
      <c r="K3187" s="36">
        <v>0.2</v>
      </c>
      <c r="L3187" s="37">
        <v>679</v>
      </c>
    </row>
    <row r="3188" spans="1:12" ht="19.95" customHeight="1" x14ac:dyDescent="0.3">
      <c r="A3188" s="2" t="s">
        <v>4446</v>
      </c>
      <c r="B3188" s="3" t="s">
        <v>4447</v>
      </c>
      <c r="C3188" s="2" t="s">
        <v>4668</v>
      </c>
      <c r="D3188" s="3" t="s">
        <v>4761</v>
      </c>
      <c r="E3188" s="2" t="s">
        <v>4762</v>
      </c>
      <c r="F3188" s="3" t="s">
        <v>4368</v>
      </c>
      <c r="G3188" s="3" t="s">
        <v>4367</v>
      </c>
      <c r="H3188" s="1" t="s">
        <v>237</v>
      </c>
      <c r="I3188" s="2" t="s">
        <v>238</v>
      </c>
      <c r="J3188" s="3" t="s">
        <v>11</v>
      </c>
      <c r="K3188" s="38">
        <v>0.33</v>
      </c>
      <c r="L3188" s="39">
        <v>679</v>
      </c>
    </row>
    <row r="3189" spans="1:12" ht="19.95" customHeight="1" x14ac:dyDescent="0.3">
      <c r="A3189" s="6" t="s">
        <v>4446</v>
      </c>
      <c r="B3189" s="7" t="s">
        <v>4447</v>
      </c>
      <c r="C3189" s="6" t="s">
        <v>4976</v>
      </c>
      <c r="D3189" s="7" t="s">
        <v>5012</v>
      </c>
      <c r="E3189" s="6" t="s">
        <v>5013</v>
      </c>
      <c r="F3189" s="7" t="s">
        <v>5014</v>
      </c>
      <c r="G3189" s="7" t="s">
        <v>4367</v>
      </c>
      <c r="H3189" s="5" t="s">
        <v>237</v>
      </c>
      <c r="I3189" s="6" t="s">
        <v>238</v>
      </c>
      <c r="J3189" s="7" t="s">
        <v>11</v>
      </c>
      <c r="K3189" s="36">
        <v>1.095</v>
      </c>
      <c r="L3189" s="37">
        <v>679</v>
      </c>
    </row>
    <row r="3190" spans="1:12" ht="19.95" customHeight="1" x14ac:dyDescent="0.3">
      <c r="A3190" s="2" t="s">
        <v>4446</v>
      </c>
      <c r="B3190" s="3" t="s">
        <v>4447</v>
      </c>
      <c r="C3190" s="2" t="s">
        <v>4976</v>
      </c>
      <c r="D3190" s="3" t="s">
        <v>5015</v>
      </c>
      <c r="E3190" s="2" t="s">
        <v>5016</v>
      </c>
      <c r="F3190" s="3" t="s">
        <v>5014</v>
      </c>
      <c r="G3190" s="3" t="s">
        <v>4367</v>
      </c>
      <c r="H3190" s="1" t="s">
        <v>237</v>
      </c>
      <c r="I3190" s="2" t="s">
        <v>238</v>
      </c>
      <c r="J3190" s="3" t="s">
        <v>11</v>
      </c>
      <c r="K3190" s="38">
        <v>1.095</v>
      </c>
      <c r="L3190" s="39">
        <v>679</v>
      </c>
    </row>
    <row r="3191" spans="1:12" ht="19.95" customHeight="1" x14ac:dyDescent="0.3">
      <c r="A3191" s="6" t="s">
        <v>4446</v>
      </c>
      <c r="B3191" s="7" t="s">
        <v>4447</v>
      </c>
      <c r="C3191" s="6" t="s">
        <v>4976</v>
      </c>
      <c r="D3191" s="7" t="s">
        <v>5017</v>
      </c>
      <c r="E3191" s="6" t="s">
        <v>5018</v>
      </c>
      <c r="F3191" s="7" t="s">
        <v>5014</v>
      </c>
      <c r="G3191" s="7" t="s">
        <v>4367</v>
      </c>
      <c r="H3191" s="5" t="s">
        <v>237</v>
      </c>
      <c r="I3191" s="6" t="s">
        <v>238</v>
      </c>
      <c r="J3191" s="7" t="s">
        <v>11</v>
      </c>
      <c r="K3191" s="36">
        <v>1.095</v>
      </c>
      <c r="L3191" s="37">
        <v>679</v>
      </c>
    </row>
    <row r="3192" spans="1:12" ht="19.95" customHeight="1" x14ac:dyDescent="0.3">
      <c r="A3192" s="2" t="s">
        <v>4446</v>
      </c>
      <c r="B3192" s="3" t="s">
        <v>4447</v>
      </c>
      <c r="C3192" s="2" t="s">
        <v>4976</v>
      </c>
      <c r="D3192" s="3" t="s">
        <v>5019</v>
      </c>
      <c r="E3192" s="2" t="s">
        <v>5020</v>
      </c>
      <c r="F3192" s="3" t="s">
        <v>5014</v>
      </c>
      <c r="G3192" s="3" t="s">
        <v>4367</v>
      </c>
      <c r="H3192" s="1" t="s">
        <v>237</v>
      </c>
      <c r="I3192" s="2" t="s">
        <v>238</v>
      </c>
      <c r="J3192" s="3" t="s">
        <v>11</v>
      </c>
      <c r="K3192" s="38">
        <v>1.095</v>
      </c>
      <c r="L3192" s="39">
        <v>679</v>
      </c>
    </row>
    <row r="3193" spans="1:12" ht="19.95" customHeight="1" x14ac:dyDescent="0.3">
      <c r="A3193" s="6" t="s">
        <v>4446</v>
      </c>
      <c r="B3193" s="7" t="s">
        <v>4447</v>
      </c>
      <c r="C3193" s="6" t="s">
        <v>4976</v>
      </c>
      <c r="D3193" s="7" t="s">
        <v>5021</v>
      </c>
      <c r="E3193" s="6" t="s">
        <v>5022</v>
      </c>
      <c r="F3193" s="7" t="s">
        <v>5023</v>
      </c>
      <c r="G3193" s="7" t="s">
        <v>4367</v>
      </c>
      <c r="H3193" s="5" t="s">
        <v>237</v>
      </c>
      <c r="I3193" s="6" t="s">
        <v>238</v>
      </c>
      <c r="J3193" s="7" t="s">
        <v>11</v>
      </c>
      <c r="K3193" s="36">
        <v>1.095</v>
      </c>
      <c r="L3193" s="37">
        <v>679</v>
      </c>
    </row>
    <row r="3194" spans="1:12" ht="19.95" customHeight="1" x14ac:dyDescent="0.3">
      <c r="A3194" s="2" t="s">
        <v>4446</v>
      </c>
      <c r="B3194" s="3" t="s">
        <v>4447</v>
      </c>
      <c r="C3194" s="2" t="s">
        <v>5565</v>
      </c>
      <c r="D3194" s="3" t="s">
        <v>5566</v>
      </c>
      <c r="E3194" s="2" t="s">
        <v>5567</v>
      </c>
      <c r="F3194" s="3" t="s">
        <v>4448</v>
      </c>
      <c r="G3194" s="3" t="s">
        <v>4367</v>
      </c>
      <c r="H3194" s="1" t="s">
        <v>237</v>
      </c>
      <c r="I3194" s="2" t="s">
        <v>238</v>
      </c>
      <c r="J3194" s="3" t="s">
        <v>11</v>
      </c>
      <c r="K3194" s="38">
        <v>1.1299999999999999</v>
      </c>
      <c r="L3194" s="39">
        <v>679</v>
      </c>
    </row>
    <row r="3195" spans="1:12" ht="19.95" customHeight="1" x14ac:dyDescent="0.3">
      <c r="A3195" s="6" t="s">
        <v>4446</v>
      </c>
      <c r="B3195" s="7" t="s">
        <v>4447</v>
      </c>
      <c r="C3195" s="6" t="s">
        <v>5565</v>
      </c>
      <c r="D3195" s="7" t="s">
        <v>5566</v>
      </c>
      <c r="E3195" s="6" t="s">
        <v>5567</v>
      </c>
      <c r="F3195" s="7" t="s">
        <v>4448</v>
      </c>
      <c r="G3195" s="7" t="s">
        <v>4367</v>
      </c>
      <c r="H3195" s="5" t="s">
        <v>237</v>
      </c>
      <c r="I3195" s="6" t="s">
        <v>238</v>
      </c>
      <c r="J3195" s="7" t="s">
        <v>11</v>
      </c>
      <c r="K3195" s="36">
        <v>2.5299999999999998</v>
      </c>
      <c r="L3195" s="37">
        <v>679</v>
      </c>
    </row>
    <row r="3196" spans="1:12" ht="19.95" customHeight="1" x14ac:dyDescent="0.3">
      <c r="A3196" s="2" t="s">
        <v>4446</v>
      </c>
      <c r="B3196" s="3" t="s">
        <v>4447</v>
      </c>
      <c r="C3196" s="2" t="s">
        <v>5565</v>
      </c>
      <c r="D3196" s="3" t="s">
        <v>5568</v>
      </c>
      <c r="E3196" s="2" t="s">
        <v>5569</v>
      </c>
      <c r="F3196" s="3" t="s">
        <v>4448</v>
      </c>
      <c r="G3196" s="3" t="s">
        <v>4367</v>
      </c>
      <c r="H3196" s="1" t="s">
        <v>237</v>
      </c>
      <c r="I3196" s="2" t="s">
        <v>238</v>
      </c>
      <c r="J3196" s="3" t="s">
        <v>11</v>
      </c>
      <c r="K3196" s="38">
        <v>1.1299999999999999</v>
      </c>
      <c r="L3196" s="39">
        <v>679</v>
      </c>
    </row>
    <row r="3197" spans="1:12" ht="19.95" customHeight="1" x14ac:dyDescent="0.3">
      <c r="A3197" s="6" t="s">
        <v>4446</v>
      </c>
      <c r="B3197" s="7" t="s">
        <v>4447</v>
      </c>
      <c r="C3197" s="6" t="s">
        <v>5565</v>
      </c>
      <c r="D3197" s="7" t="s">
        <v>5568</v>
      </c>
      <c r="E3197" s="6" t="s">
        <v>5569</v>
      </c>
      <c r="F3197" s="7" t="s">
        <v>4448</v>
      </c>
      <c r="G3197" s="7" t="s">
        <v>4367</v>
      </c>
      <c r="H3197" s="5" t="s">
        <v>237</v>
      </c>
      <c r="I3197" s="6" t="s">
        <v>238</v>
      </c>
      <c r="J3197" s="7" t="s">
        <v>11</v>
      </c>
      <c r="K3197" s="36">
        <v>2.5299999999999998</v>
      </c>
      <c r="L3197" s="37">
        <v>679</v>
      </c>
    </row>
    <row r="3198" spans="1:12" ht="19.95" customHeight="1" x14ac:dyDescent="0.3">
      <c r="A3198" s="2" t="s">
        <v>4446</v>
      </c>
      <c r="B3198" s="3" t="s">
        <v>4447</v>
      </c>
      <c r="C3198" s="2" t="s">
        <v>5565</v>
      </c>
      <c r="D3198" s="3" t="s">
        <v>5570</v>
      </c>
      <c r="E3198" s="2" t="s">
        <v>5571</v>
      </c>
      <c r="F3198" s="3" t="s">
        <v>4448</v>
      </c>
      <c r="G3198" s="3" t="s">
        <v>4367</v>
      </c>
      <c r="H3198" s="1" t="s">
        <v>237</v>
      </c>
      <c r="I3198" s="2" t="s">
        <v>238</v>
      </c>
      <c r="J3198" s="3" t="s">
        <v>11</v>
      </c>
      <c r="K3198" s="38">
        <v>1.1299999999999999</v>
      </c>
      <c r="L3198" s="39">
        <v>679</v>
      </c>
    </row>
    <row r="3199" spans="1:12" ht="19.95" customHeight="1" x14ac:dyDescent="0.3">
      <c r="A3199" s="6" t="s">
        <v>4446</v>
      </c>
      <c r="B3199" s="7" t="s">
        <v>4447</v>
      </c>
      <c r="C3199" s="6" t="s">
        <v>5565</v>
      </c>
      <c r="D3199" s="7" t="s">
        <v>5570</v>
      </c>
      <c r="E3199" s="6" t="s">
        <v>5571</v>
      </c>
      <c r="F3199" s="7" t="s">
        <v>4448</v>
      </c>
      <c r="G3199" s="7" t="s">
        <v>4367</v>
      </c>
      <c r="H3199" s="5" t="s">
        <v>237</v>
      </c>
      <c r="I3199" s="6" t="s">
        <v>238</v>
      </c>
      <c r="J3199" s="7" t="s">
        <v>11</v>
      </c>
      <c r="K3199" s="36">
        <v>2.5299999999999998</v>
      </c>
      <c r="L3199" s="37">
        <v>679</v>
      </c>
    </row>
    <row r="3200" spans="1:12" ht="19.95" customHeight="1" x14ac:dyDescent="0.3">
      <c r="A3200" s="2" t="s">
        <v>4446</v>
      </c>
      <c r="B3200" s="3" t="s">
        <v>4447</v>
      </c>
      <c r="C3200" s="2" t="s">
        <v>5565</v>
      </c>
      <c r="D3200" s="3" t="s">
        <v>5606</v>
      </c>
      <c r="E3200" s="2" t="s">
        <v>5607</v>
      </c>
      <c r="F3200" s="3" t="s">
        <v>5608</v>
      </c>
      <c r="G3200" s="3" t="s">
        <v>4367</v>
      </c>
      <c r="H3200" s="1" t="s">
        <v>237</v>
      </c>
      <c r="I3200" s="2" t="s">
        <v>238</v>
      </c>
      <c r="J3200" s="3" t="s">
        <v>11</v>
      </c>
      <c r="K3200" s="38">
        <v>0.15</v>
      </c>
      <c r="L3200" s="39">
        <v>679</v>
      </c>
    </row>
    <row r="3201" spans="1:12" ht="19.95" customHeight="1" x14ac:dyDescent="0.3">
      <c r="A3201" s="6" t="s">
        <v>4446</v>
      </c>
      <c r="B3201" s="7" t="s">
        <v>4447</v>
      </c>
      <c r="C3201" s="6" t="s">
        <v>5565</v>
      </c>
      <c r="D3201" s="7" t="s">
        <v>5695</v>
      </c>
      <c r="E3201" s="6" t="s">
        <v>5696</v>
      </c>
      <c r="F3201" s="7" t="s">
        <v>4344</v>
      </c>
      <c r="G3201" s="7" t="s">
        <v>4367</v>
      </c>
      <c r="H3201" s="5" t="s">
        <v>237</v>
      </c>
      <c r="I3201" s="6" t="s">
        <v>238</v>
      </c>
      <c r="J3201" s="7" t="s">
        <v>11</v>
      </c>
      <c r="K3201" s="36">
        <v>10.368</v>
      </c>
      <c r="L3201" s="37">
        <v>679</v>
      </c>
    </row>
    <row r="3202" spans="1:12" ht="19.95" customHeight="1" x14ac:dyDescent="0.3">
      <c r="A3202" s="2" t="s">
        <v>4446</v>
      </c>
      <c r="B3202" s="3" t="s">
        <v>4447</v>
      </c>
      <c r="C3202" s="2" t="s">
        <v>5565</v>
      </c>
      <c r="D3202" s="3" t="s">
        <v>5697</v>
      </c>
      <c r="E3202" s="2" t="s">
        <v>5698</v>
      </c>
      <c r="F3202" s="3" t="s">
        <v>4344</v>
      </c>
      <c r="G3202" s="3" t="s">
        <v>4367</v>
      </c>
      <c r="H3202" s="1" t="s">
        <v>237</v>
      </c>
      <c r="I3202" s="2" t="s">
        <v>238</v>
      </c>
      <c r="J3202" s="3" t="s">
        <v>11</v>
      </c>
      <c r="K3202" s="38">
        <v>10.37</v>
      </c>
      <c r="L3202" s="39">
        <v>679</v>
      </c>
    </row>
    <row r="3203" spans="1:12" ht="19.95" customHeight="1" x14ac:dyDescent="0.3">
      <c r="A3203" s="6" t="s">
        <v>4446</v>
      </c>
      <c r="B3203" s="7" t="s">
        <v>4447</v>
      </c>
      <c r="C3203" s="6" t="s">
        <v>5565</v>
      </c>
      <c r="D3203" s="7" t="s">
        <v>5699</v>
      </c>
      <c r="E3203" s="6" t="s">
        <v>5700</v>
      </c>
      <c r="F3203" s="7" t="s">
        <v>4344</v>
      </c>
      <c r="G3203" s="7" t="s">
        <v>4367</v>
      </c>
      <c r="H3203" s="5" t="s">
        <v>237</v>
      </c>
      <c r="I3203" s="6" t="s">
        <v>238</v>
      </c>
      <c r="J3203" s="7" t="s">
        <v>11</v>
      </c>
      <c r="K3203" s="36">
        <v>10.37</v>
      </c>
      <c r="L3203" s="37">
        <v>679</v>
      </c>
    </row>
    <row r="3204" spans="1:12" ht="19.95" customHeight="1" x14ac:dyDescent="0.3">
      <c r="A3204" s="2" t="s">
        <v>4446</v>
      </c>
      <c r="B3204" s="3" t="s">
        <v>4447</v>
      </c>
      <c r="C3204" s="2" t="s">
        <v>5565</v>
      </c>
      <c r="D3204" s="3" t="s">
        <v>5701</v>
      </c>
      <c r="E3204" s="2" t="s">
        <v>5702</v>
      </c>
      <c r="F3204" s="3" t="s">
        <v>4344</v>
      </c>
      <c r="G3204" s="3" t="s">
        <v>4367</v>
      </c>
      <c r="H3204" s="1" t="s">
        <v>237</v>
      </c>
      <c r="I3204" s="2" t="s">
        <v>238</v>
      </c>
      <c r="J3204" s="3" t="s">
        <v>11</v>
      </c>
      <c r="K3204" s="38">
        <v>10.37</v>
      </c>
      <c r="L3204" s="39">
        <v>679</v>
      </c>
    </row>
    <row r="3205" spans="1:12" ht="19.95" customHeight="1" x14ac:dyDescent="0.3">
      <c r="A3205" s="6" t="s">
        <v>4446</v>
      </c>
      <c r="B3205" s="7" t="s">
        <v>4447</v>
      </c>
      <c r="C3205" s="6" t="s">
        <v>5565</v>
      </c>
      <c r="D3205" s="7" t="s">
        <v>5746</v>
      </c>
      <c r="E3205" s="6" t="s">
        <v>5747</v>
      </c>
      <c r="F3205" s="7" t="s">
        <v>4344</v>
      </c>
      <c r="G3205" s="7" t="s">
        <v>4367</v>
      </c>
      <c r="H3205" s="5" t="s">
        <v>237</v>
      </c>
      <c r="I3205" s="6" t="s">
        <v>238</v>
      </c>
      <c r="J3205" s="7" t="s">
        <v>11</v>
      </c>
      <c r="K3205" s="36">
        <v>10.37</v>
      </c>
      <c r="L3205" s="37">
        <v>679</v>
      </c>
    </row>
    <row r="3206" spans="1:12" ht="19.95" customHeight="1" x14ac:dyDescent="0.3">
      <c r="A3206" s="2" t="s">
        <v>4446</v>
      </c>
      <c r="B3206" s="3" t="s">
        <v>4447</v>
      </c>
      <c r="C3206" s="2" t="s">
        <v>5565</v>
      </c>
      <c r="D3206" s="3" t="s">
        <v>5757</v>
      </c>
      <c r="E3206" s="2" t="s">
        <v>5758</v>
      </c>
      <c r="F3206" s="3" t="s">
        <v>5608</v>
      </c>
      <c r="G3206" s="3" t="s">
        <v>4367</v>
      </c>
      <c r="H3206" s="1" t="s">
        <v>237</v>
      </c>
      <c r="I3206" s="2" t="s">
        <v>238</v>
      </c>
      <c r="J3206" s="3" t="s">
        <v>11</v>
      </c>
      <c r="K3206" s="38">
        <v>0.54</v>
      </c>
      <c r="L3206" s="39">
        <v>679</v>
      </c>
    </row>
  </sheetData>
  <sheetProtection sheet="1"/>
  <mergeCells count="4">
    <mergeCell ref="A2:L2"/>
    <mergeCell ref="A181:L181"/>
    <mergeCell ref="A1:L1"/>
    <mergeCell ref="A4:L4"/>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18"/>
  <sheetViews>
    <sheetView workbookViewId="0">
      <pane ySplit="1" topLeftCell="A2" activePane="bottomLeft" state="frozen"/>
      <selection pane="bottomLeft"/>
    </sheetView>
  </sheetViews>
  <sheetFormatPr defaultRowHeight="14.4" x14ac:dyDescent="0.3"/>
  <cols>
    <col min="1" max="1" width="22" style="151" customWidth="1"/>
    <col min="2" max="2" width="14" style="151" customWidth="1"/>
    <col min="3" max="3" width="45" style="151" customWidth="1"/>
    <col min="4" max="4" width="18" style="151" customWidth="1"/>
    <col min="5" max="5" width="35" style="151" customWidth="1"/>
    <col min="6" max="6" width="18" style="151" customWidth="1"/>
    <col min="7" max="7" width="16" style="151" customWidth="1"/>
    <col min="8" max="8" width="18" style="151" customWidth="1"/>
  </cols>
  <sheetData>
    <row r="1" spans="1:8" ht="28.05" customHeight="1" x14ac:dyDescent="0.3">
      <c r="A1" s="153" t="s">
        <v>4450</v>
      </c>
      <c r="B1" s="153" t="s">
        <v>4451</v>
      </c>
      <c r="C1" s="153" t="s">
        <v>4452</v>
      </c>
      <c r="D1" s="153" t="s">
        <v>4364</v>
      </c>
      <c r="E1" s="153" t="s">
        <v>5864</v>
      </c>
      <c r="F1" s="153" t="s">
        <v>5865</v>
      </c>
      <c r="G1" s="153" t="s">
        <v>5866</v>
      </c>
      <c r="H1" s="153" t="s">
        <v>5867</v>
      </c>
    </row>
    <row r="2" spans="1:8" ht="19.95" customHeight="1" x14ac:dyDescent="0.3">
      <c r="A2" s="2" t="s">
        <v>4454</v>
      </c>
      <c r="B2" s="3" t="s">
        <v>4462</v>
      </c>
      <c r="C2" s="2" t="s">
        <v>4463</v>
      </c>
      <c r="D2" s="3" t="s">
        <v>4368</v>
      </c>
      <c r="E2" s="2" t="s">
        <v>5868</v>
      </c>
      <c r="F2" s="40">
        <v>2.62</v>
      </c>
      <c r="G2" s="40">
        <v>2</v>
      </c>
      <c r="H2" s="41">
        <v>5.24</v>
      </c>
    </row>
    <row r="3" spans="1:8" ht="19.95" customHeight="1" x14ac:dyDescent="0.3">
      <c r="A3" s="6" t="s">
        <v>4454</v>
      </c>
      <c r="B3" s="7" t="s">
        <v>4460</v>
      </c>
      <c r="C3" s="6" t="s">
        <v>4461</v>
      </c>
      <c r="D3" s="7" t="s">
        <v>4368</v>
      </c>
      <c r="E3" s="6" t="s">
        <v>4270</v>
      </c>
      <c r="F3" s="42">
        <v>3.1</v>
      </c>
      <c r="G3" s="42">
        <v>2</v>
      </c>
      <c r="H3" s="43">
        <v>6.2</v>
      </c>
    </row>
    <row r="4" spans="1:8" ht="19.95" customHeight="1" x14ac:dyDescent="0.3">
      <c r="A4" s="2" t="s">
        <v>4454</v>
      </c>
      <c r="B4" s="3" t="s">
        <v>4460</v>
      </c>
      <c r="C4" s="2" t="s">
        <v>4461</v>
      </c>
      <c r="D4" s="3" t="s">
        <v>4368</v>
      </c>
      <c r="E4" s="2" t="s">
        <v>5869</v>
      </c>
      <c r="F4" s="40">
        <v>91.15</v>
      </c>
      <c r="G4" s="40">
        <v>2</v>
      </c>
      <c r="H4" s="41">
        <v>182.3</v>
      </c>
    </row>
    <row r="5" spans="1:8" ht="19.95" customHeight="1" x14ac:dyDescent="0.3">
      <c r="A5" s="6" t="s">
        <v>4454</v>
      </c>
      <c r="B5" s="7" t="s">
        <v>4460</v>
      </c>
      <c r="C5" s="6" t="s">
        <v>4461</v>
      </c>
      <c r="D5" s="7" t="s">
        <v>4368</v>
      </c>
      <c r="E5" s="6" t="s">
        <v>4270</v>
      </c>
      <c r="F5" s="42">
        <v>7.4</v>
      </c>
      <c r="G5" s="42">
        <v>2</v>
      </c>
      <c r="H5" s="43">
        <v>14.8</v>
      </c>
    </row>
    <row r="6" spans="1:8" ht="19.95" customHeight="1" x14ac:dyDescent="0.3">
      <c r="A6" s="2" t="s">
        <v>4464</v>
      </c>
      <c r="B6" s="3" t="s">
        <v>4491</v>
      </c>
      <c r="C6" s="2" t="s">
        <v>4492</v>
      </c>
      <c r="D6" s="3" t="s">
        <v>4376</v>
      </c>
      <c r="E6" s="2" t="s">
        <v>4270</v>
      </c>
      <c r="F6" s="40">
        <v>2.73</v>
      </c>
      <c r="G6" s="40">
        <v>2</v>
      </c>
      <c r="H6" s="41">
        <v>5.46</v>
      </c>
    </row>
    <row r="7" spans="1:8" ht="19.95" customHeight="1" x14ac:dyDescent="0.3">
      <c r="A7" s="6" t="s">
        <v>4464</v>
      </c>
      <c r="B7" s="7" t="s">
        <v>4521</v>
      </c>
      <c r="C7" s="6" t="s">
        <v>4492</v>
      </c>
      <c r="D7" s="7" t="s">
        <v>4376</v>
      </c>
      <c r="E7" s="6" t="s">
        <v>4270</v>
      </c>
      <c r="F7" s="42">
        <v>2.73</v>
      </c>
      <c r="G7" s="42">
        <v>2</v>
      </c>
      <c r="H7" s="43">
        <v>5.46</v>
      </c>
    </row>
    <row r="8" spans="1:8" ht="19.95" customHeight="1" x14ac:dyDescent="0.3">
      <c r="A8" s="2" t="s">
        <v>4464</v>
      </c>
      <c r="B8" s="3" t="s">
        <v>4555</v>
      </c>
      <c r="C8" s="2" t="s">
        <v>4556</v>
      </c>
      <c r="D8" s="3" t="s">
        <v>4376</v>
      </c>
      <c r="E8" s="2" t="s">
        <v>4270</v>
      </c>
      <c r="F8" s="40">
        <v>1.82</v>
      </c>
      <c r="G8" s="40">
        <v>2</v>
      </c>
      <c r="H8" s="41">
        <v>3.64</v>
      </c>
    </row>
    <row r="9" spans="1:8" ht="19.95" customHeight="1" x14ac:dyDescent="0.3">
      <c r="A9" s="6" t="s">
        <v>4464</v>
      </c>
      <c r="B9" s="7" t="s">
        <v>4563</v>
      </c>
      <c r="C9" s="6" t="s">
        <v>4564</v>
      </c>
      <c r="D9" s="7" t="s">
        <v>4376</v>
      </c>
      <c r="E9" s="6" t="s">
        <v>4270</v>
      </c>
      <c r="F9" s="42">
        <v>10.79</v>
      </c>
      <c r="G9" s="42">
        <v>2</v>
      </c>
      <c r="H9" s="43">
        <v>21.58</v>
      </c>
    </row>
    <row r="10" spans="1:8" ht="19.95" customHeight="1" x14ac:dyDescent="0.3">
      <c r="A10" s="2" t="s">
        <v>4464</v>
      </c>
      <c r="B10" s="3" t="s">
        <v>4565</v>
      </c>
      <c r="C10" s="2" t="s">
        <v>4566</v>
      </c>
      <c r="D10" s="3" t="s">
        <v>4376</v>
      </c>
      <c r="E10" s="2" t="s">
        <v>4270</v>
      </c>
      <c r="F10" s="40">
        <v>16.12</v>
      </c>
      <c r="G10" s="40">
        <v>2</v>
      </c>
      <c r="H10" s="41">
        <v>32.24</v>
      </c>
    </row>
    <row r="11" spans="1:8" ht="19.95" customHeight="1" x14ac:dyDescent="0.3">
      <c r="A11" s="6" t="s">
        <v>4464</v>
      </c>
      <c r="B11" s="7" t="s">
        <v>4567</v>
      </c>
      <c r="C11" s="6" t="s">
        <v>4568</v>
      </c>
      <c r="D11" s="7" t="s">
        <v>4376</v>
      </c>
      <c r="E11" s="6" t="s">
        <v>4270</v>
      </c>
      <c r="F11" s="42">
        <v>16.12</v>
      </c>
      <c r="G11" s="42">
        <v>2</v>
      </c>
      <c r="H11" s="43">
        <v>32.24</v>
      </c>
    </row>
    <row r="12" spans="1:8" ht="19.95" customHeight="1" x14ac:dyDescent="0.3">
      <c r="A12" s="2" t="s">
        <v>4464</v>
      </c>
      <c r="B12" s="3" t="s">
        <v>4569</v>
      </c>
      <c r="C12" s="2" t="s">
        <v>4564</v>
      </c>
      <c r="D12" s="3" t="s">
        <v>4376</v>
      </c>
      <c r="E12" s="2" t="s">
        <v>4270</v>
      </c>
      <c r="F12" s="40">
        <v>13.52</v>
      </c>
      <c r="G12" s="40">
        <v>2</v>
      </c>
      <c r="H12" s="41">
        <v>27.04</v>
      </c>
    </row>
    <row r="13" spans="1:8" ht="19.95" customHeight="1" x14ac:dyDescent="0.3">
      <c r="A13" s="6" t="s">
        <v>4464</v>
      </c>
      <c r="B13" s="7" t="s">
        <v>4570</v>
      </c>
      <c r="C13" s="6" t="s">
        <v>4566</v>
      </c>
      <c r="D13" s="7" t="s">
        <v>4376</v>
      </c>
      <c r="E13" s="6" t="s">
        <v>4270</v>
      </c>
      <c r="F13" s="42">
        <v>18.850000000000001</v>
      </c>
      <c r="G13" s="42">
        <v>2</v>
      </c>
      <c r="H13" s="43">
        <v>37.700000000000003</v>
      </c>
    </row>
    <row r="14" spans="1:8" ht="19.95" customHeight="1" x14ac:dyDescent="0.3">
      <c r="A14" s="2" t="s">
        <v>4464</v>
      </c>
      <c r="B14" s="3" t="s">
        <v>4571</v>
      </c>
      <c r="C14" s="2" t="s">
        <v>4568</v>
      </c>
      <c r="D14" s="3" t="s">
        <v>4376</v>
      </c>
      <c r="E14" s="2" t="s">
        <v>4270</v>
      </c>
      <c r="F14" s="40">
        <v>17.940000000000001</v>
      </c>
      <c r="G14" s="40">
        <v>2</v>
      </c>
      <c r="H14" s="41">
        <v>35.880000000000003</v>
      </c>
    </row>
    <row r="15" spans="1:8" ht="19.95" customHeight="1" x14ac:dyDescent="0.3">
      <c r="A15" s="6" t="s">
        <v>4464</v>
      </c>
      <c r="B15" s="7" t="s">
        <v>4471</v>
      </c>
      <c r="C15" s="6" t="s">
        <v>4472</v>
      </c>
      <c r="D15" s="7" t="s">
        <v>4473</v>
      </c>
      <c r="E15" s="6" t="s">
        <v>4270</v>
      </c>
      <c r="F15" s="42">
        <v>26.91</v>
      </c>
      <c r="G15" s="42">
        <v>2</v>
      </c>
      <c r="H15" s="43">
        <v>53.82</v>
      </c>
    </row>
    <row r="16" spans="1:8" ht="19.95" customHeight="1" x14ac:dyDescent="0.3">
      <c r="A16" s="2" t="s">
        <v>4464</v>
      </c>
      <c r="B16" s="3" t="s">
        <v>4474</v>
      </c>
      <c r="C16" s="2" t="s">
        <v>4475</v>
      </c>
      <c r="D16" s="3" t="s">
        <v>4473</v>
      </c>
      <c r="E16" s="2" t="s">
        <v>4270</v>
      </c>
      <c r="F16" s="40">
        <v>40.43</v>
      </c>
      <c r="G16" s="40">
        <v>2</v>
      </c>
      <c r="H16" s="41">
        <v>80.86</v>
      </c>
    </row>
    <row r="17" spans="1:8" ht="19.95" customHeight="1" x14ac:dyDescent="0.3">
      <c r="A17" s="6" t="s">
        <v>4464</v>
      </c>
      <c r="B17" s="7" t="s">
        <v>4476</v>
      </c>
      <c r="C17" s="6" t="s">
        <v>4477</v>
      </c>
      <c r="D17" s="7" t="s">
        <v>4473</v>
      </c>
      <c r="E17" s="6" t="s">
        <v>4270</v>
      </c>
      <c r="F17" s="42">
        <v>80.73</v>
      </c>
      <c r="G17" s="42">
        <v>2</v>
      </c>
      <c r="H17" s="43">
        <v>161.46</v>
      </c>
    </row>
    <row r="18" spans="1:8" ht="19.95" customHeight="1" x14ac:dyDescent="0.3">
      <c r="A18" s="2" t="s">
        <v>4464</v>
      </c>
      <c r="B18" s="3" t="s">
        <v>4478</v>
      </c>
      <c r="C18" s="2" t="s">
        <v>4479</v>
      </c>
      <c r="D18" s="3" t="s">
        <v>4375</v>
      </c>
      <c r="E18" s="2" t="s">
        <v>4270</v>
      </c>
      <c r="F18" s="40">
        <v>2.73</v>
      </c>
      <c r="G18" s="40">
        <v>2</v>
      </c>
      <c r="H18" s="41">
        <v>5.46</v>
      </c>
    </row>
    <row r="19" spans="1:8" ht="19.95" customHeight="1" x14ac:dyDescent="0.3">
      <c r="A19" s="6" t="s">
        <v>4464</v>
      </c>
      <c r="B19" s="7" t="s">
        <v>4480</v>
      </c>
      <c r="C19" s="6" t="s">
        <v>4481</v>
      </c>
      <c r="D19" s="7" t="s">
        <v>4375</v>
      </c>
      <c r="E19" s="6" t="s">
        <v>4270</v>
      </c>
      <c r="F19" s="42">
        <v>5.46</v>
      </c>
      <c r="G19" s="42">
        <v>2</v>
      </c>
      <c r="H19" s="43">
        <v>10.92</v>
      </c>
    </row>
    <row r="20" spans="1:8" ht="19.95" customHeight="1" x14ac:dyDescent="0.3">
      <c r="A20" s="2" t="s">
        <v>4464</v>
      </c>
      <c r="B20" s="3" t="s">
        <v>4482</v>
      </c>
      <c r="C20" s="2" t="s">
        <v>4483</v>
      </c>
      <c r="D20" s="3" t="s">
        <v>4375</v>
      </c>
      <c r="E20" s="2" t="s">
        <v>4270</v>
      </c>
      <c r="F20" s="40">
        <v>8.06</v>
      </c>
      <c r="G20" s="40">
        <v>2</v>
      </c>
      <c r="H20" s="41">
        <v>16.12</v>
      </c>
    </row>
    <row r="21" spans="1:8" ht="19.95" customHeight="1" x14ac:dyDescent="0.3">
      <c r="A21" s="6" t="s">
        <v>4464</v>
      </c>
      <c r="B21" s="7" t="s">
        <v>4484</v>
      </c>
      <c r="C21" s="6" t="s">
        <v>4485</v>
      </c>
      <c r="D21" s="7" t="s">
        <v>4486</v>
      </c>
      <c r="E21" s="6" t="s">
        <v>4270</v>
      </c>
      <c r="F21" s="42">
        <v>31.46</v>
      </c>
      <c r="G21" s="42">
        <v>2</v>
      </c>
      <c r="H21" s="43">
        <v>62.92</v>
      </c>
    </row>
    <row r="22" spans="1:8" ht="19.95" customHeight="1" x14ac:dyDescent="0.3">
      <c r="A22" s="2" t="s">
        <v>4464</v>
      </c>
      <c r="B22" s="3" t="s">
        <v>4487</v>
      </c>
      <c r="C22" s="2" t="s">
        <v>4488</v>
      </c>
      <c r="D22" s="3" t="s">
        <v>4486</v>
      </c>
      <c r="E22" s="2" t="s">
        <v>4270</v>
      </c>
      <c r="F22" s="40">
        <v>34.06</v>
      </c>
      <c r="G22" s="40">
        <v>2</v>
      </c>
      <c r="H22" s="41">
        <v>68.12</v>
      </c>
    </row>
    <row r="23" spans="1:8" ht="19.95" customHeight="1" x14ac:dyDescent="0.3">
      <c r="A23" s="6" t="s">
        <v>4464</v>
      </c>
      <c r="B23" s="7" t="s">
        <v>4489</v>
      </c>
      <c r="C23" s="6" t="s">
        <v>4490</v>
      </c>
      <c r="D23" s="7" t="s">
        <v>4486</v>
      </c>
      <c r="E23" s="6" t="s">
        <v>4270</v>
      </c>
      <c r="F23" s="42">
        <v>47.58</v>
      </c>
      <c r="G23" s="42">
        <v>2</v>
      </c>
      <c r="H23" s="43">
        <v>95.16</v>
      </c>
    </row>
    <row r="24" spans="1:8" ht="19.95" customHeight="1" x14ac:dyDescent="0.3">
      <c r="A24" s="2" t="s">
        <v>4464</v>
      </c>
      <c r="B24" s="3" t="s">
        <v>4493</v>
      </c>
      <c r="C24" s="2" t="s">
        <v>4494</v>
      </c>
      <c r="D24" s="3" t="s">
        <v>4495</v>
      </c>
      <c r="E24" s="2" t="s">
        <v>4270</v>
      </c>
      <c r="F24" s="40">
        <v>19.760000000000002</v>
      </c>
      <c r="G24" s="40">
        <v>2</v>
      </c>
      <c r="H24" s="41">
        <v>39.520000000000003</v>
      </c>
    </row>
    <row r="25" spans="1:8" ht="19.95" customHeight="1" x14ac:dyDescent="0.3">
      <c r="A25" s="6" t="s">
        <v>4464</v>
      </c>
      <c r="B25" s="7" t="s">
        <v>4496</v>
      </c>
      <c r="C25" s="6" t="s">
        <v>4497</v>
      </c>
      <c r="D25" s="7" t="s">
        <v>4495</v>
      </c>
      <c r="E25" s="6" t="s">
        <v>4270</v>
      </c>
      <c r="F25" s="42">
        <v>33.15</v>
      </c>
      <c r="G25" s="42">
        <v>2</v>
      </c>
      <c r="H25" s="43">
        <v>66.3</v>
      </c>
    </row>
    <row r="26" spans="1:8" ht="19.95" customHeight="1" x14ac:dyDescent="0.3">
      <c r="A26" s="2" t="s">
        <v>4464</v>
      </c>
      <c r="B26" s="3" t="s">
        <v>4498</v>
      </c>
      <c r="C26" s="2" t="s">
        <v>4499</v>
      </c>
      <c r="D26" s="3" t="s">
        <v>4495</v>
      </c>
      <c r="E26" s="2" t="s">
        <v>4270</v>
      </c>
      <c r="F26" s="40">
        <v>46.67</v>
      </c>
      <c r="G26" s="40">
        <v>2</v>
      </c>
      <c r="H26" s="41">
        <v>93.34</v>
      </c>
    </row>
    <row r="27" spans="1:8" ht="19.95" customHeight="1" x14ac:dyDescent="0.3">
      <c r="A27" s="6" t="s">
        <v>4464</v>
      </c>
      <c r="B27" s="7" t="s">
        <v>4500</v>
      </c>
      <c r="C27" s="6" t="s">
        <v>4501</v>
      </c>
      <c r="D27" s="7" t="s">
        <v>4375</v>
      </c>
      <c r="E27" s="6" t="s">
        <v>4270</v>
      </c>
      <c r="F27" s="42">
        <v>1.82</v>
      </c>
      <c r="G27" s="42">
        <v>2</v>
      </c>
      <c r="H27" s="43">
        <v>3.64</v>
      </c>
    </row>
    <row r="28" spans="1:8" ht="19.95" customHeight="1" x14ac:dyDescent="0.3">
      <c r="A28" s="2" t="s">
        <v>4464</v>
      </c>
      <c r="B28" s="3" t="s">
        <v>4502</v>
      </c>
      <c r="C28" s="2" t="s">
        <v>4503</v>
      </c>
      <c r="D28" s="3" t="s">
        <v>4375</v>
      </c>
      <c r="E28" s="2" t="s">
        <v>4270</v>
      </c>
      <c r="F28" s="40">
        <v>2.73</v>
      </c>
      <c r="G28" s="40">
        <v>2</v>
      </c>
      <c r="H28" s="41">
        <v>5.46</v>
      </c>
    </row>
    <row r="29" spans="1:8" ht="19.95" customHeight="1" x14ac:dyDescent="0.3">
      <c r="A29" s="6" t="s">
        <v>4464</v>
      </c>
      <c r="B29" s="7" t="s">
        <v>4504</v>
      </c>
      <c r="C29" s="6" t="s">
        <v>4505</v>
      </c>
      <c r="D29" s="7" t="s">
        <v>4375</v>
      </c>
      <c r="E29" s="6" t="s">
        <v>4270</v>
      </c>
      <c r="F29" s="42">
        <v>3.64</v>
      </c>
      <c r="G29" s="42">
        <v>2</v>
      </c>
      <c r="H29" s="43">
        <v>7.28</v>
      </c>
    </row>
    <row r="30" spans="1:8" ht="19.95" customHeight="1" x14ac:dyDescent="0.3">
      <c r="A30" s="2" t="s">
        <v>4464</v>
      </c>
      <c r="B30" s="3" t="s">
        <v>4506</v>
      </c>
      <c r="C30" s="2" t="s">
        <v>4507</v>
      </c>
      <c r="D30" s="3" t="s">
        <v>4486</v>
      </c>
      <c r="E30" s="2" t="s">
        <v>4270</v>
      </c>
      <c r="F30" s="40">
        <v>19.760000000000002</v>
      </c>
      <c r="G30" s="40">
        <v>2</v>
      </c>
      <c r="H30" s="41">
        <v>39.520000000000003</v>
      </c>
    </row>
    <row r="31" spans="1:8" ht="19.95" customHeight="1" x14ac:dyDescent="0.3">
      <c r="A31" s="6" t="s">
        <v>4464</v>
      </c>
      <c r="B31" s="7" t="s">
        <v>4508</v>
      </c>
      <c r="C31" s="6" t="s">
        <v>4509</v>
      </c>
      <c r="D31" s="7" t="s">
        <v>4486</v>
      </c>
      <c r="E31" s="6" t="s">
        <v>4270</v>
      </c>
      <c r="F31" s="42">
        <v>33.15</v>
      </c>
      <c r="G31" s="42">
        <v>2</v>
      </c>
      <c r="H31" s="43">
        <v>66.3</v>
      </c>
    </row>
    <row r="32" spans="1:8" ht="19.95" customHeight="1" x14ac:dyDescent="0.3">
      <c r="A32" s="2" t="s">
        <v>4464</v>
      </c>
      <c r="B32" s="3" t="s">
        <v>4510</v>
      </c>
      <c r="C32" s="2" t="s">
        <v>4511</v>
      </c>
      <c r="D32" s="3" t="s">
        <v>4486</v>
      </c>
      <c r="E32" s="2" t="s">
        <v>4270</v>
      </c>
      <c r="F32" s="40">
        <v>47.58</v>
      </c>
      <c r="G32" s="40">
        <v>2</v>
      </c>
      <c r="H32" s="41">
        <v>95.16</v>
      </c>
    </row>
    <row r="33" spans="1:8" ht="19.95" customHeight="1" x14ac:dyDescent="0.3">
      <c r="A33" s="6" t="s">
        <v>4464</v>
      </c>
      <c r="B33" s="7" t="s">
        <v>4551</v>
      </c>
      <c r="C33" s="6" t="s">
        <v>5870</v>
      </c>
      <c r="D33" s="7" t="s">
        <v>4368</v>
      </c>
      <c r="E33" s="6" t="s">
        <v>4270</v>
      </c>
      <c r="F33" s="42">
        <v>13.52</v>
      </c>
      <c r="G33" s="42">
        <v>2</v>
      </c>
      <c r="H33" s="43">
        <v>27.04</v>
      </c>
    </row>
    <row r="34" spans="1:8" ht="19.95" customHeight="1" x14ac:dyDescent="0.3">
      <c r="A34" s="2" t="s">
        <v>4464</v>
      </c>
      <c r="B34" s="3" t="s">
        <v>4569</v>
      </c>
      <c r="C34" s="2" t="s">
        <v>5871</v>
      </c>
      <c r="D34" s="3" t="s">
        <v>4368</v>
      </c>
      <c r="E34" s="2" t="s">
        <v>4270</v>
      </c>
      <c r="F34" s="40">
        <v>13.52</v>
      </c>
      <c r="G34" s="40">
        <v>2</v>
      </c>
      <c r="H34" s="41">
        <v>27.04</v>
      </c>
    </row>
    <row r="35" spans="1:8" ht="19.95" customHeight="1" x14ac:dyDescent="0.3">
      <c r="A35" s="6" t="s">
        <v>4464</v>
      </c>
      <c r="B35" s="7" t="s">
        <v>4570</v>
      </c>
      <c r="C35" s="6" t="s">
        <v>5872</v>
      </c>
      <c r="D35" s="7" t="s">
        <v>4368</v>
      </c>
      <c r="E35" s="6" t="s">
        <v>4270</v>
      </c>
      <c r="F35" s="42">
        <v>13.52</v>
      </c>
      <c r="G35" s="42">
        <v>2</v>
      </c>
      <c r="H35" s="43">
        <v>27.04</v>
      </c>
    </row>
    <row r="36" spans="1:8" ht="19.95" customHeight="1" x14ac:dyDescent="0.3">
      <c r="A36" s="2" t="s">
        <v>4464</v>
      </c>
      <c r="B36" s="3" t="s">
        <v>4571</v>
      </c>
      <c r="C36" s="2" t="s">
        <v>5873</v>
      </c>
      <c r="D36" s="3" t="s">
        <v>4368</v>
      </c>
      <c r="E36" s="2" t="s">
        <v>4270</v>
      </c>
      <c r="F36" s="40">
        <v>13.52</v>
      </c>
      <c r="G36" s="40">
        <v>2</v>
      </c>
      <c r="H36" s="41">
        <v>27.04</v>
      </c>
    </row>
    <row r="37" spans="1:8" ht="19.95" customHeight="1" x14ac:dyDescent="0.3">
      <c r="A37" s="6" t="s">
        <v>4464</v>
      </c>
      <c r="B37" s="7" t="s">
        <v>4524</v>
      </c>
      <c r="C37" s="6" t="s">
        <v>4525</v>
      </c>
      <c r="D37" s="7" t="s">
        <v>4519</v>
      </c>
      <c r="E37" s="6" t="s">
        <v>4270</v>
      </c>
      <c r="F37" s="42">
        <v>1.82</v>
      </c>
      <c r="G37" s="42">
        <v>2</v>
      </c>
      <c r="H37" s="43">
        <v>3.64</v>
      </c>
    </row>
    <row r="38" spans="1:8" ht="19.95" customHeight="1" x14ac:dyDescent="0.3">
      <c r="A38" s="2" t="s">
        <v>4464</v>
      </c>
      <c r="B38" s="3" t="s">
        <v>4526</v>
      </c>
      <c r="C38" s="2" t="s">
        <v>4527</v>
      </c>
      <c r="D38" s="3" t="s">
        <v>4528</v>
      </c>
      <c r="E38" s="2" t="s">
        <v>4270</v>
      </c>
      <c r="F38" s="40">
        <v>2.73</v>
      </c>
      <c r="G38" s="40">
        <v>2</v>
      </c>
      <c r="H38" s="41">
        <v>5.46</v>
      </c>
    </row>
    <row r="39" spans="1:8" ht="19.95" customHeight="1" x14ac:dyDescent="0.3">
      <c r="A39" s="6" t="s">
        <v>4464</v>
      </c>
      <c r="B39" s="7" t="s">
        <v>4529</v>
      </c>
      <c r="C39" s="6" t="s">
        <v>4530</v>
      </c>
      <c r="D39" s="7" t="s">
        <v>4531</v>
      </c>
      <c r="E39" s="6" t="s">
        <v>4270</v>
      </c>
      <c r="F39" s="42">
        <v>5.46</v>
      </c>
      <c r="G39" s="42">
        <v>2</v>
      </c>
      <c r="H39" s="43">
        <v>10.92</v>
      </c>
    </row>
    <row r="40" spans="1:8" ht="19.95" customHeight="1" x14ac:dyDescent="0.3">
      <c r="A40" s="2" t="s">
        <v>4464</v>
      </c>
      <c r="B40" s="3" t="s">
        <v>4532</v>
      </c>
      <c r="C40" s="2" t="s">
        <v>4533</v>
      </c>
      <c r="D40" s="3" t="s">
        <v>4534</v>
      </c>
      <c r="E40" s="2" t="s">
        <v>4270</v>
      </c>
      <c r="F40" s="40">
        <v>8.06</v>
      </c>
      <c r="G40" s="40">
        <v>2</v>
      </c>
      <c r="H40" s="41">
        <v>16.12</v>
      </c>
    </row>
    <row r="41" spans="1:8" ht="19.95" customHeight="1" x14ac:dyDescent="0.3">
      <c r="A41" s="6" t="s">
        <v>4464</v>
      </c>
      <c r="B41" s="7" t="s">
        <v>4535</v>
      </c>
      <c r="C41" s="6" t="s">
        <v>4536</v>
      </c>
      <c r="D41" s="7" t="s">
        <v>4537</v>
      </c>
      <c r="E41" s="6" t="s">
        <v>4270</v>
      </c>
      <c r="F41" s="42">
        <v>26.91</v>
      </c>
      <c r="G41" s="42">
        <v>2</v>
      </c>
      <c r="H41" s="43">
        <v>53.82</v>
      </c>
    </row>
    <row r="42" spans="1:8" ht="19.95" customHeight="1" x14ac:dyDescent="0.3">
      <c r="A42" s="2" t="s">
        <v>4464</v>
      </c>
      <c r="B42" s="3" t="s">
        <v>4538</v>
      </c>
      <c r="C42" s="2" t="s">
        <v>4539</v>
      </c>
      <c r="D42" s="3" t="s">
        <v>4540</v>
      </c>
      <c r="E42" s="2" t="s">
        <v>5874</v>
      </c>
      <c r="F42" s="40">
        <v>13.52</v>
      </c>
      <c r="G42" s="40">
        <v>2</v>
      </c>
      <c r="H42" s="41">
        <v>27.04</v>
      </c>
    </row>
    <row r="43" spans="1:8" ht="19.95" customHeight="1" x14ac:dyDescent="0.3">
      <c r="A43" s="6" t="s">
        <v>4464</v>
      </c>
      <c r="B43" s="7" t="s">
        <v>4541</v>
      </c>
      <c r="C43" s="6" t="s">
        <v>4542</v>
      </c>
      <c r="D43" s="7" t="s">
        <v>4540</v>
      </c>
      <c r="E43" s="6" t="s">
        <v>5875</v>
      </c>
      <c r="F43" s="42">
        <v>35.880000000000003</v>
      </c>
      <c r="G43" s="42">
        <v>2</v>
      </c>
      <c r="H43" s="43">
        <v>71.760000000000005</v>
      </c>
    </row>
    <row r="44" spans="1:8" ht="19.95" customHeight="1" x14ac:dyDescent="0.3">
      <c r="A44" s="2" t="s">
        <v>4464</v>
      </c>
      <c r="B44" s="3" t="s">
        <v>4543</v>
      </c>
      <c r="C44" s="2" t="s">
        <v>4544</v>
      </c>
      <c r="D44" s="3" t="s">
        <v>4377</v>
      </c>
      <c r="E44" s="2" t="s">
        <v>5876</v>
      </c>
      <c r="F44" s="40">
        <v>35.880000000000003</v>
      </c>
      <c r="G44" s="40">
        <v>2</v>
      </c>
      <c r="H44" s="41">
        <v>71.760000000000005</v>
      </c>
    </row>
    <row r="45" spans="1:8" ht="19.95" customHeight="1" x14ac:dyDescent="0.3">
      <c r="A45" s="6" t="s">
        <v>4464</v>
      </c>
      <c r="B45" s="7" t="s">
        <v>4545</v>
      </c>
      <c r="C45" s="6" t="s">
        <v>4546</v>
      </c>
      <c r="D45" s="7" t="s">
        <v>4540</v>
      </c>
      <c r="E45" s="6" t="s">
        <v>5877</v>
      </c>
      <c r="F45" s="42">
        <v>17.940000000000001</v>
      </c>
      <c r="G45" s="42">
        <v>2</v>
      </c>
      <c r="H45" s="43">
        <v>35.880000000000003</v>
      </c>
    </row>
    <row r="46" spans="1:8" ht="19.95" customHeight="1" x14ac:dyDescent="0.3">
      <c r="A46" s="2" t="s">
        <v>4464</v>
      </c>
      <c r="B46" s="3" t="s">
        <v>4547</v>
      </c>
      <c r="C46" s="2" t="s">
        <v>4548</v>
      </c>
      <c r="D46" s="3" t="s">
        <v>4540</v>
      </c>
      <c r="E46" s="2" t="s">
        <v>4270</v>
      </c>
      <c r="F46" s="40">
        <v>17.940000000000001</v>
      </c>
      <c r="G46" s="40">
        <v>2</v>
      </c>
      <c r="H46" s="41">
        <v>35.880000000000003</v>
      </c>
    </row>
    <row r="47" spans="1:8" ht="19.95" customHeight="1" x14ac:dyDescent="0.3">
      <c r="A47" s="6" t="s">
        <v>4572</v>
      </c>
      <c r="B47" s="7" t="s">
        <v>4573</v>
      </c>
      <c r="C47" s="6" t="s">
        <v>4574</v>
      </c>
      <c r="D47" s="7" t="s">
        <v>4384</v>
      </c>
      <c r="E47" s="6" t="s">
        <v>5878</v>
      </c>
      <c r="F47" s="42">
        <v>26.9</v>
      </c>
      <c r="G47" s="42">
        <v>2</v>
      </c>
      <c r="H47" s="43">
        <v>53.8</v>
      </c>
    </row>
    <row r="48" spans="1:8" ht="19.95" customHeight="1" x14ac:dyDescent="0.3">
      <c r="A48" s="2" t="s">
        <v>4572</v>
      </c>
      <c r="B48" s="3" t="s">
        <v>4573</v>
      </c>
      <c r="C48" s="2" t="s">
        <v>4574</v>
      </c>
      <c r="D48" s="3" t="s">
        <v>4384</v>
      </c>
      <c r="E48" s="2" t="s">
        <v>4270</v>
      </c>
      <c r="F48" s="40">
        <v>13.52</v>
      </c>
      <c r="G48" s="40">
        <v>2</v>
      </c>
      <c r="H48" s="41">
        <v>27.04</v>
      </c>
    </row>
    <row r="49" spans="1:8" ht="19.95" customHeight="1" x14ac:dyDescent="0.3">
      <c r="A49" s="6" t="s">
        <v>4572</v>
      </c>
      <c r="B49" s="7" t="s">
        <v>4593</v>
      </c>
      <c r="C49" s="6" t="s">
        <v>4594</v>
      </c>
      <c r="D49" s="7" t="s">
        <v>4384</v>
      </c>
      <c r="E49" s="6" t="s">
        <v>5878</v>
      </c>
      <c r="F49" s="42">
        <v>26.91</v>
      </c>
      <c r="G49" s="42">
        <v>2</v>
      </c>
      <c r="H49" s="43">
        <v>53.82</v>
      </c>
    </row>
    <row r="50" spans="1:8" ht="19.95" customHeight="1" x14ac:dyDescent="0.3">
      <c r="A50" s="2" t="s">
        <v>4572</v>
      </c>
      <c r="B50" s="3" t="s">
        <v>4593</v>
      </c>
      <c r="C50" s="2" t="s">
        <v>4594</v>
      </c>
      <c r="D50" s="3" t="s">
        <v>4384</v>
      </c>
      <c r="E50" s="2" t="s">
        <v>4270</v>
      </c>
      <c r="F50" s="40">
        <v>13.52</v>
      </c>
      <c r="G50" s="40">
        <v>2</v>
      </c>
      <c r="H50" s="41">
        <v>27.04</v>
      </c>
    </row>
    <row r="51" spans="1:8" ht="19.95" customHeight="1" x14ac:dyDescent="0.3">
      <c r="A51" s="6" t="s">
        <v>4572</v>
      </c>
      <c r="B51" s="7" t="s">
        <v>4595</v>
      </c>
      <c r="C51" s="6" t="s">
        <v>4596</v>
      </c>
      <c r="D51" s="7" t="s">
        <v>4384</v>
      </c>
      <c r="E51" s="6" t="s">
        <v>5878</v>
      </c>
      <c r="F51" s="42">
        <v>26.91</v>
      </c>
      <c r="G51" s="42">
        <v>2</v>
      </c>
      <c r="H51" s="43">
        <v>53.82</v>
      </c>
    </row>
    <row r="52" spans="1:8" ht="19.95" customHeight="1" x14ac:dyDescent="0.3">
      <c r="A52" s="2" t="s">
        <v>4572</v>
      </c>
      <c r="B52" s="3" t="s">
        <v>4595</v>
      </c>
      <c r="C52" s="2" t="s">
        <v>4596</v>
      </c>
      <c r="D52" s="3" t="s">
        <v>4384</v>
      </c>
      <c r="E52" s="2" t="s">
        <v>4270</v>
      </c>
      <c r="F52" s="40">
        <v>13.52</v>
      </c>
      <c r="G52" s="40">
        <v>2</v>
      </c>
      <c r="H52" s="41">
        <v>27.04</v>
      </c>
    </row>
    <row r="53" spans="1:8" ht="19.95" customHeight="1" x14ac:dyDescent="0.3">
      <c r="A53" s="6" t="s">
        <v>4572</v>
      </c>
      <c r="B53" s="7" t="s">
        <v>4597</v>
      </c>
      <c r="C53" s="6" t="s">
        <v>4598</v>
      </c>
      <c r="D53" s="7" t="s">
        <v>4384</v>
      </c>
      <c r="E53" s="6" t="s">
        <v>5878</v>
      </c>
      <c r="F53" s="42">
        <v>26.91</v>
      </c>
      <c r="G53" s="42">
        <v>2</v>
      </c>
      <c r="H53" s="43">
        <v>53.82</v>
      </c>
    </row>
    <row r="54" spans="1:8" ht="19.95" customHeight="1" x14ac:dyDescent="0.3">
      <c r="A54" s="2" t="s">
        <v>4572</v>
      </c>
      <c r="B54" s="3" t="s">
        <v>4597</v>
      </c>
      <c r="C54" s="2" t="s">
        <v>4598</v>
      </c>
      <c r="D54" s="3" t="s">
        <v>4384</v>
      </c>
      <c r="E54" s="2" t="s">
        <v>4270</v>
      </c>
      <c r="F54" s="40">
        <v>13.52</v>
      </c>
      <c r="G54" s="40">
        <v>2</v>
      </c>
      <c r="H54" s="41">
        <v>27.04</v>
      </c>
    </row>
    <row r="55" spans="1:8" ht="19.95" customHeight="1" x14ac:dyDescent="0.3">
      <c r="A55" s="6" t="s">
        <v>4572</v>
      </c>
      <c r="B55" s="7" t="s">
        <v>4599</v>
      </c>
      <c r="C55" s="6" t="s">
        <v>4600</v>
      </c>
      <c r="D55" s="7" t="s">
        <v>4384</v>
      </c>
      <c r="E55" s="6" t="s">
        <v>5878</v>
      </c>
      <c r="F55" s="42">
        <v>26.91</v>
      </c>
      <c r="G55" s="42">
        <v>2</v>
      </c>
      <c r="H55" s="43">
        <v>53.82</v>
      </c>
    </row>
    <row r="56" spans="1:8" ht="19.95" customHeight="1" x14ac:dyDescent="0.3">
      <c r="A56" s="2" t="s">
        <v>4572</v>
      </c>
      <c r="B56" s="3" t="s">
        <v>4599</v>
      </c>
      <c r="C56" s="2" t="s">
        <v>4600</v>
      </c>
      <c r="D56" s="3" t="s">
        <v>4384</v>
      </c>
      <c r="E56" s="2" t="s">
        <v>4270</v>
      </c>
      <c r="F56" s="40">
        <v>13.52</v>
      </c>
      <c r="G56" s="40">
        <v>2</v>
      </c>
      <c r="H56" s="41">
        <v>27.04</v>
      </c>
    </row>
    <row r="57" spans="1:8" ht="19.95" customHeight="1" x14ac:dyDescent="0.3">
      <c r="A57" s="6" t="s">
        <v>4572</v>
      </c>
      <c r="B57" s="7" t="s">
        <v>4601</v>
      </c>
      <c r="C57" s="6" t="s">
        <v>4602</v>
      </c>
      <c r="D57" s="7" t="s">
        <v>4384</v>
      </c>
      <c r="E57" s="6" t="s">
        <v>5878</v>
      </c>
      <c r="F57" s="42">
        <v>26.91</v>
      </c>
      <c r="G57" s="42">
        <v>2</v>
      </c>
      <c r="H57" s="43">
        <v>53.82</v>
      </c>
    </row>
    <row r="58" spans="1:8" ht="19.95" customHeight="1" x14ac:dyDescent="0.3">
      <c r="A58" s="2" t="s">
        <v>4572</v>
      </c>
      <c r="B58" s="3" t="s">
        <v>4601</v>
      </c>
      <c r="C58" s="2" t="s">
        <v>4602</v>
      </c>
      <c r="D58" s="3" t="s">
        <v>4384</v>
      </c>
      <c r="E58" s="2" t="s">
        <v>4270</v>
      </c>
      <c r="F58" s="40">
        <v>13.52</v>
      </c>
      <c r="G58" s="40">
        <v>2</v>
      </c>
      <c r="H58" s="41">
        <v>27.04</v>
      </c>
    </row>
    <row r="59" spans="1:8" ht="19.95" customHeight="1" x14ac:dyDescent="0.3">
      <c r="A59" s="6" t="s">
        <v>4572</v>
      </c>
      <c r="B59" s="7" t="s">
        <v>4603</v>
      </c>
      <c r="C59" s="6" t="s">
        <v>4604</v>
      </c>
      <c r="D59" s="7" t="s">
        <v>4384</v>
      </c>
      <c r="E59" s="6" t="s">
        <v>5878</v>
      </c>
      <c r="F59" s="42">
        <v>26.91</v>
      </c>
      <c r="G59" s="42">
        <v>2</v>
      </c>
      <c r="H59" s="43">
        <v>53.82</v>
      </c>
    </row>
    <row r="60" spans="1:8" ht="19.95" customHeight="1" x14ac:dyDescent="0.3">
      <c r="A60" s="2" t="s">
        <v>4572</v>
      </c>
      <c r="B60" s="3" t="s">
        <v>4603</v>
      </c>
      <c r="C60" s="2" t="s">
        <v>4604</v>
      </c>
      <c r="D60" s="3" t="s">
        <v>4384</v>
      </c>
      <c r="E60" s="2" t="s">
        <v>4270</v>
      </c>
      <c r="F60" s="40">
        <v>13.52</v>
      </c>
      <c r="G60" s="40">
        <v>2</v>
      </c>
      <c r="H60" s="41">
        <v>27.04</v>
      </c>
    </row>
    <row r="61" spans="1:8" ht="19.95" customHeight="1" x14ac:dyDescent="0.3">
      <c r="A61" s="6" t="s">
        <v>4572</v>
      </c>
      <c r="B61" s="7" t="s">
        <v>4605</v>
      </c>
      <c r="C61" s="6" t="s">
        <v>4606</v>
      </c>
      <c r="D61" s="7" t="s">
        <v>4384</v>
      </c>
      <c r="E61" s="6" t="s">
        <v>5878</v>
      </c>
      <c r="F61" s="42">
        <v>26.91</v>
      </c>
      <c r="G61" s="42">
        <v>2</v>
      </c>
      <c r="H61" s="43">
        <v>53.82</v>
      </c>
    </row>
    <row r="62" spans="1:8" ht="19.95" customHeight="1" x14ac:dyDescent="0.3">
      <c r="A62" s="2" t="s">
        <v>4572</v>
      </c>
      <c r="B62" s="3" t="s">
        <v>4605</v>
      </c>
      <c r="C62" s="2" t="s">
        <v>4606</v>
      </c>
      <c r="D62" s="3" t="s">
        <v>4384</v>
      </c>
      <c r="E62" s="2" t="s">
        <v>4270</v>
      </c>
      <c r="F62" s="40">
        <v>13.52</v>
      </c>
      <c r="G62" s="40">
        <v>2</v>
      </c>
      <c r="H62" s="41">
        <v>27.04</v>
      </c>
    </row>
    <row r="63" spans="1:8" ht="19.95" customHeight="1" x14ac:dyDescent="0.3">
      <c r="A63" s="6" t="s">
        <v>4572</v>
      </c>
      <c r="B63" s="7" t="s">
        <v>4607</v>
      </c>
      <c r="C63" s="6" t="s">
        <v>4608</v>
      </c>
      <c r="D63" s="7" t="s">
        <v>4384</v>
      </c>
      <c r="E63" s="6" t="s">
        <v>5878</v>
      </c>
      <c r="F63" s="42">
        <v>26.91</v>
      </c>
      <c r="G63" s="42">
        <v>2</v>
      </c>
      <c r="H63" s="43">
        <v>53.82</v>
      </c>
    </row>
    <row r="64" spans="1:8" ht="19.95" customHeight="1" x14ac:dyDescent="0.3">
      <c r="A64" s="2" t="s">
        <v>4572</v>
      </c>
      <c r="B64" s="3" t="s">
        <v>4607</v>
      </c>
      <c r="C64" s="2" t="s">
        <v>4608</v>
      </c>
      <c r="D64" s="3" t="s">
        <v>4384</v>
      </c>
      <c r="E64" s="2" t="s">
        <v>4270</v>
      </c>
      <c r="F64" s="40">
        <v>13.52</v>
      </c>
      <c r="G64" s="40">
        <v>2</v>
      </c>
      <c r="H64" s="41">
        <v>27.04</v>
      </c>
    </row>
    <row r="65" spans="1:8" ht="19.95" customHeight="1" x14ac:dyDescent="0.3">
      <c r="A65" s="6" t="s">
        <v>4572</v>
      </c>
      <c r="B65" s="7" t="s">
        <v>4575</v>
      </c>
      <c r="C65" s="6" t="s">
        <v>4576</v>
      </c>
      <c r="D65" s="7" t="s">
        <v>4384</v>
      </c>
      <c r="E65" s="6" t="s">
        <v>5878</v>
      </c>
      <c r="F65" s="42">
        <v>26.91</v>
      </c>
      <c r="G65" s="42">
        <v>2</v>
      </c>
      <c r="H65" s="43">
        <v>53.82</v>
      </c>
    </row>
    <row r="66" spans="1:8" ht="19.95" customHeight="1" x14ac:dyDescent="0.3">
      <c r="A66" s="2" t="s">
        <v>4572</v>
      </c>
      <c r="B66" s="3" t="s">
        <v>4575</v>
      </c>
      <c r="C66" s="2" t="s">
        <v>4576</v>
      </c>
      <c r="D66" s="3" t="s">
        <v>4384</v>
      </c>
      <c r="E66" s="2" t="s">
        <v>4270</v>
      </c>
      <c r="F66" s="40">
        <v>13.52</v>
      </c>
      <c r="G66" s="40">
        <v>2</v>
      </c>
      <c r="H66" s="41">
        <v>27.04</v>
      </c>
    </row>
    <row r="67" spans="1:8" ht="19.95" customHeight="1" x14ac:dyDescent="0.3">
      <c r="A67" s="6" t="s">
        <v>4572</v>
      </c>
      <c r="B67" s="7" t="s">
        <v>4577</v>
      </c>
      <c r="C67" s="6" t="s">
        <v>4578</v>
      </c>
      <c r="D67" s="7" t="s">
        <v>4384</v>
      </c>
      <c r="E67" s="6" t="s">
        <v>5878</v>
      </c>
      <c r="F67" s="42">
        <v>26.91</v>
      </c>
      <c r="G67" s="42">
        <v>2</v>
      </c>
      <c r="H67" s="43">
        <v>53.82</v>
      </c>
    </row>
    <row r="68" spans="1:8" ht="19.95" customHeight="1" x14ac:dyDescent="0.3">
      <c r="A68" s="2" t="s">
        <v>4572</v>
      </c>
      <c r="B68" s="3" t="s">
        <v>4577</v>
      </c>
      <c r="C68" s="2" t="s">
        <v>4578</v>
      </c>
      <c r="D68" s="3" t="s">
        <v>4384</v>
      </c>
      <c r="E68" s="2" t="s">
        <v>4270</v>
      </c>
      <c r="F68" s="40">
        <v>13.52</v>
      </c>
      <c r="G68" s="40">
        <v>2</v>
      </c>
      <c r="H68" s="41">
        <v>27.04</v>
      </c>
    </row>
    <row r="69" spans="1:8" ht="19.95" customHeight="1" x14ac:dyDescent="0.3">
      <c r="A69" s="6" t="s">
        <v>4572</v>
      </c>
      <c r="B69" s="7" t="s">
        <v>4579</v>
      </c>
      <c r="C69" s="6" t="s">
        <v>4580</v>
      </c>
      <c r="D69" s="7" t="s">
        <v>4384</v>
      </c>
      <c r="E69" s="6" t="s">
        <v>5878</v>
      </c>
      <c r="F69" s="42">
        <v>26.91</v>
      </c>
      <c r="G69" s="42">
        <v>2</v>
      </c>
      <c r="H69" s="43">
        <v>53.82</v>
      </c>
    </row>
    <row r="70" spans="1:8" ht="19.95" customHeight="1" x14ac:dyDescent="0.3">
      <c r="A70" s="2" t="s">
        <v>4572</v>
      </c>
      <c r="B70" s="3" t="s">
        <v>4579</v>
      </c>
      <c r="C70" s="2" t="s">
        <v>4580</v>
      </c>
      <c r="D70" s="3" t="s">
        <v>4384</v>
      </c>
      <c r="E70" s="2" t="s">
        <v>4270</v>
      </c>
      <c r="F70" s="40">
        <v>13.52</v>
      </c>
      <c r="G70" s="40">
        <v>2</v>
      </c>
      <c r="H70" s="41">
        <v>27.04</v>
      </c>
    </row>
    <row r="71" spans="1:8" ht="19.95" customHeight="1" x14ac:dyDescent="0.3">
      <c r="A71" s="6" t="s">
        <v>4572</v>
      </c>
      <c r="B71" s="7" t="s">
        <v>4581</v>
      </c>
      <c r="C71" s="6" t="s">
        <v>4582</v>
      </c>
      <c r="D71" s="7" t="s">
        <v>4384</v>
      </c>
      <c r="E71" s="6" t="s">
        <v>5878</v>
      </c>
      <c r="F71" s="42">
        <v>26.91</v>
      </c>
      <c r="G71" s="42">
        <v>2</v>
      </c>
      <c r="H71" s="43">
        <v>53.82</v>
      </c>
    </row>
    <row r="72" spans="1:8" ht="19.95" customHeight="1" x14ac:dyDescent="0.3">
      <c r="A72" s="2" t="s">
        <v>4572</v>
      </c>
      <c r="B72" s="3" t="s">
        <v>4581</v>
      </c>
      <c r="C72" s="2" t="s">
        <v>4582</v>
      </c>
      <c r="D72" s="3" t="s">
        <v>4384</v>
      </c>
      <c r="E72" s="2" t="s">
        <v>4270</v>
      </c>
      <c r="F72" s="40">
        <v>13.52</v>
      </c>
      <c r="G72" s="40">
        <v>2</v>
      </c>
      <c r="H72" s="41">
        <v>27.04</v>
      </c>
    </row>
    <row r="73" spans="1:8" ht="19.95" customHeight="1" x14ac:dyDescent="0.3">
      <c r="A73" s="6" t="s">
        <v>4572</v>
      </c>
      <c r="B73" s="7" t="s">
        <v>4583</v>
      </c>
      <c r="C73" s="6" t="s">
        <v>4584</v>
      </c>
      <c r="D73" s="7" t="s">
        <v>4384</v>
      </c>
      <c r="E73" s="6" t="s">
        <v>5878</v>
      </c>
      <c r="F73" s="42">
        <v>26.91</v>
      </c>
      <c r="G73" s="42">
        <v>2</v>
      </c>
      <c r="H73" s="43">
        <v>53.82</v>
      </c>
    </row>
    <row r="74" spans="1:8" ht="19.95" customHeight="1" x14ac:dyDescent="0.3">
      <c r="A74" s="2" t="s">
        <v>4572</v>
      </c>
      <c r="B74" s="3" t="s">
        <v>4583</v>
      </c>
      <c r="C74" s="2" t="s">
        <v>4584</v>
      </c>
      <c r="D74" s="3" t="s">
        <v>4384</v>
      </c>
      <c r="E74" s="2" t="s">
        <v>4270</v>
      </c>
      <c r="F74" s="40">
        <v>13.52</v>
      </c>
      <c r="G74" s="40">
        <v>2</v>
      </c>
      <c r="H74" s="41">
        <v>27.04</v>
      </c>
    </row>
    <row r="75" spans="1:8" ht="19.95" customHeight="1" x14ac:dyDescent="0.3">
      <c r="A75" s="6" t="s">
        <v>4572</v>
      </c>
      <c r="B75" s="7" t="s">
        <v>4585</v>
      </c>
      <c r="C75" s="6" t="s">
        <v>4586</v>
      </c>
      <c r="D75" s="7" t="s">
        <v>4384</v>
      </c>
      <c r="E75" s="6" t="s">
        <v>5878</v>
      </c>
      <c r="F75" s="42">
        <v>26.91</v>
      </c>
      <c r="G75" s="42">
        <v>2</v>
      </c>
      <c r="H75" s="43">
        <v>53.82</v>
      </c>
    </row>
    <row r="76" spans="1:8" ht="19.95" customHeight="1" x14ac:dyDescent="0.3">
      <c r="A76" s="2" t="s">
        <v>4572</v>
      </c>
      <c r="B76" s="3" t="s">
        <v>4585</v>
      </c>
      <c r="C76" s="2" t="s">
        <v>4586</v>
      </c>
      <c r="D76" s="3" t="s">
        <v>4384</v>
      </c>
      <c r="E76" s="2" t="s">
        <v>4270</v>
      </c>
      <c r="F76" s="40">
        <v>13.52</v>
      </c>
      <c r="G76" s="40">
        <v>2</v>
      </c>
      <c r="H76" s="41">
        <v>27.04</v>
      </c>
    </row>
    <row r="77" spans="1:8" ht="19.95" customHeight="1" x14ac:dyDescent="0.3">
      <c r="A77" s="6" t="s">
        <v>4572</v>
      </c>
      <c r="B77" s="7" t="s">
        <v>4587</v>
      </c>
      <c r="C77" s="6" t="s">
        <v>4588</v>
      </c>
      <c r="D77" s="7" t="s">
        <v>4384</v>
      </c>
      <c r="E77" s="6" t="s">
        <v>5878</v>
      </c>
      <c r="F77" s="42">
        <v>26.91</v>
      </c>
      <c r="G77" s="42">
        <v>2</v>
      </c>
      <c r="H77" s="43">
        <v>53.82</v>
      </c>
    </row>
    <row r="78" spans="1:8" ht="19.95" customHeight="1" x14ac:dyDescent="0.3">
      <c r="A78" s="2" t="s">
        <v>4572</v>
      </c>
      <c r="B78" s="3" t="s">
        <v>4587</v>
      </c>
      <c r="C78" s="2" t="s">
        <v>4588</v>
      </c>
      <c r="D78" s="3" t="s">
        <v>4384</v>
      </c>
      <c r="E78" s="2" t="s">
        <v>4270</v>
      </c>
      <c r="F78" s="40">
        <v>13.52</v>
      </c>
      <c r="G78" s="40">
        <v>2</v>
      </c>
      <c r="H78" s="41">
        <v>27.04</v>
      </c>
    </row>
    <row r="79" spans="1:8" ht="19.95" customHeight="1" x14ac:dyDescent="0.3">
      <c r="A79" s="6" t="s">
        <v>4572</v>
      </c>
      <c r="B79" s="7" t="s">
        <v>4589</v>
      </c>
      <c r="C79" s="6" t="s">
        <v>4590</v>
      </c>
      <c r="D79" s="7" t="s">
        <v>4384</v>
      </c>
      <c r="E79" s="6" t="s">
        <v>5878</v>
      </c>
      <c r="F79" s="42">
        <v>26.91</v>
      </c>
      <c r="G79" s="42">
        <v>2</v>
      </c>
      <c r="H79" s="43">
        <v>53.82</v>
      </c>
    </row>
    <row r="80" spans="1:8" ht="19.95" customHeight="1" x14ac:dyDescent="0.3">
      <c r="A80" s="2" t="s">
        <v>4572</v>
      </c>
      <c r="B80" s="3" t="s">
        <v>4589</v>
      </c>
      <c r="C80" s="2" t="s">
        <v>4590</v>
      </c>
      <c r="D80" s="3" t="s">
        <v>4384</v>
      </c>
      <c r="E80" s="2" t="s">
        <v>4270</v>
      </c>
      <c r="F80" s="40">
        <v>13.52</v>
      </c>
      <c r="G80" s="40">
        <v>2</v>
      </c>
      <c r="H80" s="41">
        <v>27.04</v>
      </c>
    </row>
    <row r="81" spans="1:8" ht="19.95" customHeight="1" x14ac:dyDescent="0.3">
      <c r="A81" s="6" t="s">
        <v>4572</v>
      </c>
      <c r="B81" s="7" t="s">
        <v>4591</v>
      </c>
      <c r="C81" s="6" t="s">
        <v>4592</v>
      </c>
      <c r="D81" s="7" t="s">
        <v>4368</v>
      </c>
      <c r="E81" s="6" t="s">
        <v>4270</v>
      </c>
      <c r="F81" s="42">
        <v>6.45</v>
      </c>
      <c r="G81" s="42">
        <v>2</v>
      </c>
      <c r="H81" s="43">
        <v>12.9</v>
      </c>
    </row>
    <row r="82" spans="1:8" ht="19.95" customHeight="1" x14ac:dyDescent="0.3">
      <c r="A82" s="2" t="s">
        <v>4572</v>
      </c>
      <c r="B82" s="3" t="s">
        <v>4591</v>
      </c>
      <c r="C82" s="2" t="s">
        <v>4592</v>
      </c>
      <c r="D82" s="3" t="s">
        <v>4384</v>
      </c>
      <c r="E82" s="2" t="s">
        <v>5879</v>
      </c>
      <c r="F82" s="40">
        <v>10.35</v>
      </c>
      <c r="G82" s="40">
        <v>2</v>
      </c>
      <c r="H82" s="41">
        <v>20.7</v>
      </c>
    </row>
    <row r="83" spans="1:8" ht="19.95" customHeight="1" x14ac:dyDescent="0.3">
      <c r="A83" s="6" t="s">
        <v>4572</v>
      </c>
      <c r="B83" s="7" t="s">
        <v>4591</v>
      </c>
      <c r="C83" s="6" t="s">
        <v>4592</v>
      </c>
      <c r="D83" s="7" t="s">
        <v>4384</v>
      </c>
      <c r="E83" s="6" t="s">
        <v>4270</v>
      </c>
      <c r="F83" s="42">
        <v>5.2</v>
      </c>
      <c r="G83" s="42">
        <v>2</v>
      </c>
      <c r="H83" s="43">
        <v>10.4</v>
      </c>
    </row>
    <row r="84" spans="1:8" ht="19.95" customHeight="1" x14ac:dyDescent="0.3">
      <c r="A84" s="2" t="s">
        <v>4609</v>
      </c>
      <c r="B84" s="3" t="s">
        <v>4620</v>
      </c>
      <c r="C84" s="2" t="s">
        <v>4621</v>
      </c>
      <c r="D84" s="3" t="s">
        <v>4384</v>
      </c>
      <c r="E84" s="2" t="s">
        <v>4270</v>
      </c>
      <c r="F84" s="40">
        <v>14.3</v>
      </c>
      <c r="G84" s="40">
        <v>2</v>
      </c>
      <c r="H84" s="41">
        <v>28.6</v>
      </c>
    </row>
    <row r="85" spans="1:8" ht="19.95" customHeight="1" x14ac:dyDescent="0.3">
      <c r="A85" s="6" t="s">
        <v>4609</v>
      </c>
      <c r="B85" s="7" t="s">
        <v>4623</v>
      </c>
      <c r="C85" s="6" t="s">
        <v>4624</v>
      </c>
      <c r="D85" s="7" t="s">
        <v>4384</v>
      </c>
      <c r="E85" s="6" t="s">
        <v>4270</v>
      </c>
      <c r="F85" s="42">
        <v>14.3</v>
      </c>
      <c r="G85" s="42">
        <v>2</v>
      </c>
      <c r="H85" s="43">
        <v>28.6</v>
      </c>
    </row>
    <row r="86" spans="1:8" ht="19.95" customHeight="1" x14ac:dyDescent="0.3">
      <c r="A86" s="2" t="s">
        <v>4609</v>
      </c>
      <c r="B86" s="3" t="s">
        <v>4626</v>
      </c>
      <c r="C86" s="2" t="s">
        <v>4627</v>
      </c>
      <c r="D86" s="3" t="s">
        <v>4384</v>
      </c>
      <c r="E86" s="2" t="s">
        <v>4270</v>
      </c>
      <c r="F86" s="40">
        <v>13.52</v>
      </c>
      <c r="G86" s="40">
        <v>2</v>
      </c>
      <c r="H86" s="41">
        <v>27.04</v>
      </c>
    </row>
    <row r="87" spans="1:8" ht="19.95" customHeight="1" x14ac:dyDescent="0.3">
      <c r="A87" s="6" t="s">
        <v>4609</v>
      </c>
      <c r="B87" s="7" t="s">
        <v>4628</v>
      </c>
      <c r="C87" s="6" t="s">
        <v>4629</v>
      </c>
      <c r="D87" s="7" t="s">
        <v>4384</v>
      </c>
      <c r="E87" s="6" t="s">
        <v>4270</v>
      </c>
      <c r="F87" s="42">
        <v>13.52</v>
      </c>
      <c r="G87" s="42">
        <v>2</v>
      </c>
      <c r="H87" s="43">
        <v>27.04</v>
      </c>
    </row>
    <row r="88" spans="1:8" ht="19.95" customHeight="1" x14ac:dyDescent="0.3">
      <c r="A88" s="2" t="s">
        <v>4609</v>
      </c>
      <c r="B88" s="3" t="s">
        <v>4630</v>
      </c>
      <c r="C88" s="2" t="s">
        <v>4631</v>
      </c>
      <c r="D88" s="3" t="s">
        <v>4384</v>
      </c>
      <c r="E88" s="2" t="s">
        <v>4270</v>
      </c>
      <c r="F88" s="40">
        <v>13.52</v>
      </c>
      <c r="G88" s="40">
        <v>2</v>
      </c>
      <c r="H88" s="41">
        <v>27.04</v>
      </c>
    </row>
    <row r="89" spans="1:8" ht="19.95" customHeight="1" x14ac:dyDescent="0.3">
      <c r="A89" s="6" t="s">
        <v>4609</v>
      </c>
      <c r="B89" s="7" t="s">
        <v>4632</v>
      </c>
      <c r="C89" s="6" t="s">
        <v>4633</v>
      </c>
      <c r="D89" s="7" t="s">
        <v>4384</v>
      </c>
      <c r="E89" s="6" t="s">
        <v>4270</v>
      </c>
      <c r="F89" s="42">
        <v>13.52</v>
      </c>
      <c r="G89" s="42">
        <v>2</v>
      </c>
      <c r="H89" s="43">
        <v>27.04</v>
      </c>
    </row>
    <row r="90" spans="1:8" ht="19.95" customHeight="1" x14ac:dyDescent="0.3">
      <c r="A90" s="2" t="s">
        <v>4609</v>
      </c>
      <c r="B90" s="3" t="s">
        <v>4612</v>
      </c>
      <c r="C90" s="2" t="s">
        <v>4613</v>
      </c>
      <c r="D90" s="3" t="s">
        <v>4384</v>
      </c>
      <c r="E90" s="2" t="s">
        <v>4270</v>
      </c>
      <c r="F90" s="40">
        <v>13.52</v>
      </c>
      <c r="G90" s="40">
        <v>2</v>
      </c>
      <c r="H90" s="41">
        <v>27.04</v>
      </c>
    </row>
    <row r="91" spans="1:8" ht="19.95" customHeight="1" x14ac:dyDescent="0.3">
      <c r="A91" s="6" t="s">
        <v>4609</v>
      </c>
      <c r="B91" s="7" t="s">
        <v>4614</v>
      </c>
      <c r="C91" s="6" t="s">
        <v>4615</v>
      </c>
      <c r="D91" s="7" t="s">
        <v>4384</v>
      </c>
      <c r="E91" s="6" t="s">
        <v>4270</v>
      </c>
      <c r="F91" s="42">
        <v>8.9700000000000006</v>
      </c>
      <c r="G91" s="42">
        <v>2</v>
      </c>
      <c r="H91" s="43">
        <v>17.940000000000001</v>
      </c>
    </row>
    <row r="92" spans="1:8" ht="19.95" customHeight="1" x14ac:dyDescent="0.3">
      <c r="A92" s="2" t="s">
        <v>4609</v>
      </c>
      <c r="B92" s="3" t="s">
        <v>4616</v>
      </c>
      <c r="C92" s="2" t="s">
        <v>4617</v>
      </c>
      <c r="D92" s="3" t="s">
        <v>4384</v>
      </c>
      <c r="E92" s="2" t="s">
        <v>4270</v>
      </c>
      <c r="F92" s="40">
        <v>14.3</v>
      </c>
      <c r="G92" s="40">
        <v>2</v>
      </c>
      <c r="H92" s="41">
        <v>28.6</v>
      </c>
    </row>
    <row r="93" spans="1:8" ht="19.95" customHeight="1" x14ac:dyDescent="0.3">
      <c r="A93" s="6" t="s">
        <v>4609</v>
      </c>
      <c r="B93" s="7" t="s">
        <v>4618</v>
      </c>
      <c r="C93" s="6" t="s">
        <v>4619</v>
      </c>
      <c r="D93" s="7" t="s">
        <v>4384</v>
      </c>
      <c r="E93" s="6" t="s">
        <v>4270</v>
      </c>
      <c r="F93" s="42">
        <v>14.3</v>
      </c>
      <c r="G93" s="42">
        <v>2</v>
      </c>
      <c r="H93" s="43">
        <v>28.6</v>
      </c>
    </row>
    <row r="94" spans="1:8" ht="19.95" customHeight="1" x14ac:dyDescent="0.3">
      <c r="A94" s="2" t="s">
        <v>4609</v>
      </c>
      <c r="B94" s="3" t="s">
        <v>4649</v>
      </c>
      <c r="C94" s="2" t="s">
        <v>4650</v>
      </c>
      <c r="D94" s="3" t="s">
        <v>4384</v>
      </c>
      <c r="E94" s="2" t="s">
        <v>5880</v>
      </c>
      <c r="F94" s="40">
        <v>114.4</v>
      </c>
      <c r="G94" s="40">
        <v>2</v>
      </c>
      <c r="H94" s="41">
        <v>228.8</v>
      </c>
    </row>
    <row r="95" spans="1:8" ht="19.95" customHeight="1" x14ac:dyDescent="0.3">
      <c r="A95" s="6" t="s">
        <v>4609</v>
      </c>
      <c r="B95" s="7" t="s">
        <v>4649</v>
      </c>
      <c r="C95" s="6" t="s">
        <v>4650</v>
      </c>
      <c r="D95" s="7" t="s">
        <v>4384</v>
      </c>
      <c r="E95" s="6" t="s">
        <v>4270</v>
      </c>
      <c r="F95" s="42">
        <v>14.3</v>
      </c>
      <c r="G95" s="42">
        <v>2</v>
      </c>
      <c r="H95" s="43">
        <v>28.6</v>
      </c>
    </row>
    <row r="96" spans="1:8" ht="19.95" customHeight="1" x14ac:dyDescent="0.3">
      <c r="A96" s="2" t="s">
        <v>4609</v>
      </c>
      <c r="B96" s="3" t="s">
        <v>4651</v>
      </c>
      <c r="C96" s="2" t="s">
        <v>4652</v>
      </c>
      <c r="D96" s="3" t="s">
        <v>4384</v>
      </c>
      <c r="E96" s="2" t="s">
        <v>5880</v>
      </c>
      <c r="F96" s="40">
        <v>114.4</v>
      </c>
      <c r="G96" s="40">
        <v>2</v>
      </c>
      <c r="H96" s="41">
        <v>228.8</v>
      </c>
    </row>
    <row r="97" spans="1:8" ht="19.95" customHeight="1" x14ac:dyDescent="0.3">
      <c r="A97" s="6" t="s">
        <v>4609</v>
      </c>
      <c r="B97" s="7" t="s">
        <v>4651</v>
      </c>
      <c r="C97" s="6" t="s">
        <v>4652</v>
      </c>
      <c r="D97" s="7" t="s">
        <v>4384</v>
      </c>
      <c r="E97" s="6" t="s">
        <v>4270</v>
      </c>
      <c r="F97" s="42">
        <v>14.3</v>
      </c>
      <c r="G97" s="42">
        <v>2</v>
      </c>
      <c r="H97" s="43">
        <v>28.6</v>
      </c>
    </row>
    <row r="98" spans="1:8" ht="19.95" customHeight="1" x14ac:dyDescent="0.3">
      <c r="A98" s="2" t="s">
        <v>4609</v>
      </c>
      <c r="B98" s="3" t="s">
        <v>4653</v>
      </c>
      <c r="C98" s="2" t="s">
        <v>4654</v>
      </c>
      <c r="D98" s="3" t="s">
        <v>4384</v>
      </c>
      <c r="E98" s="2" t="s">
        <v>5881</v>
      </c>
      <c r="F98" s="40">
        <v>114.4</v>
      </c>
      <c r="G98" s="40">
        <v>2</v>
      </c>
      <c r="H98" s="41">
        <v>228.8</v>
      </c>
    </row>
    <row r="99" spans="1:8" ht="19.95" customHeight="1" x14ac:dyDescent="0.3">
      <c r="A99" s="6" t="s">
        <v>4609</v>
      </c>
      <c r="B99" s="7" t="s">
        <v>4653</v>
      </c>
      <c r="C99" s="6" t="s">
        <v>4654</v>
      </c>
      <c r="D99" s="7" t="s">
        <v>4384</v>
      </c>
      <c r="E99" s="6" t="s">
        <v>4270</v>
      </c>
      <c r="F99" s="42">
        <v>13.52</v>
      </c>
      <c r="G99" s="42">
        <v>2</v>
      </c>
      <c r="H99" s="43">
        <v>27.04</v>
      </c>
    </row>
    <row r="100" spans="1:8" ht="19.95" customHeight="1" x14ac:dyDescent="0.3">
      <c r="A100" s="2" t="s">
        <v>4609</v>
      </c>
      <c r="B100" s="3" t="s">
        <v>4655</v>
      </c>
      <c r="C100" s="2" t="s">
        <v>4656</v>
      </c>
      <c r="D100" s="3" t="s">
        <v>4384</v>
      </c>
      <c r="E100" s="2" t="s">
        <v>5880</v>
      </c>
      <c r="F100" s="40">
        <v>114.4</v>
      </c>
      <c r="G100" s="40">
        <v>2</v>
      </c>
      <c r="H100" s="41">
        <v>228.8</v>
      </c>
    </row>
    <row r="101" spans="1:8" ht="19.95" customHeight="1" x14ac:dyDescent="0.3">
      <c r="A101" s="6" t="s">
        <v>4609</v>
      </c>
      <c r="B101" s="7" t="s">
        <v>4655</v>
      </c>
      <c r="C101" s="6" t="s">
        <v>4656</v>
      </c>
      <c r="D101" s="7" t="s">
        <v>4384</v>
      </c>
      <c r="E101" s="6" t="s">
        <v>4270</v>
      </c>
      <c r="F101" s="42">
        <v>14.3</v>
      </c>
      <c r="G101" s="42">
        <v>2</v>
      </c>
      <c r="H101" s="43">
        <v>28.6</v>
      </c>
    </row>
    <row r="102" spans="1:8" ht="19.95" customHeight="1" x14ac:dyDescent="0.3">
      <c r="A102" s="2" t="s">
        <v>4609</v>
      </c>
      <c r="B102" s="3" t="s">
        <v>4661</v>
      </c>
      <c r="C102" s="2" t="s">
        <v>4662</v>
      </c>
      <c r="D102" s="3" t="s">
        <v>4663</v>
      </c>
      <c r="E102" s="2" t="s">
        <v>5882</v>
      </c>
      <c r="F102" s="40">
        <v>22.1</v>
      </c>
      <c r="G102" s="40">
        <v>2</v>
      </c>
      <c r="H102" s="41">
        <v>44.2</v>
      </c>
    </row>
    <row r="103" spans="1:8" ht="19.95" customHeight="1" x14ac:dyDescent="0.3">
      <c r="A103" s="6" t="s">
        <v>4609</v>
      </c>
      <c r="B103" s="7" t="s">
        <v>4661</v>
      </c>
      <c r="C103" s="6" t="s">
        <v>4662</v>
      </c>
      <c r="D103" s="7" t="s">
        <v>4663</v>
      </c>
      <c r="E103" s="6" t="s">
        <v>5883</v>
      </c>
      <c r="F103" s="42">
        <v>52</v>
      </c>
      <c r="G103" s="42">
        <v>2</v>
      </c>
      <c r="H103" s="43">
        <v>104</v>
      </c>
    </row>
    <row r="104" spans="1:8" ht="19.95" customHeight="1" x14ac:dyDescent="0.3">
      <c r="A104" s="2" t="s">
        <v>4609</v>
      </c>
      <c r="B104" s="3" t="s">
        <v>4661</v>
      </c>
      <c r="C104" s="2" t="s">
        <v>4662</v>
      </c>
      <c r="D104" s="3" t="s">
        <v>4663</v>
      </c>
      <c r="E104" s="2" t="s">
        <v>4270</v>
      </c>
      <c r="F104" s="40">
        <v>26</v>
      </c>
      <c r="G104" s="40">
        <v>2</v>
      </c>
      <c r="H104" s="41">
        <v>52</v>
      </c>
    </row>
    <row r="105" spans="1:8" ht="19.95" customHeight="1" x14ac:dyDescent="0.3">
      <c r="A105" s="6" t="s">
        <v>4609</v>
      </c>
      <c r="B105" s="7" t="s">
        <v>4664</v>
      </c>
      <c r="C105" s="6" t="s">
        <v>4665</v>
      </c>
      <c r="D105" s="7" t="s">
        <v>4368</v>
      </c>
      <c r="E105" s="6" t="s">
        <v>5884</v>
      </c>
      <c r="F105" s="42">
        <v>27.62</v>
      </c>
      <c r="G105" s="42">
        <v>2</v>
      </c>
      <c r="H105" s="43">
        <v>55.24</v>
      </c>
    </row>
    <row r="106" spans="1:8" ht="19.95" customHeight="1" x14ac:dyDescent="0.3">
      <c r="A106" s="2" t="s">
        <v>4609</v>
      </c>
      <c r="B106" s="3" t="s">
        <v>4664</v>
      </c>
      <c r="C106" s="2" t="s">
        <v>4665</v>
      </c>
      <c r="D106" s="3" t="s">
        <v>4368</v>
      </c>
      <c r="E106" s="2" t="s">
        <v>5883</v>
      </c>
      <c r="F106" s="40">
        <v>78</v>
      </c>
      <c r="G106" s="40">
        <v>2</v>
      </c>
      <c r="H106" s="41">
        <v>156</v>
      </c>
    </row>
    <row r="107" spans="1:8" ht="19.95" customHeight="1" x14ac:dyDescent="0.3">
      <c r="A107" s="6" t="s">
        <v>4609</v>
      </c>
      <c r="B107" s="7" t="s">
        <v>4664</v>
      </c>
      <c r="C107" s="6" t="s">
        <v>4665</v>
      </c>
      <c r="D107" s="7" t="s">
        <v>4368</v>
      </c>
      <c r="E107" s="6" t="s">
        <v>4270</v>
      </c>
      <c r="F107" s="42">
        <v>52</v>
      </c>
      <c r="G107" s="42">
        <v>2</v>
      </c>
      <c r="H107" s="43">
        <v>104</v>
      </c>
    </row>
    <row r="108" spans="1:8" ht="19.95" customHeight="1" x14ac:dyDescent="0.3">
      <c r="A108" s="2" t="s">
        <v>4609</v>
      </c>
      <c r="B108" s="3" t="s">
        <v>4666</v>
      </c>
      <c r="C108" s="2" t="s">
        <v>4667</v>
      </c>
      <c r="D108" s="3" t="s">
        <v>4368</v>
      </c>
      <c r="E108" s="2" t="s">
        <v>5885</v>
      </c>
      <c r="F108" s="40">
        <v>27.62</v>
      </c>
      <c r="G108" s="40">
        <v>2</v>
      </c>
      <c r="H108" s="41">
        <v>55.24</v>
      </c>
    </row>
    <row r="109" spans="1:8" ht="19.95" customHeight="1" x14ac:dyDescent="0.3">
      <c r="A109" s="6" t="s">
        <v>4609</v>
      </c>
      <c r="B109" s="7" t="s">
        <v>4666</v>
      </c>
      <c r="C109" s="6" t="s">
        <v>4667</v>
      </c>
      <c r="D109" s="7" t="s">
        <v>4368</v>
      </c>
      <c r="E109" s="6" t="s">
        <v>5883</v>
      </c>
      <c r="F109" s="42">
        <v>39</v>
      </c>
      <c r="G109" s="42">
        <v>2</v>
      </c>
      <c r="H109" s="43">
        <v>78</v>
      </c>
    </row>
    <row r="110" spans="1:8" ht="19.95" customHeight="1" x14ac:dyDescent="0.3">
      <c r="A110" s="2" t="s">
        <v>4609</v>
      </c>
      <c r="B110" s="3" t="s">
        <v>5840</v>
      </c>
      <c r="C110" s="2" t="s">
        <v>5886</v>
      </c>
      <c r="D110" s="3" t="s">
        <v>4368</v>
      </c>
      <c r="E110" s="2" t="s">
        <v>5887</v>
      </c>
      <c r="F110" s="40">
        <v>36.299999999999997</v>
      </c>
      <c r="G110" s="40">
        <v>2</v>
      </c>
      <c r="H110" s="41">
        <v>72.599999999999994</v>
      </c>
    </row>
    <row r="111" spans="1:8" ht="19.95" customHeight="1" x14ac:dyDescent="0.3">
      <c r="A111" s="6" t="s">
        <v>4609</v>
      </c>
      <c r="B111" s="7" t="s">
        <v>5840</v>
      </c>
      <c r="C111" s="6" t="s">
        <v>5888</v>
      </c>
      <c r="D111" s="7" t="s">
        <v>4368</v>
      </c>
      <c r="E111" s="6" t="s">
        <v>5889</v>
      </c>
      <c r="F111" s="42">
        <v>30.54</v>
      </c>
      <c r="G111" s="42">
        <v>2</v>
      </c>
      <c r="H111" s="43">
        <v>61.08</v>
      </c>
    </row>
    <row r="112" spans="1:8" ht="19.95" customHeight="1" x14ac:dyDescent="0.3">
      <c r="A112" s="2" t="s">
        <v>4609</v>
      </c>
      <c r="B112" s="3" t="s">
        <v>4620</v>
      </c>
      <c r="C112" s="2" t="s">
        <v>4678</v>
      </c>
      <c r="D112" s="3" t="s">
        <v>4368</v>
      </c>
      <c r="E112" s="2" t="s">
        <v>5890</v>
      </c>
      <c r="F112" s="40">
        <v>26.91</v>
      </c>
      <c r="G112" s="40">
        <v>2</v>
      </c>
      <c r="H112" s="41">
        <v>53.82</v>
      </c>
    </row>
    <row r="113" spans="1:8" ht="19.95" customHeight="1" x14ac:dyDescent="0.3">
      <c r="A113" s="6" t="s">
        <v>4609</v>
      </c>
      <c r="B113" s="7" t="s">
        <v>4623</v>
      </c>
      <c r="C113" s="6" t="s">
        <v>4625</v>
      </c>
      <c r="D113" s="7" t="s">
        <v>4368</v>
      </c>
      <c r="E113" s="6" t="s">
        <v>5891</v>
      </c>
      <c r="F113" s="42">
        <v>1.95</v>
      </c>
      <c r="G113" s="42">
        <v>2</v>
      </c>
      <c r="H113" s="43">
        <v>3.9</v>
      </c>
    </row>
    <row r="114" spans="1:8" ht="19.95" customHeight="1" x14ac:dyDescent="0.3">
      <c r="A114" s="2" t="s">
        <v>4609</v>
      </c>
      <c r="B114" s="3" t="s">
        <v>4623</v>
      </c>
      <c r="C114" s="2" t="s">
        <v>4625</v>
      </c>
      <c r="D114" s="3" t="s">
        <v>4368</v>
      </c>
      <c r="E114" s="2" t="s">
        <v>5891</v>
      </c>
      <c r="F114" s="40">
        <v>13.52</v>
      </c>
      <c r="G114" s="40">
        <v>2</v>
      </c>
      <c r="H114" s="41">
        <v>27.04</v>
      </c>
    </row>
    <row r="115" spans="1:8" ht="19.95" customHeight="1" x14ac:dyDescent="0.3">
      <c r="A115" s="6" t="s">
        <v>4609</v>
      </c>
      <c r="B115" s="7" t="s">
        <v>4634</v>
      </c>
      <c r="C115" s="6" t="s">
        <v>4635</v>
      </c>
      <c r="D115" s="7" t="s">
        <v>4636</v>
      </c>
      <c r="E115" s="6" t="s">
        <v>5892</v>
      </c>
      <c r="F115" s="42">
        <v>33.15</v>
      </c>
      <c r="G115" s="42">
        <v>2</v>
      </c>
      <c r="H115" s="43">
        <v>66.3</v>
      </c>
    </row>
    <row r="116" spans="1:8" ht="19.95" customHeight="1" x14ac:dyDescent="0.3">
      <c r="A116" s="2" t="s">
        <v>4609</v>
      </c>
      <c r="B116" s="3" t="s">
        <v>4643</v>
      </c>
      <c r="C116" s="2" t="s">
        <v>4644</v>
      </c>
      <c r="D116" s="3" t="s">
        <v>4368</v>
      </c>
      <c r="E116" s="2" t="s">
        <v>5893</v>
      </c>
      <c r="F116" s="40">
        <v>13.39</v>
      </c>
      <c r="G116" s="40">
        <v>2</v>
      </c>
      <c r="H116" s="41">
        <v>26.78</v>
      </c>
    </row>
    <row r="117" spans="1:8" ht="19.95" customHeight="1" x14ac:dyDescent="0.3">
      <c r="A117" s="6" t="s">
        <v>4609</v>
      </c>
      <c r="B117" s="7" t="s">
        <v>4643</v>
      </c>
      <c r="C117" s="6" t="s">
        <v>4644</v>
      </c>
      <c r="D117" s="7" t="s">
        <v>4368</v>
      </c>
      <c r="E117" s="6" t="s">
        <v>4270</v>
      </c>
      <c r="F117" s="42">
        <v>6.76</v>
      </c>
      <c r="G117" s="42">
        <v>2</v>
      </c>
      <c r="H117" s="43">
        <v>13.52</v>
      </c>
    </row>
    <row r="118" spans="1:8" ht="19.95" customHeight="1" x14ac:dyDescent="0.3">
      <c r="A118" s="2" t="s">
        <v>4609</v>
      </c>
      <c r="B118" s="3" t="s">
        <v>4645</v>
      </c>
      <c r="C118" s="2" t="s">
        <v>4646</v>
      </c>
      <c r="D118" s="3" t="s">
        <v>4390</v>
      </c>
      <c r="E118" s="2" t="s">
        <v>4270</v>
      </c>
      <c r="F118" s="40">
        <v>13</v>
      </c>
      <c r="G118" s="40">
        <v>2</v>
      </c>
      <c r="H118" s="41">
        <v>26</v>
      </c>
    </row>
    <row r="119" spans="1:8" ht="19.95" customHeight="1" x14ac:dyDescent="0.3">
      <c r="A119" s="6" t="s">
        <v>4609</v>
      </c>
      <c r="B119" s="7" t="s">
        <v>4645</v>
      </c>
      <c r="C119" s="6" t="s">
        <v>4646</v>
      </c>
      <c r="D119" s="7" t="s">
        <v>4390</v>
      </c>
      <c r="E119" s="6" t="s">
        <v>4270</v>
      </c>
      <c r="F119" s="42">
        <v>13</v>
      </c>
      <c r="G119" s="42">
        <v>2</v>
      </c>
      <c r="H119" s="43">
        <v>26</v>
      </c>
    </row>
    <row r="120" spans="1:8" ht="19.95" customHeight="1" x14ac:dyDescent="0.3">
      <c r="A120" s="2" t="s">
        <v>4609</v>
      </c>
      <c r="B120" s="3" t="s">
        <v>4647</v>
      </c>
      <c r="C120" s="2" t="s">
        <v>4648</v>
      </c>
      <c r="D120" s="3" t="s">
        <v>4390</v>
      </c>
      <c r="E120" s="2" t="s">
        <v>4270</v>
      </c>
      <c r="F120" s="40">
        <v>13</v>
      </c>
      <c r="G120" s="40">
        <v>2</v>
      </c>
      <c r="H120" s="41">
        <v>26</v>
      </c>
    </row>
    <row r="121" spans="1:8" ht="19.95" customHeight="1" x14ac:dyDescent="0.3">
      <c r="A121" s="6" t="s">
        <v>4609</v>
      </c>
      <c r="B121" s="7" t="s">
        <v>4647</v>
      </c>
      <c r="C121" s="6" t="s">
        <v>4648</v>
      </c>
      <c r="D121" s="7" t="s">
        <v>4390</v>
      </c>
      <c r="E121" s="6" t="s">
        <v>4270</v>
      </c>
      <c r="F121" s="42">
        <v>13</v>
      </c>
      <c r="G121" s="42">
        <v>2</v>
      </c>
      <c r="H121" s="43">
        <v>26</v>
      </c>
    </row>
    <row r="122" spans="1:8" ht="19.95" customHeight="1" x14ac:dyDescent="0.3">
      <c r="A122" s="2" t="s">
        <v>4609</v>
      </c>
      <c r="B122" s="3" t="s">
        <v>4657</v>
      </c>
      <c r="C122" s="2" t="s">
        <v>4658</v>
      </c>
      <c r="D122" s="3" t="s">
        <v>4390</v>
      </c>
      <c r="E122" s="2" t="s">
        <v>4270</v>
      </c>
      <c r="F122" s="40">
        <v>13</v>
      </c>
      <c r="G122" s="40">
        <v>2</v>
      </c>
      <c r="H122" s="41">
        <v>26</v>
      </c>
    </row>
    <row r="123" spans="1:8" ht="19.95" customHeight="1" x14ac:dyDescent="0.3">
      <c r="A123" s="6" t="s">
        <v>4609</v>
      </c>
      <c r="B123" s="7" t="s">
        <v>4657</v>
      </c>
      <c r="C123" s="6" t="s">
        <v>4658</v>
      </c>
      <c r="D123" s="7" t="s">
        <v>4390</v>
      </c>
      <c r="E123" s="6" t="s">
        <v>4270</v>
      </c>
      <c r="F123" s="42">
        <v>13</v>
      </c>
      <c r="G123" s="42">
        <v>2</v>
      </c>
      <c r="H123" s="43">
        <v>26</v>
      </c>
    </row>
    <row r="124" spans="1:8" ht="19.95" customHeight="1" x14ac:dyDescent="0.3">
      <c r="A124" s="2" t="s">
        <v>4609</v>
      </c>
      <c r="B124" s="3" t="s">
        <v>4659</v>
      </c>
      <c r="C124" s="2" t="s">
        <v>4660</v>
      </c>
      <c r="D124" s="3" t="s">
        <v>4390</v>
      </c>
      <c r="E124" s="2" t="s">
        <v>4270</v>
      </c>
      <c r="F124" s="40">
        <v>13</v>
      </c>
      <c r="G124" s="40">
        <v>2</v>
      </c>
      <c r="H124" s="41">
        <v>26</v>
      </c>
    </row>
    <row r="125" spans="1:8" ht="19.95" customHeight="1" x14ac:dyDescent="0.3">
      <c r="A125" s="6" t="s">
        <v>4609</v>
      </c>
      <c r="B125" s="7" t="s">
        <v>4659</v>
      </c>
      <c r="C125" s="6" t="s">
        <v>4660</v>
      </c>
      <c r="D125" s="7" t="s">
        <v>4390</v>
      </c>
      <c r="E125" s="6" t="s">
        <v>4270</v>
      </c>
      <c r="F125" s="42">
        <v>13</v>
      </c>
      <c r="G125" s="42">
        <v>2</v>
      </c>
      <c r="H125" s="43">
        <v>26</v>
      </c>
    </row>
    <row r="126" spans="1:8" ht="19.95" customHeight="1" x14ac:dyDescent="0.3">
      <c r="A126" s="2" t="s">
        <v>4668</v>
      </c>
      <c r="B126" s="3" t="s">
        <v>4686</v>
      </c>
      <c r="C126" s="2" t="s">
        <v>4687</v>
      </c>
      <c r="D126" s="3" t="s">
        <v>4384</v>
      </c>
      <c r="E126" s="2" t="s">
        <v>4270</v>
      </c>
      <c r="F126" s="40">
        <v>14.3</v>
      </c>
      <c r="G126" s="40">
        <v>2</v>
      </c>
      <c r="H126" s="41">
        <v>28.6</v>
      </c>
    </row>
    <row r="127" spans="1:8" ht="19.95" customHeight="1" x14ac:dyDescent="0.3">
      <c r="A127" s="6" t="s">
        <v>4668</v>
      </c>
      <c r="B127" s="7" t="s">
        <v>4688</v>
      </c>
      <c r="C127" s="6" t="s">
        <v>4689</v>
      </c>
      <c r="D127" s="7" t="s">
        <v>4384</v>
      </c>
      <c r="E127" s="6" t="s">
        <v>4270</v>
      </c>
      <c r="F127" s="42">
        <v>14.3</v>
      </c>
      <c r="G127" s="42">
        <v>2</v>
      </c>
      <c r="H127" s="43">
        <v>28.6</v>
      </c>
    </row>
    <row r="128" spans="1:8" ht="19.95" customHeight="1" x14ac:dyDescent="0.3">
      <c r="A128" s="2" t="s">
        <v>4668</v>
      </c>
      <c r="B128" s="3" t="s">
        <v>4701</v>
      </c>
      <c r="C128" s="2" t="s">
        <v>4702</v>
      </c>
      <c r="D128" s="3" t="s">
        <v>4435</v>
      </c>
      <c r="E128" s="2" t="s">
        <v>4270</v>
      </c>
      <c r="F128" s="40">
        <v>131.82</v>
      </c>
      <c r="G128" s="40">
        <v>2</v>
      </c>
      <c r="H128" s="41">
        <v>263.64</v>
      </c>
    </row>
    <row r="129" spans="1:8" ht="19.95" customHeight="1" x14ac:dyDescent="0.3">
      <c r="A129" s="6" t="s">
        <v>4668</v>
      </c>
      <c r="B129" s="7" t="s">
        <v>4701</v>
      </c>
      <c r="C129" s="6" t="s">
        <v>4702</v>
      </c>
      <c r="D129" s="7" t="s">
        <v>4435</v>
      </c>
      <c r="E129" s="6" t="s">
        <v>5880</v>
      </c>
      <c r="F129" s="42">
        <v>420.03</v>
      </c>
      <c r="G129" s="42">
        <v>2</v>
      </c>
      <c r="H129" s="43">
        <v>840.06</v>
      </c>
    </row>
    <row r="130" spans="1:8" ht="19.95" customHeight="1" x14ac:dyDescent="0.3">
      <c r="A130" s="2" t="s">
        <v>4668</v>
      </c>
      <c r="B130" s="3" t="s">
        <v>4737</v>
      </c>
      <c r="C130" s="2" t="s">
        <v>4738</v>
      </c>
      <c r="D130" s="3" t="s">
        <v>4384</v>
      </c>
      <c r="E130" s="2" t="s">
        <v>4270</v>
      </c>
      <c r="F130" s="40">
        <v>14.3</v>
      </c>
      <c r="G130" s="40">
        <v>2</v>
      </c>
      <c r="H130" s="41">
        <v>28.6</v>
      </c>
    </row>
    <row r="131" spans="1:8" ht="19.95" customHeight="1" x14ac:dyDescent="0.3">
      <c r="A131" s="6" t="s">
        <v>4668</v>
      </c>
      <c r="B131" s="7" t="s">
        <v>4790</v>
      </c>
      <c r="C131" s="6" t="s">
        <v>4791</v>
      </c>
      <c r="D131" s="7" t="s">
        <v>4792</v>
      </c>
      <c r="E131" s="6" t="s">
        <v>4270</v>
      </c>
      <c r="F131" s="42">
        <v>401.89</v>
      </c>
      <c r="G131" s="42">
        <v>2</v>
      </c>
      <c r="H131" s="43">
        <v>803.78</v>
      </c>
    </row>
    <row r="132" spans="1:8" ht="19.95" customHeight="1" x14ac:dyDescent="0.3">
      <c r="A132" s="2" t="s">
        <v>4668</v>
      </c>
      <c r="B132" s="3" t="s">
        <v>4793</v>
      </c>
      <c r="C132" s="2" t="s">
        <v>4794</v>
      </c>
      <c r="D132" s="3" t="s">
        <v>4795</v>
      </c>
      <c r="E132" s="2" t="s">
        <v>5894</v>
      </c>
      <c r="F132" s="40">
        <v>30.16</v>
      </c>
      <c r="G132" s="40">
        <v>2</v>
      </c>
      <c r="H132" s="41">
        <v>60.32</v>
      </c>
    </row>
    <row r="133" spans="1:8" ht="19.95" customHeight="1" x14ac:dyDescent="0.3">
      <c r="A133" s="6" t="s">
        <v>4668</v>
      </c>
      <c r="B133" s="7" t="s">
        <v>4793</v>
      </c>
      <c r="C133" s="6" t="s">
        <v>4794</v>
      </c>
      <c r="D133" s="7" t="s">
        <v>4795</v>
      </c>
      <c r="E133" s="6" t="s">
        <v>4270</v>
      </c>
      <c r="F133" s="42">
        <v>9.49</v>
      </c>
      <c r="G133" s="42">
        <v>2</v>
      </c>
      <c r="H133" s="43">
        <v>18.98</v>
      </c>
    </row>
    <row r="134" spans="1:8" ht="19.95" customHeight="1" x14ac:dyDescent="0.3">
      <c r="A134" s="2" t="s">
        <v>4668</v>
      </c>
      <c r="B134" s="3" t="s">
        <v>4796</v>
      </c>
      <c r="C134" s="2" t="s">
        <v>4797</v>
      </c>
      <c r="D134" s="3" t="s">
        <v>4663</v>
      </c>
      <c r="E134" s="2" t="s">
        <v>5882</v>
      </c>
      <c r="F134" s="40">
        <v>22.1</v>
      </c>
      <c r="G134" s="40">
        <v>2</v>
      </c>
      <c r="H134" s="41">
        <v>44.2</v>
      </c>
    </row>
    <row r="135" spans="1:8" ht="19.95" customHeight="1" x14ac:dyDescent="0.3">
      <c r="A135" s="6" t="s">
        <v>4668</v>
      </c>
      <c r="B135" s="7" t="s">
        <v>4796</v>
      </c>
      <c r="C135" s="6" t="s">
        <v>4797</v>
      </c>
      <c r="D135" s="7" t="s">
        <v>4663</v>
      </c>
      <c r="E135" s="6" t="s">
        <v>5883</v>
      </c>
      <c r="F135" s="42">
        <v>52</v>
      </c>
      <c r="G135" s="42">
        <v>2</v>
      </c>
      <c r="H135" s="43">
        <v>104</v>
      </c>
    </row>
    <row r="136" spans="1:8" ht="19.95" customHeight="1" x14ac:dyDescent="0.3">
      <c r="A136" s="2" t="s">
        <v>4668</v>
      </c>
      <c r="B136" s="3" t="s">
        <v>4796</v>
      </c>
      <c r="C136" s="2" t="s">
        <v>4797</v>
      </c>
      <c r="D136" s="3" t="s">
        <v>4663</v>
      </c>
      <c r="E136" s="2" t="s">
        <v>4270</v>
      </c>
      <c r="F136" s="40">
        <v>26</v>
      </c>
      <c r="G136" s="40">
        <v>2</v>
      </c>
      <c r="H136" s="41">
        <v>52</v>
      </c>
    </row>
    <row r="137" spans="1:8" ht="19.95" customHeight="1" x14ac:dyDescent="0.3">
      <c r="A137" s="6" t="s">
        <v>4668</v>
      </c>
      <c r="B137" s="7" t="s">
        <v>4820</v>
      </c>
      <c r="C137" s="6" t="s">
        <v>4821</v>
      </c>
      <c r="D137" s="7" t="s">
        <v>4368</v>
      </c>
      <c r="E137" s="6" t="s">
        <v>5884</v>
      </c>
      <c r="F137" s="42">
        <v>27.62</v>
      </c>
      <c r="G137" s="42">
        <v>2</v>
      </c>
      <c r="H137" s="43">
        <v>55.24</v>
      </c>
    </row>
    <row r="138" spans="1:8" ht="19.95" customHeight="1" x14ac:dyDescent="0.3">
      <c r="A138" s="2" t="s">
        <v>4668</v>
      </c>
      <c r="B138" s="3" t="s">
        <v>4820</v>
      </c>
      <c r="C138" s="2" t="s">
        <v>4821</v>
      </c>
      <c r="D138" s="3" t="s">
        <v>4368</v>
      </c>
      <c r="E138" s="2" t="s">
        <v>5883</v>
      </c>
      <c r="F138" s="40">
        <v>78</v>
      </c>
      <c r="G138" s="40">
        <v>2</v>
      </c>
      <c r="H138" s="41">
        <v>156</v>
      </c>
    </row>
    <row r="139" spans="1:8" ht="19.95" customHeight="1" x14ac:dyDescent="0.3">
      <c r="A139" s="6" t="s">
        <v>4668</v>
      </c>
      <c r="B139" s="7" t="s">
        <v>4820</v>
      </c>
      <c r="C139" s="6" t="s">
        <v>4821</v>
      </c>
      <c r="D139" s="7" t="s">
        <v>4368</v>
      </c>
      <c r="E139" s="6" t="s">
        <v>4270</v>
      </c>
      <c r="F139" s="42">
        <v>52</v>
      </c>
      <c r="G139" s="42">
        <v>2</v>
      </c>
      <c r="H139" s="43">
        <v>104</v>
      </c>
    </row>
    <row r="140" spans="1:8" ht="19.95" customHeight="1" x14ac:dyDescent="0.3">
      <c r="A140" s="2" t="s">
        <v>4668</v>
      </c>
      <c r="B140" s="3" t="s">
        <v>4669</v>
      </c>
      <c r="C140" s="2" t="s">
        <v>4670</v>
      </c>
      <c r="D140" s="3" t="s">
        <v>4368</v>
      </c>
      <c r="E140" s="2" t="s">
        <v>5895</v>
      </c>
      <c r="F140" s="40">
        <v>22.1</v>
      </c>
      <c r="G140" s="40">
        <v>2</v>
      </c>
      <c r="H140" s="41">
        <v>44.2</v>
      </c>
    </row>
    <row r="141" spans="1:8" ht="19.95" customHeight="1" x14ac:dyDescent="0.3">
      <c r="A141" s="6" t="s">
        <v>4668</v>
      </c>
      <c r="B141" s="7" t="s">
        <v>4669</v>
      </c>
      <c r="C141" s="6" t="s">
        <v>4670</v>
      </c>
      <c r="D141" s="7" t="s">
        <v>4368</v>
      </c>
      <c r="E141" s="6" t="s">
        <v>5883</v>
      </c>
      <c r="F141" s="42">
        <v>78</v>
      </c>
      <c r="G141" s="42">
        <v>2</v>
      </c>
      <c r="H141" s="43">
        <v>156</v>
      </c>
    </row>
    <row r="142" spans="1:8" ht="19.95" customHeight="1" x14ac:dyDescent="0.3">
      <c r="A142" s="2" t="s">
        <v>4668</v>
      </c>
      <c r="B142" s="3" t="s">
        <v>4669</v>
      </c>
      <c r="C142" s="2" t="s">
        <v>4670</v>
      </c>
      <c r="D142" s="3" t="s">
        <v>4368</v>
      </c>
      <c r="E142" s="2" t="s">
        <v>5896</v>
      </c>
      <c r="F142" s="40">
        <v>49.7</v>
      </c>
      <c r="G142" s="40">
        <v>2</v>
      </c>
      <c r="H142" s="41">
        <v>99.4</v>
      </c>
    </row>
    <row r="143" spans="1:8" ht="19.95" customHeight="1" x14ac:dyDescent="0.3">
      <c r="A143" s="6" t="s">
        <v>4668</v>
      </c>
      <c r="B143" s="7" t="s">
        <v>4669</v>
      </c>
      <c r="C143" s="6" t="s">
        <v>4670</v>
      </c>
      <c r="D143" s="7" t="s">
        <v>4368</v>
      </c>
      <c r="E143" s="6" t="s">
        <v>5895</v>
      </c>
      <c r="F143" s="42">
        <v>22.1</v>
      </c>
      <c r="G143" s="42">
        <v>2</v>
      </c>
      <c r="H143" s="43">
        <v>44.2</v>
      </c>
    </row>
    <row r="144" spans="1:8" ht="19.95" customHeight="1" x14ac:dyDescent="0.3">
      <c r="A144" s="2" t="s">
        <v>4668</v>
      </c>
      <c r="B144" s="3" t="s">
        <v>4669</v>
      </c>
      <c r="C144" s="2" t="s">
        <v>4670</v>
      </c>
      <c r="D144" s="3" t="s">
        <v>4368</v>
      </c>
      <c r="E144" s="2" t="s">
        <v>5883</v>
      </c>
      <c r="F144" s="40">
        <v>78</v>
      </c>
      <c r="G144" s="40">
        <v>2</v>
      </c>
      <c r="H144" s="41">
        <v>156</v>
      </c>
    </row>
    <row r="145" spans="1:8" ht="19.95" customHeight="1" x14ac:dyDescent="0.3">
      <c r="A145" s="6" t="s">
        <v>4668</v>
      </c>
      <c r="B145" s="7" t="s">
        <v>4669</v>
      </c>
      <c r="C145" s="6" t="s">
        <v>4670</v>
      </c>
      <c r="D145" s="7" t="s">
        <v>4368</v>
      </c>
      <c r="E145" s="6" t="s">
        <v>5896</v>
      </c>
      <c r="F145" s="42">
        <v>49.7</v>
      </c>
      <c r="G145" s="42">
        <v>2</v>
      </c>
      <c r="H145" s="43">
        <v>99.4</v>
      </c>
    </row>
    <row r="146" spans="1:8" ht="19.95" customHeight="1" x14ac:dyDescent="0.3">
      <c r="A146" s="2" t="s">
        <v>4668</v>
      </c>
      <c r="B146" s="3" t="s">
        <v>4669</v>
      </c>
      <c r="C146" s="2" t="s">
        <v>4670</v>
      </c>
      <c r="D146" s="3" t="s">
        <v>4368</v>
      </c>
      <c r="E146" s="2" t="s">
        <v>5897</v>
      </c>
      <c r="F146" s="40">
        <v>22.1</v>
      </c>
      <c r="G146" s="40">
        <v>2</v>
      </c>
      <c r="H146" s="41">
        <v>44.2</v>
      </c>
    </row>
    <row r="147" spans="1:8" ht="19.95" customHeight="1" x14ac:dyDescent="0.3">
      <c r="A147" s="6" t="s">
        <v>4668</v>
      </c>
      <c r="B147" s="7" t="s">
        <v>4669</v>
      </c>
      <c r="C147" s="6" t="s">
        <v>4670</v>
      </c>
      <c r="D147" s="7" t="s">
        <v>4368</v>
      </c>
      <c r="E147" s="6" t="s">
        <v>5883</v>
      </c>
      <c r="F147" s="42">
        <v>39</v>
      </c>
      <c r="G147" s="42">
        <v>2</v>
      </c>
      <c r="H147" s="43">
        <v>78</v>
      </c>
    </row>
    <row r="148" spans="1:8" ht="19.95" customHeight="1" x14ac:dyDescent="0.3">
      <c r="A148" s="2" t="s">
        <v>4668</v>
      </c>
      <c r="B148" s="3" t="s">
        <v>4669</v>
      </c>
      <c r="C148" s="2" t="s">
        <v>4670</v>
      </c>
      <c r="D148" s="3" t="s">
        <v>4368</v>
      </c>
      <c r="E148" s="2" t="s">
        <v>5898</v>
      </c>
      <c r="F148" s="40">
        <v>24.61</v>
      </c>
      <c r="G148" s="40">
        <v>2</v>
      </c>
      <c r="H148" s="41">
        <v>49.22</v>
      </c>
    </row>
    <row r="149" spans="1:8" ht="19.95" customHeight="1" x14ac:dyDescent="0.3">
      <c r="A149" s="6" t="s">
        <v>4668</v>
      </c>
      <c r="B149" s="7" t="s">
        <v>4822</v>
      </c>
      <c r="C149" s="6" t="s">
        <v>4823</v>
      </c>
      <c r="D149" s="7" t="s">
        <v>4368</v>
      </c>
      <c r="E149" s="6" t="s">
        <v>5885</v>
      </c>
      <c r="F149" s="42">
        <v>27.62</v>
      </c>
      <c r="G149" s="42">
        <v>2</v>
      </c>
      <c r="H149" s="43">
        <v>55.24</v>
      </c>
    </row>
    <row r="150" spans="1:8" ht="19.95" customHeight="1" x14ac:dyDescent="0.3">
      <c r="A150" s="2" t="s">
        <v>4668</v>
      </c>
      <c r="B150" s="3" t="s">
        <v>4822</v>
      </c>
      <c r="C150" s="2" t="s">
        <v>4823</v>
      </c>
      <c r="D150" s="3" t="s">
        <v>4368</v>
      </c>
      <c r="E150" s="2" t="s">
        <v>5883</v>
      </c>
      <c r="F150" s="40">
        <v>39</v>
      </c>
      <c r="G150" s="40">
        <v>2</v>
      </c>
      <c r="H150" s="41">
        <v>78</v>
      </c>
    </row>
    <row r="151" spans="1:8" ht="19.95" customHeight="1" x14ac:dyDescent="0.3">
      <c r="A151" s="6" t="s">
        <v>4668</v>
      </c>
      <c r="B151" s="7" t="s">
        <v>4824</v>
      </c>
      <c r="C151" s="6" t="s">
        <v>4825</v>
      </c>
      <c r="D151" s="7" t="s">
        <v>4406</v>
      </c>
      <c r="E151" s="6" t="s">
        <v>4270</v>
      </c>
      <c r="F151" s="42">
        <v>16.12</v>
      </c>
      <c r="G151" s="42">
        <v>2</v>
      </c>
      <c r="H151" s="43">
        <v>32.24</v>
      </c>
    </row>
    <row r="152" spans="1:8" ht="19.95" customHeight="1" x14ac:dyDescent="0.3">
      <c r="A152" s="2" t="s">
        <v>4668</v>
      </c>
      <c r="B152" s="3" t="s">
        <v>4826</v>
      </c>
      <c r="C152" s="2" t="s">
        <v>4827</v>
      </c>
      <c r="D152" s="3" t="s">
        <v>4828</v>
      </c>
      <c r="E152" s="2" t="s">
        <v>4270</v>
      </c>
      <c r="F152" s="40">
        <v>11.7</v>
      </c>
      <c r="G152" s="40">
        <v>2</v>
      </c>
      <c r="H152" s="41">
        <v>23.4</v>
      </c>
    </row>
    <row r="153" spans="1:8" ht="19.95" customHeight="1" x14ac:dyDescent="0.3">
      <c r="A153" s="6" t="s">
        <v>4668</v>
      </c>
      <c r="B153" s="7" t="s">
        <v>4798</v>
      </c>
      <c r="C153" s="6" t="s">
        <v>4799</v>
      </c>
      <c r="D153" s="7" t="s">
        <v>4405</v>
      </c>
      <c r="E153" s="6" t="s">
        <v>4270</v>
      </c>
      <c r="F153" s="42">
        <v>134.55000000000001</v>
      </c>
      <c r="G153" s="42">
        <v>2</v>
      </c>
      <c r="H153" s="43">
        <v>269.10000000000002</v>
      </c>
    </row>
    <row r="154" spans="1:8" ht="19.95" customHeight="1" x14ac:dyDescent="0.3">
      <c r="A154" s="2" t="s">
        <v>4668</v>
      </c>
      <c r="B154" s="3" t="s">
        <v>4800</v>
      </c>
      <c r="C154" s="2" t="s">
        <v>4801</v>
      </c>
      <c r="D154" s="3" t="s">
        <v>4368</v>
      </c>
      <c r="E154" s="2" t="s">
        <v>5884</v>
      </c>
      <c r="F154" s="40">
        <v>27.63</v>
      </c>
      <c r="G154" s="40">
        <v>2</v>
      </c>
      <c r="H154" s="41">
        <v>55.26</v>
      </c>
    </row>
    <row r="155" spans="1:8" ht="19.95" customHeight="1" x14ac:dyDescent="0.3">
      <c r="A155" s="6" t="s">
        <v>4668</v>
      </c>
      <c r="B155" s="7" t="s">
        <v>4800</v>
      </c>
      <c r="C155" s="6" t="s">
        <v>4801</v>
      </c>
      <c r="D155" s="7" t="s">
        <v>4368</v>
      </c>
      <c r="E155" s="6" t="s">
        <v>5883</v>
      </c>
      <c r="F155" s="42">
        <v>78</v>
      </c>
      <c r="G155" s="42">
        <v>2</v>
      </c>
      <c r="H155" s="43">
        <v>156</v>
      </c>
    </row>
    <row r="156" spans="1:8" ht="19.95" customHeight="1" x14ac:dyDescent="0.3">
      <c r="A156" s="2" t="s">
        <v>4668</v>
      </c>
      <c r="B156" s="3" t="s">
        <v>4800</v>
      </c>
      <c r="C156" s="2" t="s">
        <v>4801</v>
      </c>
      <c r="D156" s="3" t="s">
        <v>4368</v>
      </c>
      <c r="E156" s="2" t="s">
        <v>4270</v>
      </c>
      <c r="F156" s="40">
        <v>52</v>
      </c>
      <c r="G156" s="40">
        <v>2</v>
      </c>
      <c r="H156" s="41">
        <v>104</v>
      </c>
    </row>
    <row r="157" spans="1:8" ht="19.95" customHeight="1" x14ac:dyDescent="0.3">
      <c r="A157" s="6" t="s">
        <v>4668</v>
      </c>
      <c r="B157" s="7" t="s">
        <v>4802</v>
      </c>
      <c r="C157" s="6" t="s">
        <v>4803</v>
      </c>
      <c r="D157" s="7" t="s">
        <v>4804</v>
      </c>
      <c r="E157" s="6" t="s">
        <v>4270</v>
      </c>
      <c r="F157" s="42">
        <v>80.73</v>
      </c>
      <c r="G157" s="42">
        <v>2</v>
      </c>
      <c r="H157" s="43">
        <v>161.46</v>
      </c>
    </row>
    <row r="158" spans="1:8" ht="19.95" customHeight="1" x14ac:dyDescent="0.3">
      <c r="A158" s="2" t="s">
        <v>4668</v>
      </c>
      <c r="B158" s="3" t="s">
        <v>4805</v>
      </c>
      <c r="C158" s="2" t="s">
        <v>4806</v>
      </c>
      <c r="D158" s="3" t="s">
        <v>4663</v>
      </c>
      <c r="E158" s="2" t="s">
        <v>5882</v>
      </c>
      <c r="F158" s="40">
        <v>22.1</v>
      </c>
      <c r="G158" s="40">
        <v>2</v>
      </c>
      <c r="H158" s="41">
        <v>44.2</v>
      </c>
    </row>
    <row r="159" spans="1:8" ht="19.95" customHeight="1" x14ac:dyDescent="0.3">
      <c r="A159" s="6" t="s">
        <v>4668</v>
      </c>
      <c r="B159" s="7" t="s">
        <v>4805</v>
      </c>
      <c r="C159" s="6" t="s">
        <v>4806</v>
      </c>
      <c r="D159" s="7" t="s">
        <v>4663</v>
      </c>
      <c r="E159" s="6" t="s">
        <v>5883</v>
      </c>
      <c r="F159" s="42">
        <v>52</v>
      </c>
      <c r="G159" s="42">
        <v>2</v>
      </c>
      <c r="H159" s="43">
        <v>104</v>
      </c>
    </row>
    <row r="160" spans="1:8" ht="19.95" customHeight="1" x14ac:dyDescent="0.3">
      <c r="A160" s="2" t="s">
        <v>4668</v>
      </c>
      <c r="B160" s="3" t="s">
        <v>4805</v>
      </c>
      <c r="C160" s="2" t="s">
        <v>4806</v>
      </c>
      <c r="D160" s="3" t="s">
        <v>4663</v>
      </c>
      <c r="E160" s="2" t="s">
        <v>4270</v>
      </c>
      <c r="F160" s="40">
        <v>26</v>
      </c>
      <c r="G160" s="40">
        <v>2</v>
      </c>
      <c r="H160" s="41">
        <v>52</v>
      </c>
    </row>
    <row r="161" spans="1:8" ht="19.95" customHeight="1" x14ac:dyDescent="0.3">
      <c r="A161" s="6" t="s">
        <v>4668</v>
      </c>
      <c r="B161" s="7" t="s">
        <v>4807</v>
      </c>
      <c r="C161" s="6" t="s">
        <v>4808</v>
      </c>
      <c r="D161" s="7" t="s">
        <v>4809</v>
      </c>
      <c r="E161" s="6" t="s">
        <v>4270</v>
      </c>
      <c r="F161" s="42">
        <v>5.2</v>
      </c>
      <c r="G161" s="42">
        <v>2</v>
      </c>
      <c r="H161" s="43">
        <v>10.4</v>
      </c>
    </row>
    <row r="162" spans="1:8" ht="19.95" customHeight="1" x14ac:dyDescent="0.3">
      <c r="A162" s="2" t="s">
        <v>4668</v>
      </c>
      <c r="B162" s="3" t="s">
        <v>4807</v>
      </c>
      <c r="C162" s="2" t="s">
        <v>4808</v>
      </c>
      <c r="D162" s="3" t="s">
        <v>4810</v>
      </c>
      <c r="E162" s="2" t="s">
        <v>4270</v>
      </c>
      <c r="F162" s="40">
        <v>6.5</v>
      </c>
      <c r="G162" s="40">
        <v>2</v>
      </c>
      <c r="H162" s="41">
        <v>13</v>
      </c>
    </row>
    <row r="163" spans="1:8" ht="19.95" customHeight="1" x14ac:dyDescent="0.3">
      <c r="A163" s="6" t="s">
        <v>4668</v>
      </c>
      <c r="B163" s="7" t="s">
        <v>4811</v>
      </c>
      <c r="C163" s="6" t="s">
        <v>4812</v>
      </c>
      <c r="D163" s="7" t="s">
        <v>4813</v>
      </c>
      <c r="E163" s="6" t="s">
        <v>4270</v>
      </c>
      <c r="F163" s="42">
        <v>6.5</v>
      </c>
      <c r="G163" s="42">
        <v>2</v>
      </c>
      <c r="H163" s="43">
        <v>13</v>
      </c>
    </row>
    <row r="164" spans="1:8" ht="19.95" customHeight="1" x14ac:dyDescent="0.3">
      <c r="A164" s="2" t="s">
        <v>4668</v>
      </c>
      <c r="B164" s="3" t="s">
        <v>4814</v>
      </c>
      <c r="C164" s="2" t="s">
        <v>4815</v>
      </c>
      <c r="D164" s="3" t="s">
        <v>4816</v>
      </c>
      <c r="E164" s="2" t="s">
        <v>4270</v>
      </c>
      <c r="F164" s="40">
        <v>7.15</v>
      </c>
      <c r="G164" s="40">
        <v>2</v>
      </c>
      <c r="H164" s="41">
        <v>14.3</v>
      </c>
    </row>
    <row r="165" spans="1:8" ht="19.95" customHeight="1" x14ac:dyDescent="0.3">
      <c r="A165" s="6" t="s">
        <v>4668</v>
      </c>
      <c r="B165" s="7" t="s">
        <v>4817</v>
      </c>
      <c r="C165" s="6" t="s">
        <v>4818</v>
      </c>
      <c r="D165" s="7" t="s">
        <v>4819</v>
      </c>
      <c r="E165" s="6" t="s">
        <v>4270</v>
      </c>
      <c r="F165" s="42">
        <v>5.2</v>
      </c>
      <c r="G165" s="42">
        <v>2</v>
      </c>
      <c r="H165" s="43">
        <v>10.4</v>
      </c>
    </row>
    <row r="166" spans="1:8" ht="19.95" customHeight="1" x14ac:dyDescent="0.3">
      <c r="A166" s="2" t="s">
        <v>4668</v>
      </c>
      <c r="B166" s="3" t="s">
        <v>4669</v>
      </c>
      <c r="C166" s="2" t="s">
        <v>4671</v>
      </c>
      <c r="D166" s="3" t="s">
        <v>4368</v>
      </c>
      <c r="E166" s="2" t="s">
        <v>5899</v>
      </c>
      <c r="F166" s="40">
        <v>12.63</v>
      </c>
      <c r="G166" s="40">
        <v>2</v>
      </c>
      <c r="H166" s="41">
        <v>25.26</v>
      </c>
    </row>
    <row r="167" spans="1:8" ht="19.95" customHeight="1" x14ac:dyDescent="0.3">
      <c r="A167" s="6" t="s">
        <v>4668</v>
      </c>
      <c r="B167" s="7" t="s">
        <v>4669</v>
      </c>
      <c r="C167" s="6" t="s">
        <v>4671</v>
      </c>
      <c r="D167" s="7" t="s">
        <v>4368</v>
      </c>
      <c r="E167" s="6" t="s">
        <v>5883</v>
      </c>
      <c r="F167" s="42">
        <v>78</v>
      </c>
      <c r="G167" s="42">
        <v>2</v>
      </c>
      <c r="H167" s="43">
        <v>156</v>
      </c>
    </row>
    <row r="168" spans="1:8" ht="19.95" customHeight="1" x14ac:dyDescent="0.3">
      <c r="A168" s="2" t="s">
        <v>4668</v>
      </c>
      <c r="B168" s="3" t="s">
        <v>4669</v>
      </c>
      <c r="C168" s="2" t="s">
        <v>4671</v>
      </c>
      <c r="D168" s="3" t="s">
        <v>4368</v>
      </c>
      <c r="E168" s="2" t="s">
        <v>4270</v>
      </c>
      <c r="F168" s="40">
        <v>52</v>
      </c>
      <c r="G168" s="40">
        <v>2</v>
      </c>
      <c r="H168" s="41">
        <v>104</v>
      </c>
    </row>
    <row r="169" spans="1:8" ht="19.95" customHeight="1" x14ac:dyDescent="0.3">
      <c r="A169" s="6" t="s">
        <v>4668</v>
      </c>
      <c r="B169" s="7" t="s">
        <v>4669</v>
      </c>
      <c r="C169" s="6" t="s">
        <v>4671</v>
      </c>
      <c r="D169" s="7" t="s">
        <v>4368</v>
      </c>
      <c r="E169" s="6" t="s">
        <v>5899</v>
      </c>
      <c r="F169" s="42">
        <v>11.05</v>
      </c>
      <c r="G169" s="42">
        <v>2</v>
      </c>
      <c r="H169" s="43">
        <v>22.1</v>
      </c>
    </row>
    <row r="170" spans="1:8" ht="19.95" customHeight="1" x14ac:dyDescent="0.3">
      <c r="A170" s="2" t="s">
        <v>4668</v>
      </c>
      <c r="B170" s="3" t="s">
        <v>4669</v>
      </c>
      <c r="C170" s="2" t="s">
        <v>4671</v>
      </c>
      <c r="D170" s="3" t="s">
        <v>4368</v>
      </c>
      <c r="E170" s="2" t="s">
        <v>5883</v>
      </c>
      <c r="F170" s="40">
        <v>39</v>
      </c>
      <c r="G170" s="40">
        <v>2</v>
      </c>
      <c r="H170" s="41">
        <v>78</v>
      </c>
    </row>
    <row r="171" spans="1:8" ht="19.95" customHeight="1" x14ac:dyDescent="0.3">
      <c r="A171" s="6" t="s">
        <v>4668</v>
      </c>
      <c r="B171" s="7" t="s">
        <v>4669</v>
      </c>
      <c r="C171" s="6" t="s">
        <v>4671</v>
      </c>
      <c r="D171" s="7" t="s">
        <v>4368</v>
      </c>
      <c r="E171" s="6" t="s">
        <v>5898</v>
      </c>
      <c r="F171" s="42">
        <v>26</v>
      </c>
      <c r="G171" s="42">
        <v>2</v>
      </c>
      <c r="H171" s="43">
        <v>52</v>
      </c>
    </row>
    <row r="172" spans="1:8" ht="19.95" customHeight="1" x14ac:dyDescent="0.3">
      <c r="A172" s="2" t="s">
        <v>4668</v>
      </c>
      <c r="B172" s="3" t="s">
        <v>5900</v>
      </c>
      <c r="C172" s="2" t="s">
        <v>5901</v>
      </c>
      <c r="D172" s="3" t="s">
        <v>5902</v>
      </c>
      <c r="E172" s="2" t="s">
        <v>4270</v>
      </c>
      <c r="F172" s="40">
        <v>26</v>
      </c>
      <c r="G172" s="40">
        <v>2</v>
      </c>
      <c r="H172" s="41">
        <v>52</v>
      </c>
    </row>
    <row r="173" spans="1:8" ht="19.95" customHeight="1" x14ac:dyDescent="0.3">
      <c r="A173" s="6" t="s">
        <v>4668</v>
      </c>
      <c r="B173" s="7" t="s">
        <v>5903</v>
      </c>
      <c r="C173" s="6" t="s">
        <v>5904</v>
      </c>
      <c r="D173" s="7" t="s">
        <v>5902</v>
      </c>
      <c r="E173" s="6" t="s">
        <v>4270</v>
      </c>
      <c r="F173" s="42">
        <v>26</v>
      </c>
      <c r="G173" s="42">
        <v>2</v>
      </c>
      <c r="H173" s="43">
        <v>52</v>
      </c>
    </row>
    <row r="174" spans="1:8" ht="19.95" customHeight="1" x14ac:dyDescent="0.3">
      <c r="A174" s="2" t="s">
        <v>4668</v>
      </c>
      <c r="B174" s="3" t="s">
        <v>5905</v>
      </c>
      <c r="C174" s="2" t="s">
        <v>5906</v>
      </c>
      <c r="D174" s="3" t="s">
        <v>5902</v>
      </c>
      <c r="E174" s="2" t="s">
        <v>4270</v>
      </c>
      <c r="F174" s="40">
        <v>26</v>
      </c>
      <c r="G174" s="40">
        <v>2</v>
      </c>
      <c r="H174" s="41">
        <v>52</v>
      </c>
    </row>
    <row r="175" spans="1:8" ht="19.95" customHeight="1" x14ac:dyDescent="0.3">
      <c r="A175" s="6" t="s">
        <v>4668</v>
      </c>
      <c r="B175" s="7" t="s">
        <v>5907</v>
      </c>
      <c r="C175" s="6" t="s">
        <v>5908</v>
      </c>
      <c r="D175" s="7" t="s">
        <v>5902</v>
      </c>
      <c r="E175" s="6" t="s">
        <v>4270</v>
      </c>
      <c r="F175" s="42">
        <v>26</v>
      </c>
      <c r="G175" s="42">
        <v>2</v>
      </c>
      <c r="H175" s="43">
        <v>52</v>
      </c>
    </row>
    <row r="176" spans="1:8" ht="19.95" customHeight="1" x14ac:dyDescent="0.3">
      <c r="A176" s="2" t="s">
        <v>4668</v>
      </c>
      <c r="B176" s="3" t="s">
        <v>4690</v>
      </c>
      <c r="C176" s="2" t="s">
        <v>4691</v>
      </c>
      <c r="D176" s="3" t="s">
        <v>4692</v>
      </c>
      <c r="E176" s="2" t="s">
        <v>4270</v>
      </c>
      <c r="F176" s="40">
        <v>130</v>
      </c>
      <c r="G176" s="40">
        <v>2</v>
      </c>
      <c r="H176" s="41">
        <v>260</v>
      </c>
    </row>
    <row r="177" spans="1:8" ht="19.95" customHeight="1" x14ac:dyDescent="0.3">
      <c r="A177" s="6" t="s">
        <v>4668</v>
      </c>
      <c r="B177" s="7" t="s">
        <v>4620</v>
      </c>
      <c r="C177" s="6" t="s">
        <v>4678</v>
      </c>
      <c r="D177" s="7" t="s">
        <v>4368</v>
      </c>
      <c r="E177" s="6" t="s">
        <v>5909</v>
      </c>
      <c r="F177" s="42">
        <v>2.73</v>
      </c>
      <c r="G177" s="42">
        <v>2</v>
      </c>
      <c r="H177" s="43">
        <v>5.46</v>
      </c>
    </row>
    <row r="178" spans="1:8" ht="19.95" customHeight="1" x14ac:dyDescent="0.3">
      <c r="A178" s="2" t="s">
        <v>4668</v>
      </c>
      <c r="B178" s="3" t="s">
        <v>4661</v>
      </c>
      <c r="C178" s="2" t="s">
        <v>4680</v>
      </c>
      <c r="D178" s="3" t="s">
        <v>4368</v>
      </c>
      <c r="E178" s="2" t="s">
        <v>5910</v>
      </c>
      <c r="F178" s="40">
        <v>1.61</v>
      </c>
      <c r="G178" s="40">
        <v>2</v>
      </c>
      <c r="H178" s="41">
        <v>3.22</v>
      </c>
    </row>
    <row r="179" spans="1:8" ht="19.95" customHeight="1" x14ac:dyDescent="0.3">
      <c r="A179" s="6" t="s">
        <v>4668</v>
      </c>
      <c r="B179" s="7" t="s">
        <v>4620</v>
      </c>
      <c r="C179" s="6" t="s">
        <v>4678</v>
      </c>
      <c r="D179" s="7" t="s">
        <v>4368</v>
      </c>
      <c r="E179" s="6" t="s">
        <v>5911</v>
      </c>
      <c r="F179" s="42">
        <v>89.7</v>
      </c>
      <c r="G179" s="42">
        <v>2</v>
      </c>
      <c r="H179" s="43">
        <v>179.4</v>
      </c>
    </row>
    <row r="180" spans="1:8" ht="19.95" customHeight="1" x14ac:dyDescent="0.3">
      <c r="A180" s="2" t="s">
        <v>4668</v>
      </c>
      <c r="B180" s="3" t="s">
        <v>4620</v>
      </c>
      <c r="C180" s="2" t="s">
        <v>4678</v>
      </c>
      <c r="D180" s="3" t="s">
        <v>4368</v>
      </c>
      <c r="E180" s="2" t="s">
        <v>5912</v>
      </c>
      <c r="F180" s="40">
        <v>269.10000000000002</v>
      </c>
      <c r="G180" s="40">
        <v>2</v>
      </c>
      <c r="H180" s="41">
        <v>538.20000000000005</v>
      </c>
    </row>
    <row r="181" spans="1:8" ht="19.95" customHeight="1" x14ac:dyDescent="0.3">
      <c r="A181" s="6" t="s">
        <v>4668</v>
      </c>
      <c r="B181" s="7" t="s">
        <v>4661</v>
      </c>
      <c r="C181" s="6" t="s">
        <v>4681</v>
      </c>
      <c r="D181" s="7" t="s">
        <v>4368</v>
      </c>
      <c r="E181" s="6" t="s">
        <v>5911</v>
      </c>
      <c r="F181" s="42">
        <v>4.42</v>
      </c>
      <c r="G181" s="42">
        <v>2</v>
      </c>
      <c r="H181" s="43">
        <v>8.84</v>
      </c>
    </row>
    <row r="182" spans="1:8" ht="19.95" customHeight="1" x14ac:dyDescent="0.3">
      <c r="A182" s="2" t="s">
        <v>4668</v>
      </c>
      <c r="B182" s="3" t="s">
        <v>4661</v>
      </c>
      <c r="C182" s="2" t="s">
        <v>4681</v>
      </c>
      <c r="D182" s="3" t="s">
        <v>4368</v>
      </c>
      <c r="E182" s="2" t="s">
        <v>5912</v>
      </c>
      <c r="F182" s="40">
        <v>13.52</v>
      </c>
      <c r="G182" s="40">
        <v>2</v>
      </c>
      <c r="H182" s="41">
        <v>27.04</v>
      </c>
    </row>
    <row r="183" spans="1:8" ht="19.95" customHeight="1" x14ac:dyDescent="0.3">
      <c r="A183" s="6" t="s">
        <v>4668</v>
      </c>
      <c r="B183" s="7" t="s">
        <v>4661</v>
      </c>
      <c r="C183" s="6" t="s">
        <v>4679</v>
      </c>
      <c r="D183" s="7" t="s">
        <v>4368</v>
      </c>
      <c r="E183" s="6" t="s">
        <v>5911</v>
      </c>
      <c r="F183" s="42">
        <v>17.940000000000001</v>
      </c>
      <c r="G183" s="42">
        <v>2</v>
      </c>
      <c r="H183" s="43">
        <v>35.880000000000003</v>
      </c>
    </row>
    <row r="184" spans="1:8" ht="19.95" customHeight="1" x14ac:dyDescent="0.3">
      <c r="A184" s="2" t="s">
        <v>4668</v>
      </c>
      <c r="B184" s="3" t="s">
        <v>4661</v>
      </c>
      <c r="C184" s="2" t="s">
        <v>4679</v>
      </c>
      <c r="D184" s="3" t="s">
        <v>4368</v>
      </c>
      <c r="E184" s="2" t="s">
        <v>5912</v>
      </c>
      <c r="F184" s="40">
        <v>71.760000000000005</v>
      </c>
      <c r="G184" s="40">
        <v>2</v>
      </c>
      <c r="H184" s="41">
        <v>143.52000000000001</v>
      </c>
    </row>
    <row r="185" spans="1:8" ht="19.95" customHeight="1" x14ac:dyDescent="0.3">
      <c r="A185" s="6" t="s">
        <v>4668</v>
      </c>
      <c r="B185" s="7" t="s">
        <v>4661</v>
      </c>
      <c r="C185" s="6" t="s">
        <v>4679</v>
      </c>
      <c r="D185" s="7" t="s">
        <v>4368</v>
      </c>
      <c r="E185" s="6" t="s">
        <v>4270</v>
      </c>
      <c r="F185" s="42">
        <v>17.940000000000001</v>
      </c>
      <c r="G185" s="42">
        <v>2</v>
      </c>
      <c r="H185" s="43">
        <v>35.880000000000003</v>
      </c>
    </row>
    <row r="186" spans="1:8" ht="19.95" customHeight="1" x14ac:dyDescent="0.3">
      <c r="A186" s="2" t="s">
        <v>4668</v>
      </c>
      <c r="B186" s="3" t="s">
        <v>4693</v>
      </c>
      <c r="C186" s="2" t="s">
        <v>4694</v>
      </c>
      <c r="D186" s="3" t="s">
        <v>4695</v>
      </c>
      <c r="E186" s="2" t="s">
        <v>5913</v>
      </c>
      <c r="F186" s="40">
        <v>6.24</v>
      </c>
      <c r="G186" s="40">
        <v>2</v>
      </c>
      <c r="H186" s="41">
        <v>12.48</v>
      </c>
    </row>
    <row r="187" spans="1:8" ht="19.95" customHeight="1" x14ac:dyDescent="0.3">
      <c r="A187" s="6" t="s">
        <v>4668</v>
      </c>
      <c r="B187" s="7" t="s">
        <v>4693</v>
      </c>
      <c r="C187" s="6" t="s">
        <v>4694</v>
      </c>
      <c r="D187" s="7" t="s">
        <v>4695</v>
      </c>
      <c r="E187" s="6" t="s">
        <v>4268</v>
      </c>
      <c r="F187" s="42">
        <v>6.2</v>
      </c>
      <c r="G187" s="42">
        <v>2</v>
      </c>
      <c r="H187" s="43">
        <v>12.4</v>
      </c>
    </row>
    <row r="188" spans="1:8" ht="19.95" customHeight="1" x14ac:dyDescent="0.3">
      <c r="A188" s="2" t="s">
        <v>4668</v>
      </c>
      <c r="B188" s="3" t="s">
        <v>4696</v>
      </c>
      <c r="C188" s="2" t="s">
        <v>4697</v>
      </c>
      <c r="D188" s="3" t="s">
        <v>4390</v>
      </c>
      <c r="E188" s="2" t="s">
        <v>5913</v>
      </c>
      <c r="F188" s="40">
        <v>3.64</v>
      </c>
      <c r="G188" s="40">
        <v>2</v>
      </c>
      <c r="H188" s="41">
        <v>7.28</v>
      </c>
    </row>
    <row r="189" spans="1:8" ht="19.95" customHeight="1" x14ac:dyDescent="0.3">
      <c r="A189" s="6" t="s">
        <v>4668</v>
      </c>
      <c r="B189" s="7" t="s">
        <v>4696</v>
      </c>
      <c r="C189" s="6" t="s">
        <v>4697</v>
      </c>
      <c r="D189" s="7" t="s">
        <v>4390</v>
      </c>
      <c r="E189" s="6" t="s">
        <v>4268</v>
      </c>
      <c r="F189" s="42">
        <v>3.64</v>
      </c>
      <c r="G189" s="42">
        <v>2</v>
      </c>
      <c r="H189" s="43">
        <v>7.28</v>
      </c>
    </row>
    <row r="190" spans="1:8" ht="19.95" customHeight="1" x14ac:dyDescent="0.3">
      <c r="A190" s="2" t="s">
        <v>4668</v>
      </c>
      <c r="B190" s="3" t="s">
        <v>4698</v>
      </c>
      <c r="C190" s="2" t="s">
        <v>4699</v>
      </c>
      <c r="D190" s="3" t="s">
        <v>4700</v>
      </c>
      <c r="E190" s="2" t="s">
        <v>5913</v>
      </c>
      <c r="F190" s="40">
        <v>1.82</v>
      </c>
      <c r="G190" s="40">
        <v>2</v>
      </c>
      <c r="H190" s="41">
        <v>3.64</v>
      </c>
    </row>
    <row r="191" spans="1:8" ht="19.95" customHeight="1" x14ac:dyDescent="0.3">
      <c r="A191" s="6" t="s">
        <v>4668</v>
      </c>
      <c r="B191" s="7" t="s">
        <v>4698</v>
      </c>
      <c r="C191" s="6" t="s">
        <v>4699</v>
      </c>
      <c r="D191" s="7" t="s">
        <v>4700</v>
      </c>
      <c r="E191" s="6" t="s">
        <v>4268</v>
      </c>
      <c r="F191" s="42">
        <v>1.82</v>
      </c>
      <c r="G191" s="42">
        <v>2</v>
      </c>
      <c r="H191" s="43">
        <v>3.64</v>
      </c>
    </row>
    <row r="192" spans="1:8" ht="19.95" customHeight="1" x14ac:dyDescent="0.3">
      <c r="A192" s="2" t="s">
        <v>4668</v>
      </c>
      <c r="B192" s="3" t="s">
        <v>5914</v>
      </c>
      <c r="C192" s="2" t="s">
        <v>5915</v>
      </c>
      <c r="D192" s="3" t="s">
        <v>4368</v>
      </c>
      <c r="E192" s="2" t="s">
        <v>5916</v>
      </c>
      <c r="F192" s="40">
        <v>21.58</v>
      </c>
      <c r="G192" s="40">
        <v>2</v>
      </c>
      <c r="H192" s="41">
        <v>43.16</v>
      </c>
    </row>
    <row r="193" spans="1:8" ht="19.95" customHeight="1" x14ac:dyDescent="0.3">
      <c r="A193" s="6" t="s">
        <v>4668</v>
      </c>
      <c r="B193" s="7" t="s">
        <v>4704</v>
      </c>
      <c r="C193" s="6" t="s">
        <v>4705</v>
      </c>
      <c r="D193" s="7" t="s">
        <v>4368</v>
      </c>
      <c r="E193" s="6" t="s">
        <v>5917</v>
      </c>
      <c r="F193" s="42">
        <v>13.52</v>
      </c>
      <c r="G193" s="42">
        <v>2</v>
      </c>
      <c r="H193" s="43">
        <v>27.04</v>
      </c>
    </row>
    <row r="194" spans="1:8" ht="19.95" customHeight="1" x14ac:dyDescent="0.3">
      <c r="A194" s="2" t="s">
        <v>4668</v>
      </c>
      <c r="B194" s="3" t="s">
        <v>4706</v>
      </c>
      <c r="C194" s="2" t="s">
        <v>4707</v>
      </c>
      <c r="D194" s="3" t="s">
        <v>4397</v>
      </c>
      <c r="E194" s="2" t="s">
        <v>5918</v>
      </c>
      <c r="F194" s="40">
        <v>26</v>
      </c>
      <c r="G194" s="40">
        <v>2</v>
      </c>
      <c r="H194" s="41">
        <v>52</v>
      </c>
    </row>
    <row r="195" spans="1:8" ht="19.95" customHeight="1" x14ac:dyDescent="0.3">
      <c r="A195" s="6" t="s">
        <v>4668</v>
      </c>
      <c r="B195" s="7" t="s">
        <v>4706</v>
      </c>
      <c r="C195" s="6" t="s">
        <v>4707</v>
      </c>
      <c r="D195" s="7" t="s">
        <v>4397</v>
      </c>
      <c r="E195" s="6" t="s">
        <v>5919</v>
      </c>
      <c r="F195" s="42">
        <v>26.91</v>
      </c>
      <c r="G195" s="42">
        <v>2</v>
      </c>
      <c r="H195" s="43">
        <v>53.82</v>
      </c>
    </row>
    <row r="196" spans="1:8" ht="19.95" customHeight="1" x14ac:dyDescent="0.3">
      <c r="A196" s="2" t="s">
        <v>4668</v>
      </c>
      <c r="B196" s="3" t="s">
        <v>4708</v>
      </c>
      <c r="C196" s="2" t="s">
        <v>4709</v>
      </c>
      <c r="D196" s="3" t="s">
        <v>4397</v>
      </c>
      <c r="E196" s="2" t="s">
        <v>4270</v>
      </c>
      <c r="F196" s="40">
        <v>26.91</v>
      </c>
      <c r="G196" s="40">
        <v>2</v>
      </c>
      <c r="H196" s="41">
        <v>53.82</v>
      </c>
    </row>
    <row r="197" spans="1:8" ht="19.95" customHeight="1" x14ac:dyDescent="0.3">
      <c r="A197" s="6" t="s">
        <v>4668</v>
      </c>
      <c r="B197" s="7" t="s">
        <v>4710</v>
      </c>
      <c r="C197" s="6" t="s">
        <v>4711</v>
      </c>
      <c r="D197" s="7" t="s">
        <v>4397</v>
      </c>
      <c r="E197" s="6" t="s">
        <v>5918</v>
      </c>
      <c r="F197" s="42">
        <v>26</v>
      </c>
      <c r="G197" s="42">
        <v>2</v>
      </c>
      <c r="H197" s="43">
        <v>52</v>
      </c>
    </row>
    <row r="198" spans="1:8" ht="19.95" customHeight="1" x14ac:dyDescent="0.3">
      <c r="A198" s="2" t="s">
        <v>4668</v>
      </c>
      <c r="B198" s="3" t="s">
        <v>4710</v>
      </c>
      <c r="C198" s="2" t="s">
        <v>4711</v>
      </c>
      <c r="D198" s="3" t="s">
        <v>4397</v>
      </c>
      <c r="E198" s="2" t="s">
        <v>5919</v>
      </c>
      <c r="F198" s="40">
        <v>26.91</v>
      </c>
      <c r="G198" s="40">
        <v>2</v>
      </c>
      <c r="H198" s="41">
        <v>53.82</v>
      </c>
    </row>
    <row r="199" spans="1:8" ht="19.95" customHeight="1" x14ac:dyDescent="0.3">
      <c r="A199" s="6" t="s">
        <v>4668</v>
      </c>
      <c r="B199" s="7" t="s">
        <v>4712</v>
      </c>
      <c r="C199" s="6" t="s">
        <v>4713</v>
      </c>
      <c r="D199" s="7" t="s">
        <v>4397</v>
      </c>
      <c r="E199" s="6" t="s">
        <v>5918</v>
      </c>
      <c r="F199" s="42">
        <v>26</v>
      </c>
      <c r="G199" s="42">
        <v>2</v>
      </c>
      <c r="H199" s="43">
        <v>52</v>
      </c>
    </row>
    <row r="200" spans="1:8" ht="19.95" customHeight="1" x14ac:dyDescent="0.3">
      <c r="A200" s="2" t="s">
        <v>4668</v>
      </c>
      <c r="B200" s="3" t="s">
        <v>4712</v>
      </c>
      <c r="C200" s="2" t="s">
        <v>4713</v>
      </c>
      <c r="D200" s="3" t="s">
        <v>4397</v>
      </c>
      <c r="E200" s="2" t="s">
        <v>5919</v>
      </c>
      <c r="F200" s="40">
        <v>26.91</v>
      </c>
      <c r="G200" s="40">
        <v>2</v>
      </c>
      <c r="H200" s="41">
        <v>53.82</v>
      </c>
    </row>
    <row r="201" spans="1:8" ht="19.95" customHeight="1" x14ac:dyDescent="0.3">
      <c r="A201" s="6" t="s">
        <v>4668</v>
      </c>
      <c r="B201" s="7" t="s">
        <v>4714</v>
      </c>
      <c r="C201" s="6" t="s">
        <v>4715</v>
      </c>
      <c r="D201" s="7" t="s">
        <v>4397</v>
      </c>
      <c r="E201" s="6" t="s">
        <v>5918</v>
      </c>
      <c r="F201" s="42">
        <v>26</v>
      </c>
      <c r="G201" s="42">
        <v>2</v>
      </c>
      <c r="H201" s="43">
        <v>52</v>
      </c>
    </row>
    <row r="202" spans="1:8" ht="19.95" customHeight="1" x14ac:dyDescent="0.3">
      <c r="A202" s="2" t="s">
        <v>4668</v>
      </c>
      <c r="B202" s="3" t="s">
        <v>4714</v>
      </c>
      <c r="C202" s="2" t="s">
        <v>4715</v>
      </c>
      <c r="D202" s="3" t="s">
        <v>4397</v>
      </c>
      <c r="E202" s="2" t="s">
        <v>5919</v>
      </c>
      <c r="F202" s="40">
        <v>13.52</v>
      </c>
      <c r="G202" s="40">
        <v>2</v>
      </c>
      <c r="H202" s="41">
        <v>27.04</v>
      </c>
    </row>
    <row r="203" spans="1:8" ht="19.95" customHeight="1" x14ac:dyDescent="0.3">
      <c r="A203" s="6" t="s">
        <v>4668</v>
      </c>
      <c r="B203" s="7" t="s">
        <v>4716</v>
      </c>
      <c r="C203" s="6" t="s">
        <v>4717</v>
      </c>
      <c r="D203" s="7" t="s">
        <v>4397</v>
      </c>
      <c r="E203" s="6" t="s">
        <v>5918</v>
      </c>
      <c r="F203" s="42">
        <v>26</v>
      </c>
      <c r="G203" s="42">
        <v>2</v>
      </c>
      <c r="H203" s="43">
        <v>52</v>
      </c>
    </row>
    <row r="204" spans="1:8" ht="19.95" customHeight="1" x14ac:dyDescent="0.3">
      <c r="A204" s="2" t="s">
        <v>4668</v>
      </c>
      <c r="B204" s="3" t="s">
        <v>4716</v>
      </c>
      <c r="C204" s="2" t="s">
        <v>4717</v>
      </c>
      <c r="D204" s="3" t="s">
        <v>4397</v>
      </c>
      <c r="E204" s="2" t="s">
        <v>5919</v>
      </c>
      <c r="F204" s="40">
        <v>26.91</v>
      </c>
      <c r="G204" s="40">
        <v>2</v>
      </c>
      <c r="H204" s="41">
        <v>53.82</v>
      </c>
    </row>
    <row r="205" spans="1:8" ht="19.95" customHeight="1" x14ac:dyDescent="0.3">
      <c r="A205" s="6" t="s">
        <v>4668</v>
      </c>
      <c r="B205" s="7" t="s">
        <v>4716</v>
      </c>
      <c r="C205" s="6" t="s">
        <v>4717</v>
      </c>
      <c r="D205" s="7" t="s">
        <v>4397</v>
      </c>
      <c r="E205" s="6" t="s">
        <v>5918</v>
      </c>
      <c r="F205" s="42">
        <v>26</v>
      </c>
      <c r="G205" s="42">
        <v>2</v>
      </c>
      <c r="H205" s="43">
        <v>52</v>
      </c>
    </row>
    <row r="206" spans="1:8" ht="19.95" customHeight="1" x14ac:dyDescent="0.3">
      <c r="A206" s="2" t="s">
        <v>4668</v>
      </c>
      <c r="B206" s="3" t="s">
        <v>4716</v>
      </c>
      <c r="C206" s="2" t="s">
        <v>4717</v>
      </c>
      <c r="D206" s="3" t="s">
        <v>4397</v>
      </c>
      <c r="E206" s="2" t="s">
        <v>5919</v>
      </c>
      <c r="F206" s="40">
        <v>26.91</v>
      </c>
      <c r="G206" s="40">
        <v>2</v>
      </c>
      <c r="H206" s="41">
        <v>53.82</v>
      </c>
    </row>
    <row r="207" spans="1:8" ht="19.95" customHeight="1" x14ac:dyDescent="0.3">
      <c r="A207" s="6" t="s">
        <v>4668</v>
      </c>
      <c r="B207" s="7" t="s">
        <v>4716</v>
      </c>
      <c r="C207" s="6" t="s">
        <v>4717</v>
      </c>
      <c r="D207" s="7" t="s">
        <v>4397</v>
      </c>
      <c r="E207" s="6" t="s">
        <v>4270</v>
      </c>
      <c r="F207" s="42">
        <v>26.91</v>
      </c>
      <c r="G207" s="42">
        <v>2</v>
      </c>
      <c r="H207" s="43">
        <v>53.82</v>
      </c>
    </row>
    <row r="208" spans="1:8" ht="19.95" customHeight="1" x14ac:dyDescent="0.3">
      <c r="A208" s="2" t="s">
        <v>4668</v>
      </c>
      <c r="B208" s="3" t="s">
        <v>4716</v>
      </c>
      <c r="C208" s="2" t="s">
        <v>4717</v>
      </c>
      <c r="D208" s="3" t="s">
        <v>4397</v>
      </c>
      <c r="E208" s="2" t="s">
        <v>5918</v>
      </c>
      <c r="F208" s="40">
        <v>26</v>
      </c>
      <c r="G208" s="40">
        <v>2</v>
      </c>
      <c r="H208" s="41">
        <v>52</v>
      </c>
    </row>
    <row r="209" spans="1:8" ht="19.95" customHeight="1" x14ac:dyDescent="0.3">
      <c r="A209" s="6" t="s">
        <v>4668</v>
      </c>
      <c r="B209" s="7" t="s">
        <v>4716</v>
      </c>
      <c r="C209" s="6" t="s">
        <v>4717</v>
      </c>
      <c r="D209" s="7" t="s">
        <v>4397</v>
      </c>
      <c r="E209" s="6" t="s">
        <v>5919</v>
      </c>
      <c r="F209" s="42">
        <v>26.91</v>
      </c>
      <c r="G209" s="42">
        <v>2</v>
      </c>
      <c r="H209" s="43">
        <v>53.82</v>
      </c>
    </row>
    <row r="210" spans="1:8" ht="19.95" customHeight="1" x14ac:dyDescent="0.3">
      <c r="A210" s="2" t="s">
        <v>4668</v>
      </c>
      <c r="B210" s="3" t="s">
        <v>4716</v>
      </c>
      <c r="C210" s="2" t="s">
        <v>4717</v>
      </c>
      <c r="D210" s="3" t="s">
        <v>4397</v>
      </c>
      <c r="E210" s="2" t="s">
        <v>5918</v>
      </c>
      <c r="F210" s="40">
        <v>26</v>
      </c>
      <c r="G210" s="40">
        <v>2</v>
      </c>
      <c r="H210" s="41">
        <v>52</v>
      </c>
    </row>
    <row r="211" spans="1:8" ht="19.95" customHeight="1" x14ac:dyDescent="0.3">
      <c r="A211" s="6" t="s">
        <v>4668</v>
      </c>
      <c r="B211" s="7" t="s">
        <v>4716</v>
      </c>
      <c r="C211" s="6" t="s">
        <v>4717</v>
      </c>
      <c r="D211" s="7" t="s">
        <v>4397</v>
      </c>
      <c r="E211" s="6" t="s">
        <v>5919</v>
      </c>
      <c r="F211" s="42">
        <v>26.91</v>
      </c>
      <c r="G211" s="42">
        <v>2</v>
      </c>
      <c r="H211" s="43">
        <v>53.82</v>
      </c>
    </row>
    <row r="212" spans="1:8" ht="19.95" customHeight="1" x14ac:dyDescent="0.3">
      <c r="A212" s="2" t="s">
        <v>4668</v>
      </c>
      <c r="B212" s="3" t="s">
        <v>4716</v>
      </c>
      <c r="C212" s="2" t="s">
        <v>4717</v>
      </c>
      <c r="D212" s="3" t="s">
        <v>4397</v>
      </c>
      <c r="E212" s="2" t="s">
        <v>5918</v>
      </c>
      <c r="F212" s="40">
        <v>26</v>
      </c>
      <c r="G212" s="40">
        <v>2</v>
      </c>
      <c r="H212" s="41">
        <v>52</v>
      </c>
    </row>
    <row r="213" spans="1:8" ht="19.95" customHeight="1" x14ac:dyDescent="0.3">
      <c r="A213" s="6" t="s">
        <v>4668</v>
      </c>
      <c r="B213" s="7" t="s">
        <v>4716</v>
      </c>
      <c r="C213" s="6" t="s">
        <v>4717</v>
      </c>
      <c r="D213" s="7" t="s">
        <v>4397</v>
      </c>
      <c r="E213" s="6" t="s">
        <v>5919</v>
      </c>
      <c r="F213" s="42">
        <v>13.52</v>
      </c>
      <c r="G213" s="42">
        <v>2</v>
      </c>
      <c r="H213" s="43">
        <v>27.04</v>
      </c>
    </row>
    <row r="214" spans="1:8" ht="19.95" customHeight="1" x14ac:dyDescent="0.3">
      <c r="A214" s="2" t="s">
        <v>4668</v>
      </c>
      <c r="B214" s="3" t="s">
        <v>4716</v>
      </c>
      <c r="C214" s="2" t="s">
        <v>4717</v>
      </c>
      <c r="D214" s="3" t="s">
        <v>4397</v>
      </c>
      <c r="E214" s="2" t="s">
        <v>5918</v>
      </c>
      <c r="F214" s="40">
        <v>26</v>
      </c>
      <c r="G214" s="40">
        <v>2</v>
      </c>
      <c r="H214" s="41">
        <v>52</v>
      </c>
    </row>
    <row r="215" spans="1:8" ht="19.95" customHeight="1" x14ac:dyDescent="0.3">
      <c r="A215" s="6" t="s">
        <v>4668</v>
      </c>
      <c r="B215" s="7" t="s">
        <v>4716</v>
      </c>
      <c r="C215" s="6" t="s">
        <v>4717</v>
      </c>
      <c r="D215" s="7" t="s">
        <v>4397</v>
      </c>
      <c r="E215" s="6" t="s">
        <v>5919</v>
      </c>
      <c r="F215" s="42">
        <v>26.91</v>
      </c>
      <c r="G215" s="42">
        <v>2</v>
      </c>
      <c r="H215" s="43">
        <v>53.82</v>
      </c>
    </row>
    <row r="216" spans="1:8" ht="19.95" customHeight="1" x14ac:dyDescent="0.3">
      <c r="A216" s="2" t="s">
        <v>4668</v>
      </c>
      <c r="B216" s="3" t="s">
        <v>4716</v>
      </c>
      <c r="C216" s="2" t="s">
        <v>4717</v>
      </c>
      <c r="D216" s="3" t="s">
        <v>4397</v>
      </c>
      <c r="E216" s="2" t="s">
        <v>5918</v>
      </c>
      <c r="F216" s="40">
        <v>26</v>
      </c>
      <c r="G216" s="40">
        <v>2</v>
      </c>
      <c r="H216" s="41">
        <v>52</v>
      </c>
    </row>
    <row r="217" spans="1:8" ht="19.95" customHeight="1" x14ac:dyDescent="0.3">
      <c r="A217" s="6" t="s">
        <v>4668</v>
      </c>
      <c r="B217" s="7" t="s">
        <v>4716</v>
      </c>
      <c r="C217" s="6" t="s">
        <v>4717</v>
      </c>
      <c r="D217" s="7" t="s">
        <v>4397</v>
      </c>
      <c r="E217" s="6" t="s">
        <v>5920</v>
      </c>
      <c r="F217" s="42">
        <v>156</v>
      </c>
      <c r="G217" s="42">
        <v>2</v>
      </c>
      <c r="H217" s="43">
        <v>312</v>
      </c>
    </row>
    <row r="218" spans="1:8" ht="19.95" customHeight="1" x14ac:dyDescent="0.3">
      <c r="A218" s="2" t="s">
        <v>4668</v>
      </c>
      <c r="B218" s="3" t="s">
        <v>4716</v>
      </c>
      <c r="C218" s="2" t="s">
        <v>4717</v>
      </c>
      <c r="D218" s="3" t="s">
        <v>4397</v>
      </c>
      <c r="E218" s="2" t="s">
        <v>5919</v>
      </c>
      <c r="F218" s="40">
        <v>26.91</v>
      </c>
      <c r="G218" s="40">
        <v>2</v>
      </c>
      <c r="H218" s="41">
        <v>53.82</v>
      </c>
    </row>
    <row r="219" spans="1:8" ht="19.95" customHeight="1" x14ac:dyDescent="0.3">
      <c r="A219" s="6" t="s">
        <v>4668</v>
      </c>
      <c r="B219" s="7" t="s">
        <v>4716</v>
      </c>
      <c r="C219" s="6" t="s">
        <v>4717</v>
      </c>
      <c r="D219" s="7" t="s">
        <v>4397</v>
      </c>
      <c r="E219" s="6" t="s">
        <v>5918</v>
      </c>
      <c r="F219" s="42">
        <v>26</v>
      </c>
      <c r="G219" s="42">
        <v>2</v>
      </c>
      <c r="H219" s="43">
        <v>52</v>
      </c>
    </row>
    <row r="220" spans="1:8" ht="19.95" customHeight="1" x14ac:dyDescent="0.3">
      <c r="A220" s="2" t="s">
        <v>4668</v>
      </c>
      <c r="B220" s="3" t="s">
        <v>4716</v>
      </c>
      <c r="C220" s="2" t="s">
        <v>4717</v>
      </c>
      <c r="D220" s="3" t="s">
        <v>4397</v>
      </c>
      <c r="E220" s="2" t="s">
        <v>5920</v>
      </c>
      <c r="F220" s="40">
        <v>156</v>
      </c>
      <c r="G220" s="40">
        <v>2</v>
      </c>
      <c r="H220" s="41">
        <v>312</v>
      </c>
    </row>
    <row r="221" spans="1:8" ht="19.95" customHeight="1" x14ac:dyDescent="0.3">
      <c r="A221" s="6" t="s">
        <v>4668</v>
      </c>
      <c r="B221" s="7" t="s">
        <v>4716</v>
      </c>
      <c r="C221" s="6" t="s">
        <v>4717</v>
      </c>
      <c r="D221" s="7" t="s">
        <v>4397</v>
      </c>
      <c r="E221" s="6" t="s">
        <v>5919</v>
      </c>
      <c r="F221" s="42">
        <v>26.91</v>
      </c>
      <c r="G221" s="42">
        <v>2</v>
      </c>
      <c r="H221" s="43">
        <v>53.82</v>
      </c>
    </row>
    <row r="222" spans="1:8" ht="19.95" customHeight="1" x14ac:dyDescent="0.3">
      <c r="A222" s="2" t="s">
        <v>4668</v>
      </c>
      <c r="B222" s="3" t="s">
        <v>4595</v>
      </c>
      <c r="C222" s="2" t="s">
        <v>4676</v>
      </c>
      <c r="D222" s="3" t="s">
        <v>4368</v>
      </c>
      <c r="E222" s="2" t="s">
        <v>5921</v>
      </c>
      <c r="F222" s="40">
        <v>13.39</v>
      </c>
      <c r="G222" s="40">
        <v>2</v>
      </c>
      <c r="H222" s="41">
        <v>26.78</v>
      </c>
    </row>
    <row r="223" spans="1:8" ht="19.95" customHeight="1" x14ac:dyDescent="0.3">
      <c r="A223" s="6" t="s">
        <v>4668</v>
      </c>
      <c r="B223" s="7" t="s">
        <v>4595</v>
      </c>
      <c r="C223" s="6" t="s">
        <v>4676</v>
      </c>
      <c r="D223" s="7" t="s">
        <v>4368</v>
      </c>
      <c r="E223" s="6" t="s">
        <v>5922</v>
      </c>
      <c r="F223" s="42">
        <v>11.7</v>
      </c>
      <c r="G223" s="42">
        <v>2</v>
      </c>
      <c r="H223" s="43">
        <v>23.4</v>
      </c>
    </row>
    <row r="224" spans="1:8" ht="19.95" customHeight="1" x14ac:dyDescent="0.3">
      <c r="A224" s="2" t="s">
        <v>4668</v>
      </c>
      <c r="B224" s="3" t="s">
        <v>4603</v>
      </c>
      <c r="C224" s="2" t="s">
        <v>4677</v>
      </c>
      <c r="D224" s="3" t="s">
        <v>4368</v>
      </c>
      <c r="E224" s="2" t="s">
        <v>5923</v>
      </c>
      <c r="F224" s="40">
        <v>35.49</v>
      </c>
      <c r="G224" s="40">
        <v>2</v>
      </c>
      <c r="H224" s="41">
        <v>70.98</v>
      </c>
    </row>
    <row r="225" spans="1:8" ht="19.95" customHeight="1" x14ac:dyDescent="0.3">
      <c r="A225" s="6" t="s">
        <v>4668</v>
      </c>
      <c r="B225" s="7" t="s">
        <v>4603</v>
      </c>
      <c r="C225" s="6" t="s">
        <v>4677</v>
      </c>
      <c r="D225" s="7" t="s">
        <v>4368</v>
      </c>
      <c r="E225" s="6" t="s">
        <v>5924</v>
      </c>
      <c r="F225" s="42">
        <v>5.33</v>
      </c>
      <c r="G225" s="42">
        <v>2</v>
      </c>
      <c r="H225" s="43">
        <v>10.66</v>
      </c>
    </row>
    <row r="226" spans="1:8" ht="19.95" customHeight="1" x14ac:dyDescent="0.3">
      <c r="A226" s="2" t="s">
        <v>4668</v>
      </c>
      <c r="B226" s="3" t="s">
        <v>4603</v>
      </c>
      <c r="C226" s="2" t="s">
        <v>4677</v>
      </c>
      <c r="D226" s="3" t="s">
        <v>4368</v>
      </c>
      <c r="E226" s="2" t="s">
        <v>4270</v>
      </c>
      <c r="F226" s="40">
        <v>6.24</v>
      </c>
      <c r="G226" s="40">
        <v>2</v>
      </c>
      <c r="H226" s="41">
        <v>12.48</v>
      </c>
    </row>
    <row r="227" spans="1:8" ht="19.95" customHeight="1" x14ac:dyDescent="0.3">
      <c r="A227" s="6" t="s">
        <v>4668</v>
      </c>
      <c r="B227" s="7" t="s">
        <v>4718</v>
      </c>
      <c r="C227" s="6" t="s">
        <v>4719</v>
      </c>
      <c r="D227" s="7" t="s">
        <v>4344</v>
      </c>
      <c r="E227" s="6" t="s">
        <v>4270</v>
      </c>
      <c r="F227" s="42">
        <v>6.24</v>
      </c>
      <c r="G227" s="42">
        <v>2</v>
      </c>
      <c r="H227" s="43">
        <v>12.48</v>
      </c>
    </row>
    <row r="228" spans="1:8" ht="19.95" customHeight="1" x14ac:dyDescent="0.3">
      <c r="A228" s="2" t="s">
        <v>4668</v>
      </c>
      <c r="B228" s="3" t="s">
        <v>4720</v>
      </c>
      <c r="C228" s="2" t="s">
        <v>4721</v>
      </c>
      <c r="D228" s="3" t="s">
        <v>4722</v>
      </c>
      <c r="E228" s="2" t="s">
        <v>4270</v>
      </c>
      <c r="F228" s="40">
        <v>121.16</v>
      </c>
      <c r="G228" s="40">
        <v>2</v>
      </c>
      <c r="H228" s="41">
        <v>242.32</v>
      </c>
    </row>
    <row r="229" spans="1:8" ht="19.95" customHeight="1" x14ac:dyDescent="0.3">
      <c r="A229" s="6" t="s">
        <v>4668</v>
      </c>
      <c r="B229" s="7" t="s">
        <v>4723</v>
      </c>
      <c r="C229" s="6" t="s">
        <v>4724</v>
      </c>
      <c r="D229" s="7" t="s">
        <v>4725</v>
      </c>
      <c r="E229" s="6" t="s">
        <v>4270</v>
      </c>
      <c r="F229" s="42">
        <v>121.16</v>
      </c>
      <c r="G229" s="42">
        <v>2</v>
      </c>
      <c r="H229" s="43">
        <v>242.32</v>
      </c>
    </row>
    <row r="230" spans="1:8" ht="19.95" customHeight="1" x14ac:dyDescent="0.3">
      <c r="A230" s="2" t="s">
        <v>4668</v>
      </c>
      <c r="B230" s="3" t="s">
        <v>4726</v>
      </c>
      <c r="C230" s="2" t="s">
        <v>4727</v>
      </c>
      <c r="D230" s="3" t="s">
        <v>4728</v>
      </c>
      <c r="E230" s="2" t="s">
        <v>4270</v>
      </c>
      <c r="F230" s="40">
        <v>26.91</v>
      </c>
      <c r="G230" s="40">
        <v>2</v>
      </c>
      <c r="H230" s="41">
        <v>53.82</v>
      </c>
    </row>
    <row r="231" spans="1:8" ht="19.95" customHeight="1" x14ac:dyDescent="0.3">
      <c r="A231" s="6" t="s">
        <v>4668</v>
      </c>
      <c r="B231" s="7" t="s">
        <v>4729</v>
      </c>
      <c r="C231" s="6" t="s">
        <v>4730</v>
      </c>
      <c r="D231" s="7" t="s">
        <v>4398</v>
      </c>
      <c r="E231" s="6" t="s">
        <v>5925</v>
      </c>
      <c r="F231" s="42">
        <v>40.299999999999997</v>
      </c>
      <c r="G231" s="42">
        <v>2</v>
      </c>
      <c r="H231" s="43">
        <v>80.599999999999994</v>
      </c>
    </row>
    <row r="232" spans="1:8" ht="19.95" customHeight="1" x14ac:dyDescent="0.3">
      <c r="A232" s="2" t="s">
        <v>4668</v>
      </c>
      <c r="B232" s="3" t="s">
        <v>4729</v>
      </c>
      <c r="C232" s="2" t="s">
        <v>4730</v>
      </c>
      <c r="D232" s="3" t="s">
        <v>4398</v>
      </c>
      <c r="E232" s="2" t="s">
        <v>5925</v>
      </c>
      <c r="F232" s="40">
        <v>53.82</v>
      </c>
      <c r="G232" s="40">
        <v>2</v>
      </c>
      <c r="H232" s="41">
        <v>107.64</v>
      </c>
    </row>
    <row r="233" spans="1:8" ht="19.95" customHeight="1" x14ac:dyDescent="0.3">
      <c r="A233" s="6" t="s">
        <v>4668</v>
      </c>
      <c r="B233" s="7" t="s">
        <v>4731</v>
      </c>
      <c r="C233" s="6" t="s">
        <v>4732</v>
      </c>
      <c r="D233" s="7" t="s">
        <v>4733</v>
      </c>
      <c r="E233" s="6" t="s">
        <v>4270</v>
      </c>
      <c r="F233" s="42">
        <v>1.82</v>
      </c>
      <c r="G233" s="42">
        <v>2</v>
      </c>
      <c r="H233" s="43">
        <v>3.64</v>
      </c>
    </row>
    <row r="234" spans="1:8" ht="19.95" customHeight="1" x14ac:dyDescent="0.3">
      <c r="A234" s="2" t="s">
        <v>4668</v>
      </c>
      <c r="B234" s="3" t="s">
        <v>4731</v>
      </c>
      <c r="C234" s="2" t="s">
        <v>4732</v>
      </c>
      <c r="D234" s="3" t="s">
        <v>4733</v>
      </c>
      <c r="E234" s="2" t="s">
        <v>4270</v>
      </c>
      <c r="F234" s="40">
        <v>2.34</v>
      </c>
      <c r="G234" s="40">
        <v>2</v>
      </c>
      <c r="H234" s="41">
        <v>4.68</v>
      </c>
    </row>
    <row r="235" spans="1:8" ht="19.95" customHeight="1" x14ac:dyDescent="0.3">
      <c r="A235" s="6" t="s">
        <v>4668</v>
      </c>
      <c r="B235" s="7" t="s">
        <v>4734</v>
      </c>
      <c r="C235" s="6" t="s">
        <v>4735</v>
      </c>
      <c r="D235" s="7" t="s">
        <v>4736</v>
      </c>
      <c r="E235" s="6" t="s">
        <v>5925</v>
      </c>
      <c r="F235" s="42">
        <v>40.299999999999997</v>
      </c>
      <c r="G235" s="42">
        <v>2</v>
      </c>
      <c r="H235" s="43">
        <v>80.599999999999994</v>
      </c>
    </row>
    <row r="236" spans="1:8" ht="19.95" customHeight="1" x14ac:dyDescent="0.3">
      <c r="A236" s="2" t="s">
        <v>4668</v>
      </c>
      <c r="B236" s="3" t="s">
        <v>4734</v>
      </c>
      <c r="C236" s="2" t="s">
        <v>4735</v>
      </c>
      <c r="D236" s="3" t="s">
        <v>4398</v>
      </c>
      <c r="E236" s="2" t="s">
        <v>5925</v>
      </c>
      <c r="F236" s="40">
        <v>53.82</v>
      </c>
      <c r="G236" s="40">
        <v>2</v>
      </c>
      <c r="H236" s="41">
        <v>107.64</v>
      </c>
    </row>
    <row r="237" spans="1:8" ht="19.95" customHeight="1" x14ac:dyDescent="0.3">
      <c r="A237" s="6" t="s">
        <v>4668</v>
      </c>
      <c r="B237" s="7" t="s">
        <v>4739</v>
      </c>
      <c r="C237" s="6" t="s">
        <v>4740</v>
      </c>
      <c r="D237" s="7" t="s">
        <v>4741</v>
      </c>
      <c r="E237" s="6" t="s">
        <v>5926</v>
      </c>
      <c r="F237" s="42">
        <v>26.91</v>
      </c>
      <c r="G237" s="42">
        <v>2</v>
      </c>
      <c r="H237" s="43">
        <v>53.82</v>
      </c>
    </row>
    <row r="238" spans="1:8" ht="19.95" customHeight="1" x14ac:dyDescent="0.3">
      <c r="A238" s="2" t="s">
        <v>4668</v>
      </c>
      <c r="B238" s="3" t="s">
        <v>4746</v>
      </c>
      <c r="C238" s="2" t="s">
        <v>4747</v>
      </c>
      <c r="D238" s="3" t="s">
        <v>4390</v>
      </c>
      <c r="E238" s="2" t="s">
        <v>4270</v>
      </c>
      <c r="F238" s="40">
        <v>13</v>
      </c>
      <c r="G238" s="40">
        <v>2</v>
      </c>
      <c r="H238" s="41">
        <v>26</v>
      </c>
    </row>
    <row r="239" spans="1:8" ht="19.95" customHeight="1" x14ac:dyDescent="0.3">
      <c r="A239" s="6" t="s">
        <v>4668</v>
      </c>
      <c r="B239" s="7" t="s">
        <v>4748</v>
      </c>
      <c r="C239" s="6" t="s">
        <v>4749</v>
      </c>
      <c r="D239" s="7" t="s">
        <v>4390</v>
      </c>
      <c r="E239" s="6" t="s">
        <v>4270</v>
      </c>
      <c r="F239" s="42">
        <v>13</v>
      </c>
      <c r="G239" s="42">
        <v>2</v>
      </c>
      <c r="H239" s="43">
        <v>26</v>
      </c>
    </row>
    <row r="240" spans="1:8" ht="19.95" customHeight="1" x14ac:dyDescent="0.3">
      <c r="A240" s="2" t="s">
        <v>4668</v>
      </c>
      <c r="B240" s="3" t="s">
        <v>4672</v>
      </c>
      <c r="C240" s="2" t="s">
        <v>4673</v>
      </c>
      <c r="D240" s="3" t="s">
        <v>4368</v>
      </c>
      <c r="E240" s="2" t="s">
        <v>4270</v>
      </c>
      <c r="F240" s="40">
        <v>79.95</v>
      </c>
      <c r="G240" s="40">
        <v>2</v>
      </c>
      <c r="H240" s="41">
        <v>159.9</v>
      </c>
    </row>
    <row r="241" spans="1:8" ht="19.95" customHeight="1" x14ac:dyDescent="0.3">
      <c r="A241" s="6" t="s">
        <v>4668</v>
      </c>
      <c r="B241" s="7" t="s">
        <v>4752</v>
      </c>
      <c r="C241" s="6" t="s">
        <v>4747</v>
      </c>
      <c r="D241" s="7" t="s">
        <v>4390</v>
      </c>
      <c r="E241" s="6" t="s">
        <v>4270</v>
      </c>
      <c r="F241" s="42">
        <v>13</v>
      </c>
      <c r="G241" s="42">
        <v>2</v>
      </c>
      <c r="H241" s="43">
        <v>26</v>
      </c>
    </row>
    <row r="242" spans="1:8" ht="19.95" customHeight="1" x14ac:dyDescent="0.3">
      <c r="A242" s="2" t="s">
        <v>4668</v>
      </c>
      <c r="B242" s="3" t="s">
        <v>4753</v>
      </c>
      <c r="C242" s="2" t="s">
        <v>4749</v>
      </c>
      <c r="D242" s="3" t="s">
        <v>4390</v>
      </c>
      <c r="E242" s="2" t="s">
        <v>4270</v>
      </c>
      <c r="F242" s="40">
        <v>13</v>
      </c>
      <c r="G242" s="40">
        <v>2</v>
      </c>
      <c r="H242" s="41">
        <v>26</v>
      </c>
    </row>
    <row r="243" spans="1:8" ht="19.95" customHeight="1" x14ac:dyDescent="0.3">
      <c r="A243" s="6" t="s">
        <v>4668</v>
      </c>
      <c r="B243" s="7" t="s">
        <v>4757</v>
      </c>
      <c r="C243" s="6" t="s">
        <v>4758</v>
      </c>
      <c r="D243" s="7" t="s">
        <v>4390</v>
      </c>
      <c r="E243" s="6" t="s">
        <v>4270</v>
      </c>
      <c r="F243" s="42">
        <v>13</v>
      </c>
      <c r="G243" s="42">
        <v>2</v>
      </c>
      <c r="H243" s="43">
        <v>26</v>
      </c>
    </row>
    <row r="244" spans="1:8" ht="19.95" customHeight="1" x14ac:dyDescent="0.3">
      <c r="A244" s="2" t="s">
        <v>4668</v>
      </c>
      <c r="B244" s="3" t="s">
        <v>4759</v>
      </c>
      <c r="C244" s="2" t="s">
        <v>4760</v>
      </c>
      <c r="D244" s="3" t="s">
        <v>4390</v>
      </c>
      <c r="E244" s="2" t="s">
        <v>4270</v>
      </c>
      <c r="F244" s="40">
        <v>13</v>
      </c>
      <c r="G244" s="40">
        <v>2</v>
      </c>
      <c r="H244" s="41">
        <v>26</v>
      </c>
    </row>
    <row r="245" spans="1:8" ht="19.95" customHeight="1" x14ac:dyDescent="0.3">
      <c r="A245" s="6" t="s">
        <v>4668</v>
      </c>
      <c r="B245" s="7" t="s">
        <v>4761</v>
      </c>
      <c r="C245" s="6" t="s">
        <v>4762</v>
      </c>
      <c r="D245" s="7" t="s">
        <v>4368</v>
      </c>
      <c r="E245" s="6" t="s">
        <v>5927</v>
      </c>
      <c r="F245" s="42">
        <v>3</v>
      </c>
      <c r="G245" s="42">
        <v>2</v>
      </c>
      <c r="H245" s="43">
        <v>6</v>
      </c>
    </row>
    <row r="246" spans="1:8" ht="19.95" customHeight="1" x14ac:dyDescent="0.3">
      <c r="A246" s="2" t="s">
        <v>4668</v>
      </c>
      <c r="B246" s="3" t="s">
        <v>5928</v>
      </c>
      <c r="C246" s="2" t="s">
        <v>5929</v>
      </c>
      <c r="D246" s="3" t="s">
        <v>4368</v>
      </c>
      <c r="E246" s="2" t="s">
        <v>5930</v>
      </c>
      <c r="F246" s="40">
        <v>3.77</v>
      </c>
      <c r="G246" s="40">
        <v>2</v>
      </c>
      <c r="H246" s="41">
        <v>7.54</v>
      </c>
    </row>
    <row r="247" spans="1:8" ht="19.95" customHeight="1" x14ac:dyDescent="0.3">
      <c r="A247" s="6" t="s">
        <v>4668</v>
      </c>
      <c r="B247" s="7" t="s">
        <v>5928</v>
      </c>
      <c r="C247" s="6" t="s">
        <v>5929</v>
      </c>
      <c r="D247" s="7" t="s">
        <v>4368</v>
      </c>
      <c r="E247" s="6" t="s">
        <v>5931</v>
      </c>
      <c r="F247" s="42">
        <v>17.77</v>
      </c>
      <c r="G247" s="42">
        <v>2</v>
      </c>
      <c r="H247" s="43">
        <v>35.54</v>
      </c>
    </row>
    <row r="248" spans="1:8" ht="19.95" customHeight="1" x14ac:dyDescent="0.3">
      <c r="A248" s="2" t="s">
        <v>4668</v>
      </c>
      <c r="B248" s="3" t="s">
        <v>5932</v>
      </c>
      <c r="C248" s="2" t="s">
        <v>5933</v>
      </c>
      <c r="D248" s="3" t="s">
        <v>4368</v>
      </c>
      <c r="E248" s="2" t="s">
        <v>5930</v>
      </c>
      <c r="F248" s="40">
        <v>5.9</v>
      </c>
      <c r="G248" s="40">
        <v>2</v>
      </c>
      <c r="H248" s="41">
        <v>11.8</v>
      </c>
    </row>
    <row r="249" spans="1:8" ht="19.95" customHeight="1" x14ac:dyDescent="0.3">
      <c r="A249" s="6" t="s">
        <v>4668</v>
      </c>
      <c r="B249" s="7" t="s">
        <v>5932</v>
      </c>
      <c r="C249" s="6" t="s">
        <v>5933</v>
      </c>
      <c r="D249" s="7" t="s">
        <v>4368</v>
      </c>
      <c r="E249" s="6" t="s">
        <v>5931</v>
      </c>
      <c r="F249" s="42">
        <v>25.17</v>
      </c>
      <c r="G249" s="42">
        <v>2</v>
      </c>
      <c r="H249" s="43">
        <v>50.34</v>
      </c>
    </row>
    <row r="250" spans="1:8" ht="19.95" customHeight="1" x14ac:dyDescent="0.3">
      <c r="A250" s="2" t="s">
        <v>4668</v>
      </c>
      <c r="B250" s="3" t="s">
        <v>5934</v>
      </c>
      <c r="C250" s="2" t="s">
        <v>5935</v>
      </c>
      <c r="D250" s="3" t="s">
        <v>4368</v>
      </c>
      <c r="E250" s="2" t="s">
        <v>5930</v>
      </c>
      <c r="F250" s="40">
        <v>8.69</v>
      </c>
      <c r="G250" s="40">
        <v>2</v>
      </c>
      <c r="H250" s="41">
        <v>17.38</v>
      </c>
    </row>
    <row r="251" spans="1:8" ht="19.95" customHeight="1" x14ac:dyDescent="0.3">
      <c r="A251" s="6" t="s">
        <v>4668</v>
      </c>
      <c r="B251" s="7" t="s">
        <v>5934</v>
      </c>
      <c r="C251" s="6" t="s">
        <v>5935</v>
      </c>
      <c r="D251" s="7" t="s">
        <v>4368</v>
      </c>
      <c r="E251" s="6" t="s">
        <v>5931</v>
      </c>
      <c r="F251" s="42">
        <v>29.61</v>
      </c>
      <c r="G251" s="42">
        <v>2</v>
      </c>
      <c r="H251" s="43">
        <v>59.22</v>
      </c>
    </row>
    <row r="252" spans="1:8" ht="19.95" customHeight="1" x14ac:dyDescent="0.3">
      <c r="A252" s="2" t="s">
        <v>4668</v>
      </c>
      <c r="B252" s="3" t="s">
        <v>5936</v>
      </c>
      <c r="C252" s="2" t="s">
        <v>5937</v>
      </c>
      <c r="D252" s="3" t="s">
        <v>4368</v>
      </c>
      <c r="E252" s="2" t="s">
        <v>5930</v>
      </c>
      <c r="F252" s="40">
        <v>12.84</v>
      </c>
      <c r="G252" s="40">
        <v>2</v>
      </c>
      <c r="H252" s="41">
        <v>25.68</v>
      </c>
    </row>
    <row r="253" spans="1:8" ht="19.95" customHeight="1" x14ac:dyDescent="0.3">
      <c r="A253" s="6" t="s">
        <v>4668</v>
      </c>
      <c r="B253" s="7" t="s">
        <v>5936</v>
      </c>
      <c r="C253" s="6" t="s">
        <v>5937</v>
      </c>
      <c r="D253" s="7" t="s">
        <v>4368</v>
      </c>
      <c r="E253" s="6" t="s">
        <v>5931</v>
      </c>
      <c r="F253" s="42">
        <v>32.57</v>
      </c>
      <c r="G253" s="42">
        <v>2</v>
      </c>
      <c r="H253" s="43">
        <v>65.14</v>
      </c>
    </row>
    <row r="254" spans="1:8" ht="19.95" customHeight="1" x14ac:dyDescent="0.3">
      <c r="A254" s="2" t="s">
        <v>4668</v>
      </c>
      <c r="B254" s="3" t="s">
        <v>5938</v>
      </c>
      <c r="C254" s="2" t="s">
        <v>5939</v>
      </c>
      <c r="D254" s="3" t="s">
        <v>4368</v>
      </c>
      <c r="E254" s="2" t="s">
        <v>5930</v>
      </c>
      <c r="F254" s="40">
        <v>15.48</v>
      </c>
      <c r="G254" s="40">
        <v>2</v>
      </c>
      <c r="H254" s="41">
        <v>30.96</v>
      </c>
    </row>
    <row r="255" spans="1:8" ht="19.95" customHeight="1" x14ac:dyDescent="0.3">
      <c r="A255" s="6" t="s">
        <v>4668</v>
      </c>
      <c r="B255" s="7" t="s">
        <v>5938</v>
      </c>
      <c r="C255" s="6" t="s">
        <v>5939</v>
      </c>
      <c r="D255" s="7" t="s">
        <v>4368</v>
      </c>
      <c r="E255" s="6" t="s">
        <v>5931</v>
      </c>
      <c r="F255" s="42">
        <v>32.57</v>
      </c>
      <c r="G255" s="42">
        <v>2</v>
      </c>
      <c r="H255" s="43">
        <v>65.14</v>
      </c>
    </row>
    <row r="256" spans="1:8" ht="19.95" customHeight="1" x14ac:dyDescent="0.3">
      <c r="A256" s="2" t="s">
        <v>4668</v>
      </c>
      <c r="B256" s="3" t="s">
        <v>4763</v>
      </c>
      <c r="C256" s="2" t="s">
        <v>4764</v>
      </c>
      <c r="D256" s="3" t="s">
        <v>4368</v>
      </c>
      <c r="E256" s="2" t="s">
        <v>4270</v>
      </c>
      <c r="F256" s="40">
        <v>2.34</v>
      </c>
      <c r="G256" s="40">
        <v>2</v>
      </c>
      <c r="H256" s="41">
        <v>4.68</v>
      </c>
    </row>
    <row r="257" spans="1:8" ht="19.95" customHeight="1" x14ac:dyDescent="0.3">
      <c r="A257" s="6" t="s">
        <v>4668</v>
      </c>
      <c r="B257" s="7" t="s">
        <v>4765</v>
      </c>
      <c r="C257" s="6" t="s">
        <v>4766</v>
      </c>
      <c r="D257" s="7" t="s">
        <v>4368</v>
      </c>
      <c r="E257" s="6" t="s">
        <v>4270</v>
      </c>
      <c r="F257" s="42">
        <v>2.34</v>
      </c>
      <c r="G257" s="42">
        <v>2</v>
      </c>
      <c r="H257" s="43">
        <v>4.68</v>
      </c>
    </row>
    <row r="258" spans="1:8" ht="19.95" customHeight="1" x14ac:dyDescent="0.3">
      <c r="A258" s="2" t="s">
        <v>4668</v>
      </c>
      <c r="B258" s="3" t="s">
        <v>5940</v>
      </c>
      <c r="C258" s="2" t="s">
        <v>5941</v>
      </c>
      <c r="D258" s="3" t="s">
        <v>4368</v>
      </c>
      <c r="E258" s="2" t="s">
        <v>4270</v>
      </c>
      <c r="F258" s="40">
        <v>100.67</v>
      </c>
      <c r="G258" s="40">
        <v>2</v>
      </c>
      <c r="H258" s="41">
        <v>201.34</v>
      </c>
    </row>
    <row r="259" spans="1:8" ht="19.95" customHeight="1" x14ac:dyDescent="0.3">
      <c r="A259" s="6" t="s">
        <v>4668</v>
      </c>
      <c r="B259" s="7" t="s">
        <v>5940</v>
      </c>
      <c r="C259" s="6" t="s">
        <v>5941</v>
      </c>
      <c r="D259" s="7" t="s">
        <v>4368</v>
      </c>
      <c r="E259" s="6" t="s">
        <v>4270</v>
      </c>
      <c r="F259" s="42">
        <v>100.67</v>
      </c>
      <c r="G259" s="42">
        <v>2</v>
      </c>
      <c r="H259" s="43">
        <v>201.34</v>
      </c>
    </row>
    <row r="260" spans="1:8" ht="19.95" customHeight="1" x14ac:dyDescent="0.3">
      <c r="A260" s="2" t="s">
        <v>4668</v>
      </c>
      <c r="B260" s="3" t="s">
        <v>5940</v>
      </c>
      <c r="C260" s="2" t="s">
        <v>5941</v>
      </c>
      <c r="D260" s="3" t="s">
        <v>4368</v>
      </c>
      <c r="E260" s="2" t="s">
        <v>4270</v>
      </c>
      <c r="F260" s="40">
        <v>100.67</v>
      </c>
      <c r="G260" s="40">
        <v>2</v>
      </c>
      <c r="H260" s="41">
        <v>201.34</v>
      </c>
    </row>
    <row r="261" spans="1:8" ht="19.95" customHeight="1" x14ac:dyDescent="0.3">
      <c r="A261" s="6" t="s">
        <v>4668</v>
      </c>
      <c r="B261" s="7" t="s">
        <v>4674</v>
      </c>
      <c r="C261" s="6" t="s">
        <v>4675</v>
      </c>
      <c r="D261" s="7" t="s">
        <v>4368</v>
      </c>
      <c r="E261" s="6" t="s">
        <v>5942</v>
      </c>
      <c r="F261" s="42">
        <v>23530</v>
      </c>
      <c r="G261" s="42">
        <v>2</v>
      </c>
      <c r="H261" s="43">
        <v>47060</v>
      </c>
    </row>
    <row r="262" spans="1:8" ht="19.95" customHeight="1" x14ac:dyDescent="0.3">
      <c r="A262" s="2" t="s">
        <v>4668</v>
      </c>
      <c r="B262" s="3" t="s">
        <v>5943</v>
      </c>
      <c r="C262" s="2" t="s">
        <v>5944</v>
      </c>
      <c r="D262" s="3" t="s">
        <v>4368</v>
      </c>
      <c r="E262" s="2" t="s">
        <v>5945</v>
      </c>
      <c r="F262" s="40">
        <v>1177</v>
      </c>
      <c r="G262" s="40">
        <v>2</v>
      </c>
      <c r="H262" s="41">
        <v>2354</v>
      </c>
    </row>
    <row r="263" spans="1:8" ht="19.95" customHeight="1" x14ac:dyDescent="0.3">
      <c r="A263" s="6" t="s">
        <v>4668</v>
      </c>
      <c r="B263" s="7" t="s">
        <v>5943</v>
      </c>
      <c r="C263" s="6" t="s">
        <v>5944</v>
      </c>
      <c r="D263" s="7" t="s">
        <v>4368</v>
      </c>
      <c r="E263" s="6" t="s">
        <v>5946</v>
      </c>
      <c r="F263" s="42">
        <v>19200</v>
      </c>
      <c r="G263" s="42">
        <v>2</v>
      </c>
      <c r="H263" s="43">
        <v>38400</v>
      </c>
    </row>
    <row r="264" spans="1:8" ht="19.95" customHeight="1" x14ac:dyDescent="0.3">
      <c r="A264" s="2" t="s">
        <v>4829</v>
      </c>
      <c r="B264" s="3" t="s">
        <v>4607</v>
      </c>
      <c r="C264" s="2" t="s">
        <v>4837</v>
      </c>
      <c r="D264" s="3" t="s">
        <v>4368</v>
      </c>
      <c r="E264" s="2" t="s">
        <v>4270</v>
      </c>
      <c r="F264" s="40">
        <v>2.73</v>
      </c>
      <c r="G264" s="40">
        <v>2</v>
      </c>
      <c r="H264" s="41">
        <v>5.46</v>
      </c>
    </row>
    <row r="265" spans="1:8" ht="19.95" customHeight="1" x14ac:dyDescent="0.3">
      <c r="A265" s="6" t="s">
        <v>4829</v>
      </c>
      <c r="B265" s="7" t="s">
        <v>4577</v>
      </c>
      <c r="C265" s="6" t="s">
        <v>4830</v>
      </c>
      <c r="D265" s="7" t="s">
        <v>4368</v>
      </c>
      <c r="E265" s="6" t="s">
        <v>4270</v>
      </c>
      <c r="F265" s="42">
        <v>2.73</v>
      </c>
      <c r="G265" s="42">
        <v>2</v>
      </c>
      <c r="H265" s="43">
        <v>5.46</v>
      </c>
    </row>
    <row r="266" spans="1:8" ht="19.95" customHeight="1" x14ac:dyDescent="0.3">
      <c r="A266" s="2" t="s">
        <v>4829</v>
      </c>
      <c r="B266" s="3" t="s">
        <v>4607</v>
      </c>
      <c r="C266" s="2" t="s">
        <v>4837</v>
      </c>
      <c r="D266" s="3" t="s">
        <v>4368</v>
      </c>
      <c r="E266" s="2" t="s">
        <v>4270</v>
      </c>
      <c r="F266" s="40">
        <v>2.73</v>
      </c>
      <c r="G266" s="40">
        <v>2</v>
      </c>
      <c r="H266" s="41">
        <v>5.46</v>
      </c>
    </row>
    <row r="267" spans="1:8" ht="19.95" customHeight="1" x14ac:dyDescent="0.3">
      <c r="A267" s="6" t="s">
        <v>4829</v>
      </c>
      <c r="B267" s="7" t="s">
        <v>4577</v>
      </c>
      <c r="C267" s="6" t="s">
        <v>4831</v>
      </c>
      <c r="D267" s="7" t="s">
        <v>4368</v>
      </c>
      <c r="E267" s="6" t="s">
        <v>4270</v>
      </c>
      <c r="F267" s="42">
        <v>2.73</v>
      </c>
      <c r="G267" s="42">
        <v>2</v>
      </c>
      <c r="H267" s="43">
        <v>5.46</v>
      </c>
    </row>
    <row r="268" spans="1:8" ht="19.95" customHeight="1" x14ac:dyDescent="0.3">
      <c r="A268" s="2" t="s">
        <v>4829</v>
      </c>
      <c r="B268" s="3" t="s">
        <v>4577</v>
      </c>
      <c r="C268" s="2" t="s">
        <v>4831</v>
      </c>
      <c r="D268" s="3" t="s">
        <v>4368</v>
      </c>
      <c r="E268" s="2" t="s">
        <v>4270</v>
      </c>
      <c r="F268" s="40">
        <v>2.73</v>
      </c>
      <c r="G268" s="40">
        <v>2</v>
      </c>
      <c r="H268" s="41">
        <v>5.46</v>
      </c>
    </row>
    <row r="269" spans="1:8" ht="19.95" customHeight="1" x14ac:dyDescent="0.3">
      <c r="A269" s="6" t="s">
        <v>4829</v>
      </c>
      <c r="B269" s="7" t="s">
        <v>4577</v>
      </c>
      <c r="C269" s="6" t="s">
        <v>4831</v>
      </c>
      <c r="D269" s="7" t="s">
        <v>4368</v>
      </c>
      <c r="E269" s="6" t="s">
        <v>5880</v>
      </c>
      <c r="F269" s="42">
        <v>22.36</v>
      </c>
      <c r="G269" s="42">
        <v>2</v>
      </c>
      <c r="H269" s="43">
        <v>44.72</v>
      </c>
    </row>
    <row r="270" spans="1:8" ht="19.95" customHeight="1" x14ac:dyDescent="0.3">
      <c r="A270" s="2" t="s">
        <v>4829</v>
      </c>
      <c r="B270" s="3" t="s">
        <v>4577</v>
      </c>
      <c r="C270" s="2" t="s">
        <v>4831</v>
      </c>
      <c r="D270" s="3" t="s">
        <v>4368</v>
      </c>
      <c r="E270" s="2" t="s">
        <v>4270</v>
      </c>
      <c r="F270" s="40">
        <v>2.73</v>
      </c>
      <c r="G270" s="40">
        <v>2</v>
      </c>
      <c r="H270" s="41">
        <v>5.46</v>
      </c>
    </row>
    <row r="271" spans="1:8" ht="19.95" customHeight="1" x14ac:dyDescent="0.3">
      <c r="A271" s="6" t="s">
        <v>4829</v>
      </c>
      <c r="B271" s="7" t="s">
        <v>4577</v>
      </c>
      <c r="C271" s="6" t="s">
        <v>4831</v>
      </c>
      <c r="D271" s="7" t="s">
        <v>4368</v>
      </c>
      <c r="E271" s="6" t="s">
        <v>5880</v>
      </c>
      <c r="F271" s="42">
        <v>16.38</v>
      </c>
      <c r="G271" s="42">
        <v>2</v>
      </c>
      <c r="H271" s="43">
        <v>32.76</v>
      </c>
    </row>
    <row r="272" spans="1:8" ht="19.95" customHeight="1" x14ac:dyDescent="0.3">
      <c r="A272" s="2" t="s">
        <v>4829</v>
      </c>
      <c r="B272" s="3" t="s">
        <v>4607</v>
      </c>
      <c r="C272" s="2" t="s">
        <v>4838</v>
      </c>
      <c r="D272" s="3" t="s">
        <v>4368</v>
      </c>
      <c r="E272" s="2" t="s">
        <v>4270</v>
      </c>
      <c r="F272" s="40">
        <v>2.73</v>
      </c>
      <c r="G272" s="40">
        <v>2</v>
      </c>
      <c r="H272" s="41">
        <v>5.46</v>
      </c>
    </row>
    <row r="273" spans="1:8" ht="19.95" customHeight="1" x14ac:dyDescent="0.3">
      <c r="A273" s="6" t="s">
        <v>4829</v>
      </c>
      <c r="B273" s="7" t="s">
        <v>4607</v>
      </c>
      <c r="C273" s="6" t="s">
        <v>4838</v>
      </c>
      <c r="D273" s="7" t="s">
        <v>4368</v>
      </c>
      <c r="E273" s="6" t="s">
        <v>5880</v>
      </c>
      <c r="F273" s="42">
        <v>22.36</v>
      </c>
      <c r="G273" s="42">
        <v>2</v>
      </c>
      <c r="H273" s="43">
        <v>44.72</v>
      </c>
    </row>
    <row r="274" spans="1:8" ht="19.95" customHeight="1" x14ac:dyDescent="0.3">
      <c r="A274" s="2" t="s">
        <v>4829</v>
      </c>
      <c r="B274" s="3" t="s">
        <v>4577</v>
      </c>
      <c r="C274" s="2" t="s">
        <v>4832</v>
      </c>
      <c r="D274" s="3" t="s">
        <v>4368</v>
      </c>
      <c r="E274" s="2" t="s">
        <v>4270</v>
      </c>
      <c r="F274" s="40">
        <v>2.73</v>
      </c>
      <c r="G274" s="40">
        <v>2</v>
      </c>
      <c r="H274" s="41">
        <v>5.46</v>
      </c>
    </row>
    <row r="275" spans="1:8" ht="19.95" customHeight="1" x14ac:dyDescent="0.3">
      <c r="A275" s="6" t="s">
        <v>4829</v>
      </c>
      <c r="B275" s="7" t="s">
        <v>4577</v>
      </c>
      <c r="C275" s="6" t="s">
        <v>4832</v>
      </c>
      <c r="D275" s="7" t="s">
        <v>4368</v>
      </c>
      <c r="E275" s="6" t="s">
        <v>5880</v>
      </c>
      <c r="F275" s="42">
        <v>22.36</v>
      </c>
      <c r="G275" s="42">
        <v>2</v>
      </c>
      <c r="H275" s="43">
        <v>44.72</v>
      </c>
    </row>
    <row r="276" spans="1:8" ht="19.95" customHeight="1" x14ac:dyDescent="0.3">
      <c r="A276" s="2" t="s">
        <v>4829</v>
      </c>
      <c r="B276" s="3" t="s">
        <v>4859</v>
      </c>
      <c r="C276" s="2" t="s">
        <v>4860</v>
      </c>
      <c r="D276" s="3" t="s">
        <v>4636</v>
      </c>
      <c r="E276" s="2" t="s">
        <v>5947</v>
      </c>
      <c r="F276" s="40">
        <v>13.52</v>
      </c>
      <c r="G276" s="40">
        <v>2</v>
      </c>
      <c r="H276" s="41">
        <v>27.04</v>
      </c>
    </row>
    <row r="277" spans="1:8" ht="19.95" customHeight="1" x14ac:dyDescent="0.3">
      <c r="A277" s="6" t="s">
        <v>4829</v>
      </c>
      <c r="B277" s="7" t="s">
        <v>4859</v>
      </c>
      <c r="C277" s="6" t="s">
        <v>4860</v>
      </c>
      <c r="D277" s="7" t="s">
        <v>4636</v>
      </c>
      <c r="E277" s="6" t="s">
        <v>5948</v>
      </c>
      <c r="F277" s="42">
        <v>4.55</v>
      </c>
      <c r="G277" s="42">
        <v>2</v>
      </c>
      <c r="H277" s="43">
        <v>9.1</v>
      </c>
    </row>
    <row r="278" spans="1:8" ht="19.95" customHeight="1" x14ac:dyDescent="0.3">
      <c r="A278" s="2" t="s">
        <v>4829</v>
      </c>
      <c r="B278" s="3" t="s">
        <v>4605</v>
      </c>
      <c r="C278" s="2" t="s">
        <v>4835</v>
      </c>
      <c r="D278" s="3" t="s">
        <v>4368</v>
      </c>
      <c r="E278" s="2" t="s">
        <v>5949</v>
      </c>
      <c r="F278" s="40">
        <v>7.15</v>
      </c>
      <c r="G278" s="40">
        <v>2</v>
      </c>
      <c r="H278" s="41">
        <v>14.3</v>
      </c>
    </row>
    <row r="279" spans="1:8" ht="19.95" customHeight="1" x14ac:dyDescent="0.3">
      <c r="A279" s="6" t="s">
        <v>4829</v>
      </c>
      <c r="B279" s="7" t="s">
        <v>4605</v>
      </c>
      <c r="C279" s="6" t="s">
        <v>4835</v>
      </c>
      <c r="D279" s="7" t="s">
        <v>4368</v>
      </c>
      <c r="E279" s="6" t="s">
        <v>4270</v>
      </c>
      <c r="F279" s="42">
        <v>2.73</v>
      </c>
      <c r="G279" s="42">
        <v>2</v>
      </c>
      <c r="H279" s="43">
        <v>5.46</v>
      </c>
    </row>
    <row r="280" spans="1:8" ht="19.95" customHeight="1" x14ac:dyDescent="0.3">
      <c r="A280" s="2" t="s">
        <v>4829</v>
      </c>
      <c r="B280" s="3" t="s">
        <v>4826</v>
      </c>
      <c r="C280" s="2" t="s">
        <v>4841</v>
      </c>
      <c r="D280" s="3" t="s">
        <v>4368</v>
      </c>
      <c r="E280" s="2" t="s">
        <v>5880</v>
      </c>
      <c r="F280" s="40">
        <v>18.850000000000001</v>
      </c>
      <c r="G280" s="40">
        <v>2</v>
      </c>
      <c r="H280" s="41">
        <v>37.700000000000003</v>
      </c>
    </row>
    <row r="281" spans="1:8" ht="19.95" customHeight="1" x14ac:dyDescent="0.3">
      <c r="A281" s="6" t="s">
        <v>4829</v>
      </c>
      <c r="B281" s="7" t="s">
        <v>4605</v>
      </c>
      <c r="C281" s="6" t="s">
        <v>4835</v>
      </c>
      <c r="D281" s="7" t="s">
        <v>4368</v>
      </c>
      <c r="E281" s="6" t="s">
        <v>4270</v>
      </c>
      <c r="F281" s="42">
        <v>2.73</v>
      </c>
      <c r="G281" s="42">
        <v>2</v>
      </c>
      <c r="H281" s="43">
        <v>5.46</v>
      </c>
    </row>
    <row r="282" spans="1:8" ht="19.95" customHeight="1" x14ac:dyDescent="0.3">
      <c r="A282" s="2" t="s">
        <v>4829</v>
      </c>
      <c r="B282" s="3" t="s">
        <v>4826</v>
      </c>
      <c r="C282" s="2" t="s">
        <v>4841</v>
      </c>
      <c r="D282" s="3" t="s">
        <v>4368</v>
      </c>
      <c r="E282" s="2" t="s">
        <v>5880</v>
      </c>
      <c r="F282" s="40">
        <v>18.850000000000001</v>
      </c>
      <c r="G282" s="40">
        <v>2</v>
      </c>
      <c r="H282" s="41">
        <v>37.700000000000003</v>
      </c>
    </row>
    <row r="283" spans="1:8" ht="19.95" customHeight="1" x14ac:dyDescent="0.3">
      <c r="A283" s="6" t="s">
        <v>4829</v>
      </c>
      <c r="B283" s="7" t="s">
        <v>4842</v>
      </c>
      <c r="C283" s="6" t="s">
        <v>4843</v>
      </c>
      <c r="D283" s="7" t="s">
        <v>4405</v>
      </c>
      <c r="E283" s="6" t="s">
        <v>4270</v>
      </c>
      <c r="F283" s="42">
        <v>134.55000000000001</v>
      </c>
      <c r="G283" s="42">
        <v>2</v>
      </c>
      <c r="H283" s="43">
        <v>269.10000000000002</v>
      </c>
    </row>
    <row r="284" spans="1:8" ht="19.95" customHeight="1" x14ac:dyDescent="0.3">
      <c r="A284" s="2" t="s">
        <v>4829</v>
      </c>
      <c r="B284" s="3" t="s">
        <v>4605</v>
      </c>
      <c r="C284" s="2" t="s">
        <v>4836</v>
      </c>
      <c r="D284" s="3" t="s">
        <v>4368</v>
      </c>
      <c r="E284" s="2" t="s">
        <v>5950</v>
      </c>
      <c r="F284" s="40">
        <v>13.52</v>
      </c>
      <c r="G284" s="40">
        <v>2</v>
      </c>
      <c r="H284" s="41">
        <v>27.04</v>
      </c>
    </row>
    <row r="285" spans="1:8" ht="19.95" customHeight="1" x14ac:dyDescent="0.3">
      <c r="A285" s="6" t="s">
        <v>4829</v>
      </c>
      <c r="B285" s="7" t="s">
        <v>4607</v>
      </c>
      <c r="C285" s="6" t="s">
        <v>4839</v>
      </c>
      <c r="D285" s="7" t="s">
        <v>4368</v>
      </c>
      <c r="E285" s="6" t="s">
        <v>5950</v>
      </c>
      <c r="F285" s="42">
        <v>13.52</v>
      </c>
      <c r="G285" s="42">
        <v>2</v>
      </c>
      <c r="H285" s="43">
        <v>27.04</v>
      </c>
    </row>
    <row r="286" spans="1:8" ht="19.95" customHeight="1" x14ac:dyDescent="0.3">
      <c r="A286" s="2" t="s">
        <v>4829</v>
      </c>
      <c r="B286" s="3" t="s">
        <v>4605</v>
      </c>
      <c r="C286" s="2" t="s">
        <v>4835</v>
      </c>
      <c r="D286" s="3" t="s">
        <v>4368</v>
      </c>
      <c r="E286" s="2" t="s">
        <v>5950</v>
      </c>
      <c r="F286" s="40">
        <v>13.52</v>
      </c>
      <c r="G286" s="40">
        <v>2</v>
      </c>
      <c r="H286" s="41">
        <v>27.04</v>
      </c>
    </row>
    <row r="287" spans="1:8" ht="19.95" customHeight="1" x14ac:dyDescent="0.3">
      <c r="A287" s="6" t="s">
        <v>4829</v>
      </c>
      <c r="B287" s="7" t="s">
        <v>4607</v>
      </c>
      <c r="C287" s="6" t="s">
        <v>4838</v>
      </c>
      <c r="D287" s="7" t="s">
        <v>4368</v>
      </c>
      <c r="E287" s="6" t="s">
        <v>5950</v>
      </c>
      <c r="F287" s="42">
        <v>13.52</v>
      </c>
      <c r="G287" s="42">
        <v>2</v>
      </c>
      <c r="H287" s="43">
        <v>27.04</v>
      </c>
    </row>
    <row r="288" spans="1:8" ht="19.95" customHeight="1" x14ac:dyDescent="0.3">
      <c r="A288" s="2" t="s">
        <v>4829</v>
      </c>
      <c r="B288" s="3" t="s">
        <v>5951</v>
      </c>
      <c r="C288" s="2" t="s">
        <v>5952</v>
      </c>
      <c r="D288" s="3" t="s">
        <v>4636</v>
      </c>
      <c r="E288" s="2" t="s">
        <v>4270</v>
      </c>
      <c r="F288" s="40">
        <v>1.82</v>
      </c>
      <c r="G288" s="40">
        <v>2</v>
      </c>
      <c r="H288" s="41">
        <v>3.64</v>
      </c>
    </row>
    <row r="289" spans="1:8" ht="19.95" customHeight="1" x14ac:dyDescent="0.3">
      <c r="A289" s="6" t="s">
        <v>4829</v>
      </c>
      <c r="B289" s="7" t="s">
        <v>4607</v>
      </c>
      <c r="C289" s="6" t="s">
        <v>4838</v>
      </c>
      <c r="D289" s="7" t="s">
        <v>4368</v>
      </c>
      <c r="E289" s="6" t="s">
        <v>4270</v>
      </c>
      <c r="F289" s="42">
        <v>4.55</v>
      </c>
      <c r="G289" s="42">
        <v>2</v>
      </c>
      <c r="H289" s="43">
        <v>9.1</v>
      </c>
    </row>
    <row r="290" spans="1:8" ht="19.95" customHeight="1" x14ac:dyDescent="0.3">
      <c r="A290" s="2" t="s">
        <v>4829</v>
      </c>
      <c r="B290" s="3" t="s">
        <v>4577</v>
      </c>
      <c r="C290" s="2" t="s">
        <v>4832</v>
      </c>
      <c r="D290" s="3" t="s">
        <v>4368</v>
      </c>
      <c r="E290" s="2" t="s">
        <v>4270</v>
      </c>
      <c r="F290" s="40">
        <v>4.55</v>
      </c>
      <c r="G290" s="40">
        <v>2</v>
      </c>
      <c r="H290" s="41">
        <v>9.1</v>
      </c>
    </row>
    <row r="291" spans="1:8" ht="19.95" customHeight="1" x14ac:dyDescent="0.3">
      <c r="A291" s="6" t="s">
        <v>4829</v>
      </c>
      <c r="B291" s="7" t="s">
        <v>4577</v>
      </c>
      <c r="C291" s="6" t="s">
        <v>4832</v>
      </c>
      <c r="D291" s="7" t="s">
        <v>4368</v>
      </c>
      <c r="E291" s="6" t="s">
        <v>4270</v>
      </c>
      <c r="F291" s="42">
        <v>4.55</v>
      </c>
      <c r="G291" s="42">
        <v>2</v>
      </c>
      <c r="H291" s="43">
        <v>9.1</v>
      </c>
    </row>
    <row r="292" spans="1:8" ht="19.95" customHeight="1" x14ac:dyDescent="0.3">
      <c r="A292" s="2" t="s">
        <v>4829</v>
      </c>
      <c r="B292" s="3" t="s">
        <v>4577</v>
      </c>
      <c r="C292" s="2" t="s">
        <v>4832</v>
      </c>
      <c r="D292" s="3" t="s">
        <v>4368</v>
      </c>
      <c r="E292" s="2" t="s">
        <v>4270</v>
      </c>
      <c r="F292" s="40">
        <v>4.55</v>
      </c>
      <c r="G292" s="40">
        <v>2</v>
      </c>
      <c r="H292" s="41">
        <v>9.1</v>
      </c>
    </row>
    <row r="293" spans="1:8" ht="19.95" customHeight="1" x14ac:dyDescent="0.3">
      <c r="A293" s="6" t="s">
        <v>4829</v>
      </c>
      <c r="B293" s="7" t="s">
        <v>4577</v>
      </c>
      <c r="C293" s="6" t="s">
        <v>4832</v>
      </c>
      <c r="D293" s="7" t="s">
        <v>4368</v>
      </c>
      <c r="E293" s="6" t="s">
        <v>5880</v>
      </c>
      <c r="F293" s="42">
        <v>33.799999999999997</v>
      </c>
      <c r="G293" s="42">
        <v>2</v>
      </c>
      <c r="H293" s="43">
        <v>67.599999999999994</v>
      </c>
    </row>
    <row r="294" spans="1:8" ht="19.95" customHeight="1" x14ac:dyDescent="0.3">
      <c r="A294" s="2" t="s">
        <v>4829</v>
      </c>
      <c r="B294" s="3" t="s">
        <v>4607</v>
      </c>
      <c r="C294" s="2" t="s">
        <v>4838</v>
      </c>
      <c r="D294" s="3" t="s">
        <v>4368</v>
      </c>
      <c r="E294" s="2" t="s">
        <v>4270</v>
      </c>
      <c r="F294" s="40">
        <v>5.46</v>
      </c>
      <c r="G294" s="40">
        <v>2</v>
      </c>
      <c r="H294" s="41">
        <v>10.92</v>
      </c>
    </row>
    <row r="295" spans="1:8" ht="19.95" customHeight="1" x14ac:dyDescent="0.3">
      <c r="A295" s="6" t="s">
        <v>4829</v>
      </c>
      <c r="B295" s="7" t="s">
        <v>4826</v>
      </c>
      <c r="C295" s="6" t="s">
        <v>4841</v>
      </c>
      <c r="D295" s="7" t="s">
        <v>4368</v>
      </c>
      <c r="E295" s="6" t="s">
        <v>5880</v>
      </c>
      <c r="F295" s="42">
        <v>18.850000000000001</v>
      </c>
      <c r="G295" s="42">
        <v>2</v>
      </c>
      <c r="H295" s="43">
        <v>37.700000000000003</v>
      </c>
    </row>
    <row r="296" spans="1:8" ht="19.95" customHeight="1" x14ac:dyDescent="0.3">
      <c r="A296" s="2" t="s">
        <v>4829</v>
      </c>
      <c r="B296" s="3" t="s">
        <v>4607</v>
      </c>
      <c r="C296" s="2" t="s">
        <v>4838</v>
      </c>
      <c r="D296" s="3" t="s">
        <v>4368</v>
      </c>
      <c r="E296" s="2" t="s">
        <v>5953</v>
      </c>
      <c r="F296" s="40">
        <v>5.46</v>
      </c>
      <c r="G296" s="40">
        <v>2</v>
      </c>
      <c r="H296" s="41">
        <v>10.92</v>
      </c>
    </row>
    <row r="297" spans="1:8" ht="19.95" customHeight="1" x14ac:dyDescent="0.3">
      <c r="A297" s="6" t="s">
        <v>4829</v>
      </c>
      <c r="B297" s="7" t="s">
        <v>4826</v>
      </c>
      <c r="C297" s="6" t="s">
        <v>4841</v>
      </c>
      <c r="D297" s="7" t="s">
        <v>4368</v>
      </c>
      <c r="E297" s="6" t="s">
        <v>5880</v>
      </c>
      <c r="F297" s="42">
        <v>18.850000000000001</v>
      </c>
      <c r="G297" s="42">
        <v>2</v>
      </c>
      <c r="H297" s="43">
        <v>37.700000000000003</v>
      </c>
    </row>
    <row r="298" spans="1:8" ht="19.95" customHeight="1" x14ac:dyDescent="0.3">
      <c r="A298" s="2" t="s">
        <v>4829</v>
      </c>
      <c r="B298" s="3" t="s">
        <v>4605</v>
      </c>
      <c r="C298" s="2" t="s">
        <v>4835</v>
      </c>
      <c r="D298" s="3" t="s">
        <v>4368</v>
      </c>
      <c r="E298" s="2" t="s">
        <v>5949</v>
      </c>
      <c r="F298" s="40">
        <v>8.06</v>
      </c>
      <c r="G298" s="40">
        <v>2</v>
      </c>
      <c r="H298" s="41">
        <v>16.12</v>
      </c>
    </row>
    <row r="299" spans="1:8" ht="19.95" customHeight="1" x14ac:dyDescent="0.3">
      <c r="A299" s="6" t="s">
        <v>4829</v>
      </c>
      <c r="B299" s="7" t="s">
        <v>5954</v>
      </c>
      <c r="C299" s="6" t="s">
        <v>5955</v>
      </c>
      <c r="D299" s="7" t="s">
        <v>4368</v>
      </c>
      <c r="E299" s="6" t="s">
        <v>5956</v>
      </c>
      <c r="F299" s="42">
        <v>20.67</v>
      </c>
      <c r="G299" s="42">
        <v>2</v>
      </c>
      <c r="H299" s="43">
        <v>41.34</v>
      </c>
    </row>
    <row r="300" spans="1:8" ht="19.95" customHeight="1" x14ac:dyDescent="0.3">
      <c r="A300" s="2" t="s">
        <v>4829</v>
      </c>
      <c r="B300" s="3" t="s">
        <v>4577</v>
      </c>
      <c r="C300" s="2" t="s">
        <v>4832</v>
      </c>
      <c r="D300" s="3" t="s">
        <v>4368</v>
      </c>
      <c r="E300" s="2" t="s">
        <v>5957</v>
      </c>
      <c r="F300" s="40">
        <v>16.38</v>
      </c>
      <c r="G300" s="40">
        <v>2</v>
      </c>
      <c r="H300" s="41">
        <v>32.76</v>
      </c>
    </row>
    <row r="301" spans="1:8" ht="19.95" customHeight="1" x14ac:dyDescent="0.3">
      <c r="A301" s="6" t="s">
        <v>4829</v>
      </c>
      <c r="B301" s="7" t="s">
        <v>4577</v>
      </c>
      <c r="C301" s="6" t="s">
        <v>4832</v>
      </c>
      <c r="D301" s="7" t="s">
        <v>4368</v>
      </c>
      <c r="E301" s="6" t="s">
        <v>5957</v>
      </c>
      <c r="F301" s="42">
        <v>16.38</v>
      </c>
      <c r="G301" s="42">
        <v>2</v>
      </c>
      <c r="H301" s="43">
        <v>32.76</v>
      </c>
    </row>
    <row r="302" spans="1:8" ht="19.95" customHeight="1" x14ac:dyDescent="0.3">
      <c r="A302" s="2" t="s">
        <v>4829</v>
      </c>
      <c r="B302" s="3" t="s">
        <v>4577</v>
      </c>
      <c r="C302" s="2" t="s">
        <v>4832</v>
      </c>
      <c r="D302" s="3" t="s">
        <v>4368</v>
      </c>
      <c r="E302" s="2" t="s">
        <v>4270</v>
      </c>
      <c r="F302" s="40">
        <v>22.36</v>
      </c>
      <c r="G302" s="40">
        <v>2</v>
      </c>
      <c r="H302" s="41">
        <v>44.72</v>
      </c>
    </row>
    <row r="303" spans="1:8" ht="19.95" customHeight="1" x14ac:dyDescent="0.3">
      <c r="A303" s="6" t="s">
        <v>4829</v>
      </c>
      <c r="B303" s="7" t="s">
        <v>4577</v>
      </c>
      <c r="C303" s="6" t="s">
        <v>4832</v>
      </c>
      <c r="D303" s="7" t="s">
        <v>4368</v>
      </c>
      <c r="E303" s="6" t="s">
        <v>5958</v>
      </c>
      <c r="F303" s="42">
        <v>16.38</v>
      </c>
      <c r="G303" s="42">
        <v>2</v>
      </c>
      <c r="H303" s="43">
        <v>32.76</v>
      </c>
    </row>
    <row r="304" spans="1:8" ht="19.95" customHeight="1" x14ac:dyDescent="0.3">
      <c r="A304" s="2" t="s">
        <v>4829</v>
      </c>
      <c r="B304" s="3" t="s">
        <v>4577</v>
      </c>
      <c r="C304" s="2" t="s">
        <v>4832</v>
      </c>
      <c r="D304" s="3" t="s">
        <v>4368</v>
      </c>
      <c r="E304" s="2" t="s">
        <v>5958</v>
      </c>
      <c r="F304" s="40">
        <v>16.38</v>
      </c>
      <c r="G304" s="40">
        <v>2</v>
      </c>
      <c r="H304" s="41">
        <v>32.76</v>
      </c>
    </row>
    <row r="305" spans="1:8" ht="19.95" customHeight="1" x14ac:dyDescent="0.3">
      <c r="A305" s="6" t="s">
        <v>4829</v>
      </c>
      <c r="B305" s="7" t="s">
        <v>4577</v>
      </c>
      <c r="C305" s="6" t="s">
        <v>4832</v>
      </c>
      <c r="D305" s="7" t="s">
        <v>4368</v>
      </c>
      <c r="E305" s="6" t="s">
        <v>4270</v>
      </c>
      <c r="F305" s="42">
        <v>22.36</v>
      </c>
      <c r="G305" s="42">
        <v>2</v>
      </c>
      <c r="H305" s="43">
        <v>44.72</v>
      </c>
    </row>
    <row r="306" spans="1:8" ht="19.95" customHeight="1" x14ac:dyDescent="0.3">
      <c r="A306" s="2" t="s">
        <v>4829</v>
      </c>
      <c r="B306" s="3" t="s">
        <v>4577</v>
      </c>
      <c r="C306" s="2" t="s">
        <v>4832</v>
      </c>
      <c r="D306" s="3" t="s">
        <v>4368</v>
      </c>
      <c r="E306" s="2" t="s">
        <v>5957</v>
      </c>
      <c r="F306" s="40">
        <v>16.38</v>
      </c>
      <c r="G306" s="40">
        <v>2</v>
      </c>
      <c r="H306" s="41">
        <v>32.76</v>
      </c>
    </row>
    <row r="307" spans="1:8" ht="19.95" customHeight="1" x14ac:dyDescent="0.3">
      <c r="A307" s="6" t="s">
        <v>4829</v>
      </c>
      <c r="B307" s="7" t="s">
        <v>4577</v>
      </c>
      <c r="C307" s="6" t="s">
        <v>4832</v>
      </c>
      <c r="D307" s="7" t="s">
        <v>4368</v>
      </c>
      <c r="E307" s="6" t="s">
        <v>5957</v>
      </c>
      <c r="F307" s="42">
        <v>16.38</v>
      </c>
      <c r="G307" s="42">
        <v>2</v>
      </c>
      <c r="H307" s="43">
        <v>32.76</v>
      </c>
    </row>
    <row r="308" spans="1:8" ht="19.95" customHeight="1" x14ac:dyDescent="0.3">
      <c r="A308" s="2" t="s">
        <v>4829</v>
      </c>
      <c r="B308" s="3" t="s">
        <v>4577</v>
      </c>
      <c r="C308" s="2" t="s">
        <v>4832</v>
      </c>
      <c r="D308" s="3" t="s">
        <v>4368</v>
      </c>
      <c r="E308" s="2" t="s">
        <v>4270</v>
      </c>
      <c r="F308" s="40">
        <v>22.36</v>
      </c>
      <c r="G308" s="40">
        <v>2</v>
      </c>
      <c r="H308" s="41">
        <v>44.72</v>
      </c>
    </row>
    <row r="309" spans="1:8" ht="19.95" customHeight="1" x14ac:dyDescent="0.3">
      <c r="A309" s="6" t="s">
        <v>4829</v>
      </c>
      <c r="B309" s="7" t="s">
        <v>4577</v>
      </c>
      <c r="C309" s="6" t="s">
        <v>4832</v>
      </c>
      <c r="D309" s="7" t="s">
        <v>4368</v>
      </c>
      <c r="E309" s="6" t="s">
        <v>5958</v>
      </c>
      <c r="F309" s="42">
        <v>16.38</v>
      </c>
      <c r="G309" s="42">
        <v>2</v>
      </c>
      <c r="H309" s="43">
        <v>32.76</v>
      </c>
    </row>
    <row r="310" spans="1:8" ht="19.95" customHeight="1" x14ac:dyDescent="0.3">
      <c r="A310" s="2" t="s">
        <v>4829</v>
      </c>
      <c r="B310" s="3" t="s">
        <v>4577</v>
      </c>
      <c r="C310" s="2" t="s">
        <v>4832</v>
      </c>
      <c r="D310" s="3" t="s">
        <v>4368</v>
      </c>
      <c r="E310" s="2" t="s">
        <v>5958</v>
      </c>
      <c r="F310" s="40">
        <v>16.38</v>
      </c>
      <c r="G310" s="40">
        <v>2</v>
      </c>
      <c r="H310" s="41">
        <v>32.76</v>
      </c>
    </row>
    <row r="311" spans="1:8" ht="19.95" customHeight="1" x14ac:dyDescent="0.3">
      <c r="A311" s="6" t="s">
        <v>4829</v>
      </c>
      <c r="B311" s="7" t="s">
        <v>4577</v>
      </c>
      <c r="C311" s="6" t="s">
        <v>4832</v>
      </c>
      <c r="D311" s="7" t="s">
        <v>4368</v>
      </c>
      <c r="E311" s="6" t="s">
        <v>4270</v>
      </c>
      <c r="F311" s="42">
        <v>22.36</v>
      </c>
      <c r="G311" s="42">
        <v>2</v>
      </c>
      <c r="H311" s="43">
        <v>44.72</v>
      </c>
    </row>
    <row r="312" spans="1:8" ht="19.95" customHeight="1" x14ac:dyDescent="0.3">
      <c r="A312" s="2" t="s">
        <v>4829</v>
      </c>
      <c r="B312" s="3" t="s">
        <v>4577</v>
      </c>
      <c r="C312" s="2" t="s">
        <v>4832</v>
      </c>
      <c r="D312" s="3" t="s">
        <v>4368</v>
      </c>
      <c r="E312" s="2" t="s">
        <v>5958</v>
      </c>
      <c r="F312" s="40">
        <v>16.38</v>
      </c>
      <c r="G312" s="40">
        <v>2</v>
      </c>
      <c r="H312" s="41">
        <v>32.76</v>
      </c>
    </row>
    <row r="313" spans="1:8" ht="19.95" customHeight="1" x14ac:dyDescent="0.3">
      <c r="A313" s="6" t="s">
        <v>4829</v>
      </c>
      <c r="B313" s="7" t="s">
        <v>4577</v>
      </c>
      <c r="C313" s="6" t="s">
        <v>4832</v>
      </c>
      <c r="D313" s="7" t="s">
        <v>4368</v>
      </c>
      <c r="E313" s="6" t="s">
        <v>5958</v>
      </c>
      <c r="F313" s="42">
        <v>16.38</v>
      </c>
      <c r="G313" s="42">
        <v>2</v>
      </c>
      <c r="H313" s="43">
        <v>32.76</v>
      </c>
    </row>
    <row r="314" spans="1:8" ht="19.95" customHeight="1" x14ac:dyDescent="0.3">
      <c r="A314" s="2" t="s">
        <v>4829</v>
      </c>
      <c r="B314" s="3" t="s">
        <v>4577</v>
      </c>
      <c r="C314" s="2" t="s">
        <v>4832</v>
      </c>
      <c r="D314" s="3" t="s">
        <v>4368</v>
      </c>
      <c r="E314" s="2" t="s">
        <v>4270</v>
      </c>
      <c r="F314" s="40">
        <v>22.36</v>
      </c>
      <c r="G314" s="40">
        <v>2</v>
      </c>
      <c r="H314" s="41">
        <v>44.72</v>
      </c>
    </row>
    <row r="315" spans="1:8" ht="19.95" customHeight="1" x14ac:dyDescent="0.3">
      <c r="A315" s="6" t="s">
        <v>4829</v>
      </c>
      <c r="B315" s="7" t="s">
        <v>4577</v>
      </c>
      <c r="C315" s="6" t="s">
        <v>4833</v>
      </c>
      <c r="D315" s="7" t="s">
        <v>4368</v>
      </c>
      <c r="E315" s="6" t="s">
        <v>5958</v>
      </c>
      <c r="F315" s="42">
        <v>16.38</v>
      </c>
      <c r="G315" s="42">
        <v>2</v>
      </c>
      <c r="H315" s="43">
        <v>32.76</v>
      </c>
    </row>
    <row r="316" spans="1:8" ht="19.95" customHeight="1" x14ac:dyDescent="0.3">
      <c r="A316" s="2" t="s">
        <v>4829</v>
      </c>
      <c r="B316" s="3" t="s">
        <v>4577</v>
      </c>
      <c r="C316" s="2" t="s">
        <v>4832</v>
      </c>
      <c r="D316" s="3" t="s">
        <v>4368</v>
      </c>
      <c r="E316" s="2" t="s">
        <v>5958</v>
      </c>
      <c r="F316" s="40">
        <v>16.38</v>
      </c>
      <c r="G316" s="40">
        <v>2</v>
      </c>
      <c r="H316" s="41">
        <v>32.76</v>
      </c>
    </row>
    <row r="317" spans="1:8" ht="19.95" customHeight="1" x14ac:dyDescent="0.3">
      <c r="A317" s="6" t="s">
        <v>4829</v>
      </c>
      <c r="B317" s="7" t="s">
        <v>4577</v>
      </c>
      <c r="C317" s="6" t="s">
        <v>4832</v>
      </c>
      <c r="D317" s="7" t="s">
        <v>4368</v>
      </c>
      <c r="E317" s="6" t="s">
        <v>4270</v>
      </c>
      <c r="F317" s="42">
        <v>22.36</v>
      </c>
      <c r="G317" s="42">
        <v>2</v>
      </c>
      <c r="H317" s="43">
        <v>44.72</v>
      </c>
    </row>
    <row r="318" spans="1:8" ht="19.95" customHeight="1" x14ac:dyDescent="0.3">
      <c r="A318" s="2" t="s">
        <v>4829</v>
      </c>
      <c r="B318" s="3" t="s">
        <v>4607</v>
      </c>
      <c r="C318" s="2" t="s">
        <v>4838</v>
      </c>
      <c r="D318" s="3" t="s">
        <v>4368</v>
      </c>
      <c r="E318" s="2" t="s">
        <v>4270</v>
      </c>
      <c r="F318" s="40">
        <v>2.73</v>
      </c>
      <c r="G318" s="40">
        <v>2</v>
      </c>
      <c r="H318" s="41">
        <v>5.46</v>
      </c>
    </row>
    <row r="319" spans="1:8" ht="19.95" customHeight="1" x14ac:dyDescent="0.3">
      <c r="A319" s="6" t="s">
        <v>4829</v>
      </c>
      <c r="B319" s="7" t="s">
        <v>4607</v>
      </c>
      <c r="C319" s="6" t="s">
        <v>4838</v>
      </c>
      <c r="D319" s="7" t="s">
        <v>4368</v>
      </c>
      <c r="E319" s="6" t="s">
        <v>5880</v>
      </c>
      <c r="F319" s="42">
        <v>8.9700000000000006</v>
      </c>
      <c r="G319" s="42">
        <v>2</v>
      </c>
      <c r="H319" s="43">
        <v>17.940000000000001</v>
      </c>
    </row>
    <row r="320" spans="1:8" ht="19.95" customHeight="1" x14ac:dyDescent="0.3">
      <c r="A320" s="2" t="s">
        <v>4829</v>
      </c>
      <c r="B320" s="3" t="s">
        <v>4577</v>
      </c>
      <c r="C320" s="2" t="s">
        <v>4832</v>
      </c>
      <c r="D320" s="3" t="s">
        <v>4368</v>
      </c>
      <c r="E320" s="2" t="s">
        <v>4270</v>
      </c>
      <c r="F320" s="40">
        <v>2.73</v>
      </c>
      <c r="G320" s="40">
        <v>2</v>
      </c>
      <c r="H320" s="41">
        <v>5.46</v>
      </c>
    </row>
    <row r="321" spans="1:8" ht="19.95" customHeight="1" x14ac:dyDescent="0.3">
      <c r="A321" s="6" t="s">
        <v>4829</v>
      </c>
      <c r="B321" s="7" t="s">
        <v>4577</v>
      </c>
      <c r="C321" s="6" t="s">
        <v>4832</v>
      </c>
      <c r="D321" s="7" t="s">
        <v>4368</v>
      </c>
      <c r="E321" s="6" t="s">
        <v>5880</v>
      </c>
      <c r="F321" s="42">
        <v>8.9700000000000006</v>
      </c>
      <c r="G321" s="42">
        <v>2</v>
      </c>
      <c r="H321" s="43">
        <v>17.940000000000001</v>
      </c>
    </row>
    <row r="322" spans="1:8" ht="19.95" customHeight="1" x14ac:dyDescent="0.3">
      <c r="A322" s="2" t="s">
        <v>4829</v>
      </c>
      <c r="B322" s="3" t="s">
        <v>4607</v>
      </c>
      <c r="C322" s="2" t="s">
        <v>4838</v>
      </c>
      <c r="D322" s="3" t="s">
        <v>4368</v>
      </c>
      <c r="E322" s="2" t="s">
        <v>4270</v>
      </c>
      <c r="F322" s="40">
        <v>2.73</v>
      </c>
      <c r="G322" s="40">
        <v>2</v>
      </c>
      <c r="H322" s="41">
        <v>5.46</v>
      </c>
    </row>
    <row r="323" spans="1:8" ht="19.95" customHeight="1" x14ac:dyDescent="0.3">
      <c r="A323" s="6" t="s">
        <v>4829</v>
      </c>
      <c r="B323" s="7" t="s">
        <v>4607</v>
      </c>
      <c r="C323" s="6" t="s">
        <v>4838</v>
      </c>
      <c r="D323" s="7" t="s">
        <v>4368</v>
      </c>
      <c r="E323" s="6" t="s">
        <v>5880</v>
      </c>
      <c r="F323" s="42">
        <v>22.36</v>
      </c>
      <c r="G323" s="42">
        <v>2</v>
      </c>
      <c r="H323" s="43">
        <v>44.72</v>
      </c>
    </row>
    <row r="324" spans="1:8" ht="19.95" customHeight="1" x14ac:dyDescent="0.3">
      <c r="A324" s="2" t="s">
        <v>4829</v>
      </c>
      <c r="B324" s="3" t="s">
        <v>4577</v>
      </c>
      <c r="C324" s="2" t="s">
        <v>4832</v>
      </c>
      <c r="D324" s="3" t="s">
        <v>4368</v>
      </c>
      <c r="E324" s="2" t="s">
        <v>4270</v>
      </c>
      <c r="F324" s="40">
        <v>2.73</v>
      </c>
      <c r="G324" s="40">
        <v>2</v>
      </c>
      <c r="H324" s="41">
        <v>5.46</v>
      </c>
    </row>
    <row r="325" spans="1:8" ht="19.95" customHeight="1" x14ac:dyDescent="0.3">
      <c r="A325" s="6" t="s">
        <v>4829</v>
      </c>
      <c r="B325" s="7" t="s">
        <v>4577</v>
      </c>
      <c r="C325" s="6" t="s">
        <v>4832</v>
      </c>
      <c r="D325" s="7" t="s">
        <v>4368</v>
      </c>
      <c r="E325" s="6" t="s">
        <v>5880</v>
      </c>
      <c r="F325" s="42">
        <v>22.36</v>
      </c>
      <c r="G325" s="42">
        <v>2</v>
      </c>
      <c r="H325" s="43">
        <v>44.72</v>
      </c>
    </row>
    <row r="326" spans="1:8" ht="19.95" customHeight="1" x14ac:dyDescent="0.3">
      <c r="A326" s="2" t="s">
        <v>4829</v>
      </c>
      <c r="B326" s="3" t="s">
        <v>4607</v>
      </c>
      <c r="C326" s="2" t="s">
        <v>4838</v>
      </c>
      <c r="D326" s="3" t="s">
        <v>4368</v>
      </c>
      <c r="E326" s="2" t="s">
        <v>4270</v>
      </c>
      <c r="F326" s="40">
        <v>2.73</v>
      </c>
      <c r="G326" s="40">
        <v>2</v>
      </c>
      <c r="H326" s="41">
        <v>5.46</v>
      </c>
    </row>
    <row r="327" spans="1:8" ht="19.95" customHeight="1" x14ac:dyDescent="0.3">
      <c r="A327" s="6" t="s">
        <v>4829</v>
      </c>
      <c r="B327" s="7" t="s">
        <v>4607</v>
      </c>
      <c r="C327" s="6" t="s">
        <v>4838</v>
      </c>
      <c r="D327" s="7" t="s">
        <v>4368</v>
      </c>
      <c r="E327" s="6" t="s">
        <v>5880</v>
      </c>
      <c r="F327" s="42">
        <v>22.36</v>
      </c>
      <c r="G327" s="42">
        <v>2</v>
      </c>
      <c r="H327" s="43">
        <v>44.72</v>
      </c>
    </row>
    <row r="328" spans="1:8" ht="19.95" customHeight="1" x14ac:dyDescent="0.3">
      <c r="A328" s="2" t="s">
        <v>4829</v>
      </c>
      <c r="B328" s="3" t="s">
        <v>4577</v>
      </c>
      <c r="C328" s="2" t="s">
        <v>4832</v>
      </c>
      <c r="D328" s="3" t="s">
        <v>4368</v>
      </c>
      <c r="E328" s="2" t="s">
        <v>4270</v>
      </c>
      <c r="F328" s="40">
        <v>2.73</v>
      </c>
      <c r="G328" s="40">
        <v>2</v>
      </c>
      <c r="H328" s="41">
        <v>5.46</v>
      </c>
    </row>
    <row r="329" spans="1:8" ht="19.95" customHeight="1" x14ac:dyDescent="0.3">
      <c r="A329" s="6" t="s">
        <v>4829</v>
      </c>
      <c r="B329" s="7" t="s">
        <v>4577</v>
      </c>
      <c r="C329" s="6" t="s">
        <v>4832</v>
      </c>
      <c r="D329" s="7" t="s">
        <v>4368</v>
      </c>
      <c r="E329" s="6" t="s">
        <v>5880</v>
      </c>
      <c r="F329" s="42">
        <v>22.36</v>
      </c>
      <c r="G329" s="42">
        <v>2</v>
      </c>
      <c r="H329" s="43">
        <v>44.72</v>
      </c>
    </row>
    <row r="330" spans="1:8" ht="19.95" customHeight="1" x14ac:dyDescent="0.3">
      <c r="A330" s="2" t="s">
        <v>4829</v>
      </c>
      <c r="B330" s="3" t="s">
        <v>4607</v>
      </c>
      <c r="C330" s="2" t="s">
        <v>4838</v>
      </c>
      <c r="D330" s="3" t="s">
        <v>4368</v>
      </c>
      <c r="E330" s="2" t="s">
        <v>4270</v>
      </c>
      <c r="F330" s="40">
        <v>2.73</v>
      </c>
      <c r="G330" s="40">
        <v>2</v>
      </c>
      <c r="H330" s="41">
        <v>5.46</v>
      </c>
    </row>
    <row r="331" spans="1:8" ht="19.95" customHeight="1" x14ac:dyDescent="0.3">
      <c r="A331" s="6" t="s">
        <v>4829</v>
      </c>
      <c r="B331" s="7" t="s">
        <v>4595</v>
      </c>
      <c r="C331" s="6" t="s">
        <v>5959</v>
      </c>
      <c r="D331" s="7" t="s">
        <v>4368</v>
      </c>
      <c r="E331" s="6" t="s">
        <v>4270</v>
      </c>
      <c r="F331" s="42">
        <v>2.73</v>
      </c>
      <c r="G331" s="42">
        <v>2</v>
      </c>
      <c r="H331" s="43">
        <v>5.46</v>
      </c>
    </row>
    <row r="332" spans="1:8" ht="19.95" customHeight="1" x14ac:dyDescent="0.3">
      <c r="A332" s="2" t="s">
        <v>4829</v>
      </c>
      <c r="B332" s="3" t="s">
        <v>4607</v>
      </c>
      <c r="C332" s="2" t="s">
        <v>4838</v>
      </c>
      <c r="D332" s="3" t="s">
        <v>4368</v>
      </c>
      <c r="E332" s="2" t="s">
        <v>4270</v>
      </c>
      <c r="F332" s="40">
        <v>2.73</v>
      </c>
      <c r="G332" s="40">
        <v>2</v>
      </c>
      <c r="H332" s="41">
        <v>5.46</v>
      </c>
    </row>
    <row r="333" spans="1:8" ht="19.95" customHeight="1" x14ac:dyDescent="0.3">
      <c r="A333" s="6" t="s">
        <v>4829</v>
      </c>
      <c r="B333" s="7" t="s">
        <v>4853</v>
      </c>
      <c r="C333" s="6" t="s">
        <v>4854</v>
      </c>
      <c r="D333" s="7" t="s">
        <v>4416</v>
      </c>
      <c r="E333" s="6" t="s">
        <v>5960</v>
      </c>
      <c r="F333" s="42">
        <v>13.52</v>
      </c>
      <c r="G333" s="42">
        <v>2</v>
      </c>
      <c r="H333" s="43">
        <v>27.04</v>
      </c>
    </row>
    <row r="334" spans="1:8" ht="19.95" customHeight="1" x14ac:dyDescent="0.3">
      <c r="A334" s="2" t="s">
        <v>4829</v>
      </c>
      <c r="B334" s="3" t="s">
        <v>5961</v>
      </c>
      <c r="C334" s="2" t="s">
        <v>5962</v>
      </c>
      <c r="D334" s="3" t="s">
        <v>5963</v>
      </c>
      <c r="E334" s="2" t="s">
        <v>5964</v>
      </c>
      <c r="F334" s="40">
        <v>2.73</v>
      </c>
      <c r="G334" s="40">
        <v>2</v>
      </c>
      <c r="H334" s="41">
        <v>5.46</v>
      </c>
    </row>
    <row r="335" spans="1:8" ht="19.95" customHeight="1" x14ac:dyDescent="0.3">
      <c r="A335" s="6" t="s">
        <v>4829</v>
      </c>
      <c r="B335" s="7" t="s">
        <v>4597</v>
      </c>
      <c r="C335" s="6" t="s">
        <v>4834</v>
      </c>
      <c r="D335" s="7" t="s">
        <v>4368</v>
      </c>
      <c r="E335" s="6" t="s">
        <v>4270</v>
      </c>
      <c r="F335" s="42">
        <v>2.73</v>
      </c>
      <c r="G335" s="42">
        <v>2</v>
      </c>
      <c r="H335" s="43">
        <v>5.46</v>
      </c>
    </row>
    <row r="336" spans="1:8" ht="19.95" customHeight="1" x14ac:dyDescent="0.3">
      <c r="A336" s="2" t="s">
        <v>4829</v>
      </c>
      <c r="B336" s="3" t="s">
        <v>4605</v>
      </c>
      <c r="C336" s="2" t="s">
        <v>4835</v>
      </c>
      <c r="D336" s="3" t="s">
        <v>4368</v>
      </c>
      <c r="E336" s="2" t="s">
        <v>5950</v>
      </c>
      <c r="F336" s="40">
        <v>13.52</v>
      </c>
      <c r="G336" s="40">
        <v>2</v>
      </c>
      <c r="H336" s="41">
        <v>27.04</v>
      </c>
    </row>
    <row r="337" spans="1:8" ht="19.95" customHeight="1" x14ac:dyDescent="0.3">
      <c r="A337" s="6" t="s">
        <v>4829</v>
      </c>
      <c r="B337" s="7" t="s">
        <v>4607</v>
      </c>
      <c r="C337" s="6" t="s">
        <v>4838</v>
      </c>
      <c r="D337" s="7" t="s">
        <v>4368</v>
      </c>
      <c r="E337" s="6" t="s">
        <v>5950</v>
      </c>
      <c r="F337" s="42">
        <v>13.52</v>
      </c>
      <c r="G337" s="42">
        <v>2</v>
      </c>
      <c r="H337" s="43">
        <v>27.04</v>
      </c>
    </row>
    <row r="338" spans="1:8" ht="19.95" customHeight="1" x14ac:dyDescent="0.3">
      <c r="A338" s="2" t="s">
        <v>4829</v>
      </c>
      <c r="B338" s="3" t="s">
        <v>4857</v>
      </c>
      <c r="C338" s="2" t="s">
        <v>4858</v>
      </c>
      <c r="D338" s="3" t="s">
        <v>4384</v>
      </c>
      <c r="E338" s="2" t="s">
        <v>4270</v>
      </c>
      <c r="F338" s="40">
        <v>2.73</v>
      </c>
      <c r="G338" s="40">
        <v>2</v>
      </c>
      <c r="H338" s="41">
        <v>5.46</v>
      </c>
    </row>
    <row r="339" spans="1:8" ht="19.95" customHeight="1" x14ac:dyDescent="0.3">
      <c r="A339" s="6" t="s">
        <v>4861</v>
      </c>
      <c r="B339" s="7" t="s">
        <v>4577</v>
      </c>
      <c r="C339" s="6" t="s">
        <v>4832</v>
      </c>
      <c r="D339" s="7" t="s">
        <v>4368</v>
      </c>
      <c r="E339" s="6" t="s">
        <v>5965</v>
      </c>
      <c r="F339" s="42">
        <v>45.76</v>
      </c>
      <c r="G339" s="42">
        <v>2</v>
      </c>
      <c r="H339" s="43">
        <v>91.52</v>
      </c>
    </row>
    <row r="340" spans="1:8" ht="19.95" customHeight="1" x14ac:dyDescent="0.3">
      <c r="A340" s="2" t="s">
        <v>4861</v>
      </c>
      <c r="B340" s="3" t="s">
        <v>4577</v>
      </c>
      <c r="C340" s="2" t="s">
        <v>4832</v>
      </c>
      <c r="D340" s="3" t="s">
        <v>4368</v>
      </c>
      <c r="E340" s="2" t="s">
        <v>4270</v>
      </c>
      <c r="F340" s="40">
        <v>4.42</v>
      </c>
      <c r="G340" s="40">
        <v>2</v>
      </c>
      <c r="H340" s="41">
        <v>8.84</v>
      </c>
    </row>
    <row r="341" spans="1:8" ht="19.95" customHeight="1" x14ac:dyDescent="0.3">
      <c r="A341" s="6" t="s">
        <v>4861</v>
      </c>
      <c r="B341" s="7" t="s">
        <v>4577</v>
      </c>
      <c r="C341" s="6" t="s">
        <v>4832</v>
      </c>
      <c r="D341" s="7" t="s">
        <v>4368</v>
      </c>
      <c r="E341" s="6" t="s">
        <v>5965</v>
      </c>
      <c r="F341" s="42">
        <v>56.55</v>
      </c>
      <c r="G341" s="42">
        <v>2</v>
      </c>
      <c r="H341" s="43">
        <v>113.1</v>
      </c>
    </row>
    <row r="342" spans="1:8" ht="19.95" customHeight="1" x14ac:dyDescent="0.3">
      <c r="A342" s="2" t="s">
        <v>4861</v>
      </c>
      <c r="B342" s="3" t="s">
        <v>4577</v>
      </c>
      <c r="C342" s="2" t="s">
        <v>4832</v>
      </c>
      <c r="D342" s="3" t="s">
        <v>4368</v>
      </c>
      <c r="E342" s="2" t="s">
        <v>4270</v>
      </c>
      <c r="F342" s="40">
        <v>15.21</v>
      </c>
      <c r="G342" s="40">
        <v>2</v>
      </c>
      <c r="H342" s="41">
        <v>30.42</v>
      </c>
    </row>
    <row r="343" spans="1:8" ht="19.95" customHeight="1" x14ac:dyDescent="0.3">
      <c r="A343" s="6" t="s">
        <v>4861</v>
      </c>
      <c r="B343" s="7" t="s">
        <v>4577</v>
      </c>
      <c r="C343" s="6" t="s">
        <v>4832</v>
      </c>
      <c r="D343" s="7" t="s">
        <v>4368</v>
      </c>
      <c r="E343" s="6" t="s">
        <v>4270</v>
      </c>
      <c r="F343" s="42">
        <v>13.52</v>
      </c>
      <c r="G343" s="42">
        <v>2</v>
      </c>
      <c r="H343" s="43">
        <v>27.04</v>
      </c>
    </row>
    <row r="344" spans="1:8" ht="19.95" customHeight="1" x14ac:dyDescent="0.3">
      <c r="A344" s="2" t="s">
        <v>4861</v>
      </c>
      <c r="B344" s="3" t="s">
        <v>4577</v>
      </c>
      <c r="C344" s="2" t="s">
        <v>4832</v>
      </c>
      <c r="D344" s="3" t="s">
        <v>4368</v>
      </c>
      <c r="E344" s="2" t="s">
        <v>4270</v>
      </c>
      <c r="F344" s="40">
        <v>13.52</v>
      </c>
      <c r="G344" s="40">
        <v>2</v>
      </c>
      <c r="H344" s="41">
        <v>27.04</v>
      </c>
    </row>
    <row r="345" spans="1:8" ht="19.95" customHeight="1" x14ac:dyDescent="0.3">
      <c r="A345" s="6" t="s">
        <v>4861</v>
      </c>
      <c r="B345" s="7" t="s">
        <v>4577</v>
      </c>
      <c r="C345" s="6" t="s">
        <v>4832</v>
      </c>
      <c r="D345" s="7" t="s">
        <v>4368</v>
      </c>
      <c r="E345" s="6" t="s">
        <v>5966</v>
      </c>
      <c r="F345" s="42">
        <v>37.700000000000003</v>
      </c>
      <c r="G345" s="42">
        <v>2</v>
      </c>
      <c r="H345" s="43">
        <v>75.400000000000006</v>
      </c>
    </row>
    <row r="346" spans="1:8" ht="19.95" customHeight="1" x14ac:dyDescent="0.3">
      <c r="A346" s="2" t="s">
        <v>4861</v>
      </c>
      <c r="B346" s="3" t="s">
        <v>4577</v>
      </c>
      <c r="C346" s="2" t="s">
        <v>4832</v>
      </c>
      <c r="D346" s="3" t="s">
        <v>4368</v>
      </c>
      <c r="E346" s="2" t="s">
        <v>5966</v>
      </c>
      <c r="F346" s="40">
        <v>37.700000000000003</v>
      </c>
      <c r="G346" s="40">
        <v>2</v>
      </c>
      <c r="H346" s="41">
        <v>75.400000000000006</v>
      </c>
    </row>
    <row r="347" spans="1:8" ht="19.95" customHeight="1" x14ac:dyDescent="0.3">
      <c r="A347" s="6" t="s">
        <v>4861</v>
      </c>
      <c r="B347" s="7" t="s">
        <v>4872</v>
      </c>
      <c r="C347" s="6" t="s">
        <v>4873</v>
      </c>
      <c r="D347" s="7" t="s">
        <v>1003</v>
      </c>
      <c r="E347" s="6" t="s">
        <v>5894</v>
      </c>
      <c r="F347" s="42">
        <v>2.73</v>
      </c>
      <c r="G347" s="42">
        <v>2</v>
      </c>
      <c r="H347" s="43">
        <v>5.46</v>
      </c>
    </row>
    <row r="348" spans="1:8" ht="19.95" customHeight="1" x14ac:dyDescent="0.3">
      <c r="A348" s="2" t="s">
        <v>4861</v>
      </c>
      <c r="B348" s="3" t="s">
        <v>4872</v>
      </c>
      <c r="C348" s="2" t="s">
        <v>4873</v>
      </c>
      <c r="D348" s="3" t="s">
        <v>1003</v>
      </c>
      <c r="E348" s="2" t="s">
        <v>5967</v>
      </c>
      <c r="F348" s="40">
        <v>8.06</v>
      </c>
      <c r="G348" s="40">
        <v>2</v>
      </c>
      <c r="H348" s="41">
        <v>16.12</v>
      </c>
    </row>
    <row r="349" spans="1:8" ht="19.95" customHeight="1" x14ac:dyDescent="0.3">
      <c r="A349" s="6" t="s">
        <v>4861</v>
      </c>
      <c r="B349" s="7" t="s">
        <v>4872</v>
      </c>
      <c r="C349" s="6" t="s">
        <v>4873</v>
      </c>
      <c r="D349" s="7" t="s">
        <v>1003</v>
      </c>
      <c r="E349" s="6" t="s">
        <v>5880</v>
      </c>
      <c r="F349" s="42">
        <v>2.73</v>
      </c>
      <c r="G349" s="42">
        <v>2</v>
      </c>
      <c r="H349" s="43">
        <v>5.46</v>
      </c>
    </row>
    <row r="350" spans="1:8" ht="19.95" customHeight="1" x14ac:dyDescent="0.3">
      <c r="A350" s="2" t="s">
        <v>4861</v>
      </c>
      <c r="B350" s="3" t="s">
        <v>4872</v>
      </c>
      <c r="C350" s="2" t="s">
        <v>4873</v>
      </c>
      <c r="D350" s="3" t="s">
        <v>1003</v>
      </c>
      <c r="E350" s="2" t="s">
        <v>5967</v>
      </c>
      <c r="F350" s="40">
        <v>8.06</v>
      </c>
      <c r="G350" s="40">
        <v>2</v>
      </c>
      <c r="H350" s="41">
        <v>16.12</v>
      </c>
    </row>
    <row r="351" spans="1:8" ht="19.95" customHeight="1" x14ac:dyDescent="0.3">
      <c r="A351" s="6" t="s">
        <v>4861</v>
      </c>
      <c r="B351" s="7" t="s">
        <v>4874</v>
      </c>
      <c r="C351" s="6" t="s">
        <v>4875</v>
      </c>
      <c r="D351" s="7" t="s">
        <v>1003</v>
      </c>
      <c r="E351" s="6" t="s">
        <v>5894</v>
      </c>
      <c r="F351" s="42">
        <v>2.73</v>
      </c>
      <c r="G351" s="42">
        <v>2</v>
      </c>
      <c r="H351" s="43">
        <v>5.46</v>
      </c>
    </row>
    <row r="352" spans="1:8" ht="19.95" customHeight="1" x14ac:dyDescent="0.3">
      <c r="A352" s="2" t="s">
        <v>4861</v>
      </c>
      <c r="B352" s="3" t="s">
        <v>4874</v>
      </c>
      <c r="C352" s="2" t="s">
        <v>4875</v>
      </c>
      <c r="D352" s="3" t="s">
        <v>1003</v>
      </c>
      <c r="E352" s="2" t="s">
        <v>5967</v>
      </c>
      <c r="F352" s="40">
        <v>8.06</v>
      </c>
      <c r="G352" s="40">
        <v>2</v>
      </c>
      <c r="H352" s="41">
        <v>16.12</v>
      </c>
    </row>
    <row r="353" spans="1:8" ht="19.95" customHeight="1" x14ac:dyDescent="0.3">
      <c r="A353" s="6" t="s">
        <v>4861</v>
      </c>
      <c r="B353" s="7" t="s">
        <v>4874</v>
      </c>
      <c r="C353" s="6" t="s">
        <v>4875</v>
      </c>
      <c r="D353" s="7" t="s">
        <v>4409</v>
      </c>
      <c r="E353" s="6" t="s">
        <v>5880</v>
      </c>
      <c r="F353" s="42">
        <v>2.73</v>
      </c>
      <c r="G353" s="42">
        <v>2</v>
      </c>
      <c r="H353" s="43">
        <v>5.46</v>
      </c>
    </row>
    <row r="354" spans="1:8" ht="19.95" customHeight="1" x14ac:dyDescent="0.3">
      <c r="A354" s="2" t="s">
        <v>4861</v>
      </c>
      <c r="B354" s="3" t="s">
        <v>4874</v>
      </c>
      <c r="C354" s="2" t="s">
        <v>4875</v>
      </c>
      <c r="D354" s="3" t="s">
        <v>4409</v>
      </c>
      <c r="E354" s="2" t="s">
        <v>5967</v>
      </c>
      <c r="F354" s="40">
        <v>8.06</v>
      </c>
      <c r="G354" s="40">
        <v>2</v>
      </c>
      <c r="H354" s="41">
        <v>16.12</v>
      </c>
    </row>
    <row r="355" spans="1:8" ht="19.95" customHeight="1" x14ac:dyDescent="0.3">
      <c r="A355" s="6" t="s">
        <v>4861</v>
      </c>
      <c r="B355" s="7" t="s">
        <v>4876</v>
      </c>
      <c r="C355" s="6" t="s">
        <v>4873</v>
      </c>
      <c r="D355" s="7" t="s">
        <v>4409</v>
      </c>
      <c r="E355" s="6" t="s">
        <v>5880</v>
      </c>
      <c r="F355" s="42">
        <v>2.73</v>
      </c>
      <c r="G355" s="42">
        <v>2</v>
      </c>
      <c r="H355" s="43">
        <v>5.46</v>
      </c>
    </row>
    <row r="356" spans="1:8" ht="19.95" customHeight="1" x14ac:dyDescent="0.3">
      <c r="A356" s="2" t="s">
        <v>4861</v>
      </c>
      <c r="B356" s="3" t="s">
        <v>4876</v>
      </c>
      <c r="C356" s="2" t="s">
        <v>4873</v>
      </c>
      <c r="D356" s="3" t="s">
        <v>4409</v>
      </c>
      <c r="E356" s="2" t="s">
        <v>5967</v>
      </c>
      <c r="F356" s="40">
        <v>8.06</v>
      </c>
      <c r="G356" s="40">
        <v>2</v>
      </c>
      <c r="H356" s="41">
        <v>16.12</v>
      </c>
    </row>
    <row r="357" spans="1:8" ht="19.95" customHeight="1" x14ac:dyDescent="0.3">
      <c r="A357" s="6" t="s">
        <v>4861</v>
      </c>
      <c r="B357" s="7" t="s">
        <v>4876</v>
      </c>
      <c r="C357" s="6" t="s">
        <v>4873</v>
      </c>
      <c r="D357" s="7" t="s">
        <v>4409</v>
      </c>
      <c r="E357" s="6" t="s">
        <v>5968</v>
      </c>
      <c r="F357" s="42">
        <v>13.52</v>
      </c>
      <c r="G357" s="42">
        <v>2</v>
      </c>
      <c r="H357" s="43">
        <v>27.04</v>
      </c>
    </row>
    <row r="358" spans="1:8" ht="19.95" customHeight="1" x14ac:dyDescent="0.3">
      <c r="A358" s="2" t="s">
        <v>4861</v>
      </c>
      <c r="B358" s="3" t="s">
        <v>4876</v>
      </c>
      <c r="C358" s="2" t="s">
        <v>4873</v>
      </c>
      <c r="D358" s="3" t="s">
        <v>4409</v>
      </c>
      <c r="E358" s="2" t="s">
        <v>5969</v>
      </c>
      <c r="F358" s="40">
        <v>8.06</v>
      </c>
      <c r="G358" s="40">
        <v>2</v>
      </c>
      <c r="H358" s="41">
        <v>16.12</v>
      </c>
    </row>
    <row r="359" spans="1:8" ht="19.95" customHeight="1" x14ac:dyDescent="0.3">
      <c r="A359" s="6" t="s">
        <v>4861</v>
      </c>
      <c r="B359" s="7" t="s">
        <v>4876</v>
      </c>
      <c r="C359" s="6" t="s">
        <v>4873</v>
      </c>
      <c r="D359" s="7" t="s">
        <v>4409</v>
      </c>
      <c r="E359" s="6" t="s">
        <v>5880</v>
      </c>
      <c r="F359" s="42">
        <v>2.73</v>
      </c>
      <c r="G359" s="42">
        <v>2</v>
      </c>
      <c r="H359" s="43">
        <v>5.46</v>
      </c>
    </row>
    <row r="360" spans="1:8" ht="19.95" customHeight="1" x14ac:dyDescent="0.3">
      <c r="A360" s="2" t="s">
        <v>4861</v>
      </c>
      <c r="B360" s="3" t="s">
        <v>4876</v>
      </c>
      <c r="C360" s="2" t="s">
        <v>4873</v>
      </c>
      <c r="D360" s="3" t="s">
        <v>4409</v>
      </c>
      <c r="E360" s="2" t="s">
        <v>5967</v>
      </c>
      <c r="F360" s="40">
        <v>8.06</v>
      </c>
      <c r="G360" s="40">
        <v>2</v>
      </c>
      <c r="H360" s="41">
        <v>16.12</v>
      </c>
    </row>
    <row r="361" spans="1:8" ht="19.95" customHeight="1" x14ac:dyDescent="0.3">
      <c r="A361" s="6" t="s">
        <v>4861</v>
      </c>
      <c r="B361" s="7" t="s">
        <v>4876</v>
      </c>
      <c r="C361" s="6" t="s">
        <v>4873</v>
      </c>
      <c r="D361" s="7" t="s">
        <v>4409</v>
      </c>
      <c r="E361" s="6" t="s">
        <v>5968</v>
      </c>
      <c r="F361" s="42">
        <v>13.52</v>
      </c>
      <c r="G361" s="42">
        <v>2</v>
      </c>
      <c r="H361" s="43">
        <v>27.04</v>
      </c>
    </row>
    <row r="362" spans="1:8" ht="19.95" customHeight="1" x14ac:dyDescent="0.3">
      <c r="A362" s="2" t="s">
        <v>4861</v>
      </c>
      <c r="B362" s="3" t="s">
        <v>4876</v>
      </c>
      <c r="C362" s="2" t="s">
        <v>4873</v>
      </c>
      <c r="D362" s="3" t="s">
        <v>4409</v>
      </c>
      <c r="E362" s="2" t="s">
        <v>5969</v>
      </c>
      <c r="F362" s="40">
        <v>8.06</v>
      </c>
      <c r="G362" s="40">
        <v>2</v>
      </c>
      <c r="H362" s="41">
        <v>16.12</v>
      </c>
    </row>
    <row r="363" spans="1:8" ht="19.95" customHeight="1" x14ac:dyDescent="0.3">
      <c r="A363" s="6" t="s">
        <v>4861</v>
      </c>
      <c r="B363" s="7" t="s">
        <v>4877</v>
      </c>
      <c r="C363" s="6" t="s">
        <v>4875</v>
      </c>
      <c r="D363" s="7" t="s">
        <v>4409</v>
      </c>
      <c r="E363" s="6" t="s">
        <v>5880</v>
      </c>
      <c r="F363" s="42">
        <v>2.73</v>
      </c>
      <c r="G363" s="42">
        <v>2</v>
      </c>
      <c r="H363" s="43">
        <v>5.46</v>
      </c>
    </row>
    <row r="364" spans="1:8" ht="19.95" customHeight="1" x14ac:dyDescent="0.3">
      <c r="A364" s="2" t="s">
        <v>4861</v>
      </c>
      <c r="B364" s="3" t="s">
        <v>4877</v>
      </c>
      <c r="C364" s="2" t="s">
        <v>4875</v>
      </c>
      <c r="D364" s="3" t="s">
        <v>4409</v>
      </c>
      <c r="E364" s="2" t="s">
        <v>5967</v>
      </c>
      <c r="F364" s="40">
        <v>8.06</v>
      </c>
      <c r="G364" s="40">
        <v>2</v>
      </c>
      <c r="H364" s="41">
        <v>16.12</v>
      </c>
    </row>
    <row r="365" spans="1:8" ht="19.95" customHeight="1" x14ac:dyDescent="0.3">
      <c r="A365" s="6" t="s">
        <v>4861</v>
      </c>
      <c r="B365" s="7" t="s">
        <v>4877</v>
      </c>
      <c r="C365" s="6" t="s">
        <v>4875</v>
      </c>
      <c r="D365" s="7" t="s">
        <v>4409</v>
      </c>
      <c r="E365" s="6" t="s">
        <v>5968</v>
      </c>
      <c r="F365" s="42">
        <v>13.52</v>
      </c>
      <c r="G365" s="42">
        <v>2</v>
      </c>
      <c r="H365" s="43">
        <v>27.04</v>
      </c>
    </row>
    <row r="366" spans="1:8" ht="19.95" customHeight="1" x14ac:dyDescent="0.3">
      <c r="A366" s="2" t="s">
        <v>4861</v>
      </c>
      <c r="B366" s="3" t="s">
        <v>4877</v>
      </c>
      <c r="C366" s="2" t="s">
        <v>4875</v>
      </c>
      <c r="D366" s="3" t="s">
        <v>4409</v>
      </c>
      <c r="E366" s="2" t="s">
        <v>5969</v>
      </c>
      <c r="F366" s="40">
        <v>8.06</v>
      </c>
      <c r="G366" s="40">
        <v>2</v>
      </c>
      <c r="H366" s="41">
        <v>16.12</v>
      </c>
    </row>
    <row r="367" spans="1:8" ht="19.95" customHeight="1" x14ac:dyDescent="0.3">
      <c r="A367" s="6" t="s">
        <v>4861</v>
      </c>
      <c r="B367" s="7" t="s">
        <v>4877</v>
      </c>
      <c r="C367" s="6" t="s">
        <v>4875</v>
      </c>
      <c r="D367" s="7" t="s">
        <v>4409</v>
      </c>
      <c r="E367" s="6" t="s">
        <v>5880</v>
      </c>
      <c r="F367" s="42">
        <v>2.73</v>
      </c>
      <c r="G367" s="42">
        <v>2</v>
      </c>
      <c r="H367" s="43">
        <v>5.46</v>
      </c>
    </row>
    <row r="368" spans="1:8" ht="19.95" customHeight="1" x14ac:dyDescent="0.3">
      <c r="A368" s="2" t="s">
        <v>4861</v>
      </c>
      <c r="B368" s="3" t="s">
        <v>4877</v>
      </c>
      <c r="C368" s="2" t="s">
        <v>4875</v>
      </c>
      <c r="D368" s="3" t="s">
        <v>4409</v>
      </c>
      <c r="E368" s="2" t="s">
        <v>5967</v>
      </c>
      <c r="F368" s="40">
        <v>8.06</v>
      </c>
      <c r="G368" s="40">
        <v>2</v>
      </c>
      <c r="H368" s="41">
        <v>16.12</v>
      </c>
    </row>
    <row r="369" spans="1:8" ht="19.95" customHeight="1" x14ac:dyDescent="0.3">
      <c r="A369" s="6" t="s">
        <v>4861</v>
      </c>
      <c r="B369" s="7" t="s">
        <v>4877</v>
      </c>
      <c r="C369" s="6" t="s">
        <v>4875</v>
      </c>
      <c r="D369" s="7" t="s">
        <v>4409</v>
      </c>
      <c r="E369" s="6" t="s">
        <v>5968</v>
      </c>
      <c r="F369" s="42">
        <v>13.52</v>
      </c>
      <c r="G369" s="42">
        <v>2</v>
      </c>
      <c r="H369" s="43">
        <v>27.04</v>
      </c>
    </row>
    <row r="370" spans="1:8" ht="19.95" customHeight="1" x14ac:dyDescent="0.3">
      <c r="A370" s="2" t="s">
        <v>4861</v>
      </c>
      <c r="B370" s="3" t="s">
        <v>4877</v>
      </c>
      <c r="C370" s="2" t="s">
        <v>4875</v>
      </c>
      <c r="D370" s="3" t="s">
        <v>4409</v>
      </c>
      <c r="E370" s="2" t="s">
        <v>5969</v>
      </c>
      <c r="F370" s="40">
        <v>8.06</v>
      </c>
      <c r="G370" s="40">
        <v>2</v>
      </c>
      <c r="H370" s="41">
        <v>16.12</v>
      </c>
    </row>
    <row r="371" spans="1:8" ht="19.95" customHeight="1" x14ac:dyDescent="0.3">
      <c r="A371" s="6" t="s">
        <v>4861</v>
      </c>
      <c r="B371" s="7" t="s">
        <v>4878</v>
      </c>
      <c r="C371" s="6" t="s">
        <v>4873</v>
      </c>
      <c r="D371" s="7" t="s">
        <v>4409</v>
      </c>
      <c r="E371" s="6" t="s">
        <v>5880</v>
      </c>
      <c r="F371" s="42">
        <v>2.73</v>
      </c>
      <c r="G371" s="42">
        <v>2</v>
      </c>
      <c r="H371" s="43">
        <v>5.46</v>
      </c>
    </row>
    <row r="372" spans="1:8" ht="19.95" customHeight="1" x14ac:dyDescent="0.3">
      <c r="A372" s="2" t="s">
        <v>4861</v>
      </c>
      <c r="B372" s="3" t="s">
        <v>4878</v>
      </c>
      <c r="C372" s="2" t="s">
        <v>4873</v>
      </c>
      <c r="D372" s="3" t="s">
        <v>4409</v>
      </c>
      <c r="E372" s="2" t="s">
        <v>5967</v>
      </c>
      <c r="F372" s="40">
        <v>8.06</v>
      </c>
      <c r="G372" s="40">
        <v>2</v>
      </c>
      <c r="H372" s="41">
        <v>16.12</v>
      </c>
    </row>
    <row r="373" spans="1:8" ht="19.95" customHeight="1" x14ac:dyDescent="0.3">
      <c r="A373" s="6" t="s">
        <v>4861</v>
      </c>
      <c r="B373" s="7" t="s">
        <v>4878</v>
      </c>
      <c r="C373" s="6" t="s">
        <v>4873</v>
      </c>
      <c r="D373" s="7" t="s">
        <v>4409</v>
      </c>
      <c r="E373" s="6" t="s">
        <v>5970</v>
      </c>
      <c r="F373" s="42">
        <v>33.15</v>
      </c>
      <c r="G373" s="42">
        <v>2</v>
      </c>
      <c r="H373" s="43">
        <v>66.3</v>
      </c>
    </row>
    <row r="374" spans="1:8" ht="19.95" customHeight="1" x14ac:dyDescent="0.3">
      <c r="A374" s="2" t="s">
        <v>4861</v>
      </c>
      <c r="B374" s="3" t="s">
        <v>4878</v>
      </c>
      <c r="C374" s="2" t="s">
        <v>4873</v>
      </c>
      <c r="D374" s="3" t="s">
        <v>4409</v>
      </c>
      <c r="E374" s="2" t="s">
        <v>5969</v>
      </c>
      <c r="F374" s="40">
        <v>8.06</v>
      </c>
      <c r="G374" s="40">
        <v>2</v>
      </c>
      <c r="H374" s="41">
        <v>16.12</v>
      </c>
    </row>
    <row r="375" spans="1:8" ht="19.95" customHeight="1" x14ac:dyDescent="0.3">
      <c r="A375" s="6" t="s">
        <v>4861</v>
      </c>
      <c r="B375" s="7" t="s">
        <v>4878</v>
      </c>
      <c r="C375" s="6" t="s">
        <v>4873</v>
      </c>
      <c r="D375" s="7" t="s">
        <v>4409</v>
      </c>
      <c r="E375" s="6" t="s">
        <v>5880</v>
      </c>
      <c r="F375" s="42">
        <v>2.73</v>
      </c>
      <c r="G375" s="42">
        <v>2</v>
      </c>
      <c r="H375" s="43">
        <v>5.46</v>
      </c>
    </row>
    <row r="376" spans="1:8" ht="19.95" customHeight="1" x14ac:dyDescent="0.3">
      <c r="A376" s="2" t="s">
        <v>4861</v>
      </c>
      <c r="B376" s="3" t="s">
        <v>4878</v>
      </c>
      <c r="C376" s="2" t="s">
        <v>4873</v>
      </c>
      <c r="D376" s="3" t="s">
        <v>4409</v>
      </c>
      <c r="E376" s="2" t="s">
        <v>5967</v>
      </c>
      <c r="F376" s="40">
        <v>8.06</v>
      </c>
      <c r="G376" s="40">
        <v>2</v>
      </c>
      <c r="H376" s="41">
        <v>16.12</v>
      </c>
    </row>
    <row r="377" spans="1:8" ht="19.95" customHeight="1" x14ac:dyDescent="0.3">
      <c r="A377" s="6" t="s">
        <v>4861</v>
      </c>
      <c r="B377" s="7" t="s">
        <v>4878</v>
      </c>
      <c r="C377" s="6" t="s">
        <v>4873</v>
      </c>
      <c r="D377" s="7" t="s">
        <v>4409</v>
      </c>
      <c r="E377" s="6" t="s">
        <v>5970</v>
      </c>
      <c r="F377" s="42">
        <v>33.15</v>
      </c>
      <c r="G377" s="42">
        <v>2</v>
      </c>
      <c r="H377" s="43">
        <v>66.3</v>
      </c>
    </row>
    <row r="378" spans="1:8" ht="19.95" customHeight="1" x14ac:dyDescent="0.3">
      <c r="A378" s="2" t="s">
        <v>4861</v>
      </c>
      <c r="B378" s="3" t="s">
        <v>4878</v>
      </c>
      <c r="C378" s="2" t="s">
        <v>4873</v>
      </c>
      <c r="D378" s="3" t="s">
        <v>4409</v>
      </c>
      <c r="E378" s="2" t="s">
        <v>5969</v>
      </c>
      <c r="F378" s="40">
        <v>8.06</v>
      </c>
      <c r="G378" s="40">
        <v>2</v>
      </c>
      <c r="H378" s="41">
        <v>16.12</v>
      </c>
    </row>
    <row r="379" spans="1:8" ht="19.95" customHeight="1" x14ac:dyDescent="0.3">
      <c r="A379" s="6" t="s">
        <v>4861</v>
      </c>
      <c r="B379" s="7" t="s">
        <v>4879</v>
      </c>
      <c r="C379" s="6" t="s">
        <v>4875</v>
      </c>
      <c r="D379" s="7" t="s">
        <v>1003</v>
      </c>
      <c r="E379" s="6" t="s">
        <v>5880</v>
      </c>
      <c r="F379" s="42">
        <v>2.73</v>
      </c>
      <c r="G379" s="42">
        <v>2</v>
      </c>
      <c r="H379" s="43">
        <v>5.46</v>
      </c>
    </row>
    <row r="380" spans="1:8" ht="19.95" customHeight="1" x14ac:dyDescent="0.3">
      <c r="A380" s="2" t="s">
        <v>4861</v>
      </c>
      <c r="B380" s="3" t="s">
        <v>4879</v>
      </c>
      <c r="C380" s="2" t="s">
        <v>4875</v>
      </c>
      <c r="D380" s="3" t="s">
        <v>1003</v>
      </c>
      <c r="E380" s="2" t="s">
        <v>5967</v>
      </c>
      <c r="F380" s="40">
        <v>8.06</v>
      </c>
      <c r="G380" s="40">
        <v>2</v>
      </c>
      <c r="H380" s="41">
        <v>16.12</v>
      </c>
    </row>
    <row r="381" spans="1:8" ht="19.95" customHeight="1" x14ac:dyDescent="0.3">
      <c r="A381" s="6" t="s">
        <v>4861</v>
      </c>
      <c r="B381" s="7" t="s">
        <v>4879</v>
      </c>
      <c r="C381" s="6" t="s">
        <v>4875</v>
      </c>
      <c r="D381" s="7" t="s">
        <v>1003</v>
      </c>
      <c r="E381" s="6" t="s">
        <v>5970</v>
      </c>
      <c r="F381" s="42">
        <v>33.15</v>
      </c>
      <c r="G381" s="42">
        <v>2</v>
      </c>
      <c r="H381" s="43">
        <v>66.3</v>
      </c>
    </row>
    <row r="382" spans="1:8" ht="19.95" customHeight="1" x14ac:dyDescent="0.3">
      <c r="A382" s="2" t="s">
        <v>4861</v>
      </c>
      <c r="B382" s="3" t="s">
        <v>4879</v>
      </c>
      <c r="C382" s="2" t="s">
        <v>4875</v>
      </c>
      <c r="D382" s="3" t="s">
        <v>1003</v>
      </c>
      <c r="E382" s="2" t="s">
        <v>5969</v>
      </c>
      <c r="F382" s="40">
        <v>8.06</v>
      </c>
      <c r="G382" s="40">
        <v>2</v>
      </c>
      <c r="H382" s="41">
        <v>16.12</v>
      </c>
    </row>
    <row r="383" spans="1:8" ht="19.95" customHeight="1" x14ac:dyDescent="0.3">
      <c r="A383" s="6" t="s">
        <v>4861</v>
      </c>
      <c r="B383" s="7" t="s">
        <v>4879</v>
      </c>
      <c r="C383" s="6" t="s">
        <v>4875</v>
      </c>
      <c r="D383" s="7" t="s">
        <v>4409</v>
      </c>
      <c r="E383" s="6" t="s">
        <v>5880</v>
      </c>
      <c r="F383" s="42">
        <v>2.73</v>
      </c>
      <c r="G383" s="42">
        <v>2</v>
      </c>
      <c r="H383" s="43">
        <v>5.46</v>
      </c>
    </row>
    <row r="384" spans="1:8" ht="19.95" customHeight="1" x14ac:dyDescent="0.3">
      <c r="A384" s="2" t="s">
        <v>4861</v>
      </c>
      <c r="B384" s="3" t="s">
        <v>4879</v>
      </c>
      <c r="C384" s="2" t="s">
        <v>4875</v>
      </c>
      <c r="D384" s="3" t="s">
        <v>4409</v>
      </c>
      <c r="E384" s="2" t="s">
        <v>5967</v>
      </c>
      <c r="F384" s="40">
        <v>8.06</v>
      </c>
      <c r="G384" s="40">
        <v>2</v>
      </c>
      <c r="H384" s="41">
        <v>16.12</v>
      </c>
    </row>
    <row r="385" spans="1:8" ht="19.95" customHeight="1" x14ac:dyDescent="0.3">
      <c r="A385" s="6" t="s">
        <v>4861</v>
      </c>
      <c r="B385" s="7" t="s">
        <v>4879</v>
      </c>
      <c r="C385" s="6" t="s">
        <v>4875</v>
      </c>
      <c r="D385" s="7" t="s">
        <v>4409</v>
      </c>
      <c r="E385" s="6" t="s">
        <v>5970</v>
      </c>
      <c r="F385" s="42">
        <v>33.15</v>
      </c>
      <c r="G385" s="42">
        <v>2</v>
      </c>
      <c r="H385" s="43">
        <v>66.3</v>
      </c>
    </row>
    <row r="386" spans="1:8" ht="19.95" customHeight="1" x14ac:dyDescent="0.3">
      <c r="A386" s="2" t="s">
        <v>4861</v>
      </c>
      <c r="B386" s="3" t="s">
        <v>4879</v>
      </c>
      <c r="C386" s="2" t="s">
        <v>4875</v>
      </c>
      <c r="D386" s="3" t="s">
        <v>4409</v>
      </c>
      <c r="E386" s="2" t="s">
        <v>5969</v>
      </c>
      <c r="F386" s="40">
        <v>8.06</v>
      </c>
      <c r="G386" s="40">
        <v>2</v>
      </c>
      <c r="H386" s="41">
        <v>16.12</v>
      </c>
    </row>
    <row r="387" spans="1:8" ht="19.95" customHeight="1" x14ac:dyDescent="0.3">
      <c r="A387" s="6" t="s">
        <v>4861</v>
      </c>
      <c r="B387" s="7" t="s">
        <v>4880</v>
      </c>
      <c r="C387" s="6" t="s">
        <v>4873</v>
      </c>
      <c r="D387" s="7" t="s">
        <v>4409</v>
      </c>
      <c r="E387" s="6" t="s">
        <v>5880</v>
      </c>
      <c r="F387" s="42">
        <v>2.73</v>
      </c>
      <c r="G387" s="42">
        <v>2</v>
      </c>
      <c r="H387" s="43">
        <v>5.46</v>
      </c>
    </row>
    <row r="388" spans="1:8" ht="19.95" customHeight="1" x14ac:dyDescent="0.3">
      <c r="A388" s="2" t="s">
        <v>4861</v>
      </c>
      <c r="B388" s="3" t="s">
        <v>4880</v>
      </c>
      <c r="C388" s="2" t="s">
        <v>4873</v>
      </c>
      <c r="D388" s="3" t="s">
        <v>4409</v>
      </c>
      <c r="E388" s="2" t="s">
        <v>5967</v>
      </c>
      <c r="F388" s="40">
        <v>8.06</v>
      </c>
      <c r="G388" s="40">
        <v>2</v>
      </c>
      <c r="H388" s="41">
        <v>16.12</v>
      </c>
    </row>
    <row r="389" spans="1:8" ht="19.95" customHeight="1" x14ac:dyDescent="0.3">
      <c r="A389" s="6" t="s">
        <v>4861</v>
      </c>
      <c r="B389" s="7" t="s">
        <v>4880</v>
      </c>
      <c r="C389" s="6" t="s">
        <v>4873</v>
      </c>
      <c r="D389" s="7" t="s">
        <v>4409</v>
      </c>
      <c r="E389" s="6" t="s">
        <v>5880</v>
      </c>
      <c r="F389" s="42">
        <v>2.73</v>
      </c>
      <c r="G389" s="42">
        <v>2</v>
      </c>
      <c r="H389" s="43">
        <v>5.46</v>
      </c>
    </row>
    <row r="390" spans="1:8" ht="19.95" customHeight="1" x14ac:dyDescent="0.3">
      <c r="A390" s="2" t="s">
        <v>4861</v>
      </c>
      <c r="B390" s="3" t="s">
        <v>4880</v>
      </c>
      <c r="C390" s="2" t="s">
        <v>4873</v>
      </c>
      <c r="D390" s="3" t="s">
        <v>4409</v>
      </c>
      <c r="E390" s="2" t="s">
        <v>5967</v>
      </c>
      <c r="F390" s="40">
        <v>8.06</v>
      </c>
      <c r="G390" s="40">
        <v>2</v>
      </c>
      <c r="H390" s="41">
        <v>16.12</v>
      </c>
    </row>
    <row r="391" spans="1:8" ht="19.95" customHeight="1" x14ac:dyDescent="0.3">
      <c r="A391" s="6" t="s">
        <v>4861</v>
      </c>
      <c r="B391" s="7" t="s">
        <v>4881</v>
      </c>
      <c r="C391" s="6" t="s">
        <v>4882</v>
      </c>
      <c r="D391" s="7" t="s">
        <v>4409</v>
      </c>
      <c r="E391" s="6" t="s">
        <v>5894</v>
      </c>
      <c r="F391" s="42">
        <v>2.73</v>
      </c>
      <c r="G391" s="42">
        <v>2</v>
      </c>
      <c r="H391" s="43">
        <v>5.46</v>
      </c>
    </row>
    <row r="392" spans="1:8" ht="19.95" customHeight="1" x14ac:dyDescent="0.3">
      <c r="A392" s="2" t="s">
        <v>4861</v>
      </c>
      <c r="B392" s="3" t="s">
        <v>4881</v>
      </c>
      <c r="C392" s="2" t="s">
        <v>4882</v>
      </c>
      <c r="D392" s="3" t="s">
        <v>4409</v>
      </c>
      <c r="E392" s="2" t="s">
        <v>5967</v>
      </c>
      <c r="F392" s="40">
        <v>8.06</v>
      </c>
      <c r="G392" s="40">
        <v>2</v>
      </c>
      <c r="H392" s="41">
        <v>16.12</v>
      </c>
    </row>
    <row r="393" spans="1:8" ht="19.95" customHeight="1" x14ac:dyDescent="0.3">
      <c r="A393" s="6" t="s">
        <v>4861</v>
      </c>
      <c r="B393" s="7" t="s">
        <v>4881</v>
      </c>
      <c r="C393" s="6" t="s">
        <v>4882</v>
      </c>
      <c r="D393" s="7" t="s">
        <v>4409</v>
      </c>
      <c r="E393" s="6" t="s">
        <v>5880</v>
      </c>
      <c r="F393" s="42">
        <v>2.73</v>
      </c>
      <c r="G393" s="42">
        <v>2</v>
      </c>
      <c r="H393" s="43">
        <v>5.46</v>
      </c>
    </row>
    <row r="394" spans="1:8" ht="19.95" customHeight="1" x14ac:dyDescent="0.3">
      <c r="A394" s="2" t="s">
        <v>4861</v>
      </c>
      <c r="B394" s="3" t="s">
        <v>4881</v>
      </c>
      <c r="C394" s="2" t="s">
        <v>4882</v>
      </c>
      <c r="D394" s="3" t="s">
        <v>4409</v>
      </c>
      <c r="E394" s="2" t="s">
        <v>5967</v>
      </c>
      <c r="F394" s="40">
        <v>8.06</v>
      </c>
      <c r="G394" s="40">
        <v>2</v>
      </c>
      <c r="H394" s="41">
        <v>16.12</v>
      </c>
    </row>
    <row r="395" spans="1:8" ht="19.95" customHeight="1" x14ac:dyDescent="0.3">
      <c r="A395" s="6" t="s">
        <v>4861</v>
      </c>
      <c r="B395" s="7" t="s">
        <v>5971</v>
      </c>
      <c r="C395" s="6" t="s">
        <v>5972</v>
      </c>
      <c r="D395" s="7" t="s">
        <v>4409</v>
      </c>
      <c r="E395" s="6" t="s">
        <v>5973</v>
      </c>
      <c r="F395" s="42">
        <v>8.9700000000000006</v>
      </c>
      <c r="G395" s="42">
        <v>2</v>
      </c>
      <c r="H395" s="43">
        <v>17.940000000000001</v>
      </c>
    </row>
    <row r="396" spans="1:8" ht="19.95" customHeight="1" x14ac:dyDescent="0.3">
      <c r="A396" s="2" t="s">
        <v>4861</v>
      </c>
      <c r="B396" s="3" t="s">
        <v>5974</v>
      </c>
      <c r="C396" s="2" t="s">
        <v>5975</v>
      </c>
      <c r="D396" s="3" t="s">
        <v>4409</v>
      </c>
      <c r="E396" s="2" t="s">
        <v>5973</v>
      </c>
      <c r="F396" s="40">
        <v>6.24</v>
      </c>
      <c r="G396" s="40">
        <v>2</v>
      </c>
      <c r="H396" s="41">
        <v>12.48</v>
      </c>
    </row>
    <row r="397" spans="1:8" ht="19.95" customHeight="1" x14ac:dyDescent="0.3">
      <c r="A397" s="6" t="s">
        <v>4861</v>
      </c>
      <c r="B397" s="7" t="s">
        <v>4862</v>
      </c>
      <c r="C397" s="6" t="s">
        <v>4863</v>
      </c>
      <c r="D397" s="7" t="s">
        <v>4368</v>
      </c>
      <c r="E397" s="6" t="s">
        <v>4270</v>
      </c>
      <c r="F397" s="42">
        <v>134.55000000000001</v>
      </c>
      <c r="G397" s="42">
        <v>2</v>
      </c>
      <c r="H397" s="43">
        <v>269.10000000000002</v>
      </c>
    </row>
    <row r="398" spans="1:8" ht="19.95" customHeight="1" x14ac:dyDescent="0.3">
      <c r="A398" s="2" t="s">
        <v>4861</v>
      </c>
      <c r="B398" s="3" t="s">
        <v>4885</v>
      </c>
      <c r="C398" s="2" t="s">
        <v>4886</v>
      </c>
      <c r="D398" s="3" t="s">
        <v>4409</v>
      </c>
      <c r="E398" s="2" t="s">
        <v>5969</v>
      </c>
      <c r="F398" s="40">
        <v>8.06</v>
      </c>
      <c r="G398" s="40">
        <v>2</v>
      </c>
      <c r="H398" s="41">
        <v>16.12</v>
      </c>
    </row>
    <row r="399" spans="1:8" ht="19.95" customHeight="1" x14ac:dyDescent="0.3">
      <c r="A399" s="6" t="s">
        <v>4861</v>
      </c>
      <c r="B399" s="7" t="s">
        <v>4885</v>
      </c>
      <c r="C399" s="6" t="s">
        <v>4886</v>
      </c>
      <c r="D399" s="7" t="s">
        <v>4409</v>
      </c>
      <c r="E399" s="6" t="s">
        <v>5880</v>
      </c>
      <c r="F399" s="42">
        <v>2.73</v>
      </c>
      <c r="G399" s="42">
        <v>2</v>
      </c>
      <c r="H399" s="43">
        <v>5.46</v>
      </c>
    </row>
    <row r="400" spans="1:8" ht="19.95" customHeight="1" x14ac:dyDescent="0.3">
      <c r="A400" s="2" t="s">
        <v>4861</v>
      </c>
      <c r="B400" s="3" t="s">
        <v>4885</v>
      </c>
      <c r="C400" s="2" t="s">
        <v>4886</v>
      </c>
      <c r="D400" s="3" t="s">
        <v>4409</v>
      </c>
      <c r="E400" s="2" t="s">
        <v>5967</v>
      </c>
      <c r="F400" s="40">
        <v>8.06</v>
      </c>
      <c r="G400" s="40">
        <v>2</v>
      </c>
      <c r="H400" s="41">
        <v>16.12</v>
      </c>
    </row>
    <row r="401" spans="1:8" ht="19.95" customHeight="1" x14ac:dyDescent="0.3">
      <c r="A401" s="6" t="s">
        <v>4861</v>
      </c>
      <c r="B401" s="7" t="s">
        <v>4887</v>
      </c>
      <c r="C401" s="6" t="s">
        <v>4888</v>
      </c>
      <c r="D401" s="7" t="s">
        <v>4409</v>
      </c>
      <c r="E401" s="6" t="s">
        <v>5969</v>
      </c>
      <c r="F401" s="42">
        <v>8.06</v>
      </c>
      <c r="G401" s="42">
        <v>2</v>
      </c>
      <c r="H401" s="43">
        <v>16.12</v>
      </c>
    </row>
    <row r="402" spans="1:8" ht="19.95" customHeight="1" x14ac:dyDescent="0.3">
      <c r="A402" s="2" t="s">
        <v>4861</v>
      </c>
      <c r="B402" s="3" t="s">
        <v>4887</v>
      </c>
      <c r="C402" s="2" t="s">
        <v>4888</v>
      </c>
      <c r="D402" s="3" t="s">
        <v>4409</v>
      </c>
      <c r="E402" s="2" t="s">
        <v>5880</v>
      </c>
      <c r="F402" s="40">
        <v>2.73</v>
      </c>
      <c r="G402" s="40">
        <v>2</v>
      </c>
      <c r="H402" s="41">
        <v>5.46</v>
      </c>
    </row>
    <row r="403" spans="1:8" ht="19.95" customHeight="1" x14ac:dyDescent="0.3">
      <c r="A403" s="6" t="s">
        <v>4861</v>
      </c>
      <c r="B403" s="7" t="s">
        <v>4887</v>
      </c>
      <c r="C403" s="6" t="s">
        <v>4888</v>
      </c>
      <c r="D403" s="7" t="s">
        <v>4409</v>
      </c>
      <c r="E403" s="6" t="s">
        <v>5967</v>
      </c>
      <c r="F403" s="42">
        <v>8.06</v>
      </c>
      <c r="G403" s="42">
        <v>2</v>
      </c>
      <c r="H403" s="43">
        <v>16.12</v>
      </c>
    </row>
    <row r="404" spans="1:8" ht="19.95" customHeight="1" x14ac:dyDescent="0.3">
      <c r="A404" s="2" t="s">
        <v>4861</v>
      </c>
      <c r="B404" s="3" t="s">
        <v>5976</v>
      </c>
      <c r="C404" s="2" t="s">
        <v>5977</v>
      </c>
      <c r="D404" s="3" t="s">
        <v>4409</v>
      </c>
      <c r="E404" s="2" t="s">
        <v>5978</v>
      </c>
      <c r="F404" s="40">
        <v>11.7</v>
      </c>
      <c r="G404" s="40">
        <v>2</v>
      </c>
      <c r="H404" s="41">
        <v>23.4</v>
      </c>
    </row>
    <row r="405" spans="1:8" ht="19.95" customHeight="1" x14ac:dyDescent="0.3">
      <c r="A405" s="6" t="s">
        <v>4861</v>
      </c>
      <c r="B405" s="7" t="s">
        <v>5979</v>
      </c>
      <c r="C405" s="6" t="s">
        <v>5980</v>
      </c>
      <c r="D405" s="7" t="s">
        <v>4409</v>
      </c>
      <c r="E405" s="6" t="s">
        <v>5978</v>
      </c>
      <c r="F405" s="42">
        <v>33.15</v>
      </c>
      <c r="G405" s="42">
        <v>2</v>
      </c>
      <c r="H405" s="43">
        <v>66.3</v>
      </c>
    </row>
    <row r="406" spans="1:8" ht="19.95" customHeight="1" x14ac:dyDescent="0.3">
      <c r="A406" s="2" t="s">
        <v>4861</v>
      </c>
      <c r="B406" s="3" t="s">
        <v>5981</v>
      </c>
      <c r="C406" s="2" t="s">
        <v>5982</v>
      </c>
      <c r="D406" s="3" t="s">
        <v>1003</v>
      </c>
      <c r="E406" s="2" t="s">
        <v>5973</v>
      </c>
      <c r="F406" s="40">
        <v>8.9700000000000006</v>
      </c>
      <c r="G406" s="40">
        <v>2</v>
      </c>
      <c r="H406" s="41">
        <v>17.940000000000001</v>
      </c>
    </row>
    <row r="407" spans="1:8" ht="19.95" customHeight="1" x14ac:dyDescent="0.3">
      <c r="A407" s="6" t="s">
        <v>4861</v>
      </c>
      <c r="B407" s="7" t="s">
        <v>5983</v>
      </c>
      <c r="C407" s="6" t="s">
        <v>5984</v>
      </c>
      <c r="D407" s="7" t="s">
        <v>5985</v>
      </c>
      <c r="E407" s="6" t="s">
        <v>5986</v>
      </c>
      <c r="F407" s="42">
        <v>9.1</v>
      </c>
      <c r="G407" s="42">
        <v>2</v>
      </c>
      <c r="H407" s="43">
        <v>18.2</v>
      </c>
    </row>
    <row r="408" spans="1:8" ht="19.95" customHeight="1" x14ac:dyDescent="0.3">
      <c r="A408" s="2" t="s">
        <v>4861</v>
      </c>
      <c r="B408" s="3" t="s">
        <v>5983</v>
      </c>
      <c r="C408" s="2" t="s">
        <v>5984</v>
      </c>
      <c r="D408" s="3" t="s">
        <v>5985</v>
      </c>
      <c r="E408" s="2" t="s">
        <v>5987</v>
      </c>
      <c r="F408" s="40">
        <v>5.33</v>
      </c>
      <c r="G408" s="40">
        <v>2</v>
      </c>
      <c r="H408" s="41">
        <v>10.66</v>
      </c>
    </row>
    <row r="409" spans="1:8" ht="19.95" customHeight="1" x14ac:dyDescent="0.3">
      <c r="A409" s="6" t="s">
        <v>4861</v>
      </c>
      <c r="B409" s="7" t="s">
        <v>4892</v>
      </c>
      <c r="C409" s="6" t="s">
        <v>4893</v>
      </c>
      <c r="D409" s="7" t="s">
        <v>4894</v>
      </c>
      <c r="E409" s="6" t="s">
        <v>5988</v>
      </c>
      <c r="F409" s="42">
        <v>67.34</v>
      </c>
      <c r="G409" s="42">
        <v>2</v>
      </c>
      <c r="H409" s="43">
        <v>134.68</v>
      </c>
    </row>
    <row r="410" spans="1:8" ht="19.95" customHeight="1" x14ac:dyDescent="0.3">
      <c r="A410" s="2" t="s">
        <v>4861</v>
      </c>
      <c r="B410" s="3" t="s">
        <v>4579</v>
      </c>
      <c r="C410" s="2" t="s">
        <v>4864</v>
      </c>
      <c r="D410" s="3" t="s">
        <v>4368</v>
      </c>
      <c r="E410" s="2" t="s">
        <v>5989</v>
      </c>
      <c r="F410" s="40">
        <v>6.24</v>
      </c>
      <c r="G410" s="40">
        <v>2</v>
      </c>
      <c r="H410" s="41">
        <v>12.48</v>
      </c>
    </row>
    <row r="411" spans="1:8" ht="19.95" customHeight="1" x14ac:dyDescent="0.3">
      <c r="A411" s="6" t="s">
        <v>4861</v>
      </c>
      <c r="B411" s="7" t="s">
        <v>4579</v>
      </c>
      <c r="C411" s="6" t="s">
        <v>4864</v>
      </c>
      <c r="D411" s="7" t="s">
        <v>4368</v>
      </c>
      <c r="E411" s="6" t="s">
        <v>5990</v>
      </c>
      <c r="F411" s="42">
        <v>26.91</v>
      </c>
      <c r="G411" s="42">
        <v>2</v>
      </c>
      <c r="H411" s="43">
        <v>53.82</v>
      </c>
    </row>
    <row r="412" spans="1:8" ht="19.95" customHeight="1" x14ac:dyDescent="0.3">
      <c r="A412" s="2" t="s">
        <v>4861</v>
      </c>
      <c r="B412" s="3" t="s">
        <v>4579</v>
      </c>
      <c r="C412" s="2" t="s">
        <v>4864</v>
      </c>
      <c r="D412" s="3" t="s">
        <v>4368</v>
      </c>
      <c r="E412" s="2" t="s">
        <v>5991</v>
      </c>
      <c r="F412" s="40">
        <v>16.12</v>
      </c>
      <c r="G412" s="40">
        <v>2</v>
      </c>
      <c r="H412" s="41">
        <v>32.24</v>
      </c>
    </row>
    <row r="413" spans="1:8" ht="19.95" customHeight="1" x14ac:dyDescent="0.3">
      <c r="A413" s="6" t="s">
        <v>4861</v>
      </c>
      <c r="B413" s="7" t="s">
        <v>4579</v>
      </c>
      <c r="C413" s="6" t="s">
        <v>4864</v>
      </c>
      <c r="D413" s="7" t="s">
        <v>4368</v>
      </c>
      <c r="E413" s="6" t="s">
        <v>5992</v>
      </c>
      <c r="F413" s="42">
        <v>104</v>
      </c>
      <c r="G413" s="42">
        <v>2</v>
      </c>
      <c r="H413" s="43">
        <v>208</v>
      </c>
    </row>
    <row r="414" spans="1:8" ht="19.95" customHeight="1" x14ac:dyDescent="0.3">
      <c r="A414" s="2" t="s">
        <v>4861</v>
      </c>
      <c r="B414" s="3" t="s">
        <v>4895</v>
      </c>
      <c r="C414" s="2" t="s">
        <v>4896</v>
      </c>
      <c r="D414" s="3" t="s">
        <v>4894</v>
      </c>
      <c r="E414" s="2" t="s">
        <v>5988</v>
      </c>
      <c r="F414" s="40">
        <v>67.34</v>
      </c>
      <c r="G414" s="40">
        <v>2</v>
      </c>
      <c r="H414" s="41">
        <v>134.68</v>
      </c>
    </row>
    <row r="415" spans="1:8" ht="19.95" customHeight="1" x14ac:dyDescent="0.3">
      <c r="A415" s="6" t="s">
        <v>4861</v>
      </c>
      <c r="B415" s="7" t="s">
        <v>4579</v>
      </c>
      <c r="C415" s="6" t="s">
        <v>4864</v>
      </c>
      <c r="D415" s="7" t="s">
        <v>4368</v>
      </c>
      <c r="E415" s="6" t="s">
        <v>5989</v>
      </c>
      <c r="F415" s="42">
        <v>6.24</v>
      </c>
      <c r="G415" s="42">
        <v>2</v>
      </c>
      <c r="H415" s="43">
        <v>12.48</v>
      </c>
    </row>
    <row r="416" spans="1:8" ht="19.95" customHeight="1" x14ac:dyDescent="0.3">
      <c r="A416" s="2" t="s">
        <v>4861</v>
      </c>
      <c r="B416" s="3" t="s">
        <v>4579</v>
      </c>
      <c r="C416" s="2" t="s">
        <v>4864</v>
      </c>
      <c r="D416" s="3" t="s">
        <v>4368</v>
      </c>
      <c r="E416" s="2" t="s">
        <v>5990</v>
      </c>
      <c r="F416" s="40">
        <v>26.91</v>
      </c>
      <c r="G416" s="40">
        <v>2</v>
      </c>
      <c r="H416" s="41">
        <v>53.82</v>
      </c>
    </row>
    <row r="417" spans="1:8" ht="19.95" customHeight="1" x14ac:dyDescent="0.3">
      <c r="A417" s="6" t="s">
        <v>4861</v>
      </c>
      <c r="B417" s="7" t="s">
        <v>4579</v>
      </c>
      <c r="C417" s="6" t="s">
        <v>4864</v>
      </c>
      <c r="D417" s="7" t="s">
        <v>4368</v>
      </c>
      <c r="E417" s="6" t="s">
        <v>5991</v>
      </c>
      <c r="F417" s="42">
        <v>16.12</v>
      </c>
      <c r="G417" s="42">
        <v>2</v>
      </c>
      <c r="H417" s="43">
        <v>32.24</v>
      </c>
    </row>
    <row r="418" spans="1:8" ht="19.95" customHeight="1" x14ac:dyDescent="0.3">
      <c r="A418" s="2" t="s">
        <v>4861</v>
      </c>
      <c r="B418" s="3" t="s">
        <v>4579</v>
      </c>
      <c r="C418" s="2" t="s">
        <v>4864</v>
      </c>
      <c r="D418" s="3" t="s">
        <v>4368</v>
      </c>
      <c r="E418" s="2" t="s">
        <v>5993</v>
      </c>
      <c r="F418" s="40">
        <v>104</v>
      </c>
      <c r="G418" s="40">
        <v>2</v>
      </c>
      <c r="H418" s="41">
        <v>208</v>
      </c>
    </row>
    <row r="419" spans="1:8" ht="19.95" customHeight="1" x14ac:dyDescent="0.3">
      <c r="A419" s="6" t="s">
        <v>4861</v>
      </c>
      <c r="B419" s="7" t="s">
        <v>4897</v>
      </c>
      <c r="C419" s="6" t="s">
        <v>4898</v>
      </c>
      <c r="D419" s="7" t="s">
        <v>4899</v>
      </c>
      <c r="E419" s="6" t="s">
        <v>5994</v>
      </c>
      <c r="F419" s="42">
        <v>53.82</v>
      </c>
      <c r="G419" s="42">
        <v>2</v>
      </c>
      <c r="H419" s="43">
        <v>107.64</v>
      </c>
    </row>
    <row r="420" spans="1:8" ht="19.95" customHeight="1" x14ac:dyDescent="0.3">
      <c r="A420" s="2" t="s">
        <v>4861</v>
      </c>
      <c r="B420" s="3" t="s">
        <v>4897</v>
      </c>
      <c r="C420" s="2" t="s">
        <v>4898</v>
      </c>
      <c r="D420" s="3" t="s">
        <v>4899</v>
      </c>
      <c r="E420" s="2" t="s">
        <v>5989</v>
      </c>
      <c r="F420" s="40">
        <v>6.24</v>
      </c>
      <c r="G420" s="40">
        <v>2</v>
      </c>
      <c r="H420" s="41">
        <v>12.48</v>
      </c>
    </row>
    <row r="421" spans="1:8" ht="19.95" customHeight="1" x14ac:dyDescent="0.3">
      <c r="A421" s="6" t="s">
        <v>4861</v>
      </c>
      <c r="B421" s="7" t="s">
        <v>4897</v>
      </c>
      <c r="C421" s="6" t="s">
        <v>4898</v>
      </c>
      <c r="D421" s="7" t="s">
        <v>4899</v>
      </c>
      <c r="E421" s="6" t="s">
        <v>5990</v>
      </c>
      <c r="F421" s="42">
        <v>26.91</v>
      </c>
      <c r="G421" s="42">
        <v>2</v>
      </c>
      <c r="H421" s="43">
        <v>53.82</v>
      </c>
    </row>
    <row r="422" spans="1:8" ht="19.95" customHeight="1" x14ac:dyDescent="0.3">
      <c r="A422" s="2" t="s">
        <v>4861</v>
      </c>
      <c r="B422" s="3" t="s">
        <v>4897</v>
      </c>
      <c r="C422" s="2" t="s">
        <v>4898</v>
      </c>
      <c r="D422" s="3" t="s">
        <v>4899</v>
      </c>
      <c r="E422" s="2" t="s">
        <v>5991</v>
      </c>
      <c r="F422" s="40">
        <v>13.52</v>
      </c>
      <c r="G422" s="40">
        <v>2</v>
      </c>
      <c r="H422" s="41">
        <v>27.04</v>
      </c>
    </row>
    <row r="423" spans="1:8" ht="19.95" customHeight="1" x14ac:dyDescent="0.3">
      <c r="A423" s="6" t="s">
        <v>4861</v>
      </c>
      <c r="B423" s="7" t="s">
        <v>4900</v>
      </c>
      <c r="C423" s="6" t="s">
        <v>4901</v>
      </c>
      <c r="D423" s="7" t="s">
        <v>4899</v>
      </c>
      <c r="E423" s="6" t="s">
        <v>5994</v>
      </c>
      <c r="F423" s="42">
        <v>53.82</v>
      </c>
      <c r="G423" s="42">
        <v>2</v>
      </c>
      <c r="H423" s="43">
        <v>107.64</v>
      </c>
    </row>
    <row r="424" spans="1:8" ht="19.95" customHeight="1" x14ac:dyDescent="0.3">
      <c r="A424" s="2" t="s">
        <v>4861</v>
      </c>
      <c r="B424" s="3" t="s">
        <v>4900</v>
      </c>
      <c r="C424" s="2" t="s">
        <v>4901</v>
      </c>
      <c r="D424" s="3" t="s">
        <v>4899</v>
      </c>
      <c r="E424" s="2" t="s">
        <v>5989</v>
      </c>
      <c r="F424" s="40">
        <v>6.24</v>
      </c>
      <c r="G424" s="40">
        <v>2</v>
      </c>
      <c r="H424" s="41">
        <v>12.48</v>
      </c>
    </row>
    <row r="425" spans="1:8" ht="19.95" customHeight="1" x14ac:dyDescent="0.3">
      <c r="A425" s="6" t="s">
        <v>4861</v>
      </c>
      <c r="B425" s="7" t="s">
        <v>4900</v>
      </c>
      <c r="C425" s="6" t="s">
        <v>4901</v>
      </c>
      <c r="D425" s="7" t="s">
        <v>4899</v>
      </c>
      <c r="E425" s="6" t="s">
        <v>5990</v>
      </c>
      <c r="F425" s="42">
        <v>26.91</v>
      </c>
      <c r="G425" s="42">
        <v>2</v>
      </c>
      <c r="H425" s="43">
        <v>53.82</v>
      </c>
    </row>
    <row r="426" spans="1:8" ht="19.95" customHeight="1" x14ac:dyDescent="0.3">
      <c r="A426" s="2" t="s">
        <v>4861</v>
      </c>
      <c r="B426" s="3" t="s">
        <v>4900</v>
      </c>
      <c r="C426" s="2" t="s">
        <v>4901</v>
      </c>
      <c r="D426" s="3" t="s">
        <v>4899</v>
      </c>
      <c r="E426" s="2" t="s">
        <v>5991</v>
      </c>
      <c r="F426" s="40">
        <v>13.52</v>
      </c>
      <c r="G426" s="40">
        <v>2</v>
      </c>
      <c r="H426" s="41">
        <v>27.04</v>
      </c>
    </row>
    <row r="427" spans="1:8" ht="19.95" customHeight="1" x14ac:dyDescent="0.3">
      <c r="A427" s="6" t="s">
        <v>4861</v>
      </c>
      <c r="B427" s="7" t="s">
        <v>4902</v>
      </c>
      <c r="C427" s="6" t="s">
        <v>4903</v>
      </c>
      <c r="D427" s="7" t="s">
        <v>4368</v>
      </c>
      <c r="E427" s="6" t="s">
        <v>5995</v>
      </c>
      <c r="F427" s="42">
        <v>13.52</v>
      </c>
      <c r="G427" s="42">
        <v>2</v>
      </c>
      <c r="H427" s="43">
        <v>27.04</v>
      </c>
    </row>
    <row r="428" spans="1:8" ht="19.95" customHeight="1" x14ac:dyDescent="0.3">
      <c r="A428" s="2" t="s">
        <v>4861</v>
      </c>
      <c r="B428" s="3" t="s">
        <v>4904</v>
      </c>
      <c r="C428" s="2" t="s">
        <v>4905</v>
      </c>
      <c r="D428" s="3" t="s">
        <v>4906</v>
      </c>
      <c r="E428" s="2" t="s">
        <v>5880</v>
      </c>
      <c r="F428" s="40">
        <v>15.29</v>
      </c>
      <c r="G428" s="40">
        <v>2</v>
      </c>
      <c r="H428" s="41">
        <v>30.58</v>
      </c>
    </row>
    <row r="429" spans="1:8" ht="19.95" customHeight="1" x14ac:dyDescent="0.3">
      <c r="A429" s="6" t="s">
        <v>4861</v>
      </c>
      <c r="B429" s="7" t="s">
        <v>4904</v>
      </c>
      <c r="C429" s="6" t="s">
        <v>4905</v>
      </c>
      <c r="D429" s="7" t="s">
        <v>4906</v>
      </c>
      <c r="E429" s="6" t="s">
        <v>5967</v>
      </c>
      <c r="F429" s="42">
        <v>45.14</v>
      </c>
      <c r="G429" s="42">
        <v>2</v>
      </c>
      <c r="H429" s="43">
        <v>90.28</v>
      </c>
    </row>
    <row r="430" spans="1:8" ht="19.95" customHeight="1" x14ac:dyDescent="0.3">
      <c r="A430" s="2" t="s">
        <v>4861</v>
      </c>
      <c r="B430" s="3" t="s">
        <v>4907</v>
      </c>
      <c r="C430" s="2" t="s">
        <v>4908</v>
      </c>
      <c r="D430" s="3" t="s">
        <v>4909</v>
      </c>
      <c r="E430" s="2" t="s">
        <v>5969</v>
      </c>
      <c r="F430" s="40">
        <v>5.33</v>
      </c>
      <c r="G430" s="40">
        <v>2</v>
      </c>
      <c r="H430" s="41">
        <v>10.66</v>
      </c>
    </row>
    <row r="431" spans="1:8" ht="19.95" customHeight="1" x14ac:dyDescent="0.3">
      <c r="A431" s="6" t="s">
        <v>4861</v>
      </c>
      <c r="B431" s="7" t="s">
        <v>4910</v>
      </c>
      <c r="C431" s="6" t="s">
        <v>4911</v>
      </c>
      <c r="D431" s="7" t="s">
        <v>4912</v>
      </c>
      <c r="E431" s="6" t="s">
        <v>5969</v>
      </c>
      <c r="F431" s="42">
        <v>5.33</v>
      </c>
      <c r="G431" s="42">
        <v>2</v>
      </c>
      <c r="H431" s="43">
        <v>10.66</v>
      </c>
    </row>
    <row r="432" spans="1:8" ht="19.95" customHeight="1" x14ac:dyDescent="0.3">
      <c r="A432" s="2" t="s">
        <v>4861</v>
      </c>
      <c r="B432" s="3" t="s">
        <v>4913</v>
      </c>
      <c r="C432" s="2" t="s">
        <v>4914</v>
      </c>
      <c r="D432" s="3" t="s">
        <v>4413</v>
      </c>
      <c r="E432" s="2" t="s">
        <v>5996</v>
      </c>
      <c r="F432" s="40">
        <v>80.73</v>
      </c>
      <c r="G432" s="40">
        <v>2</v>
      </c>
      <c r="H432" s="41">
        <v>161.46</v>
      </c>
    </row>
    <row r="433" spans="1:8" ht="19.95" customHeight="1" x14ac:dyDescent="0.3">
      <c r="A433" s="6" t="s">
        <v>4861</v>
      </c>
      <c r="B433" s="7" t="s">
        <v>4915</v>
      </c>
      <c r="C433" s="6" t="s">
        <v>4916</v>
      </c>
      <c r="D433" s="7" t="s">
        <v>4413</v>
      </c>
      <c r="E433" s="6" t="s">
        <v>5996</v>
      </c>
      <c r="F433" s="42">
        <v>80.73</v>
      </c>
      <c r="G433" s="42">
        <v>2</v>
      </c>
      <c r="H433" s="43">
        <v>161.46</v>
      </c>
    </row>
    <row r="434" spans="1:8" ht="19.95" customHeight="1" x14ac:dyDescent="0.3">
      <c r="A434" s="2" t="s">
        <v>4861</v>
      </c>
      <c r="B434" s="3" t="s">
        <v>4605</v>
      </c>
      <c r="C434" s="2" t="s">
        <v>4835</v>
      </c>
      <c r="D434" s="3" t="s">
        <v>4368</v>
      </c>
      <c r="E434" s="2" t="s">
        <v>5997</v>
      </c>
      <c r="F434" s="40">
        <v>25.74</v>
      </c>
      <c r="G434" s="40">
        <v>2</v>
      </c>
      <c r="H434" s="41">
        <v>51.48</v>
      </c>
    </row>
    <row r="435" spans="1:8" ht="19.95" customHeight="1" x14ac:dyDescent="0.3">
      <c r="A435" s="6" t="s">
        <v>4861</v>
      </c>
      <c r="B435" s="7" t="s">
        <v>4605</v>
      </c>
      <c r="C435" s="6" t="s">
        <v>4835</v>
      </c>
      <c r="D435" s="7" t="s">
        <v>4368</v>
      </c>
      <c r="E435" s="6" t="s">
        <v>5998</v>
      </c>
      <c r="F435" s="42">
        <v>260</v>
      </c>
      <c r="G435" s="42">
        <v>2</v>
      </c>
      <c r="H435" s="43">
        <v>520</v>
      </c>
    </row>
    <row r="436" spans="1:8" ht="19.95" customHeight="1" x14ac:dyDescent="0.3">
      <c r="A436" s="2" t="s">
        <v>4861</v>
      </c>
      <c r="B436" s="3" t="s">
        <v>4605</v>
      </c>
      <c r="C436" s="2" t="s">
        <v>4835</v>
      </c>
      <c r="D436" s="3" t="s">
        <v>4368</v>
      </c>
      <c r="E436" s="2" t="s">
        <v>4270</v>
      </c>
      <c r="F436" s="40">
        <v>171.6</v>
      </c>
      <c r="G436" s="40">
        <v>2</v>
      </c>
      <c r="H436" s="41">
        <v>343.2</v>
      </c>
    </row>
    <row r="437" spans="1:8" ht="19.95" customHeight="1" x14ac:dyDescent="0.3">
      <c r="A437" s="6" t="s">
        <v>4861</v>
      </c>
      <c r="B437" s="7" t="s">
        <v>4605</v>
      </c>
      <c r="C437" s="6" t="s">
        <v>4835</v>
      </c>
      <c r="D437" s="7" t="s">
        <v>4368</v>
      </c>
      <c r="E437" s="6" t="s">
        <v>5997</v>
      </c>
      <c r="F437" s="42">
        <v>25.74</v>
      </c>
      <c r="G437" s="42">
        <v>2</v>
      </c>
      <c r="H437" s="43">
        <v>51.48</v>
      </c>
    </row>
    <row r="438" spans="1:8" ht="19.95" customHeight="1" x14ac:dyDescent="0.3">
      <c r="A438" s="2" t="s">
        <v>4861</v>
      </c>
      <c r="B438" s="3" t="s">
        <v>4605</v>
      </c>
      <c r="C438" s="2" t="s">
        <v>4835</v>
      </c>
      <c r="D438" s="3" t="s">
        <v>4368</v>
      </c>
      <c r="E438" s="2" t="s">
        <v>5998</v>
      </c>
      <c r="F438" s="40">
        <v>260</v>
      </c>
      <c r="G438" s="40">
        <v>2</v>
      </c>
      <c r="H438" s="41">
        <v>520</v>
      </c>
    </row>
    <row r="439" spans="1:8" ht="19.95" customHeight="1" x14ac:dyDescent="0.3">
      <c r="A439" s="6" t="s">
        <v>4861</v>
      </c>
      <c r="B439" s="7" t="s">
        <v>4605</v>
      </c>
      <c r="C439" s="6" t="s">
        <v>4835</v>
      </c>
      <c r="D439" s="7" t="s">
        <v>4368</v>
      </c>
      <c r="E439" s="6" t="s">
        <v>4270</v>
      </c>
      <c r="F439" s="42">
        <v>171.6</v>
      </c>
      <c r="G439" s="42">
        <v>2</v>
      </c>
      <c r="H439" s="43">
        <v>343.2</v>
      </c>
    </row>
    <row r="440" spans="1:8" ht="19.95" customHeight="1" x14ac:dyDescent="0.3">
      <c r="A440" s="2" t="s">
        <v>4925</v>
      </c>
      <c r="B440" s="3" t="s">
        <v>4585</v>
      </c>
      <c r="C440" s="2" t="s">
        <v>4930</v>
      </c>
      <c r="D440" s="3" t="s">
        <v>4368</v>
      </c>
      <c r="E440" s="2" t="s">
        <v>5880</v>
      </c>
      <c r="F440" s="40">
        <v>13.39</v>
      </c>
      <c r="G440" s="40">
        <v>2</v>
      </c>
      <c r="H440" s="41">
        <v>26.78</v>
      </c>
    </row>
    <row r="441" spans="1:8" ht="19.95" customHeight="1" x14ac:dyDescent="0.3">
      <c r="A441" s="6" t="s">
        <v>4925</v>
      </c>
      <c r="B441" s="7" t="s">
        <v>4585</v>
      </c>
      <c r="C441" s="6" t="s">
        <v>4930</v>
      </c>
      <c r="D441" s="7" t="s">
        <v>4368</v>
      </c>
      <c r="E441" s="6" t="s">
        <v>5880</v>
      </c>
      <c r="F441" s="42">
        <v>26.91</v>
      </c>
      <c r="G441" s="42">
        <v>2</v>
      </c>
      <c r="H441" s="43">
        <v>53.82</v>
      </c>
    </row>
    <row r="442" spans="1:8" ht="19.95" customHeight="1" x14ac:dyDescent="0.3">
      <c r="A442" s="2" t="s">
        <v>4925</v>
      </c>
      <c r="B442" s="3" t="s">
        <v>4607</v>
      </c>
      <c r="C442" s="2" t="s">
        <v>4838</v>
      </c>
      <c r="D442" s="3" t="s">
        <v>4368</v>
      </c>
      <c r="E442" s="2" t="s">
        <v>5999</v>
      </c>
      <c r="F442" s="40">
        <v>39</v>
      </c>
      <c r="G442" s="40">
        <v>2</v>
      </c>
      <c r="H442" s="41">
        <v>78</v>
      </c>
    </row>
    <row r="443" spans="1:8" ht="19.95" customHeight="1" x14ac:dyDescent="0.3">
      <c r="A443" s="6" t="s">
        <v>4925</v>
      </c>
      <c r="B443" s="7" t="s">
        <v>4607</v>
      </c>
      <c r="C443" s="6" t="s">
        <v>4838</v>
      </c>
      <c r="D443" s="7" t="s">
        <v>4368</v>
      </c>
      <c r="E443" s="6" t="s">
        <v>6000</v>
      </c>
      <c r="F443" s="42">
        <v>16.25</v>
      </c>
      <c r="G443" s="42">
        <v>2</v>
      </c>
      <c r="H443" s="43">
        <v>32.5</v>
      </c>
    </row>
    <row r="444" spans="1:8" ht="19.95" customHeight="1" x14ac:dyDescent="0.3">
      <c r="A444" s="2" t="s">
        <v>4925</v>
      </c>
      <c r="B444" s="3" t="s">
        <v>4607</v>
      </c>
      <c r="C444" s="2" t="s">
        <v>4838</v>
      </c>
      <c r="D444" s="3" t="s">
        <v>4368</v>
      </c>
      <c r="E444" s="2" t="s">
        <v>5999</v>
      </c>
      <c r="F444" s="40">
        <v>78</v>
      </c>
      <c r="G444" s="40">
        <v>2</v>
      </c>
      <c r="H444" s="41">
        <v>156</v>
      </c>
    </row>
    <row r="445" spans="1:8" ht="19.95" customHeight="1" x14ac:dyDescent="0.3">
      <c r="A445" s="6" t="s">
        <v>4925</v>
      </c>
      <c r="B445" s="7" t="s">
        <v>4607</v>
      </c>
      <c r="C445" s="6" t="s">
        <v>4838</v>
      </c>
      <c r="D445" s="7" t="s">
        <v>4368</v>
      </c>
      <c r="E445" s="6" t="s">
        <v>6000</v>
      </c>
      <c r="F445" s="42">
        <v>32.5</v>
      </c>
      <c r="G445" s="42">
        <v>2</v>
      </c>
      <c r="H445" s="43">
        <v>65</v>
      </c>
    </row>
    <row r="446" spans="1:8" ht="19.95" customHeight="1" x14ac:dyDescent="0.3">
      <c r="A446" s="2" t="s">
        <v>4925</v>
      </c>
      <c r="B446" s="3" t="s">
        <v>4607</v>
      </c>
      <c r="C446" s="2" t="s">
        <v>4838</v>
      </c>
      <c r="D446" s="3" t="s">
        <v>4368</v>
      </c>
      <c r="E446" s="2" t="s">
        <v>5999</v>
      </c>
      <c r="F446" s="40">
        <v>39</v>
      </c>
      <c r="G446" s="40">
        <v>2</v>
      </c>
      <c r="H446" s="41">
        <v>78</v>
      </c>
    </row>
    <row r="447" spans="1:8" ht="19.95" customHeight="1" x14ac:dyDescent="0.3">
      <c r="A447" s="6" t="s">
        <v>4925</v>
      </c>
      <c r="B447" s="7" t="s">
        <v>4607</v>
      </c>
      <c r="C447" s="6" t="s">
        <v>4838</v>
      </c>
      <c r="D447" s="7" t="s">
        <v>4368</v>
      </c>
      <c r="E447" s="6" t="s">
        <v>6000</v>
      </c>
      <c r="F447" s="42">
        <v>16.25</v>
      </c>
      <c r="G447" s="42">
        <v>2</v>
      </c>
      <c r="H447" s="43">
        <v>32.5</v>
      </c>
    </row>
    <row r="448" spans="1:8" ht="19.95" customHeight="1" x14ac:dyDescent="0.3">
      <c r="A448" s="2" t="s">
        <v>4925</v>
      </c>
      <c r="B448" s="3" t="s">
        <v>4607</v>
      </c>
      <c r="C448" s="2" t="s">
        <v>4838</v>
      </c>
      <c r="D448" s="3" t="s">
        <v>4368</v>
      </c>
      <c r="E448" s="2" t="s">
        <v>5999</v>
      </c>
      <c r="F448" s="40">
        <v>78</v>
      </c>
      <c r="G448" s="40">
        <v>2</v>
      </c>
      <c r="H448" s="41">
        <v>156</v>
      </c>
    </row>
    <row r="449" spans="1:8" ht="19.95" customHeight="1" x14ac:dyDescent="0.3">
      <c r="A449" s="6" t="s">
        <v>4925</v>
      </c>
      <c r="B449" s="7" t="s">
        <v>4607</v>
      </c>
      <c r="C449" s="6" t="s">
        <v>4838</v>
      </c>
      <c r="D449" s="7" t="s">
        <v>4368</v>
      </c>
      <c r="E449" s="6" t="s">
        <v>6000</v>
      </c>
      <c r="F449" s="42">
        <v>65</v>
      </c>
      <c r="G449" s="42">
        <v>2</v>
      </c>
      <c r="H449" s="43">
        <v>130</v>
      </c>
    </row>
    <row r="450" spans="1:8" ht="19.95" customHeight="1" x14ac:dyDescent="0.3">
      <c r="A450" s="2" t="s">
        <v>4925</v>
      </c>
      <c r="B450" s="3" t="s">
        <v>4955</v>
      </c>
      <c r="C450" s="2" t="s">
        <v>4956</v>
      </c>
      <c r="D450" s="3" t="s">
        <v>4344</v>
      </c>
      <c r="E450" s="2" t="s">
        <v>6001</v>
      </c>
      <c r="F450" s="40">
        <v>78</v>
      </c>
      <c r="G450" s="40">
        <v>2</v>
      </c>
      <c r="H450" s="41">
        <v>156</v>
      </c>
    </row>
    <row r="451" spans="1:8" ht="19.95" customHeight="1" x14ac:dyDescent="0.3">
      <c r="A451" s="6" t="s">
        <v>4925</v>
      </c>
      <c r="B451" s="7" t="s">
        <v>4957</v>
      </c>
      <c r="C451" s="6" t="s">
        <v>4958</v>
      </c>
      <c r="D451" s="7" t="s">
        <v>4344</v>
      </c>
      <c r="E451" s="6" t="s">
        <v>6001</v>
      </c>
      <c r="F451" s="42">
        <v>117</v>
      </c>
      <c r="G451" s="42">
        <v>2</v>
      </c>
      <c r="H451" s="43">
        <v>234</v>
      </c>
    </row>
    <row r="452" spans="1:8" ht="19.95" customHeight="1" x14ac:dyDescent="0.3">
      <c r="A452" s="2" t="s">
        <v>4925</v>
      </c>
      <c r="B452" s="3" t="s">
        <v>4964</v>
      </c>
      <c r="C452" s="2" t="s">
        <v>4965</v>
      </c>
      <c r="D452" s="3" t="s">
        <v>4966</v>
      </c>
      <c r="E452" s="2" t="s">
        <v>6002</v>
      </c>
      <c r="F452" s="40">
        <v>39</v>
      </c>
      <c r="G452" s="40">
        <v>2</v>
      </c>
      <c r="H452" s="41">
        <v>78</v>
      </c>
    </row>
    <row r="453" spans="1:8" ht="19.95" customHeight="1" x14ac:dyDescent="0.3">
      <c r="A453" s="6" t="s">
        <v>4925</v>
      </c>
      <c r="B453" s="7" t="s">
        <v>4967</v>
      </c>
      <c r="C453" s="6" t="s">
        <v>4968</v>
      </c>
      <c r="D453" s="7" t="s">
        <v>4969</v>
      </c>
      <c r="E453" s="6" t="s">
        <v>4270</v>
      </c>
      <c r="F453" s="42">
        <v>15.3</v>
      </c>
      <c r="G453" s="42">
        <v>2</v>
      </c>
      <c r="H453" s="43">
        <v>30.6</v>
      </c>
    </row>
    <row r="454" spans="1:8" ht="19.95" customHeight="1" x14ac:dyDescent="0.3">
      <c r="A454" s="2" t="s">
        <v>4925</v>
      </c>
      <c r="B454" s="3" t="s">
        <v>4970</v>
      </c>
      <c r="C454" s="2" t="s">
        <v>4971</v>
      </c>
      <c r="D454" s="3" t="s">
        <v>4416</v>
      </c>
      <c r="E454" s="2" t="s">
        <v>6003</v>
      </c>
      <c r="F454" s="40">
        <v>65</v>
      </c>
      <c r="G454" s="40">
        <v>2</v>
      </c>
      <c r="H454" s="41">
        <v>130</v>
      </c>
    </row>
    <row r="455" spans="1:8" ht="19.95" customHeight="1" x14ac:dyDescent="0.3">
      <c r="A455" s="6" t="s">
        <v>4925</v>
      </c>
      <c r="B455" s="7" t="s">
        <v>4603</v>
      </c>
      <c r="C455" s="6" t="s">
        <v>6004</v>
      </c>
      <c r="D455" s="7" t="s">
        <v>4368</v>
      </c>
      <c r="E455" s="6" t="s">
        <v>6005</v>
      </c>
      <c r="F455" s="42">
        <v>65</v>
      </c>
      <c r="G455" s="42">
        <v>2</v>
      </c>
      <c r="H455" s="43">
        <v>130</v>
      </c>
    </row>
    <row r="456" spans="1:8" ht="19.95" customHeight="1" x14ac:dyDescent="0.3">
      <c r="A456" s="2" t="s">
        <v>4925</v>
      </c>
      <c r="B456" s="3" t="s">
        <v>4603</v>
      </c>
      <c r="C456" s="2" t="s">
        <v>6004</v>
      </c>
      <c r="D456" s="3" t="s">
        <v>4368</v>
      </c>
      <c r="E456" s="2" t="s">
        <v>6005</v>
      </c>
      <c r="F456" s="40">
        <v>65</v>
      </c>
      <c r="G456" s="40">
        <v>2</v>
      </c>
      <c r="H456" s="41">
        <v>130</v>
      </c>
    </row>
    <row r="457" spans="1:8" ht="19.95" customHeight="1" x14ac:dyDescent="0.3">
      <c r="A457" s="6" t="s">
        <v>4925</v>
      </c>
      <c r="B457" s="7" t="s">
        <v>4972</v>
      </c>
      <c r="C457" s="6" t="s">
        <v>4973</v>
      </c>
      <c r="D457" s="7" t="s">
        <v>4414</v>
      </c>
      <c r="E457" s="6" t="s">
        <v>6006</v>
      </c>
      <c r="F457" s="42">
        <v>32.5</v>
      </c>
      <c r="G457" s="42">
        <v>2</v>
      </c>
      <c r="H457" s="43">
        <v>65</v>
      </c>
    </row>
    <row r="458" spans="1:8" ht="19.95" customHeight="1" x14ac:dyDescent="0.3">
      <c r="A458" s="2" t="s">
        <v>4925</v>
      </c>
      <c r="B458" s="3" t="s">
        <v>4972</v>
      </c>
      <c r="C458" s="2" t="s">
        <v>4973</v>
      </c>
      <c r="D458" s="3" t="s">
        <v>4414</v>
      </c>
      <c r="E458" s="2" t="s">
        <v>6006</v>
      </c>
      <c r="F458" s="40">
        <v>32.5</v>
      </c>
      <c r="G458" s="40">
        <v>2</v>
      </c>
      <c r="H458" s="41">
        <v>65</v>
      </c>
    </row>
    <row r="459" spans="1:8" ht="19.95" customHeight="1" x14ac:dyDescent="0.3">
      <c r="A459" s="6" t="s">
        <v>4925</v>
      </c>
      <c r="B459" s="7" t="s">
        <v>4972</v>
      </c>
      <c r="C459" s="6" t="s">
        <v>4973</v>
      </c>
      <c r="D459" s="7" t="s">
        <v>4414</v>
      </c>
      <c r="E459" s="6" t="s">
        <v>6006</v>
      </c>
      <c r="F459" s="42">
        <v>32.5</v>
      </c>
      <c r="G459" s="42">
        <v>2</v>
      </c>
      <c r="H459" s="43">
        <v>65</v>
      </c>
    </row>
    <row r="460" spans="1:8" ht="19.95" customHeight="1" x14ac:dyDescent="0.3">
      <c r="A460" s="2" t="s">
        <v>4925</v>
      </c>
      <c r="B460" s="3" t="s">
        <v>4605</v>
      </c>
      <c r="C460" s="2" t="s">
        <v>4835</v>
      </c>
      <c r="D460" s="3" t="s">
        <v>4368</v>
      </c>
      <c r="E460" s="2" t="s">
        <v>6007</v>
      </c>
      <c r="F460" s="40">
        <v>25.38</v>
      </c>
      <c r="G460" s="40">
        <v>2</v>
      </c>
      <c r="H460" s="41">
        <v>50.76</v>
      </c>
    </row>
    <row r="461" spans="1:8" ht="19.95" customHeight="1" x14ac:dyDescent="0.3">
      <c r="A461" s="6" t="s">
        <v>4925</v>
      </c>
      <c r="B461" s="7" t="s">
        <v>4605</v>
      </c>
      <c r="C461" s="6" t="s">
        <v>4835</v>
      </c>
      <c r="D461" s="7" t="s">
        <v>4368</v>
      </c>
      <c r="E461" s="6" t="s">
        <v>6008</v>
      </c>
      <c r="F461" s="42">
        <v>16.899999999999999</v>
      </c>
      <c r="G461" s="42">
        <v>2</v>
      </c>
      <c r="H461" s="43">
        <v>33.799999999999997</v>
      </c>
    </row>
    <row r="462" spans="1:8" ht="19.95" customHeight="1" x14ac:dyDescent="0.3">
      <c r="A462" s="2" t="s">
        <v>4925</v>
      </c>
      <c r="B462" s="3" t="s">
        <v>4605</v>
      </c>
      <c r="C462" s="2" t="s">
        <v>4835</v>
      </c>
      <c r="D462" s="3" t="s">
        <v>4368</v>
      </c>
      <c r="E462" s="2" t="s">
        <v>6007</v>
      </c>
      <c r="F462" s="40">
        <v>25.38</v>
      </c>
      <c r="G462" s="40">
        <v>2</v>
      </c>
      <c r="H462" s="41">
        <v>50.76</v>
      </c>
    </row>
    <row r="463" spans="1:8" ht="19.95" customHeight="1" x14ac:dyDescent="0.3">
      <c r="A463" s="6" t="s">
        <v>4925</v>
      </c>
      <c r="B463" s="7" t="s">
        <v>4605</v>
      </c>
      <c r="C463" s="6" t="s">
        <v>4835</v>
      </c>
      <c r="D463" s="7" t="s">
        <v>4368</v>
      </c>
      <c r="E463" s="6" t="s">
        <v>6008</v>
      </c>
      <c r="F463" s="42">
        <v>16.899999999999999</v>
      </c>
      <c r="G463" s="42">
        <v>2</v>
      </c>
      <c r="H463" s="43">
        <v>33.799999999999997</v>
      </c>
    </row>
    <row r="464" spans="1:8" ht="19.95" customHeight="1" x14ac:dyDescent="0.3">
      <c r="A464" s="2" t="s">
        <v>4925</v>
      </c>
      <c r="B464" s="3" t="s">
        <v>6009</v>
      </c>
      <c r="C464" s="2" t="s">
        <v>6010</v>
      </c>
      <c r="D464" s="3" t="s">
        <v>6011</v>
      </c>
      <c r="E464" s="2" t="s">
        <v>6012</v>
      </c>
      <c r="F464" s="40">
        <v>21.58</v>
      </c>
      <c r="G464" s="40">
        <v>2</v>
      </c>
      <c r="H464" s="41">
        <v>43.16</v>
      </c>
    </row>
    <row r="465" spans="1:8" ht="19.95" customHeight="1" x14ac:dyDescent="0.3">
      <c r="A465" s="6" t="s">
        <v>4925</v>
      </c>
      <c r="B465" s="7" t="s">
        <v>6009</v>
      </c>
      <c r="C465" s="6" t="s">
        <v>6010</v>
      </c>
      <c r="D465" s="7" t="s">
        <v>6011</v>
      </c>
      <c r="E465" s="6" t="s">
        <v>6013</v>
      </c>
      <c r="F465" s="42">
        <v>43.16</v>
      </c>
      <c r="G465" s="42">
        <v>2</v>
      </c>
      <c r="H465" s="43">
        <v>86.32</v>
      </c>
    </row>
    <row r="466" spans="1:8" ht="19.95" customHeight="1" x14ac:dyDescent="0.3">
      <c r="A466" s="2" t="s">
        <v>4925</v>
      </c>
      <c r="B466" s="3" t="s">
        <v>6009</v>
      </c>
      <c r="C466" s="2" t="s">
        <v>6010</v>
      </c>
      <c r="D466" s="3" t="s">
        <v>6011</v>
      </c>
      <c r="E466" s="2" t="s">
        <v>4270</v>
      </c>
      <c r="F466" s="40">
        <v>21.58</v>
      </c>
      <c r="G466" s="40">
        <v>2</v>
      </c>
      <c r="H466" s="41">
        <v>43.16</v>
      </c>
    </row>
    <row r="467" spans="1:8" ht="19.95" customHeight="1" x14ac:dyDescent="0.3">
      <c r="A467" s="6" t="s">
        <v>4925</v>
      </c>
      <c r="B467" s="7" t="s">
        <v>6014</v>
      </c>
      <c r="C467" s="6" t="s">
        <v>6015</v>
      </c>
      <c r="D467" s="7" t="s">
        <v>6011</v>
      </c>
      <c r="E467" s="6" t="s">
        <v>6016</v>
      </c>
      <c r="F467" s="42">
        <v>21.58</v>
      </c>
      <c r="G467" s="42">
        <v>2</v>
      </c>
      <c r="H467" s="43">
        <v>43.16</v>
      </c>
    </row>
    <row r="468" spans="1:8" ht="19.95" customHeight="1" x14ac:dyDescent="0.3">
      <c r="A468" s="2" t="s">
        <v>4925</v>
      </c>
      <c r="B468" s="3" t="s">
        <v>6014</v>
      </c>
      <c r="C468" s="2" t="s">
        <v>6015</v>
      </c>
      <c r="D468" s="3" t="s">
        <v>6011</v>
      </c>
      <c r="E468" s="2" t="s">
        <v>6013</v>
      </c>
      <c r="F468" s="40">
        <v>43.16</v>
      </c>
      <c r="G468" s="40">
        <v>2</v>
      </c>
      <c r="H468" s="41">
        <v>86.32</v>
      </c>
    </row>
    <row r="469" spans="1:8" ht="19.95" customHeight="1" x14ac:dyDescent="0.3">
      <c r="A469" s="6" t="s">
        <v>4925</v>
      </c>
      <c r="B469" s="7" t="s">
        <v>6014</v>
      </c>
      <c r="C469" s="6" t="s">
        <v>6015</v>
      </c>
      <c r="D469" s="7" t="s">
        <v>6011</v>
      </c>
      <c r="E469" s="6" t="s">
        <v>4270</v>
      </c>
      <c r="F469" s="42">
        <v>21.58</v>
      </c>
      <c r="G469" s="42">
        <v>2</v>
      </c>
      <c r="H469" s="43">
        <v>43.16</v>
      </c>
    </row>
    <row r="470" spans="1:8" ht="19.95" customHeight="1" x14ac:dyDescent="0.3">
      <c r="A470" s="2" t="s">
        <v>4925</v>
      </c>
      <c r="B470" s="3" t="s">
        <v>4605</v>
      </c>
      <c r="C470" s="2" t="s">
        <v>4932</v>
      </c>
      <c r="D470" s="3" t="s">
        <v>4368</v>
      </c>
      <c r="E470" s="2" t="s">
        <v>5997</v>
      </c>
      <c r="F470" s="40">
        <v>25.35</v>
      </c>
      <c r="G470" s="40">
        <v>2</v>
      </c>
      <c r="H470" s="41">
        <v>50.7</v>
      </c>
    </row>
    <row r="471" spans="1:8" ht="19.95" customHeight="1" x14ac:dyDescent="0.3">
      <c r="A471" s="6" t="s">
        <v>4925</v>
      </c>
      <c r="B471" s="7" t="s">
        <v>4605</v>
      </c>
      <c r="C471" s="6" t="s">
        <v>4932</v>
      </c>
      <c r="D471" s="7" t="s">
        <v>4368</v>
      </c>
      <c r="E471" s="6" t="s">
        <v>5880</v>
      </c>
      <c r="F471" s="42">
        <v>13.39</v>
      </c>
      <c r="G471" s="42">
        <v>2</v>
      </c>
      <c r="H471" s="43">
        <v>26.78</v>
      </c>
    </row>
    <row r="472" spans="1:8" ht="19.95" customHeight="1" x14ac:dyDescent="0.3">
      <c r="A472" s="2" t="s">
        <v>4925</v>
      </c>
      <c r="B472" s="3" t="s">
        <v>4934</v>
      </c>
      <c r="C472" s="2" t="s">
        <v>4935</v>
      </c>
      <c r="D472" s="3" t="s">
        <v>4413</v>
      </c>
      <c r="E472" s="2" t="s">
        <v>5969</v>
      </c>
      <c r="F472" s="40">
        <v>26.91</v>
      </c>
      <c r="G472" s="40">
        <v>2</v>
      </c>
      <c r="H472" s="41">
        <v>53.82</v>
      </c>
    </row>
    <row r="473" spans="1:8" ht="19.95" customHeight="1" x14ac:dyDescent="0.3">
      <c r="A473" s="6" t="s">
        <v>4925</v>
      </c>
      <c r="B473" s="7" t="s">
        <v>4934</v>
      </c>
      <c r="C473" s="6" t="s">
        <v>4935</v>
      </c>
      <c r="D473" s="7" t="s">
        <v>4413</v>
      </c>
      <c r="E473" s="6" t="s">
        <v>5880</v>
      </c>
      <c r="F473" s="42">
        <v>19.760000000000002</v>
      </c>
      <c r="G473" s="42">
        <v>2</v>
      </c>
      <c r="H473" s="43">
        <v>39.520000000000003</v>
      </c>
    </row>
    <row r="474" spans="1:8" ht="19.95" customHeight="1" x14ac:dyDescent="0.3">
      <c r="A474" s="2" t="s">
        <v>4925</v>
      </c>
      <c r="B474" s="3" t="s">
        <v>4605</v>
      </c>
      <c r="C474" s="2" t="s">
        <v>4835</v>
      </c>
      <c r="D474" s="3" t="s">
        <v>4413</v>
      </c>
      <c r="E474" s="2" t="s">
        <v>5969</v>
      </c>
      <c r="F474" s="40">
        <v>26.91</v>
      </c>
      <c r="G474" s="40">
        <v>2</v>
      </c>
      <c r="H474" s="41">
        <v>53.82</v>
      </c>
    </row>
    <row r="475" spans="1:8" ht="19.95" customHeight="1" x14ac:dyDescent="0.3">
      <c r="A475" s="6" t="s">
        <v>4925</v>
      </c>
      <c r="B475" s="7" t="s">
        <v>4605</v>
      </c>
      <c r="C475" s="6" t="s">
        <v>4835</v>
      </c>
      <c r="D475" s="7" t="s">
        <v>4413</v>
      </c>
      <c r="E475" s="6" t="s">
        <v>5880</v>
      </c>
      <c r="F475" s="42">
        <v>19.760000000000002</v>
      </c>
      <c r="G475" s="42">
        <v>2</v>
      </c>
      <c r="H475" s="43">
        <v>39.520000000000003</v>
      </c>
    </row>
    <row r="476" spans="1:8" ht="19.95" customHeight="1" x14ac:dyDescent="0.3">
      <c r="A476" s="2" t="s">
        <v>4925</v>
      </c>
      <c r="B476" s="3" t="s">
        <v>4605</v>
      </c>
      <c r="C476" s="2" t="s">
        <v>4835</v>
      </c>
      <c r="D476" s="3" t="s">
        <v>4413</v>
      </c>
      <c r="E476" s="2" t="s">
        <v>5969</v>
      </c>
      <c r="F476" s="40">
        <v>26.91</v>
      </c>
      <c r="G476" s="40">
        <v>2</v>
      </c>
      <c r="H476" s="41">
        <v>53.82</v>
      </c>
    </row>
    <row r="477" spans="1:8" ht="19.95" customHeight="1" x14ac:dyDescent="0.3">
      <c r="A477" s="6" t="s">
        <v>4925</v>
      </c>
      <c r="B477" s="7" t="s">
        <v>4605</v>
      </c>
      <c r="C477" s="6" t="s">
        <v>4835</v>
      </c>
      <c r="D477" s="7" t="s">
        <v>4413</v>
      </c>
      <c r="E477" s="6" t="s">
        <v>5880</v>
      </c>
      <c r="F477" s="42">
        <v>19.760000000000002</v>
      </c>
      <c r="G477" s="42">
        <v>2</v>
      </c>
      <c r="H477" s="43">
        <v>39.520000000000003</v>
      </c>
    </row>
    <row r="478" spans="1:8" ht="19.95" customHeight="1" x14ac:dyDescent="0.3">
      <c r="A478" s="2" t="s">
        <v>4925</v>
      </c>
      <c r="B478" s="3" t="s">
        <v>4605</v>
      </c>
      <c r="C478" s="2" t="s">
        <v>4835</v>
      </c>
      <c r="D478" s="3" t="s">
        <v>4413</v>
      </c>
      <c r="E478" s="2" t="s">
        <v>5969</v>
      </c>
      <c r="F478" s="40">
        <v>26.91</v>
      </c>
      <c r="G478" s="40">
        <v>2</v>
      </c>
      <c r="H478" s="41">
        <v>53.82</v>
      </c>
    </row>
    <row r="479" spans="1:8" ht="19.95" customHeight="1" x14ac:dyDescent="0.3">
      <c r="A479" s="6" t="s">
        <v>4925</v>
      </c>
      <c r="B479" s="7" t="s">
        <v>4605</v>
      </c>
      <c r="C479" s="6" t="s">
        <v>4835</v>
      </c>
      <c r="D479" s="7" t="s">
        <v>4413</v>
      </c>
      <c r="E479" s="6" t="s">
        <v>5880</v>
      </c>
      <c r="F479" s="42">
        <v>19.760000000000002</v>
      </c>
      <c r="G479" s="42">
        <v>2</v>
      </c>
      <c r="H479" s="43">
        <v>39.520000000000003</v>
      </c>
    </row>
    <row r="480" spans="1:8" ht="19.95" customHeight="1" x14ac:dyDescent="0.3">
      <c r="A480" s="2" t="s">
        <v>4925</v>
      </c>
      <c r="B480" s="3" t="s">
        <v>4605</v>
      </c>
      <c r="C480" s="2" t="s">
        <v>4835</v>
      </c>
      <c r="D480" s="3" t="s">
        <v>4413</v>
      </c>
      <c r="E480" s="2" t="s">
        <v>5969</v>
      </c>
      <c r="F480" s="40">
        <v>26.91</v>
      </c>
      <c r="G480" s="40">
        <v>2</v>
      </c>
      <c r="H480" s="41">
        <v>53.82</v>
      </c>
    </row>
    <row r="481" spans="1:8" ht="19.95" customHeight="1" x14ac:dyDescent="0.3">
      <c r="A481" s="6" t="s">
        <v>4925</v>
      </c>
      <c r="B481" s="7" t="s">
        <v>4605</v>
      </c>
      <c r="C481" s="6" t="s">
        <v>4835</v>
      </c>
      <c r="D481" s="7" t="s">
        <v>4413</v>
      </c>
      <c r="E481" s="6" t="s">
        <v>5880</v>
      </c>
      <c r="F481" s="42">
        <v>19.760000000000002</v>
      </c>
      <c r="G481" s="42">
        <v>2</v>
      </c>
      <c r="H481" s="43">
        <v>39.520000000000003</v>
      </c>
    </row>
    <row r="482" spans="1:8" ht="19.95" customHeight="1" x14ac:dyDescent="0.3">
      <c r="A482" s="2" t="s">
        <v>4925</v>
      </c>
      <c r="B482" s="3" t="s">
        <v>4936</v>
      </c>
      <c r="C482" s="2" t="s">
        <v>4937</v>
      </c>
      <c r="D482" s="3" t="s">
        <v>4413</v>
      </c>
      <c r="E482" s="2" t="s">
        <v>5969</v>
      </c>
      <c r="F482" s="40">
        <v>26.91</v>
      </c>
      <c r="G482" s="40">
        <v>2</v>
      </c>
      <c r="H482" s="41">
        <v>53.82</v>
      </c>
    </row>
    <row r="483" spans="1:8" ht="19.95" customHeight="1" x14ac:dyDescent="0.3">
      <c r="A483" s="6" t="s">
        <v>4925</v>
      </c>
      <c r="B483" s="7" t="s">
        <v>4936</v>
      </c>
      <c r="C483" s="6" t="s">
        <v>4937</v>
      </c>
      <c r="D483" s="7" t="s">
        <v>4413</v>
      </c>
      <c r="E483" s="6" t="s">
        <v>5880</v>
      </c>
      <c r="F483" s="42">
        <v>19.760000000000002</v>
      </c>
      <c r="G483" s="42">
        <v>2</v>
      </c>
      <c r="H483" s="43">
        <v>39.520000000000003</v>
      </c>
    </row>
    <row r="484" spans="1:8" ht="19.95" customHeight="1" x14ac:dyDescent="0.3">
      <c r="A484" s="2" t="s">
        <v>4925</v>
      </c>
      <c r="B484" s="3" t="s">
        <v>4605</v>
      </c>
      <c r="C484" s="2" t="s">
        <v>4835</v>
      </c>
      <c r="D484" s="3" t="s">
        <v>4413</v>
      </c>
      <c r="E484" s="2" t="s">
        <v>5969</v>
      </c>
      <c r="F484" s="40">
        <v>26.91</v>
      </c>
      <c r="G484" s="40">
        <v>2</v>
      </c>
      <c r="H484" s="41">
        <v>53.82</v>
      </c>
    </row>
    <row r="485" spans="1:8" ht="19.95" customHeight="1" x14ac:dyDescent="0.3">
      <c r="A485" s="6" t="s">
        <v>4925</v>
      </c>
      <c r="B485" s="7" t="s">
        <v>4605</v>
      </c>
      <c r="C485" s="6" t="s">
        <v>4835</v>
      </c>
      <c r="D485" s="7" t="s">
        <v>4413</v>
      </c>
      <c r="E485" s="6" t="s">
        <v>5880</v>
      </c>
      <c r="F485" s="42">
        <v>19.760000000000002</v>
      </c>
      <c r="G485" s="42">
        <v>2</v>
      </c>
      <c r="H485" s="43">
        <v>39.520000000000003</v>
      </c>
    </row>
    <row r="486" spans="1:8" ht="19.95" customHeight="1" x14ac:dyDescent="0.3">
      <c r="A486" s="2" t="s">
        <v>4925</v>
      </c>
      <c r="B486" s="3" t="s">
        <v>4605</v>
      </c>
      <c r="C486" s="2" t="s">
        <v>4835</v>
      </c>
      <c r="D486" s="3" t="s">
        <v>4413</v>
      </c>
      <c r="E486" s="2" t="s">
        <v>5969</v>
      </c>
      <c r="F486" s="40">
        <v>26.91</v>
      </c>
      <c r="G486" s="40">
        <v>2</v>
      </c>
      <c r="H486" s="41">
        <v>53.82</v>
      </c>
    </row>
    <row r="487" spans="1:8" ht="19.95" customHeight="1" x14ac:dyDescent="0.3">
      <c r="A487" s="6" t="s">
        <v>4925</v>
      </c>
      <c r="B487" s="7" t="s">
        <v>4605</v>
      </c>
      <c r="C487" s="6" t="s">
        <v>4835</v>
      </c>
      <c r="D487" s="7" t="s">
        <v>4413</v>
      </c>
      <c r="E487" s="6" t="s">
        <v>5880</v>
      </c>
      <c r="F487" s="42">
        <v>19.760000000000002</v>
      </c>
      <c r="G487" s="42">
        <v>2</v>
      </c>
      <c r="H487" s="43">
        <v>39.520000000000003</v>
      </c>
    </row>
    <row r="488" spans="1:8" ht="19.95" customHeight="1" x14ac:dyDescent="0.3">
      <c r="A488" s="2" t="s">
        <v>4925</v>
      </c>
      <c r="B488" s="3" t="s">
        <v>4605</v>
      </c>
      <c r="C488" s="2" t="s">
        <v>4835</v>
      </c>
      <c r="D488" s="3" t="s">
        <v>4413</v>
      </c>
      <c r="E488" s="2" t="s">
        <v>5969</v>
      </c>
      <c r="F488" s="40">
        <v>26.91</v>
      </c>
      <c r="G488" s="40">
        <v>2</v>
      </c>
      <c r="H488" s="41">
        <v>53.82</v>
      </c>
    </row>
    <row r="489" spans="1:8" ht="19.95" customHeight="1" x14ac:dyDescent="0.3">
      <c r="A489" s="6" t="s">
        <v>4925</v>
      </c>
      <c r="B489" s="7" t="s">
        <v>4605</v>
      </c>
      <c r="C489" s="6" t="s">
        <v>4835</v>
      </c>
      <c r="D489" s="7" t="s">
        <v>4413</v>
      </c>
      <c r="E489" s="6" t="s">
        <v>5880</v>
      </c>
      <c r="F489" s="42">
        <v>19.760000000000002</v>
      </c>
      <c r="G489" s="42">
        <v>2</v>
      </c>
      <c r="H489" s="43">
        <v>39.520000000000003</v>
      </c>
    </row>
    <row r="490" spans="1:8" ht="19.95" customHeight="1" x14ac:dyDescent="0.3">
      <c r="A490" s="2" t="s">
        <v>4925</v>
      </c>
      <c r="B490" s="3" t="s">
        <v>4605</v>
      </c>
      <c r="C490" s="2" t="s">
        <v>4835</v>
      </c>
      <c r="D490" s="3" t="s">
        <v>4413</v>
      </c>
      <c r="E490" s="2" t="s">
        <v>5969</v>
      </c>
      <c r="F490" s="40">
        <v>26.91</v>
      </c>
      <c r="G490" s="40">
        <v>2</v>
      </c>
      <c r="H490" s="41">
        <v>53.82</v>
      </c>
    </row>
    <row r="491" spans="1:8" ht="19.95" customHeight="1" x14ac:dyDescent="0.3">
      <c r="A491" s="6" t="s">
        <v>4925</v>
      </c>
      <c r="B491" s="7" t="s">
        <v>4605</v>
      </c>
      <c r="C491" s="6" t="s">
        <v>4835</v>
      </c>
      <c r="D491" s="7" t="s">
        <v>4413</v>
      </c>
      <c r="E491" s="6" t="s">
        <v>5880</v>
      </c>
      <c r="F491" s="42">
        <v>19.760000000000002</v>
      </c>
      <c r="G491" s="42">
        <v>2</v>
      </c>
      <c r="H491" s="43">
        <v>39.520000000000003</v>
      </c>
    </row>
    <row r="492" spans="1:8" ht="19.95" customHeight="1" x14ac:dyDescent="0.3">
      <c r="A492" s="2" t="s">
        <v>4925</v>
      </c>
      <c r="B492" s="3" t="s">
        <v>4938</v>
      </c>
      <c r="C492" s="2" t="s">
        <v>4939</v>
      </c>
      <c r="D492" s="3" t="s">
        <v>4413</v>
      </c>
      <c r="E492" s="2" t="s">
        <v>5969</v>
      </c>
      <c r="F492" s="40">
        <v>26.91</v>
      </c>
      <c r="G492" s="40">
        <v>2</v>
      </c>
      <c r="H492" s="41">
        <v>53.82</v>
      </c>
    </row>
    <row r="493" spans="1:8" ht="19.95" customHeight="1" x14ac:dyDescent="0.3">
      <c r="A493" s="6" t="s">
        <v>4925</v>
      </c>
      <c r="B493" s="7" t="s">
        <v>4938</v>
      </c>
      <c r="C493" s="6" t="s">
        <v>4939</v>
      </c>
      <c r="D493" s="7" t="s">
        <v>4413</v>
      </c>
      <c r="E493" s="6" t="s">
        <v>5880</v>
      </c>
      <c r="F493" s="42">
        <v>19.760000000000002</v>
      </c>
      <c r="G493" s="42">
        <v>2</v>
      </c>
      <c r="H493" s="43">
        <v>39.520000000000003</v>
      </c>
    </row>
    <row r="494" spans="1:8" ht="19.95" customHeight="1" x14ac:dyDescent="0.3">
      <c r="A494" s="2" t="s">
        <v>4925</v>
      </c>
      <c r="B494" s="3" t="s">
        <v>4605</v>
      </c>
      <c r="C494" s="2" t="s">
        <v>4835</v>
      </c>
      <c r="D494" s="3" t="s">
        <v>4413</v>
      </c>
      <c r="E494" s="2" t="s">
        <v>5969</v>
      </c>
      <c r="F494" s="40">
        <v>26.91</v>
      </c>
      <c r="G494" s="40">
        <v>2</v>
      </c>
      <c r="H494" s="41">
        <v>53.82</v>
      </c>
    </row>
    <row r="495" spans="1:8" ht="19.95" customHeight="1" x14ac:dyDescent="0.3">
      <c r="A495" s="6" t="s">
        <v>4925</v>
      </c>
      <c r="B495" s="7" t="s">
        <v>4605</v>
      </c>
      <c r="C495" s="6" t="s">
        <v>4835</v>
      </c>
      <c r="D495" s="7" t="s">
        <v>4413</v>
      </c>
      <c r="E495" s="6" t="s">
        <v>5880</v>
      </c>
      <c r="F495" s="42">
        <v>19.760000000000002</v>
      </c>
      <c r="G495" s="42">
        <v>2</v>
      </c>
      <c r="H495" s="43">
        <v>39.520000000000003</v>
      </c>
    </row>
    <row r="496" spans="1:8" ht="19.95" customHeight="1" x14ac:dyDescent="0.3">
      <c r="A496" s="2" t="s">
        <v>4925</v>
      </c>
      <c r="B496" s="3" t="s">
        <v>4605</v>
      </c>
      <c r="C496" s="2" t="s">
        <v>4835</v>
      </c>
      <c r="D496" s="3" t="s">
        <v>4413</v>
      </c>
      <c r="E496" s="2" t="s">
        <v>5969</v>
      </c>
      <c r="F496" s="40">
        <v>26.91</v>
      </c>
      <c r="G496" s="40">
        <v>2</v>
      </c>
      <c r="H496" s="41">
        <v>53.82</v>
      </c>
    </row>
    <row r="497" spans="1:8" ht="19.95" customHeight="1" x14ac:dyDescent="0.3">
      <c r="A497" s="6" t="s">
        <v>4925</v>
      </c>
      <c r="B497" s="7" t="s">
        <v>4605</v>
      </c>
      <c r="C497" s="6" t="s">
        <v>4835</v>
      </c>
      <c r="D497" s="7" t="s">
        <v>4413</v>
      </c>
      <c r="E497" s="6" t="s">
        <v>5880</v>
      </c>
      <c r="F497" s="42">
        <v>19.760000000000002</v>
      </c>
      <c r="G497" s="42">
        <v>2</v>
      </c>
      <c r="H497" s="43">
        <v>39.520000000000003</v>
      </c>
    </row>
    <row r="498" spans="1:8" ht="19.95" customHeight="1" x14ac:dyDescent="0.3">
      <c r="A498" s="2" t="s">
        <v>4925</v>
      </c>
      <c r="B498" s="3" t="s">
        <v>4605</v>
      </c>
      <c r="C498" s="2" t="s">
        <v>4835</v>
      </c>
      <c r="D498" s="3" t="s">
        <v>4413</v>
      </c>
      <c r="E498" s="2" t="s">
        <v>5969</v>
      </c>
      <c r="F498" s="40">
        <v>26.91</v>
      </c>
      <c r="G498" s="40">
        <v>2</v>
      </c>
      <c r="H498" s="41">
        <v>53.82</v>
      </c>
    </row>
    <row r="499" spans="1:8" ht="19.95" customHeight="1" x14ac:dyDescent="0.3">
      <c r="A499" s="6" t="s">
        <v>4925</v>
      </c>
      <c r="B499" s="7" t="s">
        <v>4605</v>
      </c>
      <c r="C499" s="6" t="s">
        <v>4835</v>
      </c>
      <c r="D499" s="7" t="s">
        <v>4413</v>
      </c>
      <c r="E499" s="6" t="s">
        <v>5880</v>
      </c>
      <c r="F499" s="42">
        <v>19.760000000000002</v>
      </c>
      <c r="G499" s="42">
        <v>2</v>
      </c>
      <c r="H499" s="43">
        <v>39.520000000000003</v>
      </c>
    </row>
    <row r="500" spans="1:8" ht="19.95" customHeight="1" x14ac:dyDescent="0.3">
      <c r="A500" s="2" t="s">
        <v>4925</v>
      </c>
      <c r="B500" s="3" t="s">
        <v>4605</v>
      </c>
      <c r="C500" s="2" t="s">
        <v>4835</v>
      </c>
      <c r="D500" s="3" t="s">
        <v>4413</v>
      </c>
      <c r="E500" s="2" t="s">
        <v>5969</v>
      </c>
      <c r="F500" s="40">
        <v>26.91</v>
      </c>
      <c r="G500" s="40">
        <v>2</v>
      </c>
      <c r="H500" s="41">
        <v>53.82</v>
      </c>
    </row>
    <row r="501" spans="1:8" ht="19.95" customHeight="1" x14ac:dyDescent="0.3">
      <c r="A501" s="6" t="s">
        <v>4925</v>
      </c>
      <c r="B501" s="7" t="s">
        <v>4605</v>
      </c>
      <c r="C501" s="6" t="s">
        <v>4835</v>
      </c>
      <c r="D501" s="7" t="s">
        <v>4413</v>
      </c>
      <c r="E501" s="6" t="s">
        <v>5880</v>
      </c>
      <c r="F501" s="42">
        <v>19.760000000000002</v>
      </c>
      <c r="G501" s="42">
        <v>2</v>
      </c>
      <c r="H501" s="43">
        <v>39.520000000000003</v>
      </c>
    </row>
    <row r="502" spans="1:8" ht="19.95" customHeight="1" x14ac:dyDescent="0.3">
      <c r="A502" s="2" t="s">
        <v>4925</v>
      </c>
      <c r="B502" s="3" t="s">
        <v>4940</v>
      </c>
      <c r="C502" s="2" t="s">
        <v>4941</v>
      </c>
      <c r="D502" s="3" t="s">
        <v>4413</v>
      </c>
      <c r="E502" s="2" t="s">
        <v>5969</v>
      </c>
      <c r="F502" s="40">
        <v>26.91</v>
      </c>
      <c r="G502" s="40">
        <v>2</v>
      </c>
      <c r="H502" s="41">
        <v>53.82</v>
      </c>
    </row>
    <row r="503" spans="1:8" ht="19.95" customHeight="1" x14ac:dyDescent="0.3">
      <c r="A503" s="6" t="s">
        <v>4925</v>
      </c>
      <c r="B503" s="7" t="s">
        <v>4940</v>
      </c>
      <c r="C503" s="6" t="s">
        <v>4941</v>
      </c>
      <c r="D503" s="7" t="s">
        <v>4413</v>
      </c>
      <c r="E503" s="6" t="s">
        <v>5880</v>
      </c>
      <c r="F503" s="42">
        <v>19.760000000000002</v>
      </c>
      <c r="G503" s="42">
        <v>2</v>
      </c>
      <c r="H503" s="43">
        <v>39.520000000000003</v>
      </c>
    </row>
    <row r="504" spans="1:8" ht="19.95" customHeight="1" x14ac:dyDescent="0.3">
      <c r="A504" s="2" t="s">
        <v>4925</v>
      </c>
      <c r="B504" s="3" t="s">
        <v>4605</v>
      </c>
      <c r="C504" s="2" t="s">
        <v>4835</v>
      </c>
      <c r="D504" s="3" t="s">
        <v>4413</v>
      </c>
      <c r="E504" s="2" t="s">
        <v>5969</v>
      </c>
      <c r="F504" s="40">
        <v>26.91</v>
      </c>
      <c r="G504" s="40">
        <v>2</v>
      </c>
      <c r="H504" s="41">
        <v>53.82</v>
      </c>
    </row>
    <row r="505" spans="1:8" ht="19.95" customHeight="1" x14ac:dyDescent="0.3">
      <c r="A505" s="6" t="s">
        <v>4925</v>
      </c>
      <c r="B505" s="7" t="s">
        <v>4605</v>
      </c>
      <c r="C505" s="6" t="s">
        <v>4835</v>
      </c>
      <c r="D505" s="7" t="s">
        <v>4413</v>
      </c>
      <c r="E505" s="6" t="s">
        <v>5880</v>
      </c>
      <c r="F505" s="42">
        <v>19.760000000000002</v>
      </c>
      <c r="G505" s="42">
        <v>2</v>
      </c>
      <c r="H505" s="43">
        <v>39.520000000000003</v>
      </c>
    </row>
    <row r="506" spans="1:8" ht="19.95" customHeight="1" x14ac:dyDescent="0.3">
      <c r="A506" s="2" t="s">
        <v>4925</v>
      </c>
      <c r="B506" s="3" t="s">
        <v>4605</v>
      </c>
      <c r="C506" s="2" t="s">
        <v>4835</v>
      </c>
      <c r="D506" s="3" t="s">
        <v>4413</v>
      </c>
      <c r="E506" s="2" t="s">
        <v>5969</v>
      </c>
      <c r="F506" s="40">
        <v>26.91</v>
      </c>
      <c r="G506" s="40">
        <v>2</v>
      </c>
      <c r="H506" s="41">
        <v>53.82</v>
      </c>
    </row>
    <row r="507" spans="1:8" ht="19.95" customHeight="1" x14ac:dyDescent="0.3">
      <c r="A507" s="6" t="s">
        <v>4925</v>
      </c>
      <c r="B507" s="7" t="s">
        <v>4605</v>
      </c>
      <c r="C507" s="6" t="s">
        <v>4835</v>
      </c>
      <c r="D507" s="7" t="s">
        <v>4413</v>
      </c>
      <c r="E507" s="6" t="s">
        <v>5880</v>
      </c>
      <c r="F507" s="42">
        <v>19.760000000000002</v>
      </c>
      <c r="G507" s="42">
        <v>2</v>
      </c>
      <c r="H507" s="43">
        <v>39.520000000000003</v>
      </c>
    </row>
    <row r="508" spans="1:8" ht="19.95" customHeight="1" x14ac:dyDescent="0.3">
      <c r="A508" s="2" t="s">
        <v>4925</v>
      </c>
      <c r="B508" s="3" t="s">
        <v>4605</v>
      </c>
      <c r="C508" s="2" t="s">
        <v>4835</v>
      </c>
      <c r="D508" s="3" t="s">
        <v>4413</v>
      </c>
      <c r="E508" s="2" t="s">
        <v>5969</v>
      </c>
      <c r="F508" s="40">
        <v>26.91</v>
      </c>
      <c r="G508" s="40">
        <v>2</v>
      </c>
      <c r="H508" s="41">
        <v>53.82</v>
      </c>
    </row>
    <row r="509" spans="1:8" ht="19.95" customHeight="1" x14ac:dyDescent="0.3">
      <c r="A509" s="6" t="s">
        <v>4925</v>
      </c>
      <c r="B509" s="7" t="s">
        <v>4605</v>
      </c>
      <c r="C509" s="6" t="s">
        <v>4835</v>
      </c>
      <c r="D509" s="7" t="s">
        <v>4413</v>
      </c>
      <c r="E509" s="6" t="s">
        <v>5880</v>
      </c>
      <c r="F509" s="42">
        <v>19.760000000000002</v>
      </c>
      <c r="G509" s="42">
        <v>2</v>
      </c>
      <c r="H509" s="43">
        <v>39.520000000000003</v>
      </c>
    </row>
    <row r="510" spans="1:8" ht="19.95" customHeight="1" x14ac:dyDescent="0.3">
      <c r="A510" s="2" t="s">
        <v>4925</v>
      </c>
      <c r="B510" s="3" t="s">
        <v>4605</v>
      </c>
      <c r="C510" s="2" t="s">
        <v>4835</v>
      </c>
      <c r="D510" s="3" t="s">
        <v>4413</v>
      </c>
      <c r="E510" s="2" t="s">
        <v>5969</v>
      </c>
      <c r="F510" s="40">
        <v>26.91</v>
      </c>
      <c r="G510" s="40">
        <v>2</v>
      </c>
      <c r="H510" s="41">
        <v>53.82</v>
      </c>
    </row>
    <row r="511" spans="1:8" ht="19.95" customHeight="1" x14ac:dyDescent="0.3">
      <c r="A511" s="6" t="s">
        <v>4925</v>
      </c>
      <c r="B511" s="7" t="s">
        <v>4605</v>
      </c>
      <c r="C511" s="6" t="s">
        <v>4835</v>
      </c>
      <c r="D511" s="7" t="s">
        <v>4413</v>
      </c>
      <c r="E511" s="6" t="s">
        <v>5880</v>
      </c>
      <c r="F511" s="42">
        <v>19.760000000000002</v>
      </c>
      <c r="G511" s="42">
        <v>2</v>
      </c>
      <c r="H511" s="43">
        <v>39.520000000000003</v>
      </c>
    </row>
    <row r="512" spans="1:8" ht="19.95" customHeight="1" x14ac:dyDescent="0.3">
      <c r="A512" s="2" t="s">
        <v>4925</v>
      </c>
      <c r="B512" s="3" t="s">
        <v>4942</v>
      </c>
      <c r="C512" s="2" t="s">
        <v>4943</v>
      </c>
      <c r="D512" s="3" t="s">
        <v>4413</v>
      </c>
      <c r="E512" s="2" t="s">
        <v>5969</v>
      </c>
      <c r="F512" s="40">
        <v>26.91</v>
      </c>
      <c r="G512" s="40">
        <v>2</v>
      </c>
      <c r="H512" s="41">
        <v>53.82</v>
      </c>
    </row>
    <row r="513" spans="1:8" ht="19.95" customHeight="1" x14ac:dyDescent="0.3">
      <c r="A513" s="6" t="s">
        <v>4925</v>
      </c>
      <c r="B513" s="7" t="s">
        <v>4942</v>
      </c>
      <c r="C513" s="6" t="s">
        <v>4943</v>
      </c>
      <c r="D513" s="7" t="s">
        <v>4413</v>
      </c>
      <c r="E513" s="6" t="s">
        <v>5880</v>
      </c>
      <c r="F513" s="42">
        <v>19.760000000000002</v>
      </c>
      <c r="G513" s="42">
        <v>2</v>
      </c>
      <c r="H513" s="43">
        <v>39.520000000000003</v>
      </c>
    </row>
    <row r="514" spans="1:8" ht="19.95" customHeight="1" x14ac:dyDescent="0.3">
      <c r="A514" s="2" t="s">
        <v>4925</v>
      </c>
      <c r="B514" s="3" t="s">
        <v>4605</v>
      </c>
      <c r="C514" s="2" t="s">
        <v>4835</v>
      </c>
      <c r="D514" s="3" t="s">
        <v>4413</v>
      </c>
      <c r="E514" s="2" t="s">
        <v>5969</v>
      </c>
      <c r="F514" s="40">
        <v>26.91</v>
      </c>
      <c r="G514" s="40">
        <v>2</v>
      </c>
      <c r="H514" s="41">
        <v>53.82</v>
      </c>
    </row>
    <row r="515" spans="1:8" ht="19.95" customHeight="1" x14ac:dyDescent="0.3">
      <c r="A515" s="6" t="s">
        <v>4925</v>
      </c>
      <c r="B515" s="7" t="s">
        <v>4605</v>
      </c>
      <c r="C515" s="6" t="s">
        <v>4835</v>
      </c>
      <c r="D515" s="7" t="s">
        <v>4413</v>
      </c>
      <c r="E515" s="6" t="s">
        <v>5880</v>
      </c>
      <c r="F515" s="42">
        <v>19.760000000000002</v>
      </c>
      <c r="G515" s="42">
        <v>2</v>
      </c>
      <c r="H515" s="43">
        <v>39.520000000000003</v>
      </c>
    </row>
    <row r="516" spans="1:8" ht="19.95" customHeight="1" x14ac:dyDescent="0.3">
      <c r="A516" s="2" t="s">
        <v>4925</v>
      </c>
      <c r="B516" s="3" t="s">
        <v>4603</v>
      </c>
      <c r="C516" s="2" t="s">
        <v>6004</v>
      </c>
      <c r="D516" s="3" t="s">
        <v>4368</v>
      </c>
      <c r="E516" s="2" t="s">
        <v>6005</v>
      </c>
      <c r="F516" s="40">
        <v>65</v>
      </c>
      <c r="G516" s="40">
        <v>2</v>
      </c>
      <c r="H516" s="41">
        <v>130</v>
      </c>
    </row>
    <row r="517" spans="1:8" ht="19.95" customHeight="1" x14ac:dyDescent="0.3">
      <c r="A517" s="6" t="s">
        <v>4925</v>
      </c>
      <c r="B517" s="7" t="s">
        <v>6017</v>
      </c>
      <c r="C517" s="6" t="s">
        <v>6018</v>
      </c>
      <c r="D517" s="7" t="s">
        <v>6019</v>
      </c>
      <c r="E517" s="6" t="s">
        <v>6020</v>
      </c>
      <c r="F517" s="42">
        <v>3.9</v>
      </c>
      <c r="G517" s="42">
        <v>2</v>
      </c>
      <c r="H517" s="43">
        <v>7.8</v>
      </c>
    </row>
    <row r="518" spans="1:8" ht="19.95" customHeight="1" x14ac:dyDescent="0.3">
      <c r="A518" s="2" t="s">
        <v>4925</v>
      </c>
      <c r="B518" s="3" t="s">
        <v>4603</v>
      </c>
      <c r="C518" s="2" t="s">
        <v>6004</v>
      </c>
      <c r="D518" s="3" t="s">
        <v>4368</v>
      </c>
      <c r="E518" s="2" t="s">
        <v>6021</v>
      </c>
      <c r="F518" s="40">
        <v>1.95</v>
      </c>
      <c r="G518" s="40">
        <v>2</v>
      </c>
      <c r="H518" s="41">
        <v>3.9</v>
      </c>
    </row>
    <row r="519" spans="1:8" ht="19.95" customHeight="1" x14ac:dyDescent="0.3">
      <c r="A519" s="6" t="s">
        <v>4925</v>
      </c>
      <c r="B519" s="7" t="s">
        <v>4928</v>
      </c>
      <c r="C519" s="6" t="s">
        <v>4929</v>
      </c>
      <c r="D519" s="7" t="s">
        <v>4368</v>
      </c>
      <c r="E519" s="6" t="s">
        <v>6022</v>
      </c>
      <c r="F519" s="42">
        <v>40.43</v>
      </c>
      <c r="G519" s="42">
        <v>2</v>
      </c>
      <c r="H519" s="43">
        <v>80.86</v>
      </c>
    </row>
    <row r="520" spans="1:8" ht="19.95" customHeight="1" x14ac:dyDescent="0.3">
      <c r="A520" s="2" t="s">
        <v>4925</v>
      </c>
      <c r="B520" s="3" t="s">
        <v>4928</v>
      </c>
      <c r="C520" s="2" t="s">
        <v>4929</v>
      </c>
      <c r="D520" s="3" t="s">
        <v>4368</v>
      </c>
      <c r="E520" s="2" t="s">
        <v>6023</v>
      </c>
      <c r="F520" s="40">
        <v>26.91</v>
      </c>
      <c r="G520" s="40">
        <v>2</v>
      </c>
      <c r="H520" s="41">
        <v>53.82</v>
      </c>
    </row>
    <row r="521" spans="1:8" ht="19.95" customHeight="1" x14ac:dyDescent="0.3">
      <c r="A521" s="6" t="s">
        <v>4925</v>
      </c>
      <c r="B521" s="7" t="s">
        <v>4605</v>
      </c>
      <c r="C521" s="6" t="s">
        <v>4835</v>
      </c>
      <c r="D521" s="7" t="s">
        <v>4368</v>
      </c>
      <c r="E521" s="6" t="s">
        <v>6024</v>
      </c>
      <c r="F521" s="42">
        <v>40.43</v>
      </c>
      <c r="G521" s="42">
        <v>2</v>
      </c>
      <c r="H521" s="43">
        <v>80.86</v>
      </c>
    </row>
    <row r="522" spans="1:8" ht="19.95" customHeight="1" x14ac:dyDescent="0.3">
      <c r="A522" s="2" t="s">
        <v>4925</v>
      </c>
      <c r="B522" s="3" t="s">
        <v>4605</v>
      </c>
      <c r="C522" s="2" t="s">
        <v>4835</v>
      </c>
      <c r="D522" s="3" t="s">
        <v>4368</v>
      </c>
      <c r="E522" s="2" t="s">
        <v>4270</v>
      </c>
      <c r="F522" s="40">
        <v>111.54</v>
      </c>
      <c r="G522" s="40">
        <v>2</v>
      </c>
      <c r="H522" s="41">
        <v>223.08</v>
      </c>
    </row>
    <row r="523" spans="1:8" ht="19.95" customHeight="1" x14ac:dyDescent="0.3">
      <c r="A523" s="6" t="s">
        <v>4925</v>
      </c>
      <c r="B523" s="7" t="s">
        <v>4944</v>
      </c>
      <c r="C523" s="6" t="s">
        <v>4945</v>
      </c>
      <c r="D523" s="7" t="s">
        <v>4368</v>
      </c>
      <c r="E523" s="6" t="s">
        <v>5880</v>
      </c>
      <c r="F523" s="42">
        <v>215.28</v>
      </c>
      <c r="G523" s="42">
        <v>2</v>
      </c>
      <c r="H523" s="43">
        <v>430.56</v>
      </c>
    </row>
    <row r="524" spans="1:8" ht="19.95" customHeight="1" x14ac:dyDescent="0.3">
      <c r="A524" s="2" t="s">
        <v>4925</v>
      </c>
      <c r="B524" s="3" t="s">
        <v>4944</v>
      </c>
      <c r="C524" s="2" t="s">
        <v>4945</v>
      </c>
      <c r="D524" s="3" t="s">
        <v>4368</v>
      </c>
      <c r="E524" s="2" t="s">
        <v>4270</v>
      </c>
      <c r="F524" s="40">
        <v>28.6</v>
      </c>
      <c r="G524" s="40">
        <v>2</v>
      </c>
      <c r="H524" s="41">
        <v>57.2</v>
      </c>
    </row>
    <row r="525" spans="1:8" ht="19.95" customHeight="1" x14ac:dyDescent="0.3">
      <c r="A525" s="6" t="s">
        <v>4925</v>
      </c>
      <c r="B525" s="7" t="s">
        <v>4946</v>
      </c>
      <c r="C525" s="6" t="s">
        <v>4947</v>
      </c>
      <c r="D525" s="7" t="s">
        <v>4413</v>
      </c>
      <c r="E525" s="6" t="s">
        <v>5880</v>
      </c>
      <c r="F525" s="42">
        <v>19.760000000000002</v>
      </c>
      <c r="G525" s="42">
        <v>2</v>
      </c>
      <c r="H525" s="43">
        <v>39.520000000000003</v>
      </c>
    </row>
    <row r="526" spans="1:8" ht="19.95" customHeight="1" x14ac:dyDescent="0.3">
      <c r="A526" s="2" t="s">
        <v>4925</v>
      </c>
      <c r="B526" s="3" t="s">
        <v>4946</v>
      </c>
      <c r="C526" s="2" t="s">
        <v>4947</v>
      </c>
      <c r="D526" s="3" t="s">
        <v>4413</v>
      </c>
      <c r="E526" s="2" t="s">
        <v>6025</v>
      </c>
      <c r="F526" s="40">
        <v>51.1</v>
      </c>
      <c r="G526" s="40">
        <v>2</v>
      </c>
      <c r="H526" s="41">
        <v>102.2</v>
      </c>
    </row>
    <row r="527" spans="1:8" ht="19.95" customHeight="1" x14ac:dyDescent="0.3">
      <c r="A527" s="6" t="s">
        <v>4925</v>
      </c>
      <c r="B527" s="7" t="s">
        <v>4946</v>
      </c>
      <c r="C527" s="6" t="s">
        <v>4947</v>
      </c>
      <c r="D527" s="7" t="s">
        <v>4413</v>
      </c>
      <c r="E527" s="6" t="s">
        <v>6026</v>
      </c>
      <c r="F527" s="42">
        <v>68.25</v>
      </c>
      <c r="G527" s="42">
        <v>2</v>
      </c>
      <c r="H527" s="43">
        <v>136.5</v>
      </c>
    </row>
    <row r="528" spans="1:8" ht="19.95" customHeight="1" x14ac:dyDescent="0.3">
      <c r="A528" s="2" t="s">
        <v>4925</v>
      </c>
      <c r="B528" s="3" t="s">
        <v>4948</v>
      </c>
      <c r="C528" s="2" t="s">
        <v>4949</v>
      </c>
      <c r="D528" s="3" t="s">
        <v>4413</v>
      </c>
      <c r="E528" s="2" t="s">
        <v>5880</v>
      </c>
      <c r="F528" s="40">
        <v>19.760000000000002</v>
      </c>
      <c r="G528" s="40">
        <v>2</v>
      </c>
      <c r="H528" s="41">
        <v>39.520000000000003</v>
      </c>
    </row>
    <row r="529" spans="1:8" ht="19.95" customHeight="1" x14ac:dyDescent="0.3">
      <c r="A529" s="6" t="s">
        <v>4925</v>
      </c>
      <c r="B529" s="7" t="s">
        <v>4948</v>
      </c>
      <c r="C529" s="6" t="s">
        <v>4949</v>
      </c>
      <c r="D529" s="7" t="s">
        <v>4413</v>
      </c>
      <c r="E529" s="6" t="s">
        <v>6025</v>
      </c>
      <c r="F529" s="42">
        <v>51.1</v>
      </c>
      <c r="G529" s="42">
        <v>2</v>
      </c>
      <c r="H529" s="43">
        <v>102.2</v>
      </c>
    </row>
    <row r="530" spans="1:8" ht="19.95" customHeight="1" x14ac:dyDescent="0.3">
      <c r="A530" s="2" t="s">
        <v>4925</v>
      </c>
      <c r="B530" s="3" t="s">
        <v>4948</v>
      </c>
      <c r="C530" s="2" t="s">
        <v>4949</v>
      </c>
      <c r="D530" s="3" t="s">
        <v>4413</v>
      </c>
      <c r="E530" s="2" t="s">
        <v>6026</v>
      </c>
      <c r="F530" s="40">
        <v>68.25</v>
      </c>
      <c r="G530" s="40">
        <v>2</v>
      </c>
      <c r="H530" s="41">
        <v>136.5</v>
      </c>
    </row>
    <row r="531" spans="1:8" ht="19.95" customHeight="1" x14ac:dyDescent="0.3">
      <c r="A531" s="6" t="s">
        <v>4925</v>
      </c>
      <c r="B531" s="7" t="s">
        <v>4623</v>
      </c>
      <c r="C531" s="6" t="s">
        <v>4933</v>
      </c>
      <c r="D531" s="7" t="s">
        <v>4368</v>
      </c>
      <c r="E531" s="6" t="s">
        <v>4270</v>
      </c>
      <c r="F531" s="42">
        <v>80.73</v>
      </c>
      <c r="G531" s="42">
        <v>2</v>
      </c>
      <c r="H531" s="43">
        <v>139.66</v>
      </c>
    </row>
    <row r="532" spans="1:8" ht="19.95" customHeight="1" x14ac:dyDescent="0.3">
      <c r="A532" s="2" t="s">
        <v>4925</v>
      </c>
      <c r="B532" s="3" t="s">
        <v>6027</v>
      </c>
      <c r="C532" s="2" t="s">
        <v>6028</v>
      </c>
      <c r="D532" s="3" t="s">
        <v>4368</v>
      </c>
      <c r="E532" s="2" t="s">
        <v>6029</v>
      </c>
      <c r="F532" s="40">
        <v>80.73</v>
      </c>
      <c r="G532" s="40">
        <v>2</v>
      </c>
      <c r="H532" s="41">
        <v>161.46</v>
      </c>
    </row>
    <row r="533" spans="1:8" ht="19.95" customHeight="1" x14ac:dyDescent="0.3">
      <c r="A533" s="6" t="s">
        <v>4925</v>
      </c>
      <c r="B533" s="7" t="s">
        <v>4950</v>
      </c>
      <c r="C533" s="6" t="s">
        <v>4951</v>
      </c>
      <c r="D533" s="7" t="s">
        <v>279</v>
      </c>
      <c r="E533" s="6" t="s">
        <v>6030</v>
      </c>
      <c r="F533" s="42">
        <v>20.8</v>
      </c>
      <c r="G533" s="42">
        <v>2</v>
      </c>
      <c r="H533" s="43">
        <v>41.6</v>
      </c>
    </row>
    <row r="534" spans="1:8" ht="19.95" customHeight="1" x14ac:dyDescent="0.3">
      <c r="A534" s="2" t="s">
        <v>4925</v>
      </c>
      <c r="B534" s="3" t="s">
        <v>4950</v>
      </c>
      <c r="C534" s="2" t="s">
        <v>4951</v>
      </c>
      <c r="D534" s="3" t="s">
        <v>279</v>
      </c>
      <c r="E534" s="2" t="s">
        <v>4270</v>
      </c>
      <c r="F534" s="40">
        <v>20.8</v>
      </c>
      <c r="G534" s="40">
        <v>2</v>
      </c>
      <c r="H534" s="41">
        <v>41.6</v>
      </c>
    </row>
    <row r="535" spans="1:8" ht="19.95" customHeight="1" x14ac:dyDescent="0.3">
      <c r="A535" s="6" t="s">
        <v>4925</v>
      </c>
      <c r="B535" s="7" t="s">
        <v>6031</v>
      </c>
      <c r="C535" s="6" t="s">
        <v>6032</v>
      </c>
      <c r="D535" s="7" t="s">
        <v>4368</v>
      </c>
      <c r="E535" s="6" t="s">
        <v>6033</v>
      </c>
      <c r="F535" s="42">
        <v>20.8</v>
      </c>
      <c r="G535" s="42">
        <v>2</v>
      </c>
      <c r="H535" s="43">
        <v>41.6</v>
      </c>
    </row>
    <row r="536" spans="1:8" ht="19.95" customHeight="1" x14ac:dyDescent="0.3">
      <c r="A536" s="2" t="s">
        <v>4925</v>
      </c>
      <c r="B536" s="3" t="s">
        <v>6034</v>
      </c>
      <c r="C536" s="2" t="s">
        <v>6035</v>
      </c>
      <c r="D536" s="3" t="s">
        <v>4368</v>
      </c>
      <c r="E536" s="2" t="s">
        <v>6033</v>
      </c>
      <c r="F536" s="40">
        <v>26</v>
      </c>
      <c r="G536" s="40">
        <v>2</v>
      </c>
      <c r="H536" s="41">
        <v>52</v>
      </c>
    </row>
    <row r="537" spans="1:8" ht="19.95" customHeight="1" x14ac:dyDescent="0.3">
      <c r="A537" s="6" t="s">
        <v>4925</v>
      </c>
      <c r="B537" s="7" t="s">
        <v>6036</v>
      </c>
      <c r="C537" s="6" t="s">
        <v>6037</v>
      </c>
      <c r="D537" s="7" t="s">
        <v>4368</v>
      </c>
      <c r="E537" s="6" t="s">
        <v>6033</v>
      </c>
      <c r="F537" s="42">
        <v>26</v>
      </c>
      <c r="G537" s="42">
        <v>2</v>
      </c>
      <c r="H537" s="43">
        <v>52</v>
      </c>
    </row>
    <row r="538" spans="1:8" ht="19.95" customHeight="1" x14ac:dyDescent="0.3">
      <c r="A538" s="2" t="s">
        <v>4925</v>
      </c>
      <c r="B538" s="3" t="s">
        <v>6038</v>
      </c>
      <c r="C538" s="2" t="s">
        <v>6039</v>
      </c>
      <c r="D538" s="3" t="s">
        <v>4368</v>
      </c>
      <c r="E538" s="2" t="s">
        <v>6033</v>
      </c>
      <c r="F538" s="40">
        <v>26</v>
      </c>
      <c r="G538" s="40">
        <v>2</v>
      </c>
      <c r="H538" s="41">
        <v>52</v>
      </c>
    </row>
    <row r="539" spans="1:8" ht="19.95" customHeight="1" x14ac:dyDescent="0.3">
      <c r="A539" s="6" t="s">
        <v>4925</v>
      </c>
      <c r="B539" s="7" t="s">
        <v>4926</v>
      </c>
      <c r="C539" s="6" t="s">
        <v>4927</v>
      </c>
      <c r="D539" s="7" t="s">
        <v>4368</v>
      </c>
      <c r="E539" s="6" t="s">
        <v>6040</v>
      </c>
      <c r="F539" s="42">
        <v>53.82</v>
      </c>
      <c r="G539" s="42">
        <v>2</v>
      </c>
      <c r="H539" s="43">
        <v>107.64</v>
      </c>
    </row>
    <row r="540" spans="1:8" ht="19.95" customHeight="1" x14ac:dyDescent="0.3">
      <c r="A540" s="2" t="s">
        <v>4925</v>
      </c>
      <c r="B540" s="3" t="s">
        <v>4926</v>
      </c>
      <c r="C540" s="2" t="s">
        <v>4927</v>
      </c>
      <c r="D540" s="3" t="s">
        <v>4368</v>
      </c>
      <c r="E540" s="2" t="s">
        <v>6040</v>
      </c>
      <c r="F540" s="40">
        <v>53.82</v>
      </c>
      <c r="G540" s="40">
        <v>2</v>
      </c>
      <c r="H540" s="41">
        <v>107.64</v>
      </c>
    </row>
    <row r="541" spans="1:8" ht="19.95" customHeight="1" x14ac:dyDescent="0.3">
      <c r="A541" s="6" t="s">
        <v>4925</v>
      </c>
      <c r="B541" s="7" t="s">
        <v>4926</v>
      </c>
      <c r="C541" s="6" t="s">
        <v>4927</v>
      </c>
      <c r="D541" s="7" t="s">
        <v>4368</v>
      </c>
      <c r="E541" s="6" t="s">
        <v>6040</v>
      </c>
      <c r="F541" s="42">
        <v>53.82</v>
      </c>
      <c r="G541" s="42">
        <v>2</v>
      </c>
      <c r="H541" s="43">
        <v>107.64</v>
      </c>
    </row>
    <row r="542" spans="1:8" ht="19.95" customHeight="1" x14ac:dyDescent="0.3">
      <c r="A542" s="2" t="s">
        <v>4925</v>
      </c>
      <c r="B542" s="3" t="s">
        <v>4926</v>
      </c>
      <c r="C542" s="2" t="s">
        <v>4927</v>
      </c>
      <c r="D542" s="3" t="s">
        <v>4368</v>
      </c>
      <c r="E542" s="2" t="s">
        <v>6040</v>
      </c>
      <c r="F542" s="40">
        <v>53.82</v>
      </c>
      <c r="G542" s="40">
        <v>2</v>
      </c>
      <c r="H542" s="41">
        <v>107.64</v>
      </c>
    </row>
    <row r="543" spans="1:8" ht="19.95" customHeight="1" x14ac:dyDescent="0.3">
      <c r="A543" s="6" t="s">
        <v>4925</v>
      </c>
      <c r="B543" s="7" t="s">
        <v>6041</v>
      </c>
      <c r="C543" s="6" t="s">
        <v>6042</v>
      </c>
      <c r="D543" s="7" t="s">
        <v>4416</v>
      </c>
      <c r="E543" s="6" t="s">
        <v>6043</v>
      </c>
      <c r="F543" s="42">
        <v>26.91</v>
      </c>
      <c r="G543" s="42">
        <v>2</v>
      </c>
      <c r="H543" s="43">
        <v>53.82</v>
      </c>
    </row>
    <row r="544" spans="1:8" ht="19.95" customHeight="1" x14ac:dyDescent="0.3">
      <c r="A544" s="2" t="s">
        <v>4925</v>
      </c>
      <c r="B544" s="3" t="s">
        <v>6044</v>
      </c>
      <c r="C544" s="2" t="s">
        <v>6045</v>
      </c>
      <c r="D544" s="3" t="s">
        <v>4416</v>
      </c>
      <c r="E544" s="2" t="s">
        <v>6043</v>
      </c>
      <c r="F544" s="40">
        <v>26.91</v>
      </c>
      <c r="G544" s="40">
        <v>2</v>
      </c>
      <c r="H544" s="41">
        <v>53.82</v>
      </c>
    </row>
    <row r="545" spans="1:8" ht="19.95" customHeight="1" x14ac:dyDescent="0.3">
      <c r="A545" s="6" t="s">
        <v>4925</v>
      </c>
      <c r="B545" s="7" t="s">
        <v>6046</v>
      </c>
      <c r="C545" s="6" t="s">
        <v>6047</v>
      </c>
      <c r="D545" s="7" t="s">
        <v>4416</v>
      </c>
      <c r="E545" s="6" t="s">
        <v>6048</v>
      </c>
      <c r="F545" s="42">
        <v>26.91</v>
      </c>
      <c r="G545" s="42">
        <v>2</v>
      </c>
      <c r="H545" s="43">
        <v>53.82</v>
      </c>
    </row>
    <row r="546" spans="1:8" ht="19.95" customHeight="1" x14ac:dyDescent="0.3">
      <c r="A546" s="2" t="s">
        <v>4925</v>
      </c>
      <c r="B546" s="3" t="s">
        <v>4952</v>
      </c>
      <c r="C546" s="2" t="s">
        <v>4953</v>
      </c>
      <c r="D546" s="3" t="s">
        <v>4954</v>
      </c>
      <c r="E546" s="2" t="s">
        <v>4270</v>
      </c>
      <c r="F546" s="40">
        <v>6.76</v>
      </c>
      <c r="G546" s="40">
        <v>2</v>
      </c>
      <c r="H546" s="41">
        <v>13.52</v>
      </c>
    </row>
    <row r="547" spans="1:8" ht="19.95" customHeight="1" x14ac:dyDescent="0.3">
      <c r="A547" s="6" t="s">
        <v>4925</v>
      </c>
      <c r="B547" s="7" t="s">
        <v>4926</v>
      </c>
      <c r="C547" s="6" t="s">
        <v>4927</v>
      </c>
      <c r="D547" s="7" t="s">
        <v>4368</v>
      </c>
      <c r="E547" s="6" t="s">
        <v>6049</v>
      </c>
      <c r="F547" s="42">
        <v>71.5</v>
      </c>
      <c r="G547" s="42">
        <v>2</v>
      </c>
      <c r="H547" s="43">
        <v>143</v>
      </c>
    </row>
    <row r="548" spans="1:8" ht="19.95" customHeight="1" x14ac:dyDescent="0.3">
      <c r="A548" s="2" t="s">
        <v>4925</v>
      </c>
      <c r="B548" s="3" t="s">
        <v>4974</v>
      </c>
      <c r="C548" s="2" t="s">
        <v>4975</v>
      </c>
      <c r="D548" s="3" t="s">
        <v>4368</v>
      </c>
      <c r="E548" s="2" t="s">
        <v>6050</v>
      </c>
      <c r="F548" s="40">
        <v>53.82</v>
      </c>
      <c r="G548" s="40">
        <v>2</v>
      </c>
      <c r="H548" s="41">
        <v>107.64</v>
      </c>
    </row>
    <row r="549" spans="1:8" ht="19.95" customHeight="1" x14ac:dyDescent="0.3">
      <c r="A549" s="6" t="s">
        <v>4925</v>
      </c>
      <c r="B549" s="7" t="s">
        <v>4974</v>
      </c>
      <c r="C549" s="6" t="s">
        <v>4975</v>
      </c>
      <c r="D549" s="7" t="s">
        <v>4368</v>
      </c>
      <c r="E549" s="6" t="s">
        <v>6050</v>
      </c>
      <c r="F549" s="42">
        <v>53.82</v>
      </c>
      <c r="G549" s="42">
        <v>2</v>
      </c>
      <c r="H549" s="43">
        <v>107.64</v>
      </c>
    </row>
    <row r="550" spans="1:8" ht="19.95" customHeight="1" x14ac:dyDescent="0.3">
      <c r="A550" s="2" t="s">
        <v>4925</v>
      </c>
      <c r="B550" s="3" t="s">
        <v>4959</v>
      </c>
      <c r="C550" s="2" t="s">
        <v>4960</v>
      </c>
      <c r="D550" s="3" t="s">
        <v>4961</v>
      </c>
      <c r="E550" s="2" t="s">
        <v>6051</v>
      </c>
      <c r="F550" s="40">
        <v>130</v>
      </c>
      <c r="G550" s="40">
        <v>2</v>
      </c>
      <c r="H550" s="41">
        <v>260</v>
      </c>
    </row>
    <row r="551" spans="1:8" ht="19.95" customHeight="1" x14ac:dyDescent="0.3">
      <c r="A551" s="6" t="s">
        <v>4925</v>
      </c>
      <c r="B551" s="7" t="s">
        <v>4959</v>
      </c>
      <c r="C551" s="6" t="s">
        <v>4960</v>
      </c>
      <c r="D551" s="7" t="s">
        <v>4961</v>
      </c>
      <c r="E551" s="6" t="s">
        <v>6052</v>
      </c>
      <c r="F551" s="42">
        <v>53.82</v>
      </c>
      <c r="G551" s="42">
        <v>2</v>
      </c>
      <c r="H551" s="43">
        <v>107.64</v>
      </c>
    </row>
    <row r="552" spans="1:8" ht="19.95" customHeight="1" x14ac:dyDescent="0.3">
      <c r="A552" s="2" t="s">
        <v>4925</v>
      </c>
      <c r="B552" s="3" t="s">
        <v>4962</v>
      </c>
      <c r="C552" s="2" t="s">
        <v>4963</v>
      </c>
      <c r="D552" s="3" t="s">
        <v>4961</v>
      </c>
      <c r="E552" s="2" t="s">
        <v>6051</v>
      </c>
      <c r="F552" s="40">
        <v>130</v>
      </c>
      <c r="G552" s="40">
        <v>2</v>
      </c>
      <c r="H552" s="41">
        <v>260</v>
      </c>
    </row>
    <row r="553" spans="1:8" ht="19.95" customHeight="1" x14ac:dyDescent="0.3">
      <c r="A553" s="6" t="s">
        <v>4925</v>
      </c>
      <c r="B553" s="7" t="s">
        <v>4962</v>
      </c>
      <c r="C553" s="6" t="s">
        <v>4963</v>
      </c>
      <c r="D553" s="7" t="s">
        <v>4961</v>
      </c>
      <c r="E553" s="6" t="s">
        <v>6052</v>
      </c>
      <c r="F553" s="42">
        <v>53.82</v>
      </c>
      <c r="G553" s="42">
        <v>2</v>
      </c>
      <c r="H553" s="43">
        <v>107.64</v>
      </c>
    </row>
    <row r="554" spans="1:8" ht="19.95" customHeight="1" x14ac:dyDescent="0.3">
      <c r="A554" s="2" t="s">
        <v>4925</v>
      </c>
      <c r="B554" s="3" t="s">
        <v>4605</v>
      </c>
      <c r="C554" s="2" t="s">
        <v>4835</v>
      </c>
      <c r="D554" s="3" t="s">
        <v>4368</v>
      </c>
      <c r="E554" s="2" t="s">
        <v>5997</v>
      </c>
      <c r="F554" s="40">
        <v>40.43</v>
      </c>
      <c r="G554" s="40">
        <v>2</v>
      </c>
      <c r="H554" s="41">
        <v>80.86</v>
      </c>
    </row>
    <row r="555" spans="1:8" ht="19.95" customHeight="1" x14ac:dyDescent="0.3">
      <c r="A555" s="6" t="s">
        <v>4925</v>
      </c>
      <c r="B555" s="7" t="s">
        <v>4605</v>
      </c>
      <c r="C555" s="6" t="s">
        <v>4835</v>
      </c>
      <c r="D555" s="7" t="s">
        <v>4368</v>
      </c>
      <c r="E555" s="6" t="s">
        <v>6053</v>
      </c>
      <c r="F555" s="42">
        <v>26.91</v>
      </c>
      <c r="G555" s="42">
        <v>2</v>
      </c>
      <c r="H555" s="43">
        <v>53.82</v>
      </c>
    </row>
    <row r="556" spans="1:8" ht="19.95" customHeight="1" x14ac:dyDescent="0.3">
      <c r="A556" s="2" t="s">
        <v>4925</v>
      </c>
      <c r="B556" s="3" t="s">
        <v>6054</v>
      </c>
      <c r="C556" s="2" t="s">
        <v>6055</v>
      </c>
      <c r="D556" s="3" t="s">
        <v>5014</v>
      </c>
      <c r="E556" s="2" t="s">
        <v>4270</v>
      </c>
      <c r="F556" s="40">
        <v>451</v>
      </c>
      <c r="G556" s="40">
        <v>2</v>
      </c>
      <c r="H556" s="41">
        <v>902</v>
      </c>
    </row>
    <row r="557" spans="1:8" ht="19.95" customHeight="1" x14ac:dyDescent="0.3">
      <c r="A557" s="6" t="s">
        <v>4925</v>
      </c>
      <c r="B557" s="7" t="s">
        <v>6054</v>
      </c>
      <c r="C557" s="6" t="s">
        <v>6055</v>
      </c>
      <c r="D557" s="7" t="s">
        <v>5014</v>
      </c>
      <c r="E557" s="6" t="s">
        <v>6056</v>
      </c>
      <c r="F557" s="42">
        <v>1895.3</v>
      </c>
      <c r="G557" s="42">
        <v>2</v>
      </c>
      <c r="H557" s="43">
        <v>3790.6</v>
      </c>
    </row>
    <row r="558" spans="1:8" ht="19.95" customHeight="1" x14ac:dyDescent="0.3">
      <c r="A558" s="2" t="s">
        <v>4925</v>
      </c>
      <c r="B558" s="3" t="s">
        <v>6054</v>
      </c>
      <c r="C558" s="2" t="s">
        <v>6055</v>
      </c>
      <c r="D558" s="3" t="s">
        <v>5014</v>
      </c>
      <c r="E558" s="2" t="s">
        <v>6057</v>
      </c>
      <c r="F558" s="40">
        <v>1895.3</v>
      </c>
      <c r="G558" s="40">
        <v>2</v>
      </c>
      <c r="H558" s="41">
        <v>3790.6</v>
      </c>
    </row>
    <row r="559" spans="1:8" ht="19.95" customHeight="1" x14ac:dyDescent="0.3">
      <c r="A559" s="6" t="s">
        <v>4925</v>
      </c>
      <c r="B559" s="7" t="s">
        <v>6054</v>
      </c>
      <c r="C559" s="6" t="s">
        <v>6055</v>
      </c>
      <c r="D559" s="7" t="s">
        <v>5014</v>
      </c>
      <c r="E559" s="6" t="s">
        <v>6058</v>
      </c>
      <c r="F559" s="42">
        <v>602.25</v>
      </c>
      <c r="G559" s="42">
        <v>2</v>
      </c>
      <c r="H559" s="43">
        <v>1204.5</v>
      </c>
    </row>
    <row r="560" spans="1:8" ht="19.95" customHeight="1" x14ac:dyDescent="0.3">
      <c r="A560" s="2" t="s">
        <v>4925</v>
      </c>
      <c r="B560" s="3" t="s">
        <v>6054</v>
      </c>
      <c r="C560" s="2" t="s">
        <v>6055</v>
      </c>
      <c r="D560" s="3" t="s">
        <v>5014</v>
      </c>
      <c r="E560" s="2" t="s">
        <v>6059</v>
      </c>
      <c r="F560" s="40">
        <v>473.83</v>
      </c>
      <c r="G560" s="40">
        <v>2</v>
      </c>
      <c r="H560" s="41">
        <v>947.66</v>
      </c>
    </row>
    <row r="561" spans="1:8" ht="19.95" customHeight="1" x14ac:dyDescent="0.3">
      <c r="A561" s="6" t="s">
        <v>4925</v>
      </c>
      <c r="B561" s="7" t="s">
        <v>6054</v>
      </c>
      <c r="C561" s="6" t="s">
        <v>6055</v>
      </c>
      <c r="D561" s="7" t="s">
        <v>5014</v>
      </c>
      <c r="E561" s="6" t="s">
        <v>6060</v>
      </c>
      <c r="F561" s="42">
        <v>328.15</v>
      </c>
      <c r="G561" s="42">
        <v>2</v>
      </c>
      <c r="H561" s="43">
        <v>656.3</v>
      </c>
    </row>
    <row r="562" spans="1:8" ht="19.95" customHeight="1" x14ac:dyDescent="0.3">
      <c r="A562" s="2" t="s">
        <v>4976</v>
      </c>
      <c r="B562" s="3" t="s">
        <v>4993</v>
      </c>
      <c r="C562" s="2" t="s">
        <v>4994</v>
      </c>
      <c r="D562" s="3" t="s">
        <v>4990</v>
      </c>
      <c r="E562" s="2" t="s">
        <v>6061</v>
      </c>
      <c r="F562" s="40">
        <v>8.9700000000000006</v>
      </c>
      <c r="G562" s="40">
        <v>2</v>
      </c>
      <c r="H562" s="41">
        <v>17.940000000000001</v>
      </c>
    </row>
    <row r="563" spans="1:8" ht="19.95" customHeight="1" x14ac:dyDescent="0.3">
      <c r="A563" s="6" t="s">
        <v>4976</v>
      </c>
      <c r="B563" s="7" t="s">
        <v>5170</v>
      </c>
      <c r="C563" s="6" t="s">
        <v>5171</v>
      </c>
      <c r="D563" s="7" t="s">
        <v>5172</v>
      </c>
      <c r="E563" s="6" t="s">
        <v>6062</v>
      </c>
      <c r="F563" s="42">
        <v>53.82</v>
      </c>
      <c r="G563" s="42">
        <v>2</v>
      </c>
      <c r="H563" s="43">
        <v>107.64</v>
      </c>
    </row>
    <row r="564" spans="1:8" ht="19.95" customHeight="1" x14ac:dyDescent="0.3">
      <c r="A564" s="2" t="s">
        <v>4976</v>
      </c>
      <c r="B564" s="3" t="s">
        <v>5173</v>
      </c>
      <c r="C564" s="2" t="s">
        <v>5174</v>
      </c>
      <c r="D564" s="3" t="s">
        <v>5172</v>
      </c>
      <c r="E564" s="2" t="s">
        <v>6061</v>
      </c>
      <c r="F564" s="40">
        <v>18.2</v>
      </c>
      <c r="G564" s="40">
        <v>2</v>
      </c>
      <c r="H564" s="41">
        <v>36.4</v>
      </c>
    </row>
    <row r="565" spans="1:8" ht="19.95" customHeight="1" x14ac:dyDescent="0.3">
      <c r="A565" s="6" t="s">
        <v>4976</v>
      </c>
      <c r="B565" s="7" t="s">
        <v>5173</v>
      </c>
      <c r="C565" s="6" t="s">
        <v>5174</v>
      </c>
      <c r="D565" s="7" t="s">
        <v>5172</v>
      </c>
      <c r="E565" s="6" t="s">
        <v>6062</v>
      </c>
      <c r="F565" s="42">
        <v>53.82</v>
      </c>
      <c r="G565" s="42">
        <v>2</v>
      </c>
      <c r="H565" s="43">
        <v>107.64</v>
      </c>
    </row>
    <row r="566" spans="1:8" ht="19.95" customHeight="1" x14ac:dyDescent="0.3">
      <c r="A566" s="2" t="s">
        <v>4976</v>
      </c>
      <c r="B566" s="3" t="s">
        <v>5182</v>
      </c>
      <c r="C566" s="2" t="s">
        <v>4994</v>
      </c>
      <c r="D566" s="3" t="s">
        <v>4990</v>
      </c>
      <c r="E566" s="2" t="s">
        <v>6061</v>
      </c>
      <c r="F566" s="40">
        <v>0.9</v>
      </c>
      <c r="G566" s="40">
        <v>2</v>
      </c>
      <c r="H566" s="41">
        <v>1.8</v>
      </c>
    </row>
    <row r="567" spans="1:8" ht="19.95" customHeight="1" x14ac:dyDescent="0.3">
      <c r="A567" s="6" t="s">
        <v>4976</v>
      </c>
      <c r="B567" s="7" t="s">
        <v>5192</v>
      </c>
      <c r="C567" s="6" t="s">
        <v>5193</v>
      </c>
      <c r="D567" s="7" t="s">
        <v>5194</v>
      </c>
      <c r="E567" s="6" t="s">
        <v>4270</v>
      </c>
      <c r="F567" s="42">
        <v>35.880000000000003</v>
      </c>
      <c r="G567" s="42">
        <v>2</v>
      </c>
      <c r="H567" s="43">
        <v>71.760000000000005</v>
      </c>
    </row>
    <row r="568" spans="1:8" ht="19.95" customHeight="1" x14ac:dyDescent="0.3">
      <c r="A568" s="2" t="s">
        <v>4976</v>
      </c>
      <c r="B568" s="3" t="s">
        <v>5192</v>
      </c>
      <c r="C568" s="2" t="s">
        <v>5193</v>
      </c>
      <c r="D568" s="3" t="s">
        <v>5195</v>
      </c>
      <c r="E568" s="2" t="s">
        <v>4270</v>
      </c>
      <c r="F568" s="40">
        <v>35.880000000000003</v>
      </c>
      <c r="G568" s="40">
        <v>2</v>
      </c>
      <c r="H568" s="41">
        <v>71.760000000000005</v>
      </c>
    </row>
    <row r="569" spans="1:8" ht="19.95" customHeight="1" x14ac:dyDescent="0.3">
      <c r="A569" s="6" t="s">
        <v>4976</v>
      </c>
      <c r="B569" s="7" t="s">
        <v>5196</v>
      </c>
      <c r="C569" s="6" t="s">
        <v>5197</v>
      </c>
      <c r="D569" s="7" t="s">
        <v>5195</v>
      </c>
      <c r="E569" s="6" t="s">
        <v>6061</v>
      </c>
      <c r="F569" s="42">
        <v>9.1</v>
      </c>
      <c r="G569" s="42">
        <v>2</v>
      </c>
      <c r="H569" s="43">
        <v>18.2</v>
      </c>
    </row>
    <row r="570" spans="1:8" ht="19.95" customHeight="1" x14ac:dyDescent="0.3">
      <c r="A570" s="2" t="s">
        <v>4976</v>
      </c>
      <c r="B570" s="3" t="s">
        <v>5196</v>
      </c>
      <c r="C570" s="2" t="s">
        <v>5197</v>
      </c>
      <c r="D570" s="3" t="s">
        <v>5195</v>
      </c>
      <c r="E570" s="2" t="s">
        <v>4270</v>
      </c>
      <c r="F570" s="40">
        <v>35.880000000000003</v>
      </c>
      <c r="G570" s="40">
        <v>2</v>
      </c>
      <c r="H570" s="41">
        <v>71.760000000000005</v>
      </c>
    </row>
    <row r="571" spans="1:8" ht="19.95" customHeight="1" x14ac:dyDescent="0.3">
      <c r="A571" s="6" t="s">
        <v>4976</v>
      </c>
      <c r="B571" s="7" t="s">
        <v>5196</v>
      </c>
      <c r="C571" s="6" t="s">
        <v>5197</v>
      </c>
      <c r="D571" s="7" t="s">
        <v>5198</v>
      </c>
      <c r="E571" s="6" t="s">
        <v>6061</v>
      </c>
      <c r="F571" s="42">
        <v>9.1</v>
      </c>
      <c r="G571" s="42">
        <v>2</v>
      </c>
      <c r="H571" s="43">
        <v>18.2</v>
      </c>
    </row>
    <row r="572" spans="1:8" ht="19.95" customHeight="1" x14ac:dyDescent="0.3">
      <c r="A572" s="2" t="s">
        <v>4976</v>
      </c>
      <c r="B572" s="3" t="s">
        <v>5196</v>
      </c>
      <c r="C572" s="2" t="s">
        <v>5197</v>
      </c>
      <c r="D572" s="3" t="s">
        <v>5198</v>
      </c>
      <c r="E572" s="2" t="s">
        <v>4270</v>
      </c>
      <c r="F572" s="40">
        <v>35.880000000000003</v>
      </c>
      <c r="G572" s="40">
        <v>2</v>
      </c>
      <c r="H572" s="41">
        <v>71.760000000000005</v>
      </c>
    </row>
    <row r="573" spans="1:8" ht="19.95" customHeight="1" x14ac:dyDescent="0.3">
      <c r="A573" s="6" t="s">
        <v>4976</v>
      </c>
      <c r="B573" s="7" t="s">
        <v>5199</v>
      </c>
      <c r="C573" s="6" t="s">
        <v>5200</v>
      </c>
      <c r="D573" s="7" t="s">
        <v>5195</v>
      </c>
      <c r="E573" s="6" t="s">
        <v>4270</v>
      </c>
      <c r="F573" s="42">
        <v>35.880000000000003</v>
      </c>
      <c r="G573" s="42">
        <v>2</v>
      </c>
      <c r="H573" s="43">
        <v>71.760000000000005</v>
      </c>
    </row>
    <row r="574" spans="1:8" ht="19.95" customHeight="1" x14ac:dyDescent="0.3">
      <c r="A574" s="2" t="s">
        <v>4976</v>
      </c>
      <c r="B574" s="3" t="s">
        <v>5199</v>
      </c>
      <c r="C574" s="2" t="s">
        <v>5200</v>
      </c>
      <c r="D574" s="3" t="s">
        <v>5201</v>
      </c>
      <c r="E574" s="2" t="s">
        <v>4270</v>
      </c>
      <c r="F574" s="40">
        <v>35.880000000000003</v>
      </c>
      <c r="G574" s="40">
        <v>2</v>
      </c>
      <c r="H574" s="41">
        <v>71.760000000000005</v>
      </c>
    </row>
    <row r="575" spans="1:8" ht="19.95" customHeight="1" x14ac:dyDescent="0.3">
      <c r="A575" s="6" t="s">
        <v>4976</v>
      </c>
      <c r="B575" s="7" t="s">
        <v>5241</v>
      </c>
      <c r="C575" s="6" t="s">
        <v>5242</v>
      </c>
      <c r="D575" s="7" t="s">
        <v>4368</v>
      </c>
      <c r="E575" s="6" t="s">
        <v>4270</v>
      </c>
      <c r="F575" s="42">
        <v>35.880000000000003</v>
      </c>
      <c r="G575" s="42">
        <v>2</v>
      </c>
      <c r="H575" s="43">
        <v>71.760000000000005</v>
      </c>
    </row>
    <row r="576" spans="1:8" ht="19.95" customHeight="1" x14ac:dyDescent="0.3">
      <c r="A576" s="2" t="s">
        <v>4976</v>
      </c>
      <c r="B576" s="3" t="s">
        <v>5243</v>
      </c>
      <c r="C576" s="2" t="s">
        <v>5244</v>
      </c>
      <c r="D576" s="3" t="s">
        <v>4368</v>
      </c>
      <c r="E576" s="2" t="s">
        <v>4270</v>
      </c>
      <c r="F576" s="40">
        <v>35.880000000000003</v>
      </c>
      <c r="G576" s="40">
        <v>2</v>
      </c>
      <c r="H576" s="41">
        <v>71.760000000000005</v>
      </c>
    </row>
    <row r="577" spans="1:8" ht="19.95" customHeight="1" x14ac:dyDescent="0.3">
      <c r="A577" s="6" t="s">
        <v>4976</v>
      </c>
      <c r="B577" s="7" t="s">
        <v>5245</v>
      </c>
      <c r="C577" s="6" t="s">
        <v>5246</v>
      </c>
      <c r="D577" s="7" t="s">
        <v>4368</v>
      </c>
      <c r="E577" s="6" t="s">
        <v>4270</v>
      </c>
      <c r="F577" s="42">
        <v>35.880000000000003</v>
      </c>
      <c r="G577" s="42">
        <v>2</v>
      </c>
      <c r="H577" s="43">
        <v>71.760000000000005</v>
      </c>
    </row>
    <row r="578" spans="1:8" ht="19.95" customHeight="1" x14ac:dyDescent="0.3">
      <c r="A578" s="2" t="s">
        <v>4976</v>
      </c>
      <c r="B578" s="3" t="s">
        <v>5290</v>
      </c>
      <c r="C578" s="2" t="s">
        <v>5291</v>
      </c>
      <c r="D578" s="3" t="s">
        <v>5060</v>
      </c>
      <c r="E578" s="2" t="s">
        <v>4270</v>
      </c>
      <c r="F578" s="40">
        <v>4.42</v>
      </c>
      <c r="G578" s="40">
        <v>2</v>
      </c>
      <c r="H578" s="41">
        <v>8.84</v>
      </c>
    </row>
    <row r="579" spans="1:8" ht="19.95" customHeight="1" x14ac:dyDescent="0.3">
      <c r="A579" s="6" t="s">
        <v>4976</v>
      </c>
      <c r="B579" s="7" t="s">
        <v>5292</v>
      </c>
      <c r="C579" s="6" t="s">
        <v>5293</v>
      </c>
      <c r="D579" s="7" t="s">
        <v>5294</v>
      </c>
      <c r="E579" s="6" t="s">
        <v>6061</v>
      </c>
      <c r="F579" s="42">
        <v>8.9700000000000006</v>
      </c>
      <c r="G579" s="42">
        <v>2</v>
      </c>
      <c r="H579" s="43">
        <v>17.940000000000001</v>
      </c>
    </row>
    <row r="580" spans="1:8" ht="19.95" customHeight="1" x14ac:dyDescent="0.3">
      <c r="A580" s="2" t="s">
        <v>4976</v>
      </c>
      <c r="B580" s="3" t="s">
        <v>5292</v>
      </c>
      <c r="C580" s="2" t="s">
        <v>5293</v>
      </c>
      <c r="D580" s="3" t="s">
        <v>5294</v>
      </c>
      <c r="E580" s="2" t="s">
        <v>6063</v>
      </c>
      <c r="F580" s="40">
        <v>0</v>
      </c>
      <c r="G580" s="40">
        <v>2</v>
      </c>
      <c r="H580" s="41">
        <v>0</v>
      </c>
    </row>
    <row r="581" spans="1:8" ht="19.95" customHeight="1" x14ac:dyDescent="0.3">
      <c r="A581" s="6" t="s">
        <v>4976</v>
      </c>
      <c r="B581" s="7" t="s">
        <v>5292</v>
      </c>
      <c r="C581" s="6" t="s">
        <v>5293</v>
      </c>
      <c r="D581" s="7" t="s">
        <v>5294</v>
      </c>
      <c r="E581" s="6" t="s">
        <v>4270</v>
      </c>
      <c r="F581" s="42">
        <v>4.42</v>
      </c>
      <c r="G581" s="42">
        <v>2</v>
      </c>
      <c r="H581" s="43">
        <v>8.84</v>
      </c>
    </row>
    <row r="582" spans="1:8" ht="19.95" customHeight="1" x14ac:dyDescent="0.3">
      <c r="A582" s="2" t="s">
        <v>4976</v>
      </c>
      <c r="B582" s="3" t="s">
        <v>5295</v>
      </c>
      <c r="C582" s="2" t="s">
        <v>5296</v>
      </c>
      <c r="D582" s="3" t="s">
        <v>5060</v>
      </c>
      <c r="E582" s="2" t="s">
        <v>4270</v>
      </c>
      <c r="F582" s="40">
        <v>4.42</v>
      </c>
      <c r="G582" s="40">
        <v>2</v>
      </c>
      <c r="H582" s="41">
        <v>8.84</v>
      </c>
    </row>
    <row r="583" spans="1:8" ht="19.95" customHeight="1" x14ac:dyDescent="0.3">
      <c r="A583" s="6" t="s">
        <v>4976</v>
      </c>
      <c r="B583" s="7" t="s">
        <v>5295</v>
      </c>
      <c r="C583" s="6" t="s">
        <v>5296</v>
      </c>
      <c r="D583" s="7" t="s">
        <v>5297</v>
      </c>
      <c r="E583" s="6" t="s">
        <v>4270</v>
      </c>
      <c r="F583" s="42">
        <v>4.42</v>
      </c>
      <c r="G583" s="42">
        <v>2</v>
      </c>
      <c r="H583" s="43">
        <v>8.84</v>
      </c>
    </row>
    <row r="584" spans="1:8" ht="19.95" customHeight="1" x14ac:dyDescent="0.3">
      <c r="A584" s="2" t="s">
        <v>4976</v>
      </c>
      <c r="B584" s="3" t="s">
        <v>5298</v>
      </c>
      <c r="C584" s="2" t="s">
        <v>5299</v>
      </c>
      <c r="D584" s="3" t="s">
        <v>5060</v>
      </c>
      <c r="E584" s="2" t="s">
        <v>4270</v>
      </c>
      <c r="F584" s="40">
        <v>4.42</v>
      </c>
      <c r="G584" s="40">
        <v>2</v>
      </c>
      <c r="H584" s="41">
        <v>8.84</v>
      </c>
    </row>
    <row r="585" spans="1:8" ht="19.95" customHeight="1" x14ac:dyDescent="0.3">
      <c r="A585" s="6" t="s">
        <v>4976</v>
      </c>
      <c r="B585" s="7" t="s">
        <v>5300</v>
      </c>
      <c r="C585" s="6" t="s">
        <v>5301</v>
      </c>
      <c r="D585" s="7" t="s">
        <v>5060</v>
      </c>
      <c r="E585" s="6" t="s">
        <v>4270</v>
      </c>
      <c r="F585" s="42">
        <v>4.42</v>
      </c>
      <c r="G585" s="42">
        <v>2</v>
      </c>
      <c r="H585" s="43">
        <v>8.84</v>
      </c>
    </row>
    <row r="586" spans="1:8" ht="19.95" customHeight="1" x14ac:dyDescent="0.3">
      <c r="A586" s="2" t="s">
        <v>4976</v>
      </c>
      <c r="B586" s="3" t="s">
        <v>5300</v>
      </c>
      <c r="C586" s="2" t="s">
        <v>5301</v>
      </c>
      <c r="D586" s="3" t="s">
        <v>5060</v>
      </c>
      <c r="E586" s="2" t="s">
        <v>4270</v>
      </c>
      <c r="F586" s="40">
        <v>4.42</v>
      </c>
      <c r="G586" s="40">
        <v>2</v>
      </c>
      <c r="H586" s="41">
        <v>8.84</v>
      </c>
    </row>
    <row r="587" spans="1:8" ht="19.95" customHeight="1" x14ac:dyDescent="0.3">
      <c r="A587" s="6" t="s">
        <v>4976</v>
      </c>
      <c r="B587" s="7" t="s">
        <v>5300</v>
      </c>
      <c r="C587" s="6" t="s">
        <v>5301</v>
      </c>
      <c r="D587" s="7" t="s">
        <v>5060</v>
      </c>
      <c r="E587" s="6" t="s">
        <v>4270</v>
      </c>
      <c r="F587" s="42">
        <v>4.42</v>
      </c>
      <c r="G587" s="42">
        <v>2</v>
      </c>
      <c r="H587" s="43">
        <v>8.84</v>
      </c>
    </row>
    <row r="588" spans="1:8" ht="19.95" customHeight="1" x14ac:dyDescent="0.3">
      <c r="A588" s="2" t="s">
        <v>4976</v>
      </c>
      <c r="B588" s="3" t="s">
        <v>5300</v>
      </c>
      <c r="C588" s="2" t="s">
        <v>5301</v>
      </c>
      <c r="D588" s="3" t="s">
        <v>5060</v>
      </c>
      <c r="E588" s="2" t="s">
        <v>4270</v>
      </c>
      <c r="F588" s="40">
        <v>4.42</v>
      </c>
      <c r="G588" s="40">
        <v>2</v>
      </c>
      <c r="H588" s="41">
        <v>8.84</v>
      </c>
    </row>
    <row r="589" spans="1:8" ht="19.95" customHeight="1" x14ac:dyDescent="0.3">
      <c r="A589" s="6" t="s">
        <v>4976</v>
      </c>
      <c r="B589" s="7" t="s">
        <v>5302</v>
      </c>
      <c r="C589" s="6" t="s">
        <v>5303</v>
      </c>
      <c r="D589" s="7" t="s">
        <v>4421</v>
      </c>
      <c r="E589" s="6" t="s">
        <v>4270</v>
      </c>
      <c r="F589" s="42">
        <v>4.42</v>
      </c>
      <c r="G589" s="42">
        <v>2</v>
      </c>
      <c r="H589" s="43">
        <v>8.84</v>
      </c>
    </row>
    <row r="590" spans="1:8" ht="19.95" customHeight="1" x14ac:dyDescent="0.3">
      <c r="A590" s="2" t="s">
        <v>4976</v>
      </c>
      <c r="B590" s="3" t="s">
        <v>5304</v>
      </c>
      <c r="C590" s="2" t="s">
        <v>5305</v>
      </c>
      <c r="D590" s="3" t="s">
        <v>4421</v>
      </c>
      <c r="E590" s="2" t="s">
        <v>4270</v>
      </c>
      <c r="F590" s="40">
        <v>25.47</v>
      </c>
      <c r="G590" s="40">
        <v>2</v>
      </c>
      <c r="H590" s="41">
        <v>50.94</v>
      </c>
    </row>
    <row r="591" spans="1:8" ht="19.95" customHeight="1" x14ac:dyDescent="0.3">
      <c r="A591" s="6" t="s">
        <v>4976</v>
      </c>
      <c r="B591" s="7" t="s">
        <v>5304</v>
      </c>
      <c r="C591" s="6" t="s">
        <v>5305</v>
      </c>
      <c r="D591" s="7" t="s">
        <v>4421</v>
      </c>
      <c r="E591" s="6" t="s">
        <v>4270</v>
      </c>
      <c r="F591" s="42">
        <v>25.47</v>
      </c>
      <c r="G591" s="42">
        <v>2</v>
      </c>
      <c r="H591" s="43">
        <v>50.94</v>
      </c>
    </row>
    <row r="592" spans="1:8" ht="19.95" customHeight="1" x14ac:dyDescent="0.3">
      <c r="A592" s="2" t="s">
        <v>4976</v>
      </c>
      <c r="B592" s="3" t="s">
        <v>5306</v>
      </c>
      <c r="C592" s="2" t="s">
        <v>5307</v>
      </c>
      <c r="D592" s="3" t="s">
        <v>4421</v>
      </c>
      <c r="E592" s="2" t="s">
        <v>4270</v>
      </c>
      <c r="F592" s="40">
        <v>4.42</v>
      </c>
      <c r="G592" s="40">
        <v>2</v>
      </c>
      <c r="H592" s="41">
        <v>8.84</v>
      </c>
    </row>
    <row r="593" spans="1:8" ht="19.95" customHeight="1" x14ac:dyDescent="0.3">
      <c r="A593" s="6" t="s">
        <v>4976</v>
      </c>
      <c r="B593" s="7" t="s">
        <v>5393</v>
      </c>
      <c r="C593" s="6" t="s">
        <v>5193</v>
      </c>
      <c r="D593" s="7" t="s">
        <v>5394</v>
      </c>
      <c r="E593" s="6" t="s">
        <v>4270</v>
      </c>
      <c r="F593" s="42">
        <v>40.43</v>
      </c>
      <c r="G593" s="42">
        <v>2</v>
      </c>
      <c r="H593" s="43">
        <v>80.86</v>
      </c>
    </row>
    <row r="594" spans="1:8" ht="19.95" customHeight="1" x14ac:dyDescent="0.3">
      <c r="A594" s="2" t="s">
        <v>4976</v>
      </c>
      <c r="B594" s="3" t="s">
        <v>5393</v>
      </c>
      <c r="C594" s="2" t="s">
        <v>5193</v>
      </c>
      <c r="D594" s="3" t="s">
        <v>5394</v>
      </c>
      <c r="E594" s="2" t="s">
        <v>4270</v>
      </c>
      <c r="F594" s="40">
        <v>40.43</v>
      </c>
      <c r="G594" s="40">
        <v>2</v>
      </c>
      <c r="H594" s="41">
        <v>80.86</v>
      </c>
    </row>
    <row r="595" spans="1:8" ht="19.95" customHeight="1" x14ac:dyDescent="0.3">
      <c r="A595" s="6" t="s">
        <v>4976</v>
      </c>
      <c r="B595" s="7" t="s">
        <v>5395</v>
      </c>
      <c r="C595" s="6" t="s">
        <v>5197</v>
      </c>
      <c r="D595" s="7" t="s">
        <v>5396</v>
      </c>
      <c r="E595" s="6" t="s">
        <v>6064</v>
      </c>
      <c r="F595" s="42">
        <v>9.1</v>
      </c>
      <c r="G595" s="42">
        <v>2</v>
      </c>
      <c r="H595" s="43">
        <v>18.2</v>
      </c>
    </row>
    <row r="596" spans="1:8" ht="19.95" customHeight="1" x14ac:dyDescent="0.3">
      <c r="A596" s="2" t="s">
        <v>4976</v>
      </c>
      <c r="B596" s="3" t="s">
        <v>5395</v>
      </c>
      <c r="C596" s="2" t="s">
        <v>5197</v>
      </c>
      <c r="D596" s="3" t="s">
        <v>5396</v>
      </c>
      <c r="E596" s="2" t="s">
        <v>4270</v>
      </c>
      <c r="F596" s="40">
        <v>40.43</v>
      </c>
      <c r="G596" s="40">
        <v>2</v>
      </c>
      <c r="H596" s="41">
        <v>80.86</v>
      </c>
    </row>
    <row r="597" spans="1:8" ht="19.95" customHeight="1" x14ac:dyDescent="0.3">
      <c r="A597" s="6" t="s">
        <v>4976</v>
      </c>
      <c r="B597" s="7" t="s">
        <v>5395</v>
      </c>
      <c r="C597" s="6" t="s">
        <v>5197</v>
      </c>
      <c r="D597" s="7" t="s">
        <v>5397</v>
      </c>
      <c r="E597" s="6" t="s">
        <v>6061</v>
      </c>
      <c r="F597" s="42">
        <v>9.1</v>
      </c>
      <c r="G597" s="42">
        <v>2</v>
      </c>
      <c r="H597" s="43">
        <v>18.2</v>
      </c>
    </row>
    <row r="598" spans="1:8" ht="19.95" customHeight="1" x14ac:dyDescent="0.3">
      <c r="A598" s="2" t="s">
        <v>4976</v>
      </c>
      <c r="B598" s="3" t="s">
        <v>5395</v>
      </c>
      <c r="C598" s="2" t="s">
        <v>5197</v>
      </c>
      <c r="D598" s="3" t="s">
        <v>5397</v>
      </c>
      <c r="E598" s="2" t="s">
        <v>4270</v>
      </c>
      <c r="F598" s="40">
        <v>40.43</v>
      </c>
      <c r="G598" s="40">
        <v>2</v>
      </c>
      <c r="H598" s="41">
        <v>80.86</v>
      </c>
    </row>
    <row r="599" spans="1:8" ht="19.95" customHeight="1" x14ac:dyDescent="0.3">
      <c r="A599" s="6" t="s">
        <v>4976</v>
      </c>
      <c r="B599" s="7" t="s">
        <v>5398</v>
      </c>
      <c r="C599" s="6" t="s">
        <v>5200</v>
      </c>
      <c r="D599" s="7" t="s">
        <v>5396</v>
      </c>
      <c r="E599" s="6" t="s">
        <v>4270</v>
      </c>
      <c r="F599" s="42">
        <v>40.43</v>
      </c>
      <c r="G599" s="42">
        <v>2</v>
      </c>
      <c r="H599" s="43">
        <v>80.86</v>
      </c>
    </row>
    <row r="600" spans="1:8" ht="19.95" customHeight="1" x14ac:dyDescent="0.3">
      <c r="A600" s="2" t="s">
        <v>4976</v>
      </c>
      <c r="B600" s="3" t="s">
        <v>5398</v>
      </c>
      <c r="C600" s="2" t="s">
        <v>5200</v>
      </c>
      <c r="D600" s="3" t="s">
        <v>5397</v>
      </c>
      <c r="E600" s="2" t="s">
        <v>4270</v>
      </c>
      <c r="F600" s="40">
        <v>40.43</v>
      </c>
      <c r="G600" s="40">
        <v>2</v>
      </c>
      <c r="H600" s="41">
        <v>80.86</v>
      </c>
    </row>
    <row r="601" spans="1:8" ht="19.95" customHeight="1" x14ac:dyDescent="0.3">
      <c r="A601" s="6" t="s">
        <v>4976</v>
      </c>
      <c r="B601" s="7" t="s">
        <v>4995</v>
      </c>
      <c r="C601" s="6" t="s">
        <v>4996</v>
      </c>
      <c r="D601" s="7" t="s">
        <v>4368</v>
      </c>
      <c r="E601" s="6" t="s">
        <v>4270</v>
      </c>
      <c r="F601" s="42">
        <v>35.880000000000003</v>
      </c>
      <c r="G601" s="42">
        <v>2</v>
      </c>
      <c r="H601" s="43">
        <v>71.760000000000005</v>
      </c>
    </row>
    <row r="602" spans="1:8" ht="19.95" customHeight="1" x14ac:dyDescent="0.3">
      <c r="A602" s="2" t="s">
        <v>4976</v>
      </c>
      <c r="B602" s="3" t="s">
        <v>5127</v>
      </c>
      <c r="C602" s="2" t="s">
        <v>5128</v>
      </c>
      <c r="D602" s="3" t="s">
        <v>5129</v>
      </c>
      <c r="E602" s="2" t="s">
        <v>4270</v>
      </c>
      <c r="F602" s="40">
        <v>40.43</v>
      </c>
      <c r="G602" s="40">
        <v>2</v>
      </c>
      <c r="H602" s="41">
        <v>80.86</v>
      </c>
    </row>
    <row r="603" spans="1:8" ht="19.95" customHeight="1" x14ac:dyDescent="0.3">
      <c r="A603" s="6" t="s">
        <v>4976</v>
      </c>
      <c r="B603" s="7" t="s">
        <v>5127</v>
      </c>
      <c r="C603" s="6" t="s">
        <v>5128</v>
      </c>
      <c r="D603" s="7" t="s">
        <v>5129</v>
      </c>
      <c r="E603" s="6" t="s">
        <v>4270</v>
      </c>
      <c r="F603" s="42">
        <v>40.43</v>
      </c>
      <c r="G603" s="42">
        <v>2</v>
      </c>
      <c r="H603" s="43">
        <v>80.86</v>
      </c>
    </row>
    <row r="604" spans="1:8" ht="19.95" customHeight="1" x14ac:dyDescent="0.3">
      <c r="A604" s="2" t="s">
        <v>4976</v>
      </c>
      <c r="B604" s="3" t="s">
        <v>5130</v>
      </c>
      <c r="C604" s="2" t="s">
        <v>5131</v>
      </c>
      <c r="D604" s="3" t="s">
        <v>5132</v>
      </c>
      <c r="E604" s="2" t="s">
        <v>4270</v>
      </c>
      <c r="F604" s="40">
        <v>40.43</v>
      </c>
      <c r="G604" s="40">
        <v>2</v>
      </c>
      <c r="H604" s="41">
        <v>80.86</v>
      </c>
    </row>
    <row r="605" spans="1:8" ht="19.95" customHeight="1" x14ac:dyDescent="0.3">
      <c r="A605" s="6" t="s">
        <v>4976</v>
      </c>
      <c r="B605" s="7" t="s">
        <v>5130</v>
      </c>
      <c r="C605" s="6" t="s">
        <v>5131</v>
      </c>
      <c r="D605" s="7" t="s">
        <v>5132</v>
      </c>
      <c r="E605" s="6" t="s">
        <v>4270</v>
      </c>
      <c r="F605" s="42">
        <v>40.43</v>
      </c>
      <c r="G605" s="42">
        <v>2</v>
      </c>
      <c r="H605" s="43">
        <v>80.86</v>
      </c>
    </row>
    <row r="606" spans="1:8" ht="19.95" customHeight="1" x14ac:dyDescent="0.3">
      <c r="A606" s="2" t="s">
        <v>4976</v>
      </c>
      <c r="B606" s="3" t="s">
        <v>5146</v>
      </c>
      <c r="C606" s="2" t="s">
        <v>5147</v>
      </c>
      <c r="D606" s="3" t="s">
        <v>5148</v>
      </c>
      <c r="E606" s="2" t="s">
        <v>6043</v>
      </c>
      <c r="F606" s="40">
        <v>26.91</v>
      </c>
      <c r="G606" s="40">
        <v>2</v>
      </c>
      <c r="H606" s="41">
        <v>53.82</v>
      </c>
    </row>
    <row r="607" spans="1:8" ht="19.95" customHeight="1" x14ac:dyDescent="0.3">
      <c r="A607" s="6" t="s">
        <v>4976</v>
      </c>
      <c r="B607" s="7" t="s">
        <v>5149</v>
      </c>
      <c r="C607" s="6" t="s">
        <v>5150</v>
      </c>
      <c r="D607" s="7" t="s">
        <v>5148</v>
      </c>
      <c r="E607" s="6" t="s">
        <v>6043</v>
      </c>
      <c r="F607" s="42">
        <v>26.91</v>
      </c>
      <c r="G607" s="42">
        <v>2</v>
      </c>
      <c r="H607" s="43">
        <v>53.82</v>
      </c>
    </row>
    <row r="608" spans="1:8" ht="19.95" customHeight="1" x14ac:dyDescent="0.3">
      <c r="A608" s="2" t="s">
        <v>4976</v>
      </c>
      <c r="B608" s="3" t="s">
        <v>5151</v>
      </c>
      <c r="C608" s="2" t="s">
        <v>5152</v>
      </c>
      <c r="D608" s="3" t="s">
        <v>5153</v>
      </c>
      <c r="E608" s="2" t="s">
        <v>6065</v>
      </c>
      <c r="F608" s="40">
        <v>7.8</v>
      </c>
      <c r="G608" s="40">
        <v>2</v>
      </c>
      <c r="H608" s="41">
        <v>15.6</v>
      </c>
    </row>
    <row r="609" spans="1:8" ht="19.95" customHeight="1" x14ac:dyDescent="0.3">
      <c r="A609" s="6" t="s">
        <v>4976</v>
      </c>
      <c r="B609" s="7" t="s">
        <v>5154</v>
      </c>
      <c r="C609" s="6" t="s">
        <v>5155</v>
      </c>
      <c r="D609" s="7" t="s">
        <v>5153</v>
      </c>
      <c r="E609" s="6" t="s">
        <v>6065</v>
      </c>
      <c r="F609" s="42">
        <v>7.8</v>
      </c>
      <c r="G609" s="42">
        <v>2</v>
      </c>
      <c r="H609" s="43">
        <v>15.6</v>
      </c>
    </row>
    <row r="610" spans="1:8" ht="19.95" customHeight="1" x14ac:dyDescent="0.3">
      <c r="A610" s="2" t="s">
        <v>4976</v>
      </c>
      <c r="B610" s="3" t="s">
        <v>5168</v>
      </c>
      <c r="C610" s="2" t="s">
        <v>5083</v>
      </c>
      <c r="D610" s="3" t="s">
        <v>4420</v>
      </c>
      <c r="E610" s="2" t="s">
        <v>4270</v>
      </c>
      <c r="F610" s="40">
        <v>33.799999999999997</v>
      </c>
      <c r="G610" s="40">
        <v>2</v>
      </c>
      <c r="H610" s="41">
        <v>67.599999999999994</v>
      </c>
    </row>
    <row r="611" spans="1:8" ht="19.95" customHeight="1" x14ac:dyDescent="0.3">
      <c r="A611" s="6" t="s">
        <v>4976</v>
      </c>
      <c r="B611" s="7" t="s">
        <v>5168</v>
      </c>
      <c r="C611" s="6" t="s">
        <v>5083</v>
      </c>
      <c r="D611" s="7" t="s">
        <v>4420</v>
      </c>
      <c r="E611" s="6" t="s">
        <v>6061</v>
      </c>
      <c r="F611" s="42">
        <v>8.9700000000000006</v>
      </c>
      <c r="G611" s="42">
        <v>2</v>
      </c>
      <c r="H611" s="43">
        <v>17.940000000000001</v>
      </c>
    </row>
    <row r="612" spans="1:8" ht="19.95" customHeight="1" x14ac:dyDescent="0.3">
      <c r="A612" s="2" t="s">
        <v>4976</v>
      </c>
      <c r="B612" s="3" t="s">
        <v>5168</v>
      </c>
      <c r="C612" s="2" t="s">
        <v>5083</v>
      </c>
      <c r="D612" s="3" t="s">
        <v>4420</v>
      </c>
      <c r="E612" s="2" t="s">
        <v>4270</v>
      </c>
      <c r="F612" s="40">
        <v>33.799999999999997</v>
      </c>
      <c r="G612" s="40">
        <v>2</v>
      </c>
      <c r="H612" s="41">
        <v>67.599999999999994</v>
      </c>
    </row>
    <row r="613" spans="1:8" ht="19.95" customHeight="1" x14ac:dyDescent="0.3">
      <c r="A613" s="6" t="s">
        <v>4976</v>
      </c>
      <c r="B613" s="7" t="s">
        <v>5168</v>
      </c>
      <c r="C613" s="6" t="s">
        <v>5083</v>
      </c>
      <c r="D613" s="7" t="s">
        <v>4420</v>
      </c>
      <c r="E613" s="6" t="s">
        <v>4270</v>
      </c>
      <c r="F613" s="42">
        <v>33.799999999999997</v>
      </c>
      <c r="G613" s="42">
        <v>2</v>
      </c>
      <c r="H613" s="43">
        <v>67.599999999999994</v>
      </c>
    </row>
    <row r="614" spans="1:8" ht="19.95" customHeight="1" x14ac:dyDescent="0.3">
      <c r="A614" s="2" t="s">
        <v>4976</v>
      </c>
      <c r="B614" s="3" t="s">
        <v>5168</v>
      </c>
      <c r="C614" s="2" t="s">
        <v>5083</v>
      </c>
      <c r="D614" s="3" t="s">
        <v>4420</v>
      </c>
      <c r="E614" s="2" t="s">
        <v>4270</v>
      </c>
      <c r="F614" s="40">
        <v>33.799999999999997</v>
      </c>
      <c r="G614" s="40">
        <v>2</v>
      </c>
      <c r="H614" s="41">
        <v>67.599999999999994</v>
      </c>
    </row>
    <row r="615" spans="1:8" ht="19.95" customHeight="1" x14ac:dyDescent="0.3">
      <c r="A615" s="6" t="s">
        <v>4976</v>
      </c>
      <c r="B615" s="7" t="s">
        <v>5168</v>
      </c>
      <c r="C615" s="6" t="s">
        <v>5083</v>
      </c>
      <c r="D615" s="7" t="s">
        <v>4420</v>
      </c>
      <c r="E615" s="6" t="s">
        <v>6061</v>
      </c>
      <c r="F615" s="42">
        <v>8.9700000000000006</v>
      </c>
      <c r="G615" s="42">
        <v>2</v>
      </c>
      <c r="H615" s="43">
        <v>17.940000000000001</v>
      </c>
    </row>
    <row r="616" spans="1:8" ht="19.95" customHeight="1" x14ac:dyDescent="0.3">
      <c r="A616" s="2" t="s">
        <v>4976</v>
      </c>
      <c r="B616" s="3" t="s">
        <v>5168</v>
      </c>
      <c r="C616" s="2" t="s">
        <v>5083</v>
      </c>
      <c r="D616" s="3" t="s">
        <v>4420</v>
      </c>
      <c r="E616" s="2" t="s">
        <v>4270</v>
      </c>
      <c r="F616" s="40">
        <v>33.799999999999997</v>
      </c>
      <c r="G616" s="40">
        <v>2</v>
      </c>
      <c r="H616" s="41">
        <v>67.599999999999994</v>
      </c>
    </row>
    <row r="617" spans="1:8" ht="19.95" customHeight="1" x14ac:dyDescent="0.3">
      <c r="A617" s="6" t="s">
        <v>4976</v>
      </c>
      <c r="B617" s="7" t="s">
        <v>5168</v>
      </c>
      <c r="C617" s="6" t="s">
        <v>5083</v>
      </c>
      <c r="D617" s="7" t="s">
        <v>4420</v>
      </c>
      <c r="E617" s="6" t="s">
        <v>4270</v>
      </c>
      <c r="F617" s="42">
        <v>33.799999999999997</v>
      </c>
      <c r="G617" s="42">
        <v>2</v>
      </c>
      <c r="H617" s="43">
        <v>67.599999999999994</v>
      </c>
    </row>
    <row r="618" spans="1:8" ht="19.95" customHeight="1" x14ac:dyDescent="0.3">
      <c r="A618" s="2" t="s">
        <v>4976</v>
      </c>
      <c r="B618" s="3" t="s">
        <v>5169</v>
      </c>
      <c r="C618" s="2" t="s">
        <v>5085</v>
      </c>
      <c r="D618" s="3" t="s">
        <v>4420</v>
      </c>
      <c r="E618" s="2" t="s">
        <v>4270</v>
      </c>
      <c r="F618" s="40">
        <v>33.799999999999997</v>
      </c>
      <c r="G618" s="40">
        <v>2</v>
      </c>
      <c r="H618" s="41">
        <v>67.599999999999994</v>
      </c>
    </row>
    <row r="619" spans="1:8" ht="19.95" customHeight="1" x14ac:dyDescent="0.3">
      <c r="A619" s="6" t="s">
        <v>4976</v>
      </c>
      <c r="B619" s="7" t="s">
        <v>5169</v>
      </c>
      <c r="C619" s="6" t="s">
        <v>5085</v>
      </c>
      <c r="D619" s="7" t="s">
        <v>4420</v>
      </c>
      <c r="E619" s="6" t="s">
        <v>6061</v>
      </c>
      <c r="F619" s="42">
        <v>9.1</v>
      </c>
      <c r="G619" s="42">
        <v>2</v>
      </c>
      <c r="H619" s="43">
        <v>18.2</v>
      </c>
    </row>
    <row r="620" spans="1:8" ht="19.95" customHeight="1" x14ac:dyDescent="0.3">
      <c r="A620" s="2" t="s">
        <v>4976</v>
      </c>
      <c r="B620" s="3" t="s">
        <v>5169</v>
      </c>
      <c r="C620" s="2" t="s">
        <v>5085</v>
      </c>
      <c r="D620" s="3" t="s">
        <v>4420</v>
      </c>
      <c r="E620" s="2" t="s">
        <v>4270</v>
      </c>
      <c r="F620" s="40">
        <v>33.799999999999997</v>
      </c>
      <c r="G620" s="40">
        <v>2</v>
      </c>
      <c r="H620" s="41">
        <v>67.599999999999994</v>
      </c>
    </row>
    <row r="621" spans="1:8" ht="19.95" customHeight="1" x14ac:dyDescent="0.3">
      <c r="A621" s="6" t="s">
        <v>4976</v>
      </c>
      <c r="B621" s="7" t="s">
        <v>5169</v>
      </c>
      <c r="C621" s="6" t="s">
        <v>5085</v>
      </c>
      <c r="D621" s="7" t="s">
        <v>4420</v>
      </c>
      <c r="E621" s="6" t="s">
        <v>4270</v>
      </c>
      <c r="F621" s="42">
        <v>33.799999999999997</v>
      </c>
      <c r="G621" s="42">
        <v>2</v>
      </c>
      <c r="H621" s="43">
        <v>67.599999999999994</v>
      </c>
    </row>
    <row r="622" spans="1:8" ht="19.95" customHeight="1" x14ac:dyDescent="0.3">
      <c r="A622" s="2" t="s">
        <v>4976</v>
      </c>
      <c r="B622" s="3" t="s">
        <v>5169</v>
      </c>
      <c r="C622" s="2" t="s">
        <v>5085</v>
      </c>
      <c r="D622" s="3" t="s">
        <v>4420</v>
      </c>
      <c r="E622" s="2" t="s">
        <v>4270</v>
      </c>
      <c r="F622" s="40">
        <v>33.799999999999997</v>
      </c>
      <c r="G622" s="40">
        <v>2</v>
      </c>
      <c r="H622" s="41">
        <v>67.599999999999994</v>
      </c>
    </row>
    <row r="623" spans="1:8" ht="19.95" customHeight="1" x14ac:dyDescent="0.3">
      <c r="A623" s="6" t="s">
        <v>4976</v>
      </c>
      <c r="B623" s="7" t="s">
        <v>5169</v>
      </c>
      <c r="C623" s="6" t="s">
        <v>5085</v>
      </c>
      <c r="D623" s="7" t="s">
        <v>4420</v>
      </c>
      <c r="E623" s="6" t="s">
        <v>6061</v>
      </c>
      <c r="F623" s="42">
        <v>8.9700000000000006</v>
      </c>
      <c r="G623" s="42">
        <v>2</v>
      </c>
      <c r="H623" s="43">
        <v>17.940000000000001</v>
      </c>
    </row>
    <row r="624" spans="1:8" ht="19.95" customHeight="1" x14ac:dyDescent="0.3">
      <c r="A624" s="2" t="s">
        <v>4976</v>
      </c>
      <c r="B624" s="3" t="s">
        <v>5169</v>
      </c>
      <c r="C624" s="2" t="s">
        <v>5085</v>
      </c>
      <c r="D624" s="3" t="s">
        <v>4420</v>
      </c>
      <c r="E624" s="2" t="s">
        <v>4270</v>
      </c>
      <c r="F624" s="40">
        <v>33.799999999999997</v>
      </c>
      <c r="G624" s="40">
        <v>2</v>
      </c>
      <c r="H624" s="41">
        <v>67.599999999999994</v>
      </c>
    </row>
    <row r="625" spans="1:8" ht="19.95" customHeight="1" x14ac:dyDescent="0.3">
      <c r="A625" s="6" t="s">
        <v>4976</v>
      </c>
      <c r="B625" s="7" t="s">
        <v>5169</v>
      </c>
      <c r="C625" s="6" t="s">
        <v>5085</v>
      </c>
      <c r="D625" s="7" t="s">
        <v>4420</v>
      </c>
      <c r="E625" s="6" t="s">
        <v>4270</v>
      </c>
      <c r="F625" s="42">
        <v>33.799999999999997</v>
      </c>
      <c r="G625" s="42">
        <v>2</v>
      </c>
      <c r="H625" s="43">
        <v>67.599999999999994</v>
      </c>
    </row>
    <row r="626" spans="1:8" ht="19.95" customHeight="1" x14ac:dyDescent="0.3">
      <c r="A626" s="2" t="s">
        <v>4976</v>
      </c>
      <c r="B626" s="3" t="s">
        <v>5175</v>
      </c>
      <c r="C626" s="2" t="s">
        <v>5176</v>
      </c>
      <c r="D626" s="3" t="s">
        <v>4368</v>
      </c>
      <c r="E626" s="2" t="s">
        <v>4270</v>
      </c>
      <c r="F626" s="40">
        <v>35.880000000000003</v>
      </c>
      <c r="G626" s="40">
        <v>2</v>
      </c>
      <c r="H626" s="41">
        <v>71.760000000000005</v>
      </c>
    </row>
    <row r="627" spans="1:8" ht="19.95" customHeight="1" x14ac:dyDescent="0.3">
      <c r="A627" s="6" t="s">
        <v>4976</v>
      </c>
      <c r="B627" s="7" t="s">
        <v>5177</v>
      </c>
      <c r="C627" s="6" t="s">
        <v>4996</v>
      </c>
      <c r="D627" s="7" t="s">
        <v>4368</v>
      </c>
      <c r="E627" s="6" t="s">
        <v>4270</v>
      </c>
      <c r="F627" s="42">
        <v>35.880000000000003</v>
      </c>
      <c r="G627" s="42">
        <v>2</v>
      </c>
      <c r="H627" s="43">
        <v>71.760000000000005</v>
      </c>
    </row>
    <row r="628" spans="1:8" ht="19.95" customHeight="1" x14ac:dyDescent="0.3">
      <c r="A628" s="2" t="s">
        <v>4976</v>
      </c>
      <c r="B628" s="3" t="s">
        <v>5183</v>
      </c>
      <c r="C628" s="2" t="s">
        <v>5184</v>
      </c>
      <c r="D628" s="3" t="s">
        <v>4368</v>
      </c>
      <c r="E628" s="2" t="s">
        <v>4270</v>
      </c>
      <c r="F628" s="40">
        <v>33.799999999999997</v>
      </c>
      <c r="G628" s="40">
        <v>2</v>
      </c>
      <c r="H628" s="41">
        <v>67.599999999999994</v>
      </c>
    </row>
    <row r="629" spans="1:8" ht="19.95" customHeight="1" x14ac:dyDescent="0.3">
      <c r="A629" s="6" t="s">
        <v>4976</v>
      </c>
      <c r="B629" s="7" t="s">
        <v>5185</v>
      </c>
      <c r="C629" s="6" t="s">
        <v>5186</v>
      </c>
      <c r="D629" s="7" t="s">
        <v>5187</v>
      </c>
      <c r="E629" s="6" t="s">
        <v>6066</v>
      </c>
      <c r="F629" s="42">
        <v>8.06</v>
      </c>
      <c r="G629" s="42">
        <v>2</v>
      </c>
      <c r="H629" s="43">
        <v>16.12</v>
      </c>
    </row>
    <row r="630" spans="1:8" ht="19.95" customHeight="1" x14ac:dyDescent="0.3">
      <c r="A630" s="2" t="s">
        <v>4976</v>
      </c>
      <c r="B630" s="3" t="s">
        <v>5185</v>
      </c>
      <c r="C630" s="2" t="s">
        <v>5186</v>
      </c>
      <c r="D630" s="3" t="s">
        <v>5187</v>
      </c>
      <c r="E630" s="2" t="s">
        <v>4270</v>
      </c>
      <c r="F630" s="40">
        <v>2.73</v>
      </c>
      <c r="G630" s="40">
        <v>2</v>
      </c>
      <c r="H630" s="41">
        <v>5.46</v>
      </c>
    </row>
    <row r="631" spans="1:8" ht="19.95" customHeight="1" x14ac:dyDescent="0.3">
      <c r="A631" s="6" t="s">
        <v>4976</v>
      </c>
      <c r="B631" s="7" t="s">
        <v>5188</v>
      </c>
      <c r="C631" s="6" t="s">
        <v>5189</v>
      </c>
      <c r="D631" s="7" t="s">
        <v>5187</v>
      </c>
      <c r="E631" s="6" t="s">
        <v>6066</v>
      </c>
      <c r="F631" s="42">
        <v>8.06</v>
      </c>
      <c r="G631" s="42">
        <v>2</v>
      </c>
      <c r="H631" s="43">
        <v>16.12</v>
      </c>
    </row>
    <row r="632" spans="1:8" ht="19.95" customHeight="1" x14ac:dyDescent="0.3">
      <c r="A632" s="2" t="s">
        <v>4976</v>
      </c>
      <c r="B632" s="3" t="s">
        <v>5188</v>
      </c>
      <c r="C632" s="2" t="s">
        <v>5189</v>
      </c>
      <c r="D632" s="3" t="s">
        <v>5187</v>
      </c>
      <c r="E632" s="2" t="s">
        <v>4270</v>
      </c>
      <c r="F632" s="40">
        <v>2.73</v>
      </c>
      <c r="G632" s="40">
        <v>2</v>
      </c>
      <c r="H632" s="41">
        <v>5.46</v>
      </c>
    </row>
    <row r="633" spans="1:8" ht="19.95" customHeight="1" x14ac:dyDescent="0.3">
      <c r="A633" s="6" t="s">
        <v>4976</v>
      </c>
      <c r="B633" s="7" t="s">
        <v>6067</v>
      </c>
      <c r="C633" s="6" t="s">
        <v>6068</v>
      </c>
      <c r="D633" s="7" t="s">
        <v>6069</v>
      </c>
      <c r="E633" s="6" t="s">
        <v>6070</v>
      </c>
      <c r="F633" s="42">
        <v>4.03</v>
      </c>
      <c r="G633" s="42">
        <v>2</v>
      </c>
      <c r="H633" s="43">
        <v>8.06</v>
      </c>
    </row>
    <row r="634" spans="1:8" ht="19.95" customHeight="1" x14ac:dyDescent="0.3">
      <c r="A634" s="2" t="s">
        <v>4976</v>
      </c>
      <c r="B634" s="3" t="s">
        <v>6067</v>
      </c>
      <c r="C634" s="2" t="s">
        <v>6068</v>
      </c>
      <c r="D634" s="3" t="s">
        <v>6069</v>
      </c>
      <c r="E634" s="2" t="s">
        <v>5978</v>
      </c>
      <c r="F634" s="40">
        <v>2.73</v>
      </c>
      <c r="G634" s="40">
        <v>2</v>
      </c>
      <c r="H634" s="41">
        <v>5.46</v>
      </c>
    </row>
    <row r="635" spans="1:8" ht="19.95" customHeight="1" x14ac:dyDescent="0.3">
      <c r="A635" s="6" t="s">
        <v>4976</v>
      </c>
      <c r="B635" s="7" t="s">
        <v>6067</v>
      </c>
      <c r="C635" s="6" t="s">
        <v>6068</v>
      </c>
      <c r="D635" s="7" t="s">
        <v>6069</v>
      </c>
      <c r="E635" s="6" t="s">
        <v>4270</v>
      </c>
      <c r="F635" s="42">
        <v>1.56</v>
      </c>
      <c r="G635" s="42">
        <v>2</v>
      </c>
      <c r="H635" s="43">
        <v>3.12</v>
      </c>
    </row>
    <row r="636" spans="1:8" ht="19.95" customHeight="1" x14ac:dyDescent="0.3">
      <c r="A636" s="2" t="s">
        <v>4976</v>
      </c>
      <c r="B636" s="3" t="s">
        <v>6071</v>
      </c>
      <c r="C636" s="2" t="s">
        <v>6072</v>
      </c>
      <c r="D636" s="3" t="s">
        <v>6069</v>
      </c>
      <c r="E636" s="2" t="s">
        <v>6070</v>
      </c>
      <c r="F636" s="40">
        <v>4.03</v>
      </c>
      <c r="G636" s="40">
        <v>2</v>
      </c>
      <c r="H636" s="41">
        <v>8.06</v>
      </c>
    </row>
    <row r="637" spans="1:8" ht="19.95" customHeight="1" x14ac:dyDescent="0.3">
      <c r="A637" s="6" t="s">
        <v>4976</v>
      </c>
      <c r="B637" s="7" t="s">
        <v>6071</v>
      </c>
      <c r="C637" s="6" t="s">
        <v>6072</v>
      </c>
      <c r="D637" s="7" t="s">
        <v>6069</v>
      </c>
      <c r="E637" s="6" t="s">
        <v>5978</v>
      </c>
      <c r="F637" s="42">
        <v>2.73</v>
      </c>
      <c r="G637" s="42">
        <v>2</v>
      </c>
      <c r="H637" s="43">
        <v>5.46</v>
      </c>
    </row>
    <row r="638" spans="1:8" ht="19.95" customHeight="1" x14ac:dyDescent="0.3">
      <c r="A638" s="2" t="s">
        <v>4976</v>
      </c>
      <c r="B638" s="3" t="s">
        <v>6071</v>
      </c>
      <c r="C638" s="2" t="s">
        <v>6072</v>
      </c>
      <c r="D638" s="3" t="s">
        <v>6069</v>
      </c>
      <c r="E638" s="2" t="s">
        <v>4270</v>
      </c>
      <c r="F638" s="40">
        <v>1.56</v>
      </c>
      <c r="G638" s="40">
        <v>2</v>
      </c>
      <c r="H638" s="41">
        <v>3.12</v>
      </c>
    </row>
    <row r="639" spans="1:8" ht="19.95" customHeight="1" x14ac:dyDescent="0.3">
      <c r="A639" s="6" t="s">
        <v>4976</v>
      </c>
      <c r="B639" s="7" t="s">
        <v>6073</v>
      </c>
      <c r="C639" s="6" t="s">
        <v>6074</v>
      </c>
      <c r="D639" s="7" t="s">
        <v>6069</v>
      </c>
      <c r="E639" s="6" t="s">
        <v>6070</v>
      </c>
      <c r="F639" s="42">
        <v>4.03</v>
      </c>
      <c r="G639" s="42">
        <v>2</v>
      </c>
      <c r="H639" s="43">
        <v>8.06</v>
      </c>
    </row>
    <row r="640" spans="1:8" ht="19.95" customHeight="1" x14ac:dyDescent="0.3">
      <c r="A640" s="2" t="s">
        <v>4976</v>
      </c>
      <c r="B640" s="3" t="s">
        <v>6073</v>
      </c>
      <c r="C640" s="2" t="s">
        <v>6074</v>
      </c>
      <c r="D640" s="3" t="s">
        <v>6069</v>
      </c>
      <c r="E640" s="2" t="s">
        <v>5978</v>
      </c>
      <c r="F640" s="40">
        <v>2.73</v>
      </c>
      <c r="G640" s="40">
        <v>2</v>
      </c>
      <c r="H640" s="41">
        <v>5.46</v>
      </c>
    </row>
    <row r="641" spans="1:8" ht="19.95" customHeight="1" x14ac:dyDescent="0.3">
      <c r="A641" s="6" t="s">
        <v>4976</v>
      </c>
      <c r="B641" s="7" t="s">
        <v>6073</v>
      </c>
      <c r="C641" s="6" t="s">
        <v>6074</v>
      </c>
      <c r="D641" s="7" t="s">
        <v>6069</v>
      </c>
      <c r="E641" s="6" t="s">
        <v>4270</v>
      </c>
      <c r="F641" s="42">
        <v>1.56</v>
      </c>
      <c r="G641" s="42">
        <v>2</v>
      </c>
      <c r="H641" s="43">
        <v>3.12</v>
      </c>
    </row>
    <row r="642" spans="1:8" ht="19.95" customHeight="1" x14ac:dyDescent="0.3">
      <c r="A642" s="2" t="s">
        <v>4976</v>
      </c>
      <c r="B642" s="3" t="s">
        <v>6075</v>
      </c>
      <c r="C642" s="2" t="s">
        <v>6076</v>
      </c>
      <c r="D642" s="3" t="s">
        <v>6069</v>
      </c>
      <c r="E642" s="2" t="s">
        <v>6077</v>
      </c>
      <c r="F642" s="40">
        <v>4.03</v>
      </c>
      <c r="G642" s="40">
        <v>2</v>
      </c>
      <c r="H642" s="41">
        <v>8.06</v>
      </c>
    </row>
    <row r="643" spans="1:8" ht="19.95" customHeight="1" x14ac:dyDescent="0.3">
      <c r="A643" s="6" t="s">
        <v>4976</v>
      </c>
      <c r="B643" s="7" t="s">
        <v>6075</v>
      </c>
      <c r="C643" s="6" t="s">
        <v>6076</v>
      </c>
      <c r="D643" s="7" t="s">
        <v>6069</v>
      </c>
      <c r="E643" s="6" t="s">
        <v>6078</v>
      </c>
      <c r="F643" s="42">
        <v>1.56</v>
      </c>
      <c r="G643" s="42">
        <v>2</v>
      </c>
      <c r="H643" s="43">
        <v>3.12</v>
      </c>
    </row>
    <row r="644" spans="1:8" ht="19.95" customHeight="1" x14ac:dyDescent="0.3">
      <c r="A644" s="2" t="s">
        <v>4976</v>
      </c>
      <c r="B644" s="3" t="s">
        <v>6075</v>
      </c>
      <c r="C644" s="2" t="s">
        <v>6076</v>
      </c>
      <c r="D644" s="3" t="s">
        <v>6069</v>
      </c>
      <c r="E644" s="2" t="s">
        <v>6079</v>
      </c>
      <c r="F644" s="40">
        <v>5.2</v>
      </c>
      <c r="G644" s="40">
        <v>2</v>
      </c>
      <c r="H644" s="41">
        <v>10.4</v>
      </c>
    </row>
    <row r="645" spans="1:8" ht="19.95" customHeight="1" x14ac:dyDescent="0.3">
      <c r="A645" s="6" t="s">
        <v>4976</v>
      </c>
      <c r="B645" s="7" t="s">
        <v>6075</v>
      </c>
      <c r="C645" s="6" t="s">
        <v>6076</v>
      </c>
      <c r="D645" s="7" t="s">
        <v>6069</v>
      </c>
      <c r="E645" s="6" t="s">
        <v>4270</v>
      </c>
      <c r="F645" s="42">
        <v>1.56</v>
      </c>
      <c r="G645" s="42">
        <v>2</v>
      </c>
      <c r="H645" s="43">
        <v>3.12</v>
      </c>
    </row>
    <row r="646" spans="1:8" ht="19.95" customHeight="1" x14ac:dyDescent="0.3">
      <c r="A646" s="2" t="s">
        <v>4976</v>
      </c>
      <c r="B646" s="3" t="s">
        <v>6080</v>
      </c>
      <c r="C646" s="2" t="s">
        <v>6081</v>
      </c>
      <c r="D646" s="3" t="s">
        <v>6069</v>
      </c>
      <c r="E646" s="2" t="s">
        <v>6077</v>
      </c>
      <c r="F646" s="40">
        <v>4.03</v>
      </c>
      <c r="G646" s="40">
        <v>2</v>
      </c>
      <c r="H646" s="41">
        <v>8.06</v>
      </c>
    </row>
    <row r="647" spans="1:8" ht="19.95" customHeight="1" x14ac:dyDescent="0.3">
      <c r="A647" s="6" t="s">
        <v>4976</v>
      </c>
      <c r="B647" s="7" t="s">
        <v>6080</v>
      </c>
      <c r="C647" s="6" t="s">
        <v>6081</v>
      </c>
      <c r="D647" s="7" t="s">
        <v>6069</v>
      </c>
      <c r="E647" s="6" t="s">
        <v>6078</v>
      </c>
      <c r="F647" s="42">
        <v>1.56</v>
      </c>
      <c r="G647" s="42">
        <v>2</v>
      </c>
      <c r="H647" s="43">
        <v>3.12</v>
      </c>
    </row>
    <row r="648" spans="1:8" ht="19.95" customHeight="1" x14ac:dyDescent="0.3">
      <c r="A648" s="2" t="s">
        <v>4976</v>
      </c>
      <c r="B648" s="3" t="s">
        <v>6080</v>
      </c>
      <c r="C648" s="2" t="s">
        <v>6081</v>
      </c>
      <c r="D648" s="3" t="s">
        <v>6069</v>
      </c>
      <c r="E648" s="2" t="s">
        <v>6079</v>
      </c>
      <c r="F648" s="40">
        <v>5.2</v>
      </c>
      <c r="G648" s="40">
        <v>2</v>
      </c>
      <c r="H648" s="41">
        <v>10.4</v>
      </c>
    </row>
    <row r="649" spans="1:8" ht="19.95" customHeight="1" x14ac:dyDescent="0.3">
      <c r="A649" s="6" t="s">
        <v>4976</v>
      </c>
      <c r="B649" s="7" t="s">
        <v>6080</v>
      </c>
      <c r="C649" s="6" t="s">
        <v>6081</v>
      </c>
      <c r="D649" s="7" t="s">
        <v>6069</v>
      </c>
      <c r="E649" s="6" t="s">
        <v>4270</v>
      </c>
      <c r="F649" s="42">
        <v>1.56</v>
      </c>
      <c r="G649" s="42">
        <v>2</v>
      </c>
      <c r="H649" s="43">
        <v>3.12</v>
      </c>
    </row>
    <row r="650" spans="1:8" ht="19.95" customHeight="1" x14ac:dyDescent="0.3">
      <c r="A650" s="2" t="s">
        <v>4976</v>
      </c>
      <c r="B650" s="3" t="s">
        <v>6082</v>
      </c>
      <c r="C650" s="2" t="s">
        <v>6083</v>
      </c>
      <c r="D650" s="3" t="s">
        <v>6084</v>
      </c>
      <c r="E650" s="2" t="s">
        <v>4270</v>
      </c>
      <c r="F650" s="40">
        <v>26.91</v>
      </c>
      <c r="G650" s="40">
        <v>2</v>
      </c>
      <c r="H650" s="41">
        <v>53.82</v>
      </c>
    </row>
    <row r="651" spans="1:8" ht="19.95" customHeight="1" x14ac:dyDescent="0.3">
      <c r="A651" s="6" t="s">
        <v>4976</v>
      </c>
      <c r="B651" s="7" t="s">
        <v>6082</v>
      </c>
      <c r="C651" s="6" t="s">
        <v>6083</v>
      </c>
      <c r="D651" s="7" t="s">
        <v>6084</v>
      </c>
      <c r="E651" s="6" t="s">
        <v>6085</v>
      </c>
      <c r="F651" s="42">
        <v>19.760000000000002</v>
      </c>
      <c r="G651" s="42">
        <v>2</v>
      </c>
      <c r="H651" s="43">
        <v>39.520000000000003</v>
      </c>
    </row>
    <row r="652" spans="1:8" ht="19.95" customHeight="1" x14ac:dyDescent="0.3">
      <c r="A652" s="2" t="s">
        <v>4976</v>
      </c>
      <c r="B652" s="3" t="s">
        <v>6086</v>
      </c>
      <c r="C652" s="2" t="s">
        <v>6087</v>
      </c>
      <c r="D652" s="3" t="s">
        <v>6084</v>
      </c>
      <c r="E652" s="2" t="s">
        <v>4270</v>
      </c>
      <c r="F652" s="40">
        <v>26.91</v>
      </c>
      <c r="G652" s="40">
        <v>2</v>
      </c>
      <c r="H652" s="41">
        <v>53.82</v>
      </c>
    </row>
    <row r="653" spans="1:8" ht="19.95" customHeight="1" x14ac:dyDescent="0.3">
      <c r="A653" s="6" t="s">
        <v>4976</v>
      </c>
      <c r="B653" s="7" t="s">
        <v>6086</v>
      </c>
      <c r="C653" s="6" t="s">
        <v>6087</v>
      </c>
      <c r="D653" s="7" t="s">
        <v>6084</v>
      </c>
      <c r="E653" s="6" t="s">
        <v>6085</v>
      </c>
      <c r="F653" s="42">
        <v>19.760000000000002</v>
      </c>
      <c r="G653" s="42">
        <v>2</v>
      </c>
      <c r="H653" s="43">
        <v>39.520000000000003</v>
      </c>
    </row>
    <row r="654" spans="1:8" ht="19.95" customHeight="1" x14ac:dyDescent="0.3">
      <c r="A654" s="2" t="s">
        <v>4976</v>
      </c>
      <c r="B654" s="3" t="s">
        <v>4982</v>
      </c>
      <c r="C654" s="2" t="s">
        <v>4983</v>
      </c>
      <c r="D654" s="3" t="s">
        <v>4368</v>
      </c>
      <c r="E654" s="2" t="s">
        <v>6088</v>
      </c>
      <c r="F654" s="40">
        <v>26</v>
      </c>
      <c r="G654" s="40">
        <v>2</v>
      </c>
      <c r="H654" s="41">
        <v>52</v>
      </c>
    </row>
    <row r="655" spans="1:8" ht="19.95" customHeight="1" x14ac:dyDescent="0.3">
      <c r="A655" s="6" t="s">
        <v>4976</v>
      </c>
      <c r="B655" s="7" t="s">
        <v>4982</v>
      </c>
      <c r="C655" s="6" t="s">
        <v>4984</v>
      </c>
      <c r="D655" s="7" t="s">
        <v>4368</v>
      </c>
      <c r="E655" s="6" t="s">
        <v>4270</v>
      </c>
      <c r="F655" s="42">
        <v>26.91</v>
      </c>
      <c r="G655" s="42">
        <v>2</v>
      </c>
      <c r="H655" s="43">
        <v>53.82</v>
      </c>
    </row>
    <row r="656" spans="1:8" ht="19.95" customHeight="1" x14ac:dyDescent="0.3">
      <c r="A656" s="2" t="s">
        <v>4976</v>
      </c>
      <c r="B656" s="3" t="s">
        <v>4982</v>
      </c>
      <c r="C656" s="2" t="s">
        <v>4984</v>
      </c>
      <c r="D656" s="3" t="s">
        <v>4368</v>
      </c>
      <c r="E656" s="2" t="s">
        <v>4270</v>
      </c>
      <c r="F656" s="40">
        <v>19.760000000000002</v>
      </c>
      <c r="G656" s="40">
        <v>2</v>
      </c>
      <c r="H656" s="41">
        <v>39.520000000000003</v>
      </c>
    </row>
    <row r="657" spans="1:8" ht="19.95" customHeight="1" x14ac:dyDescent="0.3">
      <c r="A657" s="6" t="s">
        <v>4976</v>
      </c>
      <c r="B657" s="7" t="s">
        <v>5202</v>
      </c>
      <c r="C657" s="6" t="s">
        <v>5087</v>
      </c>
      <c r="D657" s="7" t="s">
        <v>5088</v>
      </c>
      <c r="E657" s="6" t="s">
        <v>4270</v>
      </c>
      <c r="F657" s="42">
        <v>19.760000000000002</v>
      </c>
      <c r="G657" s="42">
        <v>2</v>
      </c>
      <c r="H657" s="43">
        <v>39.520000000000003</v>
      </c>
    </row>
    <row r="658" spans="1:8" ht="19.95" customHeight="1" x14ac:dyDescent="0.3">
      <c r="A658" s="2" t="s">
        <v>4976</v>
      </c>
      <c r="B658" s="3" t="s">
        <v>5203</v>
      </c>
      <c r="C658" s="2" t="s">
        <v>5090</v>
      </c>
      <c r="D658" s="3" t="s">
        <v>5088</v>
      </c>
      <c r="E658" s="2" t="s">
        <v>4270</v>
      </c>
      <c r="F658" s="40">
        <v>19.760000000000002</v>
      </c>
      <c r="G658" s="40">
        <v>2</v>
      </c>
      <c r="H658" s="41">
        <v>39.520000000000003</v>
      </c>
    </row>
    <row r="659" spans="1:8" ht="19.95" customHeight="1" x14ac:dyDescent="0.3">
      <c r="A659" s="6" t="s">
        <v>4976</v>
      </c>
      <c r="B659" s="7" t="s">
        <v>4653</v>
      </c>
      <c r="C659" s="6" t="s">
        <v>4987</v>
      </c>
      <c r="D659" s="7" t="s">
        <v>4368</v>
      </c>
      <c r="E659" s="6" t="s">
        <v>6089</v>
      </c>
      <c r="F659" s="42">
        <v>5.46</v>
      </c>
      <c r="G659" s="42">
        <v>2</v>
      </c>
      <c r="H659" s="43">
        <v>10.92</v>
      </c>
    </row>
    <row r="660" spans="1:8" ht="19.95" customHeight="1" x14ac:dyDescent="0.3">
      <c r="A660" s="2" t="s">
        <v>4976</v>
      </c>
      <c r="B660" s="3" t="s">
        <v>4985</v>
      </c>
      <c r="C660" s="2" t="s">
        <v>4986</v>
      </c>
      <c r="D660" s="3" t="s">
        <v>4368</v>
      </c>
      <c r="E660" s="2" t="s">
        <v>4270</v>
      </c>
      <c r="F660" s="40">
        <v>26.91</v>
      </c>
      <c r="G660" s="40">
        <v>2</v>
      </c>
      <c r="H660" s="41">
        <v>53.82</v>
      </c>
    </row>
    <row r="661" spans="1:8" ht="19.95" customHeight="1" x14ac:dyDescent="0.3">
      <c r="A661" s="6" t="s">
        <v>4976</v>
      </c>
      <c r="B661" s="7" t="s">
        <v>4985</v>
      </c>
      <c r="C661" s="6" t="s">
        <v>4986</v>
      </c>
      <c r="D661" s="7" t="s">
        <v>4368</v>
      </c>
      <c r="E661" s="6" t="s">
        <v>4270</v>
      </c>
      <c r="F661" s="42">
        <v>26.91</v>
      </c>
      <c r="G661" s="42">
        <v>2</v>
      </c>
      <c r="H661" s="43">
        <v>53.82</v>
      </c>
    </row>
    <row r="662" spans="1:8" ht="19.95" customHeight="1" x14ac:dyDescent="0.3">
      <c r="A662" s="2" t="s">
        <v>4976</v>
      </c>
      <c r="B662" s="3" t="s">
        <v>5256</v>
      </c>
      <c r="C662" s="2" t="s">
        <v>5257</v>
      </c>
      <c r="D662" s="3" t="s">
        <v>4419</v>
      </c>
      <c r="E662" s="2" t="s">
        <v>6090</v>
      </c>
      <c r="F662" s="40">
        <v>6.37</v>
      </c>
      <c r="G662" s="40">
        <v>2</v>
      </c>
      <c r="H662" s="41">
        <v>12.74</v>
      </c>
    </row>
    <row r="663" spans="1:8" ht="19.95" customHeight="1" x14ac:dyDescent="0.3">
      <c r="A663" s="6" t="s">
        <v>4976</v>
      </c>
      <c r="B663" s="7" t="s">
        <v>5258</v>
      </c>
      <c r="C663" s="6" t="s">
        <v>5259</v>
      </c>
      <c r="D663" s="7" t="s">
        <v>4419</v>
      </c>
      <c r="E663" s="6" t="s">
        <v>6090</v>
      </c>
      <c r="F663" s="42">
        <v>6.37</v>
      </c>
      <c r="G663" s="42">
        <v>2</v>
      </c>
      <c r="H663" s="43">
        <v>12.74</v>
      </c>
    </row>
    <row r="664" spans="1:8" ht="19.95" customHeight="1" x14ac:dyDescent="0.3">
      <c r="A664" s="2" t="s">
        <v>4976</v>
      </c>
      <c r="B664" s="3" t="s">
        <v>5268</v>
      </c>
      <c r="C664" s="2" t="s">
        <v>5269</v>
      </c>
      <c r="D664" s="3" t="s">
        <v>4419</v>
      </c>
      <c r="E664" s="2" t="s">
        <v>6090</v>
      </c>
      <c r="F664" s="40">
        <v>6.37</v>
      </c>
      <c r="G664" s="40">
        <v>2</v>
      </c>
      <c r="H664" s="41">
        <v>12.74</v>
      </c>
    </row>
    <row r="665" spans="1:8" ht="19.95" customHeight="1" x14ac:dyDescent="0.3">
      <c r="A665" s="6" t="s">
        <v>4976</v>
      </c>
      <c r="B665" s="7" t="s">
        <v>5351</v>
      </c>
      <c r="C665" s="6" t="s">
        <v>5352</v>
      </c>
      <c r="D665" s="7" t="s">
        <v>5353</v>
      </c>
      <c r="E665" s="6" t="s">
        <v>6091</v>
      </c>
      <c r="F665" s="42">
        <v>3.64</v>
      </c>
      <c r="G665" s="42">
        <v>2</v>
      </c>
      <c r="H665" s="43">
        <v>7.28</v>
      </c>
    </row>
    <row r="666" spans="1:8" ht="19.95" customHeight="1" x14ac:dyDescent="0.3">
      <c r="A666" s="2" t="s">
        <v>4976</v>
      </c>
      <c r="B666" s="3" t="s">
        <v>5354</v>
      </c>
      <c r="C666" s="2" t="s">
        <v>5355</v>
      </c>
      <c r="D666" s="3" t="s">
        <v>5353</v>
      </c>
      <c r="E666" s="2" t="s">
        <v>6091</v>
      </c>
      <c r="F666" s="40">
        <v>3.64</v>
      </c>
      <c r="G666" s="40">
        <v>2</v>
      </c>
      <c r="H666" s="41">
        <v>7.28</v>
      </c>
    </row>
    <row r="667" spans="1:8" ht="19.95" customHeight="1" x14ac:dyDescent="0.3">
      <c r="A667" s="6" t="s">
        <v>4976</v>
      </c>
      <c r="B667" s="7" t="s">
        <v>5356</v>
      </c>
      <c r="C667" s="6" t="s">
        <v>5357</v>
      </c>
      <c r="D667" s="7" t="s">
        <v>5353</v>
      </c>
      <c r="E667" s="6" t="s">
        <v>6091</v>
      </c>
      <c r="F667" s="42">
        <v>3.64</v>
      </c>
      <c r="G667" s="42">
        <v>2</v>
      </c>
      <c r="H667" s="43">
        <v>7.28</v>
      </c>
    </row>
    <row r="668" spans="1:8" ht="19.95" customHeight="1" x14ac:dyDescent="0.3">
      <c r="A668" s="2" t="s">
        <v>4976</v>
      </c>
      <c r="B668" s="3" t="s">
        <v>5358</v>
      </c>
      <c r="C668" s="2" t="s">
        <v>5359</v>
      </c>
      <c r="D668" s="3" t="s">
        <v>5353</v>
      </c>
      <c r="E668" s="2" t="s">
        <v>6092</v>
      </c>
      <c r="F668" s="40">
        <v>3.64</v>
      </c>
      <c r="G668" s="40">
        <v>2</v>
      </c>
      <c r="H668" s="41">
        <v>7.28</v>
      </c>
    </row>
    <row r="669" spans="1:8" ht="19.95" customHeight="1" x14ac:dyDescent="0.3">
      <c r="A669" s="6" t="s">
        <v>4976</v>
      </c>
      <c r="B669" s="7" t="s">
        <v>5360</v>
      </c>
      <c r="C669" s="6" t="s">
        <v>5361</v>
      </c>
      <c r="D669" s="7" t="s">
        <v>5353</v>
      </c>
      <c r="E669" s="6" t="s">
        <v>6092</v>
      </c>
      <c r="F669" s="42">
        <v>3.64</v>
      </c>
      <c r="G669" s="42">
        <v>2</v>
      </c>
      <c r="H669" s="43">
        <v>7.28</v>
      </c>
    </row>
    <row r="670" spans="1:8" ht="19.95" customHeight="1" x14ac:dyDescent="0.3">
      <c r="A670" s="2" t="s">
        <v>4976</v>
      </c>
      <c r="B670" s="3" t="s">
        <v>5362</v>
      </c>
      <c r="C670" s="2" t="s">
        <v>5363</v>
      </c>
      <c r="D670" s="3" t="s">
        <v>5353</v>
      </c>
      <c r="E670" s="2" t="s">
        <v>6092</v>
      </c>
      <c r="F670" s="40">
        <v>3.64</v>
      </c>
      <c r="G670" s="40">
        <v>2</v>
      </c>
      <c r="H670" s="41">
        <v>7.28</v>
      </c>
    </row>
    <row r="671" spans="1:8" ht="19.95" customHeight="1" x14ac:dyDescent="0.3">
      <c r="A671" s="6" t="s">
        <v>4976</v>
      </c>
      <c r="B671" s="7" t="s">
        <v>5364</v>
      </c>
      <c r="C671" s="6" t="s">
        <v>5365</v>
      </c>
      <c r="D671" s="7" t="s">
        <v>5353</v>
      </c>
      <c r="E671" s="6" t="s">
        <v>6092</v>
      </c>
      <c r="F671" s="42">
        <v>3.64</v>
      </c>
      <c r="G671" s="42">
        <v>2</v>
      </c>
      <c r="H671" s="43">
        <v>7.28</v>
      </c>
    </row>
    <row r="672" spans="1:8" ht="19.95" customHeight="1" x14ac:dyDescent="0.3">
      <c r="A672" s="2" t="s">
        <v>4976</v>
      </c>
      <c r="B672" s="3" t="s">
        <v>5389</v>
      </c>
      <c r="C672" s="2" t="s">
        <v>5390</v>
      </c>
      <c r="D672" s="3" t="s">
        <v>5353</v>
      </c>
      <c r="E672" s="2" t="s">
        <v>6091</v>
      </c>
      <c r="F672" s="40">
        <v>3.64</v>
      </c>
      <c r="G672" s="40">
        <v>2</v>
      </c>
      <c r="H672" s="41">
        <v>7.28</v>
      </c>
    </row>
    <row r="673" spans="1:8" ht="19.95" customHeight="1" x14ac:dyDescent="0.3">
      <c r="A673" s="6" t="s">
        <v>4976</v>
      </c>
      <c r="B673" s="7" t="s">
        <v>5391</v>
      </c>
      <c r="C673" s="6" t="s">
        <v>5392</v>
      </c>
      <c r="D673" s="7" t="s">
        <v>5353</v>
      </c>
      <c r="E673" s="6" t="s">
        <v>6091</v>
      </c>
      <c r="F673" s="42">
        <v>3.64</v>
      </c>
      <c r="G673" s="42">
        <v>2</v>
      </c>
      <c r="H673" s="43">
        <v>7.28</v>
      </c>
    </row>
    <row r="674" spans="1:8" ht="19.95" customHeight="1" x14ac:dyDescent="0.3">
      <c r="A674" s="2" t="s">
        <v>4976</v>
      </c>
      <c r="B674" s="3" t="s">
        <v>5399</v>
      </c>
      <c r="C674" s="2" t="s">
        <v>5400</v>
      </c>
      <c r="D674" s="3" t="s">
        <v>5353</v>
      </c>
      <c r="E674" s="2" t="s">
        <v>6092</v>
      </c>
      <c r="F674" s="40">
        <v>3.64</v>
      </c>
      <c r="G674" s="40">
        <v>2</v>
      </c>
      <c r="H674" s="41">
        <v>7.28</v>
      </c>
    </row>
    <row r="675" spans="1:8" ht="19.95" customHeight="1" x14ac:dyDescent="0.3">
      <c r="A675" s="6" t="s">
        <v>4976</v>
      </c>
      <c r="B675" s="7" t="s">
        <v>5401</v>
      </c>
      <c r="C675" s="6" t="s">
        <v>5402</v>
      </c>
      <c r="D675" s="7" t="s">
        <v>5353</v>
      </c>
      <c r="E675" s="6" t="s">
        <v>6092</v>
      </c>
      <c r="F675" s="42">
        <v>3.64</v>
      </c>
      <c r="G675" s="42">
        <v>2</v>
      </c>
      <c r="H675" s="43">
        <v>7.28</v>
      </c>
    </row>
    <row r="676" spans="1:8" ht="19.95" customHeight="1" x14ac:dyDescent="0.3">
      <c r="A676" s="2" t="s">
        <v>4976</v>
      </c>
      <c r="B676" s="3" t="s">
        <v>5403</v>
      </c>
      <c r="C676" s="2" t="s">
        <v>5404</v>
      </c>
      <c r="D676" s="3" t="s">
        <v>5353</v>
      </c>
      <c r="E676" s="2" t="s">
        <v>6092</v>
      </c>
      <c r="F676" s="40">
        <v>3.64</v>
      </c>
      <c r="G676" s="40">
        <v>2</v>
      </c>
      <c r="H676" s="41">
        <v>7.28</v>
      </c>
    </row>
    <row r="677" spans="1:8" ht="19.95" customHeight="1" x14ac:dyDescent="0.3">
      <c r="A677" s="6" t="s">
        <v>4976</v>
      </c>
      <c r="B677" s="7" t="s">
        <v>5405</v>
      </c>
      <c r="C677" s="6" t="s">
        <v>5406</v>
      </c>
      <c r="D677" s="7" t="s">
        <v>5407</v>
      </c>
      <c r="E677" s="6" t="s">
        <v>6092</v>
      </c>
      <c r="F677" s="42">
        <v>3.64</v>
      </c>
      <c r="G677" s="42">
        <v>2</v>
      </c>
      <c r="H677" s="43">
        <v>7.28</v>
      </c>
    </row>
    <row r="678" spans="1:8" ht="19.95" customHeight="1" x14ac:dyDescent="0.3">
      <c r="A678" s="2" t="s">
        <v>4976</v>
      </c>
      <c r="B678" s="3" t="s">
        <v>5009</v>
      </c>
      <c r="C678" s="2" t="s">
        <v>5010</v>
      </c>
      <c r="D678" s="3" t="s">
        <v>5011</v>
      </c>
      <c r="E678" s="2" t="s">
        <v>6093</v>
      </c>
      <c r="F678" s="40">
        <v>4.55</v>
      </c>
      <c r="G678" s="40">
        <v>2</v>
      </c>
      <c r="H678" s="41">
        <v>9.1</v>
      </c>
    </row>
    <row r="679" spans="1:8" ht="19.95" customHeight="1" x14ac:dyDescent="0.3">
      <c r="A679" s="6" t="s">
        <v>4976</v>
      </c>
      <c r="B679" s="7" t="s">
        <v>6094</v>
      </c>
      <c r="C679" s="6" t="s">
        <v>6095</v>
      </c>
      <c r="D679" s="7" t="s">
        <v>6069</v>
      </c>
      <c r="E679" s="6" t="s">
        <v>5978</v>
      </c>
      <c r="F679" s="42">
        <v>2.73</v>
      </c>
      <c r="G679" s="42">
        <v>2</v>
      </c>
      <c r="H679" s="43">
        <v>5.46</v>
      </c>
    </row>
    <row r="680" spans="1:8" ht="19.95" customHeight="1" x14ac:dyDescent="0.3">
      <c r="A680" s="2" t="s">
        <v>4976</v>
      </c>
      <c r="B680" s="3" t="s">
        <v>6094</v>
      </c>
      <c r="C680" s="2" t="s">
        <v>6095</v>
      </c>
      <c r="D680" s="3" t="s">
        <v>6069</v>
      </c>
      <c r="E680" s="2" t="s">
        <v>4270</v>
      </c>
      <c r="F680" s="40">
        <v>1.43</v>
      </c>
      <c r="G680" s="40">
        <v>2</v>
      </c>
      <c r="H680" s="41">
        <v>2.86</v>
      </c>
    </row>
    <row r="681" spans="1:8" ht="19.95" customHeight="1" x14ac:dyDescent="0.3">
      <c r="A681" s="6" t="s">
        <v>4976</v>
      </c>
      <c r="B681" s="7" t="s">
        <v>5012</v>
      </c>
      <c r="C681" s="6" t="s">
        <v>5013</v>
      </c>
      <c r="D681" s="7" t="s">
        <v>5014</v>
      </c>
      <c r="E681" s="6" t="s">
        <v>6096</v>
      </c>
      <c r="F681" s="42">
        <v>52</v>
      </c>
      <c r="G681" s="42">
        <v>2</v>
      </c>
      <c r="H681" s="43">
        <v>104</v>
      </c>
    </row>
    <row r="682" spans="1:8" ht="19.95" customHeight="1" x14ac:dyDescent="0.3">
      <c r="A682" s="2" t="s">
        <v>4976</v>
      </c>
      <c r="B682" s="3" t="s">
        <v>5012</v>
      </c>
      <c r="C682" s="2" t="s">
        <v>5013</v>
      </c>
      <c r="D682" s="3" t="s">
        <v>5014</v>
      </c>
      <c r="E682" s="2" t="s">
        <v>6097</v>
      </c>
      <c r="F682" s="40">
        <v>130</v>
      </c>
      <c r="G682" s="40">
        <v>2</v>
      </c>
      <c r="H682" s="41">
        <v>260</v>
      </c>
    </row>
    <row r="683" spans="1:8" ht="19.95" customHeight="1" x14ac:dyDescent="0.3">
      <c r="A683" s="6" t="s">
        <v>4976</v>
      </c>
      <c r="B683" s="7" t="s">
        <v>5015</v>
      </c>
      <c r="C683" s="6" t="s">
        <v>5016</v>
      </c>
      <c r="D683" s="7" t="s">
        <v>5014</v>
      </c>
      <c r="E683" s="6" t="s">
        <v>6096</v>
      </c>
      <c r="F683" s="42">
        <v>52</v>
      </c>
      <c r="G683" s="42">
        <v>2</v>
      </c>
      <c r="H683" s="43">
        <v>104</v>
      </c>
    </row>
    <row r="684" spans="1:8" ht="19.95" customHeight="1" x14ac:dyDescent="0.3">
      <c r="A684" s="2" t="s">
        <v>4976</v>
      </c>
      <c r="B684" s="3" t="s">
        <v>5015</v>
      </c>
      <c r="C684" s="2" t="s">
        <v>5016</v>
      </c>
      <c r="D684" s="3" t="s">
        <v>5014</v>
      </c>
      <c r="E684" s="2" t="s">
        <v>6097</v>
      </c>
      <c r="F684" s="40">
        <v>130</v>
      </c>
      <c r="G684" s="40">
        <v>2</v>
      </c>
      <c r="H684" s="41">
        <v>260</v>
      </c>
    </row>
    <row r="685" spans="1:8" ht="19.95" customHeight="1" x14ac:dyDescent="0.3">
      <c r="A685" s="6" t="s">
        <v>4976</v>
      </c>
      <c r="B685" s="7" t="s">
        <v>5017</v>
      </c>
      <c r="C685" s="6" t="s">
        <v>5018</v>
      </c>
      <c r="D685" s="7" t="s">
        <v>5014</v>
      </c>
      <c r="E685" s="6" t="s">
        <v>6096</v>
      </c>
      <c r="F685" s="42">
        <v>52</v>
      </c>
      <c r="G685" s="42">
        <v>2</v>
      </c>
      <c r="H685" s="43">
        <v>104</v>
      </c>
    </row>
    <row r="686" spans="1:8" ht="19.95" customHeight="1" x14ac:dyDescent="0.3">
      <c r="A686" s="2" t="s">
        <v>4976</v>
      </c>
      <c r="B686" s="3" t="s">
        <v>5017</v>
      </c>
      <c r="C686" s="2" t="s">
        <v>5018</v>
      </c>
      <c r="D686" s="3" t="s">
        <v>5014</v>
      </c>
      <c r="E686" s="2" t="s">
        <v>6097</v>
      </c>
      <c r="F686" s="40">
        <v>130</v>
      </c>
      <c r="G686" s="40">
        <v>2</v>
      </c>
      <c r="H686" s="41">
        <v>260</v>
      </c>
    </row>
    <row r="687" spans="1:8" ht="19.95" customHeight="1" x14ac:dyDescent="0.3">
      <c r="A687" s="6" t="s">
        <v>4976</v>
      </c>
      <c r="B687" s="7" t="s">
        <v>5019</v>
      </c>
      <c r="C687" s="6" t="s">
        <v>5020</v>
      </c>
      <c r="D687" s="7" t="s">
        <v>5014</v>
      </c>
      <c r="E687" s="6" t="s">
        <v>6096</v>
      </c>
      <c r="F687" s="42">
        <v>52</v>
      </c>
      <c r="G687" s="42">
        <v>2</v>
      </c>
      <c r="H687" s="43">
        <v>104</v>
      </c>
    </row>
    <row r="688" spans="1:8" ht="19.95" customHeight="1" x14ac:dyDescent="0.3">
      <c r="A688" s="2" t="s">
        <v>4976</v>
      </c>
      <c r="B688" s="3" t="s">
        <v>5019</v>
      </c>
      <c r="C688" s="2" t="s">
        <v>5020</v>
      </c>
      <c r="D688" s="3" t="s">
        <v>5014</v>
      </c>
      <c r="E688" s="2" t="s">
        <v>6097</v>
      </c>
      <c r="F688" s="40">
        <v>130</v>
      </c>
      <c r="G688" s="40">
        <v>2</v>
      </c>
      <c r="H688" s="41">
        <v>260</v>
      </c>
    </row>
    <row r="689" spans="1:8" ht="19.95" customHeight="1" x14ac:dyDescent="0.3">
      <c r="A689" s="6" t="s">
        <v>4976</v>
      </c>
      <c r="B689" s="7" t="s">
        <v>5021</v>
      </c>
      <c r="C689" s="6" t="s">
        <v>5022</v>
      </c>
      <c r="D689" s="7" t="s">
        <v>5023</v>
      </c>
      <c r="E689" s="6" t="s">
        <v>6096</v>
      </c>
      <c r="F689" s="42">
        <v>52</v>
      </c>
      <c r="G689" s="42">
        <v>2</v>
      </c>
      <c r="H689" s="43">
        <v>104</v>
      </c>
    </row>
    <row r="690" spans="1:8" ht="19.95" customHeight="1" x14ac:dyDescent="0.3">
      <c r="A690" s="2" t="s">
        <v>4976</v>
      </c>
      <c r="B690" s="3" t="s">
        <v>5021</v>
      </c>
      <c r="C690" s="2" t="s">
        <v>5022</v>
      </c>
      <c r="D690" s="3" t="s">
        <v>5023</v>
      </c>
      <c r="E690" s="2" t="s">
        <v>6097</v>
      </c>
      <c r="F690" s="40">
        <v>130</v>
      </c>
      <c r="G690" s="40">
        <v>2</v>
      </c>
      <c r="H690" s="41">
        <v>260</v>
      </c>
    </row>
    <row r="691" spans="1:8" ht="19.95" customHeight="1" x14ac:dyDescent="0.3">
      <c r="A691" s="6" t="s">
        <v>4976</v>
      </c>
      <c r="B691" s="7" t="s">
        <v>4977</v>
      </c>
      <c r="C691" s="6" t="s">
        <v>4978</v>
      </c>
      <c r="D691" s="7" t="s">
        <v>4979</v>
      </c>
      <c r="E691" s="6" t="s">
        <v>6098</v>
      </c>
      <c r="F691" s="42">
        <v>20.25</v>
      </c>
      <c r="G691" s="42">
        <v>2</v>
      </c>
      <c r="H691" s="43">
        <v>40.5</v>
      </c>
    </row>
    <row r="692" spans="1:8" ht="19.95" customHeight="1" x14ac:dyDescent="0.3">
      <c r="A692" s="2" t="s">
        <v>4976</v>
      </c>
      <c r="B692" s="3" t="s">
        <v>4977</v>
      </c>
      <c r="C692" s="2" t="s">
        <v>4978</v>
      </c>
      <c r="D692" s="3" t="s">
        <v>4979</v>
      </c>
      <c r="E692" s="2" t="s">
        <v>4270</v>
      </c>
      <c r="F692" s="40">
        <v>10.050000000000001</v>
      </c>
      <c r="G692" s="40">
        <v>2</v>
      </c>
      <c r="H692" s="41">
        <v>20.100000000000001</v>
      </c>
    </row>
    <row r="693" spans="1:8" ht="19.95" customHeight="1" x14ac:dyDescent="0.3">
      <c r="A693" s="6" t="s">
        <v>4976</v>
      </c>
      <c r="B693" s="7" t="s">
        <v>5042</v>
      </c>
      <c r="C693" s="6" t="s">
        <v>5043</v>
      </c>
      <c r="D693" s="7" t="s">
        <v>5044</v>
      </c>
      <c r="E693" s="6" t="s">
        <v>6099</v>
      </c>
      <c r="F693" s="42">
        <v>2.6</v>
      </c>
      <c r="G693" s="42">
        <v>2</v>
      </c>
      <c r="H693" s="43">
        <v>5.2</v>
      </c>
    </row>
    <row r="694" spans="1:8" ht="19.95" customHeight="1" x14ac:dyDescent="0.3">
      <c r="A694" s="2" t="s">
        <v>4976</v>
      </c>
      <c r="B694" s="3" t="s">
        <v>6100</v>
      </c>
      <c r="C694" s="2" t="s">
        <v>6101</v>
      </c>
      <c r="D694" s="3" t="s">
        <v>5044</v>
      </c>
      <c r="E694" s="2" t="s">
        <v>6102</v>
      </c>
      <c r="F694" s="40">
        <v>2.6</v>
      </c>
      <c r="G694" s="40">
        <v>2</v>
      </c>
      <c r="H694" s="41">
        <v>5.2</v>
      </c>
    </row>
    <row r="695" spans="1:8" ht="19.95" customHeight="1" x14ac:dyDescent="0.3">
      <c r="A695" s="6" t="s">
        <v>4976</v>
      </c>
      <c r="B695" s="7" t="s">
        <v>6103</v>
      </c>
      <c r="C695" s="6" t="s">
        <v>6104</v>
      </c>
      <c r="D695" s="7" t="s">
        <v>5044</v>
      </c>
      <c r="E695" s="6" t="s">
        <v>6102</v>
      </c>
      <c r="F695" s="42">
        <v>2.6</v>
      </c>
      <c r="G695" s="42">
        <v>2</v>
      </c>
      <c r="H695" s="43">
        <v>5.2</v>
      </c>
    </row>
    <row r="696" spans="1:8" ht="19.95" customHeight="1" x14ac:dyDescent="0.3">
      <c r="A696" s="2" t="s">
        <v>4976</v>
      </c>
      <c r="B696" s="3" t="s">
        <v>6105</v>
      </c>
      <c r="C696" s="2" t="s">
        <v>6106</v>
      </c>
      <c r="D696" s="3" t="s">
        <v>6107</v>
      </c>
      <c r="E696" s="2" t="s">
        <v>6102</v>
      </c>
      <c r="F696" s="40">
        <v>100.1</v>
      </c>
      <c r="G696" s="40">
        <v>2</v>
      </c>
      <c r="H696" s="41">
        <v>200.2</v>
      </c>
    </row>
    <row r="697" spans="1:8" ht="19.95" customHeight="1" x14ac:dyDescent="0.3">
      <c r="A697" s="6" t="s">
        <v>4976</v>
      </c>
      <c r="B697" s="7" t="s">
        <v>6108</v>
      </c>
      <c r="C697" s="6" t="s">
        <v>6109</v>
      </c>
      <c r="D697" s="7" t="s">
        <v>6110</v>
      </c>
      <c r="E697" s="6" t="s">
        <v>6111</v>
      </c>
      <c r="F697" s="42">
        <v>1.04</v>
      </c>
      <c r="G697" s="42">
        <v>2</v>
      </c>
      <c r="H697" s="43">
        <v>2.08</v>
      </c>
    </row>
    <row r="698" spans="1:8" ht="19.95" customHeight="1" x14ac:dyDescent="0.3">
      <c r="A698" s="2" t="s">
        <v>4976</v>
      </c>
      <c r="B698" s="3" t="s">
        <v>5045</v>
      </c>
      <c r="C698" s="2" t="s">
        <v>5046</v>
      </c>
      <c r="D698" s="3" t="s">
        <v>4368</v>
      </c>
      <c r="E698" s="2" t="s">
        <v>4270</v>
      </c>
      <c r="F698" s="40">
        <v>4.68</v>
      </c>
      <c r="G698" s="40">
        <v>2</v>
      </c>
      <c r="H698" s="41">
        <v>9.36</v>
      </c>
    </row>
    <row r="699" spans="1:8" ht="19.95" customHeight="1" x14ac:dyDescent="0.3">
      <c r="A699" s="6" t="s">
        <v>4976</v>
      </c>
      <c r="B699" s="7" t="s">
        <v>5047</v>
      </c>
      <c r="C699" s="6" t="s">
        <v>5048</v>
      </c>
      <c r="D699" s="7" t="s">
        <v>4368</v>
      </c>
      <c r="E699" s="6" t="s">
        <v>4270</v>
      </c>
      <c r="F699" s="42">
        <v>4.68</v>
      </c>
      <c r="G699" s="42">
        <v>2</v>
      </c>
      <c r="H699" s="43">
        <v>9.36</v>
      </c>
    </row>
    <row r="700" spans="1:8" ht="19.95" customHeight="1" x14ac:dyDescent="0.3">
      <c r="A700" s="2" t="s">
        <v>4976</v>
      </c>
      <c r="B700" s="3" t="s">
        <v>5447</v>
      </c>
      <c r="C700" s="2" t="s">
        <v>5448</v>
      </c>
      <c r="D700" s="3" t="s">
        <v>4368</v>
      </c>
      <c r="E700" s="2" t="s">
        <v>4270</v>
      </c>
      <c r="F700" s="40">
        <v>20.36</v>
      </c>
      <c r="G700" s="40">
        <v>2</v>
      </c>
      <c r="H700" s="41">
        <v>40.72</v>
      </c>
    </row>
    <row r="701" spans="1:8" ht="19.95" customHeight="1" x14ac:dyDescent="0.3">
      <c r="A701" s="6" t="s">
        <v>4976</v>
      </c>
      <c r="B701" s="7" t="s">
        <v>5449</v>
      </c>
      <c r="C701" s="6" t="s">
        <v>5450</v>
      </c>
      <c r="D701" s="7" t="s">
        <v>4368</v>
      </c>
      <c r="E701" s="6" t="s">
        <v>4270</v>
      </c>
      <c r="F701" s="42">
        <v>20.36</v>
      </c>
      <c r="G701" s="42">
        <v>2</v>
      </c>
      <c r="H701" s="43">
        <v>40.72</v>
      </c>
    </row>
    <row r="702" spans="1:8" ht="19.95" customHeight="1" x14ac:dyDescent="0.3">
      <c r="A702" s="2" t="s">
        <v>4976</v>
      </c>
      <c r="B702" s="3" t="s">
        <v>5451</v>
      </c>
      <c r="C702" s="2" t="s">
        <v>5452</v>
      </c>
      <c r="D702" s="3" t="s">
        <v>4368</v>
      </c>
      <c r="E702" s="2" t="s">
        <v>4270</v>
      </c>
      <c r="F702" s="40">
        <v>20.36</v>
      </c>
      <c r="G702" s="40">
        <v>2</v>
      </c>
      <c r="H702" s="41">
        <v>40.72</v>
      </c>
    </row>
    <row r="703" spans="1:8" ht="19.95" customHeight="1" x14ac:dyDescent="0.3">
      <c r="A703" s="6" t="s">
        <v>4976</v>
      </c>
      <c r="B703" s="7" t="s">
        <v>5049</v>
      </c>
      <c r="C703" s="6" t="s">
        <v>5050</v>
      </c>
      <c r="D703" s="7" t="s">
        <v>5051</v>
      </c>
      <c r="E703" s="6" t="s">
        <v>4270</v>
      </c>
      <c r="F703" s="42">
        <v>7.8</v>
      </c>
      <c r="G703" s="42">
        <v>2</v>
      </c>
      <c r="H703" s="43">
        <v>15.6</v>
      </c>
    </row>
    <row r="704" spans="1:8" ht="19.95" customHeight="1" x14ac:dyDescent="0.3">
      <c r="A704" s="2" t="s">
        <v>4976</v>
      </c>
      <c r="B704" s="3" t="s">
        <v>5453</v>
      </c>
      <c r="C704" s="2" t="s">
        <v>5454</v>
      </c>
      <c r="D704" s="3" t="s">
        <v>4426</v>
      </c>
      <c r="E704" s="2" t="s">
        <v>4270</v>
      </c>
      <c r="F704" s="40">
        <v>20.36</v>
      </c>
      <c r="G704" s="40">
        <v>2</v>
      </c>
      <c r="H704" s="41">
        <v>40.72</v>
      </c>
    </row>
    <row r="705" spans="1:8" ht="19.95" customHeight="1" x14ac:dyDescent="0.3">
      <c r="A705" s="6" t="s">
        <v>4976</v>
      </c>
      <c r="B705" s="7" t="s">
        <v>5455</v>
      </c>
      <c r="C705" s="6" t="s">
        <v>5456</v>
      </c>
      <c r="D705" s="7" t="s">
        <v>4426</v>
      </c>
      <c r="E705" s="6" t="s">
        <v>4270</v>
      </c>
      <c r="F705" s="42">
        <v>20.36</v>
      </c>
      <c r="G705" s="42">
        <v>2</v>
      </c>
      <c r="H705" s="43">
        <v>40.72</v>
      </c>
    </row>
    <row r="706" spans="1:8" ht="19.95" customHeight="1" x14ac:dyDescent="0.3">
      <c r="A706" s="2" t="s">
        <v>4976</v>
      </c>
      <c r="B706" s="3" t="s">
        <v>5457</v>
      </c>
      <c r="C706" s="2" t="s">
        <v>5458</v>
      </c>
      <c r="D706" s="3" t="s">
        <v>5051</v>
      </c>
      <c r="E706" s="2" t="s">
        <v>4270</v>
      </c>
      <c r="F706" s="40">
        <v>7.8</v>
      </c>
      <c r="G706" s="40">
        <v>2</v>
      </c>
      <c r="H706" s="41">
        <v>15.6</v>
      </c>
    </row>
    <row r="707" spans="1:8" ht="19.95" customHeight="1" x14ac:dyDescent="0.3">
      <c r="A707" s="6" t="s">
        <v>4976</v>
      </c>
      <c r="B707" s="7" t="s">
        <v>5459</v>
      </c>
      <c r="C707" s="6" t="s">
        <v>5460</v>
      </c>
      <c r="D707" s="7" t="s">
        <v>4426</v>
      </c>
      <c r="E707" s="6" t="s">
        <v>4270</v>
      </c>
      <c r="F707" s="42">
        <v>20.36</v>
      </c>
      <c r="G707" s="42">
        <v>2</v>
      </c>
      <c r="H707" s="43">
        <v>40.72</v>
      </c>
    </row>
    <row r="708" spans="1:8" ht="19.95" customHeight="1" x14ac:dyDescent="0.3">
      <c r="A708" s="2" t="s">
        <v>4976</v>
      </c>
      <c r="B708" s="3" t="s">
        <v>5461</v>
      </c>
      <c r="C708" s="2" t="s">
        <v>5462</v>
      </c>
      <c r="D708" s="3" t="s">
        <v>4426</v>
      </c>
      <c r="E708" s="2" t="s">
        <v>4270</v>
      </c>
      <c r="F708" s="40">
        <v>20.36</v>
      </c>
      <c r="G708" s="40">
        <v>2</v>
      </c>
      <c r="H708" s="41">
        <v>40.72</v>
      </c>
    </row>
    <row r="709" spans="1:8" ht="19.95" customHeight="1" x14ac:dyDescent="0.3">
      <c r="A709" s="6" t="s">
        <v>4976</v>
      </c>
      <c r="B709" s="7" t="s">
        <v>5052</v>
      </c>
      <c r="C709" s="6" t="s">
        <v>5053</v>
      </c>
      <c r="D709" s="7" t="s">
        <v>5051</v>
      </c>
      <c r="E709" s="6" t="s">
        <v>4270</v>
      </c>
      <c r="F709" s="42">
        <v>7.8</v>
      </c>
      <c r="G709" s="42">
        <v>2</v>
      </c>
      <c r="H709" s="43">
        <v>15.6</v>
      </c>
    </row>
    <row r="710" spans="1:8" ht="19.95" customHeight="1" x14ac:dyDescent="0.3">
      <c r="A710" s="2" t="s">
        <v>4976</v>
      </c>
      <c r="B710" s="3" t="s">
        <v>5054</v>
      </c>
      <c r="C710" s="2" t="s">
        <v>5055</v>
      </c>
      <c r="D710" s="3" t="s">
        <v>4426</v>
      </c>
      <c r="E710" s="2" t="s">
        <v>4270</v>
      </c>
      <c r="F710" s="40">
        <v>20.36</v>
      </c>
      <c r="G710" s="40">
        <v>2</v>
      </c>
      <c r="H710" s="41">
        <v>40.72</v>
      </c>
    </row>
    <row r="711" spans="1:8" ht="19.95" customHeight="1" x14ac:dyDescent="0.3">
      <c r="A711" s="6" t="s">
        <v>4976</v>
      </c>
      <c r="B711" s="7" t="s">
        <v>5056</v>
      </c>
      <c r="C711" s="6" t="s">
        <v>5057</v>
      </c>
      <c r="D711" s="7" t="s">
        <v>4426</v>
      </c>
      <c r="E711" s="6" t="s">
        <v>4270</v>
      </c>
      <c r="F711" s="42">
        <v>20.36</v>
      </c>
      <c r="G711" s="42">
        <v>2</v>
      </c>
      <c r="H711" s="43">
        <v>40.72</v>
      </c>
    </row>
    <row r="712" spans="1:8" ht="19.95" customHeight="1" x14ac:dyDescent="0.3">
      <c r="A712" s="2" t="s">
        <v>4976</v>
      </c>
      <c r="B712" s="3" t="s">
        <v>5463</v>
      </c>
      <c r="C712" s="2" t="s">
        <v>5464</v>
      </c>
      <c r="D712" s="3" t="s">
        <v>4390</v>
      </c>
      <c r="E712" s="2" t="s">
        <v>6112</v>
      </c>
      <c r="F712" s="40">
        <v>21.84</v>
      </c>
      <c r="G712" s="40">
        <v>2</v>
      </c>
      <c r="H712" s="41">
        <v>43.68</v>
      </c>
    </row>
    <row r="713" spans="1:8" ht="19.95" customHeight="1" x14ac:dyDescent="0.3">
      <c r="A713" s="6" t="s">
        <v>4976</v>
      </c>
      <c r="B713" s="7" t="s">
        <v>5058</v>
      </c>
      <c r="C713" s="6" t="s">
        <v>5059</v>
      </c>
      <c r="D713" s="7" t="s">
        <v>5060</v>
      </c>
      <c r="E713" s="6" t="s">
        <v>4270</v>
      </c>
      <c r="F713" s="42">
        <v>4.42</v>
      </c>
      <c r="G713" s="42">
        <v>2</v>
      </c>
      <c r="H713" s="43">
        <v>8.84</v>
      </c>
    </row>
    <row r="714" spans="1:8" ht="19.95" customHeight="1" x14ac:dyDescent="0.3">
      <c r="A714" s="2" t="s">
        <v>4976</v>
      </c>
      <c r="B714" s="3" t="s">
        <v>5061</v>
      </c>
      <c r="C714" s="2" t="s">
        <v>5062</v>
      </c>
      <c r="D714" s="3" t="s">
        <v>5060</v>
      </c>
      <c r="E714" s="2" t="s">
        <v>4270</v>
      </c>
      <c r="F714" s="40">
        <v>4.42</v>
      </c>
      <c r="G714" s="40">
        <v>2</v>
      </c>
      <c r="H714" s="41">
        <v>8.84</v>
      </c>
    </row>
    <row r="715" spans="1:8" ht="19.95" customHeight="1" x14ac:dyDescent="0.3">
      <c r="A715" s="6" t="s">
        <v>4976</v>
      </c>
      <c r="B715" s="7" t="s">
        <v>5063</v>
      </c>
      <c r="C715" s="6" t="s">
        <v>5064</v>
      </c>
      <c r="D715" s="7" t="s">
        <v>4406</v>
      </c>
      <c r="E715" s="6" t="s">
        <v>6113</v>
      </c>
      <c r="F715" s="42">
        <v>195</v>
      </c>
      <c r="G715" s="42">
        <v>2</v>
      </c>
      <c r="H715" s="43">
        <v>390</v>
      </c>
    </row>
    <row r="716" spans="1:8" ht="19.95" customHeight="1" x14ac:dyDescent="0.3">
      <c r="A716" s="2" t="s">
        <v>4976</v>
      </c>
      <c r="B716" s="3" t="s">
        <v>5063</v>
      </c>
      <c r="C716" s="2" t="s">
        <v>5064</v>
      </c>
      <c r="D716" s="3" t="s">
        <v>4406</v>
      </c>
      <c r="E716" s="2" t="s">
        <v>6114</v>
      </c>
      <c r="F716" s="40">
        <v>52</v>
      </c>
      <c r="G716" s="40">
        <v>2</v>
      </c>
      <c r="H716" s="41">
        <v>104</v>
      </c>
    </row>
    <row r="717" spans="1:8" ht="19.95" customHeight="1" x14ac:dyDescent="0.3">
      <c r="A717" s="6" t="s">
        <v>4976</v>
      </c>
      <c r="B717" s="7" t="s">
        <v>5065</v>
      </c>
      <c r="C717" s="6" t="s">
        <v>5066</v>
      </c>
      <c r="D717" s="7" t="s">
        <v>4406</v>
      </c>
      <c r="E717" s="6" t="s">
        <v>6113</v>
      </c>
      <c r="F717" s="42">
        <v>195</v>
      </c>
      <c r="G717" s="42">
        <v>2</v>
      </c>
      <c r="H717" s="43">
        <v>390</v>
      </c>
    </row>
    <row r="718" spans="1:8" ht="19.95" customHeight="1" x14ac:dyDescent="0.3">
      <c r="A718" s="2" t="s">
        <v>4976</v>
      </c>
      <c r="B718" s="3" t="s">
        <v>5065</v>
      </c>
      <c r="C718" s="2" t="s">
        <v>5066</v>
      </c>
      <c r="D718" s="3" t="s">
        <v>4406</v>
      </c>
      <c r="E718" s="2" t="s">
        <v>6114</v>
      </c>
      <c r="F718" s="40">
        <v>52</v>
      </c>
      <c r="G718" s="40">
        <v>2</v>
      </c>
      <c r="H718" s="41">
        <v>104</v>
      </c>
    </row>
    <row r="719" spans="1:8" ht="19.95" customHeight="1" x14ac:dyDescent="0.3">
      <c r="A719" s="6" t="s">
        <v>4976</v>
      </c>
      <c r="B719" s="7" t="s">
        <v>6115</v>
      </c>
      <c r="C719" s="6" t="s">
        <v>6116</v>
      </c>
      <c r="D719" s="7" t="s">
        <v>4368</v>
      </c>
      <c r="E719" s="6" t="s">
        <v>6117</v>
      </c>
      <c r="F719" s="42">
        <v>143</v>
      </c>
      <c r="G719" s="42">
        <v>2</v>
      </c>
      <c r="H719" s="43">
        <v>286</v>
      </c>
    </row>
    <row r="720" spans="1:8" ht="19.95" customHeight="1" x14ac:dyDescent="0.3">
      <c r="A720" s="2" t="s">
        <v>4976</v>
      </c>
      <c r="B720" s="3" t="s">
        <v>5074</v>
      </c>
      <c r="C720" s="2" t="s">
        <v>5075</v>
      </c>
      <c r="D720" s="3" t="s">
        <v>4440</v>
      </c>
      <c r="E720" s="2" t="s">
        <v>6118</v>
      </c>
      <c r="F720" s="40">
        <v>39</v>
      </c>
      <c r="G720" s="40">
        <v>2</v>
      </c>
      <c r="H720" s="41">
        <v>78</v>
      </c>
    </row>
    <row r="721" spans="1:8" ht="19.95" customHeight="1" x14ac:dyDescent="0.3">
      <c r="A721" s="6" t="s">
        <v>4976</v>
      </c>
      <c r="B721" s="7" t="s">
        <v>6119</v>
      </c>
      <c r="C721" s="6" t="s">
        <v>6120</v>
      </c>
      <c r="D721" s="7" t="s">
        <v>6121</v>
      </c>
      <c r="E721" s="6" t="s">
        <v>6122</v>
      </c>
      <c r="F721" s="42">
        <v>65</v>
      </c>
      <c r="G721" s="42">
        <v>2</v>
      </c>
      <c r="H721" s="43">
        <v>130</v>
      </c>
    </row>
    <row r="722" spans="1:8" ht="19.95" customHeight="1" x14ac:dyDescent="0.3">
      <c r="A722" s="2" t="s">
        <v>4976</v>
      </c>
      <c r="B722" s="3" t="s">
        <v>6119</v>
      </c>
      <c r="C722" s="2" t="s">
        <v>6120</v>
      </c>
      <c r="D722" s="3" t="s">
        <v>6121</v>
      </c>
      <c r="E722" s="2" t="s">
        <v>6123</v>
      </c>
      <c r="F722" s="40">
        <v>13</v>
      </c>
      <c r="G722" s="40">
        <v>2</v>
      </c>
      <c r="H722" s="41">
        <v>26</v>
      </c>
    </row>
    <row r="723" spans="1:8" ht="19.95" customHeight="1" x14ac:dyDescent="0.3">
      <c r="A723" s="6" t="s">
        <v>4976</v>
      </c>
      <c r="B723" s="7" t="s">
        <v>5076</v>
      </c>
      <c r="C723" s="6" t="s">
        <v>5077</v>
      </c>
      <c r="D723" s="7" t="s">
        <v>4371</v>
      </c>
      <c r="E723" s="6" t="s">
        <v>6124</v>
      </c>
      <c r="F723" s="42">
        <v>20.8</v>
      </c>
      <c r="G723" s="42">
        <v>2</v>
      </c>
      <c r="H723" s="43">
        <v>41.6</v>
      </c>
    </row>
    <row r="724" spans="1:8" ht="19.95" customHeight="1" x14ac:dyDescent="0.3">
      <c r="A724" s="2" t="s">
        <v>4976</v>
      </c>
      <c r="B724" s="3" t="s">
        <v>5076</v>
      </c>
      <c r="C724" s="2" t="s">
        <v>5077</v>
      </c>
      <c r="D724" s="3" t="s">
        <v>4371</v>
      </c>
      <c r="E724" s="2" t="s">
        <v>6125</v>
      </c>
      <c r="F724" s="40">
        <v>52</v>
      </c>
      <c r="G724" s="40">
        <v>2</v>
      </c>
      <c r="H724" s="41">
        <v>104</v>
      </c>
    </row>
    <row r="725" spans="1:8" ht="19.95" customHeight="1" x14ac:dyDescent="0.3">
      <c r="A725" s="6" t="s">
        <v>4976</v>
      </c>
      <c r="B725" s="7" t="s">
        <v>5078</v>
      </c>
      <c r="C725" s="6" t="s">
        <v>5079</v>
      </c>
      <c r="D725" s="7" t="s">
        <v>4371</v>
      </c>
      <c r="E725" s="6" t="s">
        <v>6124</v>
      </c>
      <c r="F725" s="42">
        <v>20.8</v>
      </c>
      <c r="G725" s="42">
        <v>2</v>
      </c>
      <c r="H725" s="43">
        <v>41.6</v>
      </c>
    </row>
    <row r="726" spans="1:8" ht="19.95" customHeight="1" x14ac:dyDescent="0.3">
      <c r="A726" s="2" t="s">
        <v>4976</v>
      </c>
      <c r="B726" s="3" t="s">
        <v>5078</v>
      </c>
      <c r="C726" s="2" t="s">
        <v>5079</v>
      </c>
      <c r="D726" s="3" t="s">
        <v>4371</v>
      </c>
      <c r="E726" s="2" t="s">
        <v>6125</v>
      </c>
      <c r="F726" s="40">
        <v>52</v>
      </c>
      <c r="G726" s="40">
        <v>2</v>
      </c>
      <c r="H726" s="41">
        <v>104</v>
      </c>
    </row>
    <row r="727" spans="1:8" ht="19.95" customHeight="1" x14ac:dyDescent="0.3">
      <c r="A727" s="6" t="s">
        <v>4976</v>
      </c>
      <c r="B727" s="7" t="s">
        <v>5078</v>
      </c>
      <c r="C727" s="6" t="s">
        <v>5079</v>
      </c>
      <c r="D727" s="7" t="s">
        <v>4371</v>
      </c>
      <c r="E727" s="6" t="s">
        <v>6124</v>
      </c>
      <c r="F727" s="42">
        <v>20.8</v>
      </c>
      <c r="G727" s="42">
        <v>2</v>
      </c>
      <c r="H727" s="43">
        <v>41.6</v>
      </c>
    </row>
    <row r="728" spans="1:8" ht="19.95" customHeight="1" x14ac:dyDescent="0.3">
      <c r="A728" s="2" t="s">
        <v>4976</v>
      </c>
      <c r="B728" s="3" t="s">
        <v>5078</v>
      </c>
      <c r="C728" s="2" t="s">
        <v>5079</v>
      </c>
      <c r="D728" s="3" t="s">
        <v>4371</v>
      </c>
      <c r="E728" s="2" t="s">
        <v>6126</v>
      </c>
      <c r="F728" s="40">
        <v>52</v>
      </c>
      <c r="G728" s="40">
        <v>2</v>
      </c>
      <c r="H728" s="41">
        <v>104</v>
      </c>
    </row>
    <row r="729" spans="1:8" ht="19.95" customHeight="1" x14ac:dyDescent="0.3">
      <c r="A729" s="6" t="s">
        <v>4976</v>
      </c>
      <c r="B729" s="7" t="s">
        <v>5078</v>
      </c>
      <c r="C729" s="6" t="s">
        <v>5079</v>
      </c>
      <c r="D729" s="7" t="s">
        <v>4371</v>
      </c>
      <c r="E729" s="6" t="s">
        <v>6127</v>
      </c>
      <c r="F729" s="42">
        <v>26</v>
      </c>
      <c r="G729" s="42">
        <v>2</v>
      </c>
      <c r="H729" s="43">
        <v>52</v>
      </c>
    </row>
    <row r="730" spans="1:8" ht="19.95" customHeight="1" x14ac:dyDescent="0.3">
      <c r="A730" s="2" t="s">
        <v>4976</v>
      </c>
      <c r="B730" s="3" t="s">
        <v>5080</v>
      </c>
      <c r="C730" s="2" t="s">
        <v>5081</v>
      </c>
      <c r="D730" s="3" t="s">
        <v>4371</v>
      </c>
      <c r="E730" s="2" t="s">
        <v>6124</v>
      </c>
      <c r="F730" s="40">
        <v>20.8</v>
      </c>
      <c r="G730" s="40">
        <v>2</v>
      </c>
      <c r="H730" s="41">
        <v>41.6</v>
      </c>
    </row>
    <row r="731" spans="1:8" ht="19.95" customHeight="1" x14ac:dyDescent="0.3">
      <c r="A731" s="6" t="s">
        <v>4976</v>
      </c>
      <c r="B731" s="7" t="s">
        <v>5080</v>
      </c>
      <c r="C731" s="6" t="s">
        <v>5081</v>
      </c>
      <c r="D731" s="7" t="s">
        <v>4371</v>
      </c>
      <c r="E731" s="6" t="s">
        <v>6125</v>
      </c>
      <c r="F731" s="42">
        <v>52</v>
      </c>
      <c r="G731" s="42">
        <v>2</v>
      </c>
      <c r="H731" s="43">
        <v>104</v>
      </c>
    </row>
    <row r="732" spans="1:8" ht="19.95" customHeight="1" x14ac:dyDescent="0.3">
      <c r="A732" s="2" t="s">
        <v>4976</v>
      </c>
      <c r="B732" s="3" t="s">
        <v>5082</v>
      </c>
      <c r="C732" s="2" t="s">
        <v>5083</v>
      </c>
      <c r="D732" s="3" t="s">
        <v>4420</v>
      </c>
      <c r="E732" s="2" t="s">
        <v>4270</v>
      </c>
      <c r="F732" s="40">
        <v>33.799999999999997</v>
      </c>
      <c r="G732" s="40">
        <v>2</v>
      </c>
      <c r="H732" s="41">
        <v>67.599999999999994</v>
      </c>
    </row>
    <row r="733" spans="1:8" ht="19.95" customHeight="1" x14ac:dyDescent="0.3">
      <c r="A733" s="6" t="s">
        <v>4976</v>
      </c>
      <c r="B733" s="7" t="s">
        <v>5082</v>
      </c>
      <c r="C733" s="6" t="s">
        <v>5083</v>
      </c>
      <c r="D733" s="7" t="s">
        <v>4420</v>
      </c>
      <c r="E733" s="6" t="s">
        <v>6061</v>
      </c>
      <c r="F733" s="42">
        <v>8.9700000000000006</v>
      </c>
      <c r="G733" s="42">
        <v>2</v>
      </c>
      <c r="H733" s="43">
        <v>17.940000000000001</v>
      </c>
    </row>
    <row r="734" spans="1:8" ht="19.95" customHeight="1" x14ac:dyDescent="0.3">
      <c r="A734" s="2" t="s">
        <v>4976</v>
      </c>
      <c r="B734" s="3" t="s">
        <v>5082</v>
      </c>
      <c r="C734" s="2" t="s">
        <v>5083</v>
      </c>
      <c r="D734" s="3" t="s">
        <v>4420</v>
      </c>
      <c r="E734" s="2" t="s">
        <v>4270</v>
      </c>
      <c r="F734" s="40">
        <v>33.799999999999997</v>
      </c>
      <c r="G734" s="40">
        <v>2</v>
      </c>
      <c r="H734" s="41">
        <v>67.599999999999994</v>
      </c>
    </row>
    <row r="735" spans="1:8" ht="19.95" customHeight="1" x14ac:dyDescent="0.3">
      <c r="A735" s="6" t="s">
        <v>4976</v>
      </c>
      <c r="B735" s="7" t="s">
        <v>5082</v>
      </c>
      <c r="C735" s="6" t="s">
        <v>5083</v>
      </c>
      <c r="D735" s="7" t="s">
        <v>4420</v>
      </c>
      <c r="E735" s="6" t="s">
        <v>4270</v>
      </c>
      <c r="F735" s="42">
        <v>33.799999999999997</v>
      </c>
      <c r="G735" s="42">
        <v>2</v>
      </c>
      <c r="H735" s="43">
        <v>67.599999999999994</v>
      </c>
    </row>
    <row r="736" spans="1:8" ht="19.95" customHeight="1" x14ac:dyDescent="0.3">
      <c r="A736" s="2" t="s">
        <v>4976</v>
      </c>
      <c r="B736" s="3" t="s">
        <v>5082</v>
      </c>
      <c r="C736" s="2" t="s">
        <v>5083</v>
      </c>
      <c r="D736" s="3" t="s">
        <v>4420</v>
      </c>
      <c r="E736" s="2" t="s">
        <v>4270</v>
      </c>
      <c r="F736" s="40">
        <v>33.799999999999997</v>
      </c>
      <c r="G736" s="40">
        <v>2</v>
      </c>
      <c r="H736" s="41">
        <v>67.599999999999994</v>
      </c>
    </row>
    <row r="737" spans="1:8" ht="19.95" customHeight="1" x14ac:dyDescent="0.3">
      <c r="A737" s="6" t="s">
        <v>4976</v>
      </c>
      <c r="B737" s="7" t="s">
        <v>5082</v>
      </c>
      <c r="C737" s="6" t="s">
        <v>5083</v>
      </c>
      <c r="D737" s="7" t="s">
        <v>4420</v>
      </c>
      <c r="E737" s="6" t="s">
        <v>6061</v>
      </c>
      <c r="F737" s="42">
        <v>8.9700000000000006</v>
      </c>
      <c r="G737" s="42">
        <v>2</v>
      </c>
      <c r="H737" s="43">
        <v>17.940000000000001</v>
      </c>
    </row>
    <row r="738" spans="1:8" ht="19.95" customHeight="1" x14ac:dyDescent="0.3">
      <c r="A738" s="2" t="s">
        <v>4976</v>
      </c>
      <c r="B738" s="3" t="s">
        <v>5082</v>
      </c>
      <c r="C738" s="2" t="s">
        <v>5083</v>
      </c>
      <c r="D738" s="3" t="s">
        <v>4420</v>
      </c>
      <c r="E738" s="2" t="s">
        <v>4270</v>
      </c>
      <c r="F738" s="40">
        <v>33.799999999999997</v>
      </c>
      <c r="G738" s="40">
        <v>2</v>
      </c>
      <c r="H738" s="41">
        <v>67.599999999999994</v>
      </c>
    </row>
    <row r="739" spans="1:8" ht="19.95" customHeight="1" x14ac:dyDescent="0.3">
      <c r="A739" s="6" t="s">
        <v>4976</v>
      </c>
      <c r="B739" s="7" t="s">
        <v>5082</v>
      </c>
      <c r="C739" s="6" t="s">
        <v>5083</v>
      </c>
      <c r="D739" s="7" t="s">
        <v>4420</v>
      </c>
      <c r="E739" s="6" t="s">
        <v>4270</v>
      </c>
      <c r="F739" s="42">
        <v>33.799999999999997</v>
      </c>
      <c r="G739" s="42">
        <v>2</v>
      </c>
      <c r="H739" s="43">
        <v>67.599999999999994</v>
      </c>
    </row>
    <row r="740" spans="1:8" ht="19.95" customHeight="1" x14ac:dyDescent="0.3">
      <c r="A740" s="2" t="s">
        <v>4976</v>
      </c>
      <c r="B740" s="3" t="s">
        <v>5084</v>
      </c>
      <c r="C740" s="2" t="s">
        <v>5085</v>
      </c>
      <c r="D740" s="3" t="s">
        <v>4420</v>
      </c>
      <c r="E740" s="2" t="s">
        <v>4270</v>
      </c>
      <c r="F740" s="40">
        <v>33.799999999999997</v>
      </c>
      <c r="G740" s="40">
        <v>2</v>
      </c>
      <c r="H740" s="41">
        <v>67.599999999999994</v>
      </c>
    </row>
    <row r="741" spans="1:8" ht="19.95" customHeight="1" x14ac:dyDescent="0.3">
      <c r="A741" s="6" t="s">
        <v>4976</v>
      </c>
      <c r="B741" s="7" t="s">
        <v>5084</v>
      </c>
      <c r="C741" s="6" t="s">
        <v>5085</v>
      </c>
      <c r="D741" s="7" t="s">
        <v>4420</v>
      </c>
      <c r="E741" s="6" t="s">
        <v>6061</v>
      </c>
      <c r="F741" s="42">
        <v>8.9700000000000006</v>
      </c>
      <c r="G741" s="42">
        <v>2</v>
      </c>
      <c r="H741" s="43">
        <v>17.940000000000001</v>
      </c>
    </row>
    <row r="742" spans="1:8" ht="19.95" customHeight="1" x14ac:dyDescent="0.3">
      <c r="A742" s="2" t="s">
        <v>4976</v>
      </c>
      <c r="B742" s="3" t="s">
        <v>5084</v>
      </c>
      <c r="C742" s="2" t="s">
        <v>5085</v>
      </c>
      <c r="D742" s="3" t="s">
        <v>4420</v>
      </c>
      <c r="E742" s="2" t="s">
        <v>4270</v>
      </c>
      <c r="F742" s="40">
        <v>33.799999999999997</v>
      </c>
      <c r="G742" s="40">
        <v>2</v>
      </c>
      <c r="H742" s="41">
        <v>67.599999999999994</v>
      </c>
    </row>
    <row r="743" spans="1:8" ht="19.95" customHeight="1" x14ac:dyDescent="0.3">
      <c r="A743" s="6" t="s">
        <v>4976</v>
      </c>
      <c r="B743" s="7" t="s">
        <v>5084</v>
      </c>
      <c r="C743" s="6" t="s">
        <v>5085</v>
      </c>
      <c r="D743" s="7" t="s">
        <v>4420</v>
      </c>
      <c r="E743" s="6" t="s">
        <v>4270</v>
      </c>
      <c r="F743" s="42">
        <v>33.799999999999997</v>
      </c>
      <c r="G743" s="42">
        <v>2</v>
      </c>
      <c r="H743" s="43">
        <v>67.599999999999994</v>
      </c>
    </row>
    <row r="744" spans="1:8" ht="19.95" customHeight="1" x14ac:dyDescent="0.3">
      <c r="A744" s="2" t="s">
        <v>4976</v>
      </c>
      <c r="B744" s="3" t="s">
        <v>5084</v>
      </c>
      <c r="C744" s="2" t="s">
        <v>5085</v>
      </c>
      <c r="D744" s="3" t="s">
        <v>4420</v>
      </c>
      <c r="E744" s="2" t="s">
        <v>4270</v>
      </c>
      <c r="F744" s="40">
        <v>33.799999999999997</v>
      </c>
      <c r="G744" s="40">
        <v>2</v>
      </c>
      <c r="H744" s="41">
        <v>67.599999999999994</v>
      </c>
    </row>
    <row r="745" spans="1:8" ht="19.95" customHeight="1" x14ac:dyDescent="0.3">
      <c r="A745" s="6" t="s">
        <v>4976</v>
      </c>
      <c r="B745" s="7" t="s">
        <v>5084</v>
      </c>
      <c r="C745" s="6" t="s">
        <v>5085</v>
      </c>
      <c r="D745" s="7" t="s">
        <v>4420</v>
      </c>
      <c r="E745" s="6" t="s">
        <v>6061</v>
      </c>
      <c r="F745" s="42">
        <v>9.1</v>
      </c>
      <c r="G745" s="42">
        <v>2</v>
      </c>
      <c r="H745" s="43">
        <v>18.2</v>
      </c>
    </row>
    <row r="746" spans="1:8" ht="19.95" customHeight="1" x14ac:dyDescent="0.3">
      <c r="A746" s="2" t="s">
        <v>4976</v>
      </c>
      <c r="B746" s="3" t="s">
        <v>5084</v>
      </c>
      <c r="C746" s="2" t="s">
        <v>5085</v>
      </c>
      <c r="D746" s="3" t="s">
        <v>4420</v>
      </c>
      <c r="E746" s="2" t="s">
        <v>4270</v>
      </c>
      <c r="F746" s="40">
        <v>33.799999999999997</v>
      </c>
      <c r="G746" s="40">
        <v>2</v>
      </c>
      <c r="H746" s="41">
        <v>67.599999999999994</v>
      </c>
    </row>
    <row r="747" spans="1:8" ht="19.95" customHeight="1" x14ac:dyDescent="0.3">
      <c r="A747" s="6" t="s">
        <v>4976</v>
      </c>
      <c r="B747" s="7" t="s">
        <v>5084</v>
      </c>
      <c r="C747" s="6" t="s">
        <v>5085</v>
      </c>
      <c r="D747" s="7" t="s">
        <v>4420</v>
      </c>
      <c r="E747" s="6" t="s">
        <v>4270</v>
      </c>
      <c r="F747" s="42">
        <v>33.799999999999997</v>
      </c>
      <c r="G747" s="42">
        <v>2</v>
      </c>
      <c r="H747" s="43">
        <v>67.599999999999994</v>
      </c>
    </row>
    <row r="748" spans="1:8" ht="19.95" customHeight="1" x14ac:dyDescent="0.3">
      <c r="A748" s="2" t="s">
        <v>4976</v>
      </c>
      <c r="B748" s="3" t="s">
        <v>5086</v>
      </c>
      <c r="C748" s="2" t="s">
        <v>5087</v>
      </c>
      <c r="D748" s="3" t="s">
        <v>5088</v>
      </c>
      <c r="E748" s="2" t="s">
        <v>4270</v>
      </c>
      <c r="F748" s="40">
        <v>19.760000000000002</v>
      </c>
      <c r="G748" s="40">
        <v>2</v>
      </c>
      <c r="H748" s="41">
        <v>39.520000000000003</v>
      </c>
    </row>
    <row r="749" spans="1:8" ht="19.95" customHeight="1" x14ac:dyDescent="0.3">
      <c r="A749" s="6" t="s">
        <v>4976</v>
      </c>
      <c r="B749" s="7" t="s">
        <v>5089</v>
      </c>
      <c r="C749" s="6" t="s">
        <v>5090</v>
      </c>
      <c r="D749" s="7" t="s">
        <v>5088</v>
      </c>
      <c r="E749" s="6" t="s">
        <v>4270</v>
      </c>
      <c r="F749" s="42">
        <v>19.760000000000002</v>
      </c>
      <c r="G749" s="42">
        <v>2</v>
      </c>
      <c r="H749" s="43">
        <v>39.520000000000003</v>
      </c>
    </row>
    <row r="750" spans="1:8" ht="19.95" customHeight="1" x14ac:dyDescent="0.3">
      <c r="A750" s="2" t="s">
        <v>4976</v>
      </c>
      <c r="B750" s="3" t="s">
        <v>6128</v>
      </c>
      <c r="C750" s="2" t="s">
        <v>6129</v>
      </c>
      <c r="D750" s="3" t="s">
        <v>6130</v>
      </c>
      <c r="E750" s="2" t="s">
        <v>6111</v>
      </c>
      <c r="F750" s="40">
        <v>130</v>
      </c>
      <c r="G750" s="40">
        <v>2</v>
      </c>
      <c r="H750" s="41">
        <v>260</v>
      </c>
    </row>
    <row r="751" spans="1:8" ht="19.95" customHeight="1" x14ac:dyDescent="0.3">
      <c r="A751" s="6" t="s">
        <v>4976</v>
      </c>
      <c r="B751" s="7" t="s">
        <v>6128</v>
      </c>
      <c r="C751" s="6" t="s">
        <v>6129</v>
      </c>
      <c r="D751" s="7" t="s">
        <v>6130</v>
      </c>
      <c r="E751" s="6" t="s">
        <v>6131</v>
      </c>
      <c r="F751" s="42">
        <v>4.2300000000000004</v>
      </c>
      <c r="G751" s="42">
        <v>2</v>
      </c>
      <c r="H751" s="43">
        <v>8.4600000000000009</v>
      </c>
    </row>
    <row r="752" spans="1:8" ht="19.95" customHeight="1" x14ac:dyDescent="0.3">
      <c r="A752" s="2" t="s">
        <v>4976</v>
      </c>
      <c r="B752" s="3" t="s">
        <v>6132</v>
      </c>
      <c r="C752" s="2" t="s">
        <v>6133</v>
      </c>
      <c r="D752" s="3" t="s">
        <v>4371</v>
      </c>
      <c r="E752" s="2" t="s">
        <v>6111</v>
      </c>
      <c r="F752" s="40">
        <v>180</v>
      </c>
      <c r="G752" s="40">
        <v>2</v>
      </c>
      <c r="H752" s="41">
        <v>360</v>
      </c>
    </row>
    <row r="753" spans="1:8" ht="19.95" customHeight="1" x14ac:dyDescent="0.3">
      <c r="A753" s="6" t="s">
        <v>4976</v>
      </c>
      <c r="B753" s="7" t="s">
        <v>6132</v>
      </c>
      <c r="C753" s="6" t="s">
        <v>6133</v>
      </c>
      <c r="D753" s="7" t="s">
        <v>4371</v>
      </c>
      <c r="E753" s="6" t="s">
        <v>6134</v>
      </c>
      <c r="F753" s="42">
        <v>10</v>
      </c>
      <c r="G753" s="42">
        <v>2</v>
      </c>
      <c r="H753" s="43">
        <v>20</v>
      </c>
    </row>
    <row r="754" spans="1:8" ht="19.95" customHeight="1" x14ac:dyDescent="0.3">
      <c r="A754" s="2" t="s">
        <v>4976</v>
      </c>
      <c r="B754" s="3" t="s">
        <v>6135</v>
      </c>
      <c r="C754" s="2" t="s">
        <v>6136</v>
      </c>
      <c r="D754" s="3" t="s">
        <v>4440</v>
      </c>
      <c r="E754" s="2" t="s">
        <v>6137</v>
      </c>
      <c r="F754" s="40">
        <v>180</v>
      </c>
      <c r="G754" s="40">
        <v>2</v>
      </c>
      <c r="H754" s="41">
        <v>360</v>
      </c>
    </row>
    <row r="755" spans="1:8" ht="19.95" customHeight="1" x14ac:dyDescent="0.3">
      <c r="A755" s="6" t="s">
        <v>4976</v>
      </c>
      <c r="B755" s="7" t="s">
        <v>6135</v>
      </c>
      <c r="C755" s="6" t="s">
        <v>6136</v>
      </c>
      <c r="D755" s="7" t="s">
        <v>4440</v>
      </c>
      <c r="E755" s="6" t="s">
        <v>6138</v>
      </c>
      <c r="F755" s="42">
        <v>10</v>
      </c>
      <c r="G755" s="42">
        <v>2</v>
      </c>
      <c r="H755" s="43">
        <v>20</v>
      </c>
    </row>
    <row r="756" spans="1:8" ht="19.95" customHeight="1" x14ac:dyDescent="0.3">
      <c r="A756" s="2" t="s">
        <v>4976</v>
      </c>
      <c r="B756" s="3" t="s">
        <v>5091</v>
      </c>
      <c r="C756" s="2" t="s">
        <v>5092</v>
      </c>
      <c r="D756" s="3" t="s">
        <v>5093</v>
      </c>
      <c r="E756" s="2" t="s">
        <v>6139</v>
      </c>
      <c r="F756" s="40">
        <v>3.64</v>
      </c>
      <c r="G756" s="40">
        <v>2</v>
      </c>
      <c r="H756" s="41">
        <v>7.28</v>
      </c>
    </row>
    <row r="757" spans="1:8" ht="19.95" customHeight="1" x14ac:dyDescent="0.3">
      <c r="A757" s="6" t="s">
        <v>4976</v>
      </c>
      <c r="B757" s="7" t="s">
        <v>4926</v>
      </c>
      <c r="C757" s="6" t="s">
        <v>4981</v>
      </c>
      <c r="D757" s="7" t="s">
        <v>4368</v>
      </c>
      <c r="E757" s="6" t="s">
        <v>6118</v>
      </c>
      <c r="F757" s="42">
        <v>40.1</v>
      </c>
      <c r="G757" s="42">
        <v>2</v>
      </c>
      <c r="H757" s="43">
        <v>80.2</v>
      </c>
    </row>
    <row r="758" spans="1:8" ht="19.95" customHeight="1" x14ac:dyDescent="0.3">
      <c r="A758" s="2" t="s">
        <v>4976</v>
      </c>
      <c r="B758" s="3" t="s">
        <v>4926</v>
      </c>
      <c r="C758" s="2" t="s">
        <v>4981</v>
      </c>
      <c r="D758" s="3" t="s">
        <v>4368</v>
      </c>
      <c r="E758" s="2" t="s">
        <v>6131</v>
      </c>
      <c r="F758" s="40">
        <v>33.56</v>
      </c>
      <c r="G758" s="40">
        <v>2</v>
      </c>
      <c r="H758" s="41">
        <v>67.12</v>
      </c>
    </row>
    <row r="759" spans="1:8" ht="19.95" customHeight="1" x14ac:dyDescent="0.3">
      <c r="A759" s="6" t="s">
        <v>4976</v>
      </c>
      <c r="B759" s="7" t="s">
        <v>5465</v>
      </c>
      <c r="C759" s="6" t="s">
        <v>5466</v>
      </c>
      <c r="D759" s="7" t="s">
        <v>5051</v>
      </c>
      <c r="E759" s="6" t="s">
        <v>4270</v>
      </c>
      <c r="F759" s="42">
        <v>11.65</v>
      </c>
      <c r="G759" s="42">
        <v>2</v>
      </c>
      <c r="H759" s="43">
        <v>23.3</v>
      </c>
    </row>
    <row r="760" spans="1:8" ht="19.95" customHeight="1" x14ac:dyDescent="0.3">
      <c r="A760" s="2" t="s">
        <v>4976</v>
      </c>
      <c r="B760" s="3" t="s">
        <v>5094</v>
      </c>
      <c r="C760" s="2" t="s">
        <v>5095</v>
      </c>
      <c r="D760" s="3" t="s">
        <v>4424</v>
      </c>
      <c r="E760" s="2" t="s">
        <v>4270</v>
      </c>
      <c r="F760" s="40">
        <v>30.35</v>
      </c>
      <c r="G760" s="40">
        <v>2</v>
      </c>
      <c r="H760" s="41">
        <v>60.7</v>
      </c>
    </row>
    <row r="761" spans="1:8" ht="19.95" customHeight="1" x14ac:dyDescent="0.3">
      <c r="A761" s="6" t="s">
        <v>4976</v>
      </c>
      <c r="B761" s="7" t="s">
        <v>5096</v>
      </c>
      <c r="C761" s="6" t="s">
        <v>5097</v>
      </c>
      <c r="D761" s="7" t="s">
        <v>4424</v>
      </c>
      <c r="E761" s="6" t="s">
        <v>4270</v>
      </c>
      <c r="F761" s="42">
        <v>30.35</v>
      </c>
      <c r="G761" s="42">
        <v>2</v>
      </c>
      <c r="H761" s="43">
        <v>60.7</v>
      </c>
    </row>
    <row r="762" spans="1:8" ht="19.95" customHeight="1" x14ac:dyDescent="0.3">
      <c r="A762" s="2" t="s">
        <v>4976</v>
      </c>
      <c r="B762" s="3" t="s">
        <v>5467</v>
      </c>
      <c r="C762" s="2" t="s">
        <v>5468</v>
      </c>
      <c r="D762" s="3" t="s">
        <v>5051</v>
      </c>
      <c r="E762" s="2" t="s">
        <v>4270</v>
      </c>
      <c r="F762" s="40">
        <v>4.68</v>
      </c>
      <c r="G762" s="40">
        <v>2</v>
      </c>
      <c r="H762" s="41">
        <v>9.36</v>
      </c>
    </row>
    <row r="763" spans="1:8" ht="19.95" customHeight="1" x14ac:dyDescent="0.3">
      <c r="A763" s="6" t="s">
        <v>4976</v>
      </c>
      <c r="B763" s="7" t="s">
        <v>5469</v>
      </c>
      <c r="C763" s="6" t="s">
        <v>5470</v>
      </c>
      <c r="D763" s="7" t="s">
        <v>4424</v>
      </c>
      <c r="E763" s="6" t="s">
        <v>4270</v>
      </c>
      <c r="F763" s="42">
        <v>20.36</v>
      </c>
      <c r="G763" s="42">
        <v>2</v>
      </c>
      <c r="H763" s="43">
        <v>40.72</v>
      </c>
    </row>
    <row r="764" spans="1:8" ht="19.95" customHeight="1" x14ac:dyDescent="0.3">
      <c r="A764" s="2" t="s">
        <v>4976</v>
      </c>
      <c r="B764" s="3" t="s">
        <v>5471</v>
      </c>
      <c r="C764" s="2" t="s">
        <v>5472</v>
      </c>
      <c r="D764" s="3" t="s">
        <v>5051</v>
      </c>
      <c r="E764" s="2" t="s">
        <v>4270</v>
      </c>
      <c r="F764" s="40">
        <v>4.68</v>
      </c>
      <c r="G764" s="40">
        <v>2</v>
      </c>
      <c r="H764" s="41">
        <v>9.36</v>
      </c>
    </row>
    <row r="765" spans="1:8" ht="19.95" customHeight="1" x14ac:dyDescent="0.3">
      <c r="A765" s="6" t="s">
        <v>4976</v>
      </c>
      <c r="B765" s="7" t="s">
        <v>5473</v>
      </c>
      <c r="C765" s="6" t="s">
        <v>5474</v>
      </c>
      <c r="D765" s="7" t="s">
        <v>4424</v>
      </c>
      <c r="E765" s="6" t="s">
        <v>4270</v>
      </c>
      <c r="F765" s="42">
        <v>20.36</v>
      </c>
      <c r="G765" s="42">
        <v>2</v>
      </c>
      <c r="H765" s="43">
        <v>40.72</v>
      </c>
    </row>
    <row r="766" spans="1:8" ht="19.95" customHeight="1" x14ac:dyDescent="0.3">
      <c r="A766" s="2" t="s">
        <v>4976</v>
      </c>
      <c r="B766" s="3" t="s">
        <v>5473</v>
      </c>
      <c r="C766" s="2" t="s">
        <v>5474</v>
      </c>
      <c r="D766" s="3" t="s">
        <v>4424</v>
      </c>
      <c r="E766" s="2" t="s">
        <v>6140</v>
      </c>
      <c r="F766" s="40">
        <v>170</v>
      </c>
      <c r="G766" s="40">
        <v>2</v>
      </c>
      <c r="H766" s="41">
        <v>340</v>
      </c>
    </row>
    <row r="767" spans="1:8" ht="19.95" customHeight="1" x14ac:dyDescent="0.3">
      <c r="A767" s="6" t="s">
        <v>4976</v>
      </c>
      <c r="B767" s="7" t="s">
        <v>5473</v>
      </c>
      <c r="C767" s="6" t="s">
        <v>5474</v>
      </c>
      <c r="D767" s="7" t="s">
        <v>4424</v>
      </c>
      <c r="E767" s="6" t="s">
        <v>6140</v>
      </c>
      <c r="F767" s="42">
        <v>170</v>
      </c>
      <c r="G767" s="42">
        <v>2</v>
      </c>
      <c r="H767" s="43">
        <v>340</v>
      </c>
    </row>
    <row r="768" spans="1:8" ht="19.95" customHeight="1" x14ac:dyDescent="0.3">
      <c r="A768" s="2" t="s">
        <v>4976</v>
      </c>
      <c r="B768" s="3" t="s">
        <v>5473</v>
      </c>
      <c r="C768" s="2" t="s">
        <v>5474</v>
      </c>
      <c r="D768" s="3" t="s">
        <v>4424</v>
      </c>
      <c r="E768" s="2" t="s">
        <v>6140</v>
      </c>
      <c r="F768" s="40">
        <v>170</v>
      </c>
      <c r="G768" s="40">
        <v>2</v>
      </c>
      <c r="H768" s="41">
        <v>340</v>
      </c>
    </row>
    <row r="769" spans="1:8" ht="19.95" customHeight="1" x14ac:dyDescent="0.3">
      <c r="A769" s="6" t="s">
        <v>4976</v>
      </c>
      <c r="B769" s="7" t="s">
        <v>5473</v>
      </c>
      <c r="C769" s="6" t="s">
        <v>5474</v>
      </c>
      <c r="D769" s="7" t="s">
        <v>4424</v>
      </c>
      <c r="E769" s="6" t="s">
        <v>6140</v>
      </c>
      <c r="F769" s="42">
        <v>170</v>
      </c>
      <c r="G769" s="42">
        <v>2</v>
      </c>
      <c r="H769" s="43">
        <v>340</v>
      </c>
    </row>
    <row r="770" spans="1:8" ht="19.95" customHeight="1" x14ac:dyDescent="0.3">
      <c r="A770" s="2" t="s">
        <v>4976</v>
      </c>
      <c r="B770" s="3" t="s">
        <v>5473</v>
      </c>
      <c r="C770" s="2" t="s">
        <v>5474</v>
      </c>
      <c r="D770" s="3" t="s">
        <v>4424</v>
      </c>
      <c r="E770" s="2" t="s">
        <v>6140</v>
      </c>
      <c r="F770" s="40">
        <v>170</v>
      </c>
      <c r="G770" s="40">
        <v>2</v>
      </c>
      <c r="H770" s="41">
        <v>340</v>
      </c>
    </row>
    <row r="771" spans="1:8" ht="19.95" customHeight="1" x14ac:dyDescent="0.3">
      <c r="A771" s="6" t="s">
        <v>4976</v>
      </c>
      <c r="B771" s="7" t="s">
        <v>5473</v>
      </c>
      <c r="C771" s="6" t="s">
        <v>5474</v>
      </c>
      <c r="D771" s="7" t="s">
        <v>4424</v>
      </c>
      <c r="E771" s="6" t="s">
        <v>6140</v>
      </c>
      <c r="F771" s="42">
        <v>170</v>
      </c>
      <c r="G771" s="42">
        <v>2</v>
      </c>
      <c r="H771" s="43">
        <v>340</v>
      </c>
    </row>
    <row r="772" spans="1:8" ht="19.95" customHeight="1" x14ac:dyDescent="0.3">
      <c r="A772" s="2" t="s">
        <v>4976</v>
      </c>
      <c r="B772" s="3" t="s">
        <v>5473</v>
      </c>
      <c r="C772" s="2" t="s">
        <v>5474</v>
      </c>
      <c r="D772" s="3" t="s">
        <v>4424</v>
      </c>
      <c r="E772" s="2" t="s">
        <v>6140</v>
      </c>
      <c r="F772" s="40">
        <v>170</v>
      </c>
      <c r="G772" s="40">
        <v>2</v>
      </c>
      <c r="H772" s="41">
        <v>340</v>
      </c>
    </row>
    <row r="773" spans="1:8" ht="19.95" customHeight="1" x14ac:dyDescent="0.3">
      <c r="A773" s="6" t="s">
        <v>4976</v>
      </c>
      <c r="B773" s="7" t="s">
        <v>5473</v>
      </c>
      <c r="C773" s="6" t="s">
        <v>5474</v>
      </c>
      <c r="D773" s="7" t="s">
        <v>4424</v>
      </c>
      <c r="E773" s="6" t="s">
        <v>6140</v>
      </c>
      <c r="F773" s="42">
        <v>170</v>
      </c>
      <c r="G773" s="42">
        <v>2</v>
      </c>
      <c r="H773" s="43">
        <v>340</v>
      </c>
    </row>
    <row r="774" spans="1:8" ht="19.95" customHeight="1" x14ac:dyDescent="0.3">
      <c r="A774" s="2" t="s">
        <v>4976</v>
      </c>
      <c r="B774" s="3" t="s">
        <v>5473</v>
      </c>
      <c r="C774" s="2" t="s">
        <v>5474</v>
      </c>
      <c r="D774" s="3" t="s">
        <v>4424</v>
      </c>
      <c r="E774" s="2" t="s">
        <v>6140</v>
      </c>
      <c r="F774" s="40">
        <v>170</v>
      </c>
      <c r="G774" s="40">
        <v>2</v>
      </c>
      <c r="H774" s="41">
        <v>340</v>
      </c>
    </row>
    <row r="775" spans="1:8" ht="19.95" customHeight="1" x14ac:dyDescent="0.3">
      <c r="A775" s="6" t="s">
        <v>4976</v>
      </c>
      <c r="B775" s="7" t="s">
        <v>5473</v>
      </c>
      <c r="C775" s="6" t="s">
        <v>5474</v>
      </c>
      <c r="D775" s="7" t="s">
        <v>4424</v>
      </c>
      <c r="E775" s="6" t="s">
        <v>6140</v>
      </c>
      <c r="F775" s="42">
        <v>170</v>
      </c>
      <c r="G775" s="42">
        <v>2</v>
      </c>
      <c r="H775" s="43">
        <v>340</v>
      </c>
    </row>
    <row r="776" spans="1:8" ht="19.95" customHeight="1" x14ac:dyDescent="0.3">
      <c r="A776" s="2" t="s">
        <v>4976</v>
      </c>
      <c r="B776" s="3" t="s">
        <v>5473</v>
      </c>
      <c r="C776" s="2" t="s">
        <v>5474</v>
      </c>
      <c r="D776" s="3" t="s">
        <v>4424</v>
      </c>
      <c r="E776" s="2" t="s">
        <v>6140</v>
      </c>
      <c r="F776" s="40">
        <v>170</v>
      </c>
      <c r="G776" s="40">
        <v>2</v>
      </c>
      <c r="H776" s="41">
        <v>340</v>
      </c>
    </row>
    <row r="777" spans="1:8" ht="19.95" customHeight="1" x14ac:dyDescent="0.3">
      <c r="A777" s="6" t="s">
        <v>4976</v>
      </c>
      <c r="B777" s="7" t="s">
        <v>5473</v>
      </c>
      <c r="C777" s="6" t="s">
        <v>5474</v>
      </c>
      <c r="D777" s="7" t="s">
        <v>4424</v>
      </c>
      <c r="E777" s="6" t="s">
        <v>6140</v>
      </c>
      <c r="F777" s="42">
        <v>170</v>
      </c>
      <c r="G777" s="42">
        <v>2</v>
      </c>
      <c r="H777" s="43">
        <v>340</v>
      </c>
    </row>
    <row r="778" spans="1:8" ht="19.95" customHeight="1" x14ac:dyDescent="0.3">
      <c r="A778" s="2" t="s">
        <v>4976</v>
      </c>
      <c r="B778" s="3" t="s">
        <v>5473</v>
      </c>
      <c r="C778" s="2" t="s">
        <v>5474</v>
      </c>
      <c r="D778" s="3" t="s">
        <v>4424</v>
      </c>
      <c r="E778" s="2" t="s">
        <v>6140</v>
      </c>
      <c r="F778" s="40">
        <v>170</v>
      </c>
      <c r="G778" s="40">
        <v>2</v>
      </c>
      <c r="H778" s="41">
        <v>340</v>
      </c>
    </row>
    <row r="779" spans="1:8" ht="19.95" customHeight="1" x14ac:dyDescent="0.3">
      <c r="A779" s="6" t="s">
        <v>4976</v>
      </c>
      <c r="B779" s="7" t="s">
        <v>5473</v>
      </c>
      <c r="C779" s="6" t="s">
        <v>5474</v>
      </c>
      <c r="D779" s="7" t="s">
        <v>4424</v>
      </c>
      <c r="E779" s="6" t="s">
        <v>6140</v>
      </c>
      <c r="F779" s="42">
        <v>170</v>
      </c>
      <c r="G779" s="42">
        <v>2</v>
      </c>
      <c r="H779" s="43">
        <v>340</v>
      </c>
    </row>
    <row r="780" spans="1:8" ht="19.95" customHeight="1" x14ac:dyDescent="0.3">
      <c r="A780" s="2" t="s">
        <v>4976</v>
      </c>
      <c r="B780" s="3" t="s">
        <v>5473</v>
      </c>
      <c r="C780" s="2" t="s">
        <v>5474</v>
      </c>
      <c r="D780" s="3" t="s">
        <v>4424</v>
      </c>
      <c r="E780" s="2" t="s">
        <v>6140</v>
      </c>
      <c r="F780" s="40">
        <v>170</v>
      </c>
      <c r="G780" s="40">
        <v>2</v>
      </c>
      <c r="H780" s="41">
        <v>340</v>
      </c>
    </row>
    <row r="781" spans="1:8" ht="19.95" customHeight="1" x14ac:dyDescent="0.3">
      <c r="A781" s="6" t="s">
        <v>4976</v>
      </c>
      <c r="B781" s="7" t="s">
        <v>5473</v>
      </c>
      <c r="C781" s="6" t="s">
        <v>5474</v>
      </c>
      <c r="D781" s="7" t="s">
        <v>4424</v>
      </c>
      <c r="E781" s="6" t="s">
        <v>6140</v>
      </c>
      <c r="F781" s="42">
        <v>170</v>
      </c>
      <c r="G781" s="42">
        <v>2</v>
      </c>
      <c r="H781" s="43">
        <v>340</v>
      </c>
    </row>
    <row r="782" spans="1:8" ht="19.95" customHeight="1" x14ac:dyDescent="0.3">
      <c r="A782" s="2" t="s">
        <v>4976</v>
      </c>
      <c r="B782" s="3" t="s">
        <v>5473</v>
      </c>
      <c r="C782" s="2" t="s">
        <v>5474</v>
      </c>
      <c r="D782" s="3" t="s">
        <v>4424</v>
      </c>
      <c r="E782" s="2" t="s">
        <v>6140</v>
      </c>
      <c r="F782" s="40">
        <v>170</v>
      </c>
      <c r="G782" s="40">
        <v>2</v>
      </c>
      <c r="H782" s="41">
        <v>340</v>
      </c>
    </row>
    <row r="783" spans="1:8" ht="19.95" customHeight="1" x14ac:dyDescent="0.3">
      <c r="A783" s="6" t="s">
        <v>4976</v>
      </c>
      <c r="B783" s="7" t="s">
        <v>5473</v>
      </c>
      <c r="C783" s="6" t="s">
        <v>5474</v>
      </c>
      <c r="D783" s="7" t="s">
        <v>4424</v>
      </c>
      <c r="E783" s="6" t="s">
        <v>6140</v>
      </c>
      <c r="F783" s="42">
        <v>170</v>
      </c>
      <c r="G783" s="42">
        <v>2</v>
      </c>
      <c r="H783" s="43">
        <v>340</v>
      </c>
    </row>
    <row r="784" spans="1:8" ht="19.95" customHeight="1" x14ac:dyDescent="0.3">
      <c r="A784" s="2" t="s">
        <v>4976</v>
      </c>
      <c r="B784" s="3" t="s">
        <v>5473</v>
      </c>
      <c r="C784" s="2" t="s">
        <v>5474</v>
      </c>
      <c r="D784" s="3" t="s">
        <v>4424</v>
      </c>
      <c r="E784" s="2" t="s">
        <v>6140</v>
      </c>
      <c r="F784" s="40">
        <v>170</v>
      </c>
      <c r="G784" s="40">
        <v>2</v>
      </c>
      <c r="H784" s="41">
        <v>340</v>
      </c>
    </row>
    <row r="785" spans="1:8" ht="19.95" customHeight="1" x14ac:dyDescent="0.3">
      <c r="A785" s="6" t="s">
        <v>4976</v>
      </c>
      <c r="B785" s="7" t="s">
        <v>5473</v>
      </c>
      <c r="C785" s="6" t="s">
        <v>5474</v>
      </c>
      <c r="D785" s="7" t="s">
        <v>4424</v>
      </c>
      <c r="E785" s="6" t="s">
        <v>6140</v>
      </c>
      <c r="F785" s="42">
        <v>170</v>
      </c>
      <c r="G785" s="42">
        <v>2</v>
      </c>
      <c r="H785" s="43">
        <v>340</v>
      </c>
    </row>
    <row r="786" spans="1:8" ht="19.95" customHeight="1" x14ac:dyDescent="0.3">
      <c r="A786" s="2" t="s">
        <v>4976</v>
      </c>
      <c r="B786" s="3" t="s">
        <v>5486</v>
      </c>
      <c r="C786" s="2" t="s">
        <v>5487</v>
      </c>
      <c r="D786" s="3" t="s">
        <v>279</v>
      </c>
      <c r="E786" s="2" t="s">
        <v>6141</v>
      </c>
      <c r="F786" s="40">
        <v>3</v>
      </c>
      <c r="G786" s="40">
        <v>2</v>
      </c>
      <c r="H786" s="41">
        <v>6</v>
      </c>
    </row>
    <row r="787" spans="1:8" ht="19.95" customHeight="1" x14ac:dyDescent="0.3">
      <c r="A787" s="6" t="s">
        <v>4976</v>
      </c>
      <c r="B787" s="7" t="s">
        <v>5488</v>
      </c>
      <c r="C787" s="6" t="s">
        <v>5489</v>
      </c>
      <c r="D787" s="7" t="s">
        <v>279</v>
      </c>
      <c r="E787" s="6" t="s">
        <v>6141</v>
      </c>
      <c r="F787" s="42">
        <v>3</v>
      </c>
      <c r="G787" s="42">
        <v>2</v>
      </c>
      <c r="H787" s="43">
        <v>6</v>
      </c>
    </row>
    <row r="788" spans="1:8" ht="19.95" customHeight="1" x14ac:dyDescent="0.3">
      <c r="A788" s="2" t="s">
        <v>4976</v>
      </c>
      <c r="B788" s="3" t="s">
        <v>5490</v>
      </c>
      <c r="C788" s="2" t="s">
        <v>5491</v>
      </c>
      <c r="D788" s="3" t="s">
        <v>279</v>
      </c>
      <c r="E788" s="2" t="s">
        <v>6141</v>
      </c>
      <c r="F788" s="40">
        <v>3</v>
      </c>
      <c r="G788" s="40">
        <v>2</v>
      </c>
      <c r="H788" s="41">
        <v>6</v>
      </c>
    </row>
    <row r="789" spans="1:8" ht="19.95" customHeight="1" x14ac:dyDescent="0.3">
      <c r="A789" s="6" t="s">
        <v>4976</v>
      </c>
      <c r="B789" s="7" t="s">
        <v>5492</v>
      </c>
      <c r="C789" s="6" t="s">
        <v>5493</v>
      </c>
      <c r="D789" s="7" t="s">
        <v>279</v>
      </c>
      <c r="E789" s="6" t="s">
        <v>6141</v>
      </c>
      <c r="F789" s="42">
        <v>3</v>
      </c>
      <c r="G789" s="42">
        <v>2</v>
      </c>
      <c r="H789" s="43">
        <v>6</v>
      </c>
    </row>
    <row r="790" spans="1:8" ht="19.95" customHeight="1" x14ac:dyDescent="0.3">
      <c r="A790" s="2" t="s">
        <v>4976</v>
      </c>
      <c r="B790" s="3" t="s">
        <v>5494</v>
      </c>
      <c r="C790" s="2" t="s">
        <v>5495</v>
      </c>
      <c r="D790" s="3" t="s">
        <v>279</v>
      </c>
      <c r="E790" s="2" t="s">
        <v>6141</v>
      </c>
      <c r="F790" s="40">
        <v>3</v>
      </c>
      <c r="G790" s="40">
        <v>2</v>
      </c>
      <c r="H790" s="41">
        <v>6</v>
      </c>
    </row>
    <row r="791" spans="1:8" ht="19.95" customHeight="1" x14ac:dyDescent="0.3">
      <c r="A791" s="6" t="s">
        <v>4976</v>
      </c>
      <c r="B791" s="7" t="s">
        <v>4982</v>
      </c>
      <c r="C791" s="6" t="s">
        <v>4984</v>
      </c>
      <c r="D791" s="7" t="s">
        <v>4368</v>
      </c>
      <c r="E791" s="6" t="s">
        <v>4270</v>
      </c>
      <c r="F791" s="42">
        <v>33.56</v>
      </c>
      <c r="G791" s="42">
        <v>2</v>
      </c>
      <c r="H791" s="43">
        <v>67.12</v>
      </c>
    </row>
    <row r="792" spans="1:8" ht="19.95" customHeight="1" x14ac:dyDescent="0.3">
      <c r="A792" s="2" t="s">
        <v>4976</v>
      </c>
      <c r="B792" s="3" t="s">
        <v>5108</v>
      </c>
      <c r="C792" s="2" t="s">
        <v>5109</v>
      </c>
      <c r="D792" s="3" t="s">
        <v>5110</v>
      </c>
      <c r="E792" s="2" t="s">
        <v>6142</v>
      </c>
      <c r="F792" s="40">
        <v>1.82</v>
      </c>
      <c r="G792" s="40">
        <v>2</v>
      </c>
      <c r="H792" s="41">
        <v>3.64</v>
      </c>
    </row>
    <row r="793" spans="1:8" ht="19.95" customHeight="1" x14ac:dyDescent="0.3">
      <c r="A793" s="6" t="s">
        <v>4976</v>
      </c>
      <c r="B793" s="7" t="s">
        <v>5108</v>
      </c>
      <c r="C793" s="6" t="s">
        <v>5109</v>
      </c>
      <c r="D793" s="7" t="s">
        <v>5110</v>
      </c>
      <c r="E793" s="6" t="s">
        <v>4270</v>
      </c>
      <c r="F793" s="42">
        <v>4.42</v>
      </c>
      <c r="G793" s="42">
        <v>2</v>
      </c>
      <c r="H793" s="43">
        <v>8.84</v>
      </c>
    </row>
    <row r="794" spans="1:8" ht="19.95" customHeight="1" x14ac:dyDescent="0.3">
      <c r="A794" s="2" t="s">
        <v>4976</v>
      </c>
      <c r="B794" s="3" t="s">
        <v>5111</v>
      </c>
      <c r="C794" s="2" t="s">
        <v>5112</v>
      </c>
      <c r="D794" s="3" t="s">
        <v>5113</v>
      </c>
      <c r="E794" s="2" t="s">
        <v>6142</v>
      </c>
      <c r="F794" s="40">
        <v>13.52</v>
      </c>
      <c r="G794" s="40">
        <v>2</v>
      </c>
      <c r="H794" s="41">
        <v>27.04</v>
      </c>
    </row>
    <row r="795" spans="1:8" ht="19.95" customHeight="1" x14ac:dyDescent="0.3">
      <c r="A795" s="6" t="s">
        <v>4976</v>
      </c>
      <c r="B795" s="7" t="s">
        <v>5111</v>
      </c>
      <c r="C795" s="6" t="s">
        <v>5112</v>
      </c>
      <c r="D795" s="7" t="s">
        <v>5113</v>
      </c>
      <c r="E795" s="6" t="s">
        <v>6043</v>
      </c>
      <c r="F795" s="42">
        <v>26.91</v>
      </c>
      <c r="G795" s="42">
        <v>2</v>
      </c>
      <c r="H795" s="43">
        <v>53.82</v>
      </c>
    </row>
    <row r="796" spans="1:8" ht="19.95" customHeight="1" x14ac:dyDescent="0.3">
      <c r="A796" s="2" t="s">
        <v>4976</v>
      </c>
      <c r="B796" s="3" t="s">
        <v>5114</v>
      </c>
      <c r="C796" s="2" t="s">
        <v>5115</v>
      </c>
      <c r="D796" s="3" t="s">
        <v>4368</v>
      </c>
      <c r="E796" s="2" t="s">
        <v>6142</v>
      </c>
      <c r="F796" s="40">
        <v>19.760000000000002</v>
      </c>
      <c r="G796" s="40">
        <v>2</v>
      </c>
      <c r="H796" s="41">
        <v>39.520000000000003</v>
      </c>
    </row>
    <row r="797" spans="1:8" ht="19.95" customHeight="1" x14ac:dyDescent="0.3">
      <c r="A797" s="6" t="s">
        <v>4976</v>
      </c>
      <c r="B797" s="7" t="s">
        <v>5114</v>
      </c>
      <c r="C797" s="6" t="s">
        <v>5115</v>
      </c>
      <c r="D797" s="7" t="s">
        <v>4368</v>
      </c>
      <c r="E797" s="6" t="s">
        <v>6043</v>
      </c>
      <c r="F797" s="42">
        <v>26.91</v>
      </c>
      <c r="G797" s="42">
        <v>2</v>
      </c>
      <c r="H797" s="43">
        <v>53.82</v>
      </c>
    </row>
    <row r="798" spans="1:8" ht="19.95" customHeight="1" x14ac:dyDescent="0.3">
      <c r="A798" s="2" t="s">
        <v>4976</v>
      </c>
      <c r="B798" s="3" t="s">
        <v>5116</v>
      </c>
      <c r="C798" s="2" t="s">
        <v>5117</v>
      </c>
      <c r="D798" s="3" t="s">
        <v>5110</v>
      </c>
      <c r="E798" s="2" t="s">
        <v>6142</v>
      </c>
      <c r="F798" s="40">
        <v>0.91</v>
      </c>
      <c r="G798" s="40">
        <v>2</v>
      </c>
      <c r="H798" s="41">
        <v>1.82</v>
      </c>
    </row>
    <row r="799" spans="1:8" ht="19.95" customHeight="1" x14ac:dyDescent="0.3">
      <c r="A799" s="6" t="s">
        <v>4976</v>
      </c>
      <c r="B799" s="7" t="s">
        <v>5116</v>
      </c>
      <c r="C799" s="6" t="s">
        <v>5117</v>
      </c>
      <c r="D799" s="7" t="s">
        <v>5110</v>
      </c>
      <c r="E799" s="6" t="s">
        <v>6043</v>
      </c>
      <c r="F799" s="42">
        <v>7.8</v>
      </c>
      <c r="G799" s="42">
        <v>2</v>
      </c>
      <c r="H799" s="43">
        <v>15.6</v>
      </c>
    </row>
    <row r="800" spans="1:8" ht="19.95" customHeight="1" x14ac:dyDescent="0.3">
      <c r="A800" s="2" t="s">
        <v>4976</v>
      </c>
      <c r="B800" s="3" t="s">
        <v>5118</v>
      </c>
      <c r="C800" s="2" t="s">
        <v>5117</v>
      </c>
      <c r="D800" s="3" t="s">
        <v>5110</v>
      </c>
      <c r="E800" s="2" t="s">
        <v>6142</v>
      </c>
      <c r="F800" s="40">
        <v>1.82</v>
      </c>
      <c r="G800" s="40">
        <v>2</v>
      </c>
      <c r="H800" s="41">
        <v>3.64</v>
      </c>
    </row>
    <row r="801" spans="1:8" ht="19.95" customHeight="1" x14ac:dyDescent="0.3">
      <c r="A801" s="6" t="s">
        <v>4976</v>
      </c>
      <c r="B801" s="7" t="s">
        <v>5118</v>
      </c>
      <c r="C801" s="6" t="s">
        <v>5117</v>
      </c>
      <c r="D801" s="7" t="s">
        <v>5110</v>
      </c>
      <c r="E801" s="6" t="s">
        <v>6043</v>
      </c>
      <c r="F801" s="42">
        <v>7.8</v>
      </c>
      <c r="G801" s="42">
        <v>2</v>
      </c>
      <c r="H801" s="43">
        <v>15.6</v>
      </c>
    </row>
    <row r="802" spans="1:8" ht="19.95" customHeight="1" x14ac:dyDescent="0.3">
      <c r="A802" s="2" t="s">
        <v>4976</v>
      </c>
      <c r="B802" s="3" t="s">
        <v>5119</v>
      </c>
      <c r="C802" s="2" t="s">
        <v>5120</v>
      </c>
      <c r="D802" s="3" t="s">
        <v>4344</v>
      </c>
      <c r="E802" s="2" t="s">
        <v>6142</v>
      </c>
      <c r="F802" s="40">
        <v>13.52</v>
      </c>
      <c r="G802" s="40">
        <v>2</v>
      </c>
      <c r="H802" s="41">
        <v>27.04</v>
      </c>
    </row>
    <row r="803" spans="1:8" ht="19.95" customHeight="1" x14ac:dyDescent="0.3">
      <c r="A803" s="6" t="s">
        <v>4976</v>
      </c>
      <c r="B803" s="7" t="s">
        <v>5119</v>
      </c>
      <c r="C803" s="6" t="s">
        <v>5120</v>
      </c>
      <c r="D803" s="7" t="s">
        <v>4344</v>
      </c>
      <c r="E803" s="6" t="s">
        <v>6043</v>
      </c>
      <c r="F803" s="42">
        <v>26.91</v>
      </c>
      <c r="G803" s="42">
        <v>2</v>
      </c>
      <c r="H803" s="43">
        <v>53.82</v>
      </c>
    </row>
    <row r="804" spans="1:8" ht="19.95" customHeight="1" x14ac:dyDescent="0.3">
      <c r="A804" s="2" t="s">
        <v>4976</v>
      </c>
      <c r="B804" s="3" t="s">
        <v>5121</v>
      </c>
      <c r="C804" s="2" t="s">
        <v>5122</v>
      </c>
      <c r="D804" s="3" t="s">
        <v>4344</v>
      </c>
      <c r="E804" s="2" t="s">
        <v>6142</v>
      </c>
      <c r="F804" s="40">
        <v>13.52</v>
      </c>
      <c r="G804" s="40">
        <v>2</v>
      </c>
      <c r="H804" s="41">
        <v>27.04</v>
      </c>
    </row>
    <row r="805" spans="1:8" ht="19.95" customHeight="1" x14ac:dyDescent="0.3">
      <c r="A805" s="6" t="s">
        <v>4976</v>
      </c>
      <c r="B805" s="7" t="s">
        <v>5121</v>
      </c>
      <c r="C805" s="6" t="s">
        <v>5122</v>
      </c>
      <c r="D805" s="7" t="s">
        <v>4344</v>
      </c>
      <c r="E805" s="6" t="s">
        <v>6043</v>
      </c>
      <c r="F805" s="42">
        <v>26.91</v>
      </c>
      <c r="G805" s="42">
        <v>2</v>
      </c>
      <c r="H805" s="43">
        <v>53.82</v>
      </c>
    </row>
    <row r="806" spans="1:8" ht="19.95" customHeight="1" x14ac:dyDescent="0.3">
      <c r="A806" s="2" t="s">
        <v>4976</v>
      </c>
      <c r="B806" s="3" t="s">
        <v>5123</v>
      </c>
      <c r="C806" s="2" t="s">
        <v>5124</v>
      </c>
      <c r="D806" s="3" t="s">
        <v>4344</v>
      </c>
      <c r="E806" s="2" t="s">
        <v>6142</v>
      </c>
      <c r="F806" s="40">
        <v>13.52</v>
      </c>
      <c r="G806" s="40">
        <v>2</v>
      </c>
      <c r="H806" s="41">
        <v>27.04</v>
      </c>
    </row>
    <row r="807" spans="1:8" ht="19.95" customHeight="1" x14ac:dyDescent="0.3">
      <c r="A807" s="6" t="s">
        <v>4976</v>
      </c>
      <c r="B807" s="7" t="s">
        <v>5123</v>
      </c>
      <c r="C807" s="6" t="s">
        <v>5124</v>
      </c>
      <c r="D807" s="7" t="s">
        <v>4344</v>
      </c>
      <c r="E807" s="6" t="s">
        <v>6043</v>
      </c>
      <c r="F807" s="42">
        <v>26.91</v>
      </c>
      <c r="G807" s="42">
        <v>2</v>
      </c>
      <c r="H807" s="43">
        <v>53.82</v>
      </c>
    </row>
    <row r="808" spans="1:8" ht="19.95" customHeight="1" x14ac:dyDescent="0.3">
      <c r="A808" s="2" t="s">
        <v>4976</v>
      </c>
      <c r="B808" s="3" t="s">
        <v>5125</v>
      </c>
      <c r="C808" s="2" t="s">
        <v>5126</v>
      </c>
      <c r="D808" s="3" t="s">
        <v>4440</v>
      </c>
      <c r="E808" s="2" t="s">
        <v>6142</v>
      </c>
      <c r="F808" s="40">
        <v>26.94</v>
      </c>
      <c r="G808" s="40">
        <v>2</v>
      </c>
      <c r="H808" s="41">
        <v>53.88</v>
      </c>
    </row>
    <row r="809" spans="1:8" ht="19.95" customHeight="1" x14ac:dyDescent="0.3">
      <c r="A809" s="6" t="s">
        <v>4976</v>
      </c>
      <c r="B809" s="7" t="s">
        <v>5133</v>
      </c>
      <c r="C809" s="6" t="s">
        <v>5134</v>
      </c>
      <c r="D809" s="7" t="s">
        <v>5014</v>
      </c>
      <c r="E809" s="6" t="s">
        <v>6142</v>
      </c>
      <c r="F809" s="42">
        <v>8.11</v>
      </c>
      <c r="G809" s="42">
        <v>2</v>
      </c>
      <c r="H809" s="43">
        <v>16.22</v>
      </c>
    </row>
    <row r="810" spans="1:8" ht="19.95" customHeight="1" x14ac:dyDescent="0.3">
      <c r="A810" s="2" t="s">
        <v>4976</v>
      </c>
      <c r="B810" s="3" t="s">
        <v>5133</v>
      </c>
      <c r="C810" s="2" t="s">
        <v>5134</v>
      </c>
      <c r="D810" s="3" t="s">
        <v>5014</v>
      </c>
      <c r="E810" s="2" t="s">
        <v>6143</v>
      </c>
      <c r="F810" s="40">
        <v>130</v>
      </c>
      <c r="G810" s="40">
        <v>2</v>
      </c>
      <c r="H810" s="41">
        <v>260</v>
      </c>
    </row>
    <row r="811" spans="1:8" ht="19.95" customHeight="1" x14ac:dyDescent="0.3">
      <c r="A811" s="6" t="s">
        <v>4976</v>
      </c>
      <c r="B811" s="7" t="s">
        <v>5133</v>
      </c>
      <c r="C811" s="6" t="s">
        <v>5134</v>
      </c>
      <c r="D811" s="7" t="s">
        <v>5014</v>
      </c>
      <c r="E811" s="6" t="s">
        <v>6144</v>
      </c>
      <c r="F811" s="42">
        <v>53.82</v>
      </c>
      <c r="G811" s="42">
        <v>2</v>
      </c>
      <c r="H811" s="43">
        <v>107.64</v>
      </c>
    </row>
    <row r="812" spans="1:8" ht="19.95" customHeight="1" x14ac:dyDescent="0.3">
      <c r="A812" s="2" t="s">
        <v>4976</v>
      </c>
      <c r="B812" s="3" t="s">
        <v>5135</v>
      </c>
      <c r="C812" s="2" t="s">
        <v>5136</v>
      </c>
      <c r="D812" s="3" t="s">
        <v>5014</v>
      </c>
      <c r="E812" s="2" t="s">
        <v>6142</v>
      </c>
      <c r="F812" s="40">
        <v>8.11</v>
      </c>
      <c r="G812" s="40">
        <v>2</v>
      </c>
      <c r="H812" s="41">
        <v>16.22</v>
      </c>
    </row>
    <row r="813" spans="1:8" ht="19.95" customHeight="1" x14ac:dyDescent="0.3">
      <c r="A813" s="6" t="s">
        <v>4976</v>
      </c>
      <c r="B813" s="7" t="s">
        <v>5135</v>
      </c>
      <c r="C813" s="6" t="s">
        <v>5136</v>
      </c>
      <c r="D813" s="7" t="s">
        <v>5014</v>
      </c>
      <c r="E813" s="6" t="s">
        <v>6143</v>
      </c>
      <c r="F813" s="42">
        <v>130</v>
      </c>
      <c r="G813" s="42">
        <v>2</v>
      </c>
      <c r="H813" s="43">
        <v>260</v>
      </c>
    </row>
    <row r="814" spans="1:8" ht="19.95" customHeight="1" x14ac:dyDescent="0.3">
      <c r="A814" s="2" t="s">
        <v>4976</v>
      </c>
      <c r="B814" s="3" t="s">
        <v>5135</v>
      </c>
      <c r="C814" s="2" t="s">
        <v>5136</v>
      </c>
      <c r="D814" s="3" t="s">
        <v>5014</v>
      </c>
      <c r="E814" s="2" t="s">
        <v>6144</v>
      </c>
      <c r="F814" s="40">
        <v>53.82</v>
      </c>
      <c r="G814" s="40">
        <v>2</v>
      </c>
      <c r="H814" s="41">
        <v>107.64</v>
      </c>
    </row>
    <row r="815" spans="1:8" ht="19.95" customHeight="1" x14ac:dyDescent="0.3">
      <c r="A815" s="6" t="s">
        <v>4976</v>
      </c>
      <c r="B815" s="7" t="s">
        <v>5135</v>
      </c>
      <c r="C815" s="6" t="s">
        <v>5136</v>
      </c>
      <c r="D815" s="7" t="s">
        <v>4406</v>
      </c>
      <c r="E815" s="6" t="s">
        <v>6137</v>
      </c>
      <c r="F815" s="42">
        <v>130</v>
      </c>
      <c r="G815" s="42">
        <v>2</v>
      </c>
      <c r="H815" s="43">
        <v>260</v>
      </c>
    </row>
    <row r="816" spans="1:8" ht="19.95" customHeight="1" x14ac:dyDescent="0.3">
      <c r="A816" s="2" t="s">
        <v>4976</v>
      </c>
      <c r="B816" s="3" t="s">
        <v>5135</v>
      </c>
      <c r="C816" s="2" t="s">
        <v>5136</v>
      </c>
      <c r="D816" s="3" t="s">
        <v>4406</v>
      </c>
      <c r="E816" s="2" t="s">
        <v>6145</v>
      </c>
      <c r="F816" s="40">
        <v>250</v>
      </c>
      <c r="G816" s="40">
        <v>2</v>
      </c>
      <c r="H816" s="41">
        <v>500</v>
      </c>
    </row>
    <row r="817" spans="1:8" ht="19.95" customHeight="1" x14ac:dyDescent="0.3">
      <c r="A817" s="6" t="s">
        <v>4976</v>
      </c>
      <c r="B817" s="7" t="s">
        <v>6146</v>
      </c>
      <c r="C817" s="6" t="s">
        <v>6147</v>
      </c>
      <c r="D817" s="7" t="s">
        <v>4371</v>
      </c>
      <c r="E817" s="6" t="s">
        <v>6137</v>
      </c>
      <c r="F817" s="42">
        <v>130</v>
      </c>
      <c r="G817" s="42">
        <v>2</v>
      </c>
      <c r="H817" s="43">
        <v>260</v>
      </c>
    </row>
    <row r="818" spans="1:8" ht="19.95" customHeight="1" x14ac:dyDescent="0.3">
      <c r="A818" s="2" t="s">
        <v>4976</v>
      </c>
      <c r="B818" s="3" t="s">
        <v>6146</v>
      </c>
      <c r="C818" s="2" t="s">
        <v>6147</v>
      </c>
      <c r="D818" s="3" t="s">
        <v>4371</v>
      </c>
      <c r="E818" s="2" t="s">
        <v>6131</v>
      </c>
      <c r="F818" s="40">
        <v>280</v>
      </c>
      <c r="G818" s="40">
        <v>2</v>
      </c>
      <c r="H818" s="41">
        <v>560</v>
      </c>
    </row>
    <row r="819" spans="1:8" ht="19.95" customHeight="1" x14ac:dyDescent="0.3">
      <c r="A819" s="6" t="s">
        <v>4976</v>
      </c>
      <c r="B819" s="7" t="s">
        <v>6148</v>
      </c>
      <c r="C819" s="6" t="s">
        <v>6149</v>
      </c>
      <c r="D819" s="7" t="s">
        <v>4406</v>
      </c>
      <c r="E819" s="6" t="s">
        <v>6137</v>
      </c>
      <c r="F819" s="42">
        <v>130</v>
      </c>
      <c r="G819" s="42">
        <v>2</v>
      </c>
      <c r="H819" s="43">
        <v>260</v>
      </c>
    </row>
    <row r="820" spans="1:8" ht="19.95" customHeight="1" x14ac:dyDescent="0.3">
      <c r="A820" s="2" t="s">
        <v>4976</v>
      </c>
      <c r="B820" s="3" t="s">
        <v>6148</v>
      </c>
      <c r="C820" s="2" t="s">
        <v>6149</v>
      </c>
      <c r="D820" s="3" t="s">
        <v>4406</v>
      </c>
      <c r="E820" s="2" t="s">
        <v>6145</v>
      </c>
      <c r="F820" s="40">
        <v>250</v>
      </c>
      <c r="G820" s="40">
        <v>2</v>
      </c>
      <c r="H820" s="41">
        <v>500</v>
      </c>
    </row>
    <row r="821" spans="1:8" ht="19.95" customHeight="1" x14ac:dyDescent="0.3">
      <c r="A821" s="6" t="s">
        <v>4976</v>
      </c>
      <c r="B821" s="7" t="s">
        <v>6150</v>
      </c>
      <c r="C821" s="6" t="s">
        <v>6136</v>
      </c>
      <c r="D821" s="7" t="s">
        <v>6151</v>
      </c>
      <c r="E821" s="6" t="s">
        <v>6137</v>
      </c>
      <c r="F821" s="42">
        <v>180</v>
      </c>
      <c r="G821" s="42">
        <v>2</v>
      </c>
      <c r="H821" s="43">
        <v>360</v>
      </c>
    </row>
    <row r="822" spans="1:8" ht="19.95" customHeight="1" x14ac:dyDescent="0.3">
      <c r="A822" s="2" t="s">
        <v>4976</v>
      </c>
      <c r="B822" s="3" t="s">
        <v>6150</v>
      </c>
      <c r="C822" s="2" t="s">
        <v>6136</v>
      </c>
      <c r="D822" s="3" t="s">
        <v>6151</v>
      </c>
      <c r="E822" s="2" t="s">
        <v>6138</v>
      </c>
      <c r="F822" s="40">
        <v>10</v>
      </c>
      <c r="G822" s="40">
        <v>2</v>
      </c>
      <c r="H822" s="41">
        <v>20</v>
      </c>
    </row>
    <row r="823" spans="1:8" ht="19.95" customHeight="1" x14ac:dyDescent="0.3">
      <c r="A823" s="6" t="s">
        <v>4976</v>
      </c>
      <c r="B823" s="7" t="s">
        <v>5137</v>
      </c>
      <c r="C823" s="6" t="s">
        <v>5138</v>
      </c>
      <c r="D823" s="7" t="s">
        <v>5139</v>
      </c>
      <c r="E823" s="6" t="s">
        <v>6152</v>
      </c>
      <c r="F823" s="42">
        <v>1.82</v>
      </c>
      <c r="G823" s="42">
        <v>2</v>
      </c>
      <c r="H823" s="43">
        <v>3.64</v>
      </c>
    </row>
    <row r="824" spans="1:8" ht="19.95" customHeight="1" x14ac:dyDescent="0.3">
      <c r="A824" s="2" t="s">
        <v>4976</v>
      </c>
      <c r="B824" s="3" t="s">
        <v>5140</v>
      </c>
      <c r="C824" s="2" t="s">
        <v>5141</v>
      </c>
      <c r="D824" s="3" t="s">
        <v>5142</v>
      </c>
      <c r="E824" s="2" t="s">
        <v>6152</v>
      </c>
      <c r="F824" s="40">
        <v>1.82</v>
      </c>
      <c r="G824" s="40">
        <v>2</v>
      </c>
      <c r="H824" s="41">
        <v>3.64</v>
      </c>
    </row>
    <row r="825" spans="1:8" ht="19.95" customHeight="1" x14ac:dyDescent="0.3">
      <c r="A825" s="6" t="s">
        <v>4976</v>
      </c>
      <c r="B825" s="7" t="s">
        <v>5143</v>
      </c>
      <c r="C825" s="6" t="s">
        <v>5144</v>
      </c>
      <c r="D825" s="7" t="s">
        <v>5145</v>
      </c>
      <c r="E825" s="6" t="s">
        <v>6152</v>
      </c>
      <c r="F825" s="42">
        <v>1.82</v>
      </c>
      <c r="G825" s="42">
        <v>2</v>
      </c>
      <c r="H825" s="43">
        <v>3.64</v>
      </c>
    </row>
    <row r="826" spans="1:8" ht="19.95" customHeight="1" x14ac:dyDescent="0.3">
      <c r="A826" s="2" t="s">
        <v>5496</v>
      </c>
      <c r="B826" s="3" t="s">
        <v>4982</v>
      </c>
      <c r="C826" s="2" t="s">
        <v>6153</v>
      </c>
      <c r="D826" s="3" t="s">
        <v>4368</v>
      </c>
      <c r="E826" s="2" t="s">
        <v>4270</v>
      </c>
      <c r="F826" s="40">
        <v>20.67</v>
      </c>
      <c r="G826" s="40">
        <v>2</v>
      </c>
      <c r="H826" s="41">
        <v>41.34</v>
      </c>
    </row>
    <row r="827" spans="1:8" ht="19.95" customHeight="1" x14ac:dyDescent="0.3">
      <c r="A827" s="6" t="s">
        <v>5496</v>
      </c>
      <c r="B827" s="7" t="s">
        <v>4982</v>
      </c>
      <c r="C827" s="6" t="s">
        <v>5564</v>
      </c>
      <c r="D827" s="7" t="s">
        <v>4368</v>
      </c>
      <c r="E827" s="6" t="s">
        <v>4270</v>
      </c>
      <c r="F827" s="42">
        <v>80.73</v>
      </c>
      <c r="G827" s="42">
        <v>2</v>
      </c>
      <c r="H827" s="43">
        <v>161.46</v>
      </c>
    </row>
    <row r="828" spans="1:8" ht="19.95" customHeight="1" x14ac:dyDescent="0.3">
      <c r="A828" s="2" t="s">
        <v>5496</v>
      </c>
      <c r="B828" s="3" t="s">
        <v>6154</v>
      </c>
      <c r="C828" s="2" t="s">
        <v>6155</v>
      </c>
      <c r="D828" s="3" t="s">
        <v>6156</v>
      </c>
      <c r="E828" s="2" t="s">
        <v>6157</v>
      </c>
      <c r="F828" s="40">
        <v>269.10000000000002</v>
      </c>
      <c r="G828" s="40">
        <v>2</v>
      </c>
      <c r="H828" s="41">
        <v>538.20000000000005</v>
      </c>
    </row>
    <row r="829" spans="1:8" ht="19.95" customHeight="1" x14ac:dyDescent="0.3">
      <c r="A829" s="6" t="s">
        <v>5496</v>
      </c>
      <c r="B829" s="7" t="s">
        <v>6154</v>
      </c>
      <c r="C829" s="6" t="s">
        <v>6155</v>
      </c>
      <c r="D829" s="7" t="s">
        <v>6156</v>
      </c>
      <c r="E829" s="6" t="s">
        <v>6158</v>
      </c>
      <c r="F829" s="42">
        <v>67.34</v>
      </c>
      <c r="G829" s="42">
        <v>2</v>
      </c>
      <c r="H829" s="43">
        <v>134.68</v>
      </c>
    </row>
    <row r="830" spans="1:8" ht="19.95" customHeight="1" x14ac:dyDescent="0.3">
      <c r="A830" s="2" t="s">
        <v>5496</v>
      </c>
      <c r="B830" s="3" t="s">
        <v>4982</v>
      </c>
      <c r="C830" s="2" t="s">
        <v>5564</v>
      </c>
      <c r="D830" s="3" t="s">
        <v>4368</v>
      </c>
      <c r="E830" s="2" t="s">
        <v>4270</v>
      </c>
      <c r="F830" s="40">
        <v>161.46</v>
      </c>
      <c r="G830" s="40">
        <v>2</v>
      </c>
      <c r="H830" s="41">
        <v>322.92</v>
      </c>
    </row>
    <row r="831" spans="1:8" ht="19.95" customHeight="1" x14ac:dyDescent="0.3">
      <c r="A831" s="6" t="s">
        <v>5496</v>
      </c>
      <c r="B831" s="7" t="s">
        <v>6159</v>
      </c>
      <c r="C831" s="6" t="s">
        <v>6160</v>
      </c>
      <c r="D831" s="7" t="s">
        <v>6161</v>
      </c>
      <c r="E831" s="6" t="s">
        <v>6162</v>
      </c>
      <c r="F831" s="42">
        <v>269.10000000000002</v>
      </c>
      <c r="G831" s="42">
        <v>2</v>
      </c>
      <c r="H831" s="43">
        <v>538.20000000000005</v>
      </c>
    </row>
    <row r="832" spans="1:8" ht="19.95" customHeight="1" x14ac:dyDescent="0.3">
      <c r="A832" s="2" t="s">
        <v>5496</v>
      </c>
      <c r="B832" s="3" t="s">
        <v>6159</v>
      </c>
      <c r="C832" s="2" t="s">
        <v>6160</v>
      </c>
      <c r="D832" s="3" t="s">
        <v>6161</v>
      </c>
      <c r="E832" s="2" t="s">
        <v>6163</v>
      </c>
      <c r="F832" s="40">
        <v>167.75</v>
      </c>
      <c r="G832" s="40">
        <v>2</v>
      </c>
      <c r="H832" s="41">
        <v>335.5</v>
      </c>
    </row>
    <row r="833" spans="1:8" ht="19.95" customHeight="1" x14ac:dyDescent="0.3">
      <c r="A833" s="6" t="s">
        <v>5496</v>
      </c>
      <c r="B833" s="7" t="s">
        <v>6159</v>
      </c>
      <c r="C833" s="6" t="s">
        <v>6160</v>
      </c>
      <c r="D833" s="7" t="s">
        <v>6161</v>
      </c>
      <c r="E833" s="6" t="s">
        <v>6164</v>
      </c>
      <c r="F833" s="42">
        <v>269.10000000000002</v>
      </c>
      <c r="G833" s="42">
        <v>2</v>
      </c>
      <c r="H833" s="43">
        <v>538.20000000000005</v>
      </c>
    </row>
    <row r="834" spans="1:8" ht="19.95" customHeight="1" x14ac:dyDescent="0.3">
      <c r="A834" s="2" t="s">
        <v>5496</v>
      </c>
      <c r="B834" s="3" t="s">
        <v>6159</v>
      </c>
      <c r="C834" s="2" t="s">
        <v>6160</v>
      </c>
      <c r="D834" s="3" t="s">
        <v>6161</v>
      </c>
      <c r="E834" s="2" t="s">
        <v>6165</v>
      </c>
      <c r="F834" s="40">
        <v>13.52</v>
      </c>
      <c r="G834" s="40">
        <v>2</v>
      </c>
      <c r="H834" s="41">
        <v>27.04</v>
      </c>
    </row>
    <row r="835" spans="1:8" ht="19.95" customHeight="1" x14ac:dyDescent="0.3">
      <c r="A835" s="6" t="s">
        <v>5496</v>
      </c>
      <c r="B835" s="7" t="s">
        <v>4982</v>
      </c>
      <c r="C835" s="6" t="s">
        <v>5564</v>
      </c>
      <c r="D835" s="7" t="s">
        <v>4368</v>
      </c>
      <c r="E835" s="6" t="s">
        <v>4270</v>
      </c>
      <c r="F835" s="42">
        <v>161.46</v>
      </c>
      <c r="G835" s="42">
        <v>2</v>
      </c>
      <c r="H835" s="43">
        <v>322.92</v>
      </c>
    </row>
    <row r="836" spans="1:8" ht="19.95" customHeight="1" x14ac:dyDescent="0.3">
      <c r="A836" s="2" t="s">
        <v>5496</v>
      </c>
      <c r="B836" s="3" t="s">
        <v>6166</v>
      </c>
      <c r="C836" s="2" t="s">
        <v>6167</v>
      </c>
      <c r="D836" s="3" t="s">
        <v>4433</v>
      </c>
      <c r="E836" s="2" t="s">
        <v>6168</v>
      </c>
      <c r="F836" s="40">
        <v>167.7</v>
      </c>
      <c r="G836" s="40">
        <v>2</v>
      </c>
      <c r="H836" s="41">
        <v>335.4</v>
      </c>
    </row>
    <row r="837" spans="1:8" ht="19.95" customHeight="1" x14ac:dyDescent="0.3">
      <c r="A837" s="6" t="s">
        <v>5496</v>
      </c>
      <c r="B837" s="7" t="s">
        <v>6166</v>
      </c>
      <c r="C837" s="6" t="s">
        <v>6167</v>
      </c>
      <c r="D837" s="7" t="s">
        <v>4433</v>
      </c>
      <c r="E837" s="6" t="s">
        <v>6169</v>
      </c>
      <c r="F837" s="42">
        <v>269.10000000000002</v>
      </c>
      <c r="G837" s="42">
        <v>2</v>
      </c>
      <c r="H837" s="43">
        <v>538.20000000000005</v>
      </c>
    </row>
    <row r="838" spans="1:8" ht="19.95" customHeight="1" x14ac:dyDescent="0.3">
      <c r="A838" s="2" t="s">
        <v>5496</v>
      </c>
      <c r="B838" s="3" t="s">
        <v>4982</v>
      </c>
      <c r="C838" s="2" t="s">
        <v>5564</v>
      </c>
      <c r="D838" s="3" t="s">
        <v>4368</v>
      </c>
      <c r="E838" s="2" t="s">
        <v>4270</v>
      </c>
      <c r="F838" s="40">
        <v>161.46</v>
      </c>
      <c r="G838" s="40">
        <v>2</v>
      </c>
      <c r="H838" s="41">
        <v>322.92</v>
      </c>
    </row>
    <row r="839" spans="1:8" ht="19.95" customHeight="1" x14ac:dyDescent="0.3">
      <c r="A839" s="6" t="s">
        <v>5496</v>
      </c>
      <c r="B839" s="7" t="s">
        <v>6170</v>
      </c>
      <c r="C839" s="6" t="s">
        <v>6171</v>
      </c>
      <c r="D839" s="7" t="s">
        <v>4433</v>
      </c>
      <c r="E839" s="6" t="s">
        <v>6168</v>
      </c>
      <c r="F839" s="42">
        <v>167.7</v>
      </c>
      <c r="G839" s="42">
        <v>2</v>
      </c>
      <c r="H839" s="43">
        <v>335.4</v>
      </c>
    </row>
    <row r="840" spans="1:8" ht="19.95" customHeight="1" x14ac:dyDescent="0.3">
      <c r="A840" s="2" t="s">
        <v>5496</v>
      </c>
      <c r="B840" s="3" t="s">
        <v>6170</v>
      </c>
      <c r="C840" s="2" t="s">
        <v>6171</v>
      </c>
      <c r="D840" s="3" t="s">
        <v>4433</v>
      </c>
      <c r="E840" s="2" t="s">
        <v>6169</v>
      </c>
      <c r="F840" s="40">
        <v>269.10000000000002</v>
      </c>
      <c r="G840" s="40">
        <v>2</v>
      </c>
      <c r="H840" s="41">
        <v>538.20000000000005</v>
      </c>
    </row>
    <row r="841" spans="1:8" ht="19.95" customHeight="1" x14ac:dyDescent="0.3">
      <c r="A841" s="6" t="s">
        <v>5496</v>
      </c>
      <c r="B841" s="7" t="s">
        <v>4982</v>
      </c>
      <c r="C841" s="6" t="s">
        <v>5564</v>
      </c>
      <c r="D841" s="7" t="s">
        <v>4368</v>
      </c>
      <c r="E841" s="6" t="s">
        <v>4270</v>
      </c>
      <c r="F841" s="42">
        <v>161.46</v>
      </c>
      <c r="G841" s="42">
        <v>2</v>
      </c>
      <c r="H841" s="43">
        <v>322.92</v>
      </c>
    </row>
    <row r="842" spans="1:8" ht="19.95" customHeight="1" x14ac:dyDescent="0.3">
      <c r="A842" s="2" t="s">
        <v>5496</v>
      </c>
      <c r="B842" s="3" t="s">
        <v>5557</v>
      </c>
      <c r="C842" s="2" t="s">
        <v>5558</v>
      </c>
      <c r="D842" s="3" t="s">
        <v>5559</v>
      </c>
      <c r="E842" s="2" t="s">
        <v>4270</v>
      </c>
      <c r="F842" s="40">
        <v>60.58</v>
      </c>
      <c r="G842" s="40">
        <v>2</v>
      </c>
      <c r="H842" s="41">
        <v>121.16</v>
      </c>
    </row>
    <row r="843" spans="1:8" ht="19.95" customHeight="1" x14ac:dyDescent="0.3">
      <c r="A843" s="6" t="s">
        <v>5496</v>
      </c>
      <c r="B843" s="7" t="s">
        <v>5560</v>
      </c>
      <c r="C843" s="6" t="s">
        <v>5561</v>
      </c>
      <c r="D843" s="7" t="s">
        <v>5559</v>
      </c>
      <c r="E843" s="6" t="s">
        <v>4270</v>
      </c>
      <c r="F843" s="42">
        <v>60.58</v>
      </c>
      <c r="G843" s="42">
        <v>2</v>
      </c>
      <c r="H843" s="43">
        <v>121.16</v>
      </c>
    </row>
    <row r="844" spans="1:8" ht="19.95" customHeight="1" x14ac:dyDescent="0.3">
      <c r="A844" s="2" t="s">
        <v>5496</v>
      </c>
      <c r="B844" s="3" t="s">
        <v>5562</v>
      </c>
      <c r="C844" s="2" t="s">
        <v>5563</v>
      </c>
      <c r="D844" s="3" t="s">
        <v>5559</v>
      </c>
      <c r="E844" s="2" t="s">
        <v>4270</v>
      </c>
      <c r="F844" s="40">
        <v>60.58</v>
      </c>
      <c r="G844" s="40">
        <v>2</v>
      </c>
      <c r="H844" s="41">
        <v>121.16</v>
      </c>
    </row>
    <row r="845" spans="1:8" ht="19.95" customHeight="1" x14ac:dyDescent="0.3">
      <c r="A845" s="6" t="s">
        <v>5496</v>
      </c>
      <c r="B845" s="7" t="s">
        <v>6172</v>
      </c>
      <c r="C845" s="6" t="s">
        <v>6173</v>
      </c>
      <c r="D845" s="7" t="s">
        <v>6110</v>
      </c>
      <c r="E845" s="6" t="s">
        <v>4270</v>
      </c>
      <c r="F845" s="42">
        <v>26.91</v>
      </c>
      <c r="G845" s="42">
        <v>2</v>
      </c>
      <c r="H845" s="43">
        <v>53.82</v>
      </c>
    </row>
    <row r="846" spans="1:8" ht="19.95" customHeight="1" x14ac:dyDescent="0.3">
      <c r="A846" s="2" t="s">
        <v>5496</v>
      </c>
      <c r="B846" s="3" t="s">
        <v>6174</v>
      </c>
      <c r="C846" s="2" t="s">
        <v>6175</v>
      </c>
      <c r="D846" s="3" t="s">
        <v>6176</v>
      </c>
      <c r="E846" s="2" t="s">
        <v>4270</v>
      </c>
      <c r="F846" s="40">
        <v>13.52</v>
      </c>
      <c r="G846" s="40">
        <v>2</v>
      </c>
      <c r="H846" s="41">
        <v>27.04</v>
      </c>
    </row>
    <row r="847" spans="1:8" ht="19.95" customHeight="1" x14ac:dyDescent="0.3">
      <c r="A847" s="6" t="s">
        <v>5496</v>
      </c>
      <c r="B847" s="7" t="s">
        <v>6177</v>
      </c>
      <c r="C847" s="6" t="s">
        <v>6178</v>
      </c>
      <c r="D847" s="7" t="s">
        <v>6176</v>
      </c>
      <c r="E847" s="6" t="s">
        <v>4270</v>
      </c>
      <c r="F847" s="42">
        <v>13.52</v>
      </c>
      <c r="G847" s="42">
        <v>2</v>
      </c>
      <c r="H847" s="43">
        <v>27.04</v>
      </c>
    </row>
    <row r="848" spans="1:8" ht="19.95" customHeight="1" x14ac:dyDescent="0.3">
      <c r="A848" s="2" t="s">
        <v>5496</v>
      </c>
      <c r="B848" s="3" t="s">
        <v>4653</v>
      </c>
      <c r="C848" s="2" t="s">
        <v>4987</v>
      </c>
      <c r="D848" s="3" t="s">
        <v>4368</v>
      </c>
      <c r="E848" s="2" t="s">
        <v>6179</v>
      </c>
      <c r="F848" s="40">
        <v>67.28</v>
      </c>
      <c r="G848" s="40">
        <v>2</v>
      </c>
      <c r="H848" s="41">
        <v>134.56</v>
      </c>
    </row>
    <row r="849" spans="1:8" ht="19.95" customHeight="1" x14ac:dyDescent="0.3">
      <c r="A849" s="6" t="s">
        <v>5496</v>
      </c>
      <c r="B849" s="7" t="s">
        <v>5499</v>
      </c>
      <c r="C849" s="6" t="s">
        <v>5500</v>
      </c>
      <c r="D849" s="7" t="s">
        <v>5501</v>
      </c>
      <c r="E849" s="6" t="s">
        <v>6180</v>
      </c>
      <c r="F849" s="42">
        <v>67.28</v>
      </c>
      <c r="G849" s="42">
        <v>2</v>
      </c>
      <c r="H849" s="43">
        <v>134.56</v>
      </c>
    </row>
    <row r="850" spans="1:8" ht="19.95" customHeight="1" x14ac:dyDescent="0.3">
      <c r="A850" s="2" t="s">
        <v>5496</v>
      </c>
      <c r="B850" s="3" t="s">
        <v>5502</v>
      </c>
      <c r="C850" s="2" t="s">
        <v>5503</v>
      </c>
      <c r="D850" s="3" t="s">
        <v>4433</v>
      </c>
      <c r="E850" s="2" t="s">
        <v>4270</v>
      </c>
      <c r="F850" s="40">
        <v>15.37</v>
      </c>
      <c r="G850" s="40">
        <v>2</v>
      </c>
      <c r="H850" s="41">
        <v>30.74</v>
      </c>
    </row>
    <row r="851" spans="1:8" ht="19.95" customHeight="1" x14ac:dyDescent="0.3">
      <c r="A851" s="6" t="s">
        <v>5496</v>
      </c>
      <c r="B851" s="7" t="s">
        <v>5504</v>
      </c>
      <c r="C851" s="6" t="s">
        <v>5500</v>
      </c>
      <c r="D851" s="7" t="s">
        <v>4433</v>
      </c>
      <c r="E851" s="6" t="s">
        <v>4270</v>
      </c>
      <c r="F851" s="42">
        <v>15.37</v>
      </c>
      <c r="G851" s="42">
        <v>2</v>
      </c>
      <c r="H851" s="43">
        <v>30.74</v>
      </c>
    </row>
    <row r="852" spans="1:8" ht="19.95" customHeight="1" x14ac:dyDescent="0.3">
      <c r="A852" s="2" t="s">
        <v>5496</v>
      </c>
      <c r="B852" s="3" t="s">
        <v>5504</v>
      </c>
      <c r="C852" s="2" t="s">
        <v>5500</v>
      </c>
      <c r="D852" s="3" t="s">
        <v>4433</v>
      </c>
      <c r="E852" s="2" t="s">
        <v>6181</v>
      </c>
      <c r="F852" s="40">
        <v>12.22</v>
      </c>
      <c r="G852" s="40">
        <v>2</v>
      </c>
      <c r="H852" s="41">
        <v>24.44</v>
      </c>
    </row>
    <row r="853" spans="1:8" ht="19.95" customHeight="1" x14ac:dyDescent="0.3">
      <c r="A853" s="6" t="s">
        <v>5496</v>
      </c>
      <c r="B853" s="7" t="s">
        <v>6182</v>
      </c>
      <c r="C853" s="6" t="s">
        <v>6183</v>
      </c>
      <c r="D853" s="7" t="s">
        <v>4368</v>
      </c>
      <c r="E853" s="6" t="s">
        <v>6184</v>
      </c>
      <c r="F853" s="42">
        <v>0.46</v>
      </c>
      <c r="G853" s="42">
        <v>2</v>
      </c>
      <c r="H853" s="43">
        <v>0.92</v>
      </c>
    </row>
    <row r="854" spans="1:8" ht="19.95" customHeight="1" x14ac:dyDescent="0.3">
      <c r="A854" s="2" t="s">
        <v>5496</v>
      </c>
      <c r="B854" s="3" t="s">
        <v>6182</v>
      </c>
      <c r="C854" s="2" t="s">
        <v>6183</v>
      </c>
      <c r="D854" s="3" t="s">
        <v>4368</v>
      </c>
      <c r="E854" s="2" t="s">
        <v>6185</v>
      </c>
      <c r="F854" s="40">
        <v>3.01</v>
      </c>
      <c r="G854" s="40">
        <v>2</v>
      </c>
      <c r="H854" s="41">
        <v>6.02</v>
      </c>
    </row>
    <row r="855" spans="1:8" ht="19.95" customHeight="1" x14ac:dyDescent="0.3">
      <c r="A855" s="6" t="s">
        <v>5496</v>
      </c>
      <c r="B855" s="7" t="s">
        <v>4653</v>
      </c>
      <c r="C855" s="6" t="s">
        <v>4987</v>
      </c>
      <c r="D855" s="7" t="s">
        <v>4368</v>
      </c>
      <c r="E855" s="6" t="s">
        <v>6186</v>
      </c>
      <c r="F855" s="42">
        <v>35.880000000000003</v>
      </c>
      <c r="G855" s="42">
        <v>2</v>
      </c>
      <c r="H855" s="43">
        <v>71.760000000000005</v>
      </c>
    </row>
    <row r="856" spans="1:8" ht="19.95" customHeight="1" x14ac:dyDescent="0.3">
      <c r="A856" s="2" t="s">
        <v>5496</v>
      </c>
      <c r="B856" s="3" t="s">
        <v>4653</v>
      </c>
      <c r="C856" s="2" t="s">
        <v>4987</v>
      </c>
      <c r="D856" s="3" t="s">
        <v>4368</v>
      </c>
      <c r="E856" s="2" t="s">
        <v>6187</v>
      </c>
      <c r="F856" s="40">
        <v>17.940000000000001</v>
      </c>
      <c r="G856" s="40">
        <v>2</v>
      </c>
      <c r="H856" s="41">
        <v>35.880000000000003</v>
      </c>
    </row>
    <row r="857" spans="1:8" ht="19.95" customHeight="1" x14ac:dyDescent="0.3">
      <c r="A857" s="6" t="s">
        <v>5496</v>
      </c>
      <c r="B857" s="7" t="s">
        <v>4653</v>
      </c>
      <c r="C857" s="6" t="s">
        <v>4987</v>
      </c>
      <c r="D857" s="7" t="s">
        <v>4368</v>
      </c>
      <c r="E857" s="6" t="s">
        <v>4270</v>
      </c>
      <c r="F857" s="42">
        <v>8.9700000000000006</v>
      </c>
      <c r="G857" s="42">
        <v>2</v>
      </c>
      <c r="H857" s="43">
        <v>17.940000000000001</v>
      </c>
    </row>
    <row r="858" spans="1:8" ht="19.95" customHeight="1" x14ac:dyDescent="0.3">
      <c r="A858" s="2" t="s">
        <v>5496</v>
      </c>
      <c r="B858" s="3" t="s">
        <v>5505</v>
      </c>
      <c r="C858" s="2" t="s">
        <v>5500</v>
      </c>
      <c r="D858" s="3" t="s">
        <v>5506</v>
      </c>
      <c r="E858" s="2" t="s">
        <v>6186</v>
      </c>
      <c r="F858" s="40">
        <v>35.880000000000003</v>
      </c>
      <c r="G858" s="40">
        <v>2</v>
      </c>
      <c r="H858" s="41">
        <v>71.760000000000005</v>
      </c>
    </row>
    <row r="859" spans="1:8" ht="19.95" customHeight="1" x14ac:dyDescent="0.3">
      <c r="A859" s="6" t="s">
        <v>5496</v>
      </c>
      <c r="B859" s="7" t="s">
        <v>5505</v>
      </c>
      <c r="C859" s="6" t="s">
        <v>5500</v>
      </c>
      <c r="D859" s="7" t="s">
        <v>5506</v>
      </c>
      <c r="E859" s="6" t="s">
        <v>6187</v>
      </c>
      <c r="F859" s="42">
        <v>17.940000000000001</v>
      </c>
      <c r="G859" s="42">
        <v>2</v>
      </c>
      <c r="H859" s="43">
        <v>35.880000000000003</v>
      </c>
    </row>
    <row r="860" spans="1:8" ht="19.95" customHeight="1" x14ac:dyDescent="0.3">
      <c r="A860" s="2" t="s">
        <v>5496</v>
      </c>
      <c r="B860" s="3" t="s">
        <v>5505</v>
      </c>
      <c r="C860" s="2" t="s">
        <v>5500</v>
      </c>
      <c r="D860" s="3" t="s">
        <v>5506</v>
      </c>
      <c r="E860" s="2" t="s">
        <v>4270</v>
      </c>
      <c r="F860" s="40">
        <v>8.9700000000000006</v>
      </c>
      <c r="G860" s="40">
        <v>2</v>
      </c>
      <c r="H860" s="41">
        <v>17.940000000000001</v>
      </c>
    </row>
    <row r="861" spans="1:8" ht="19.95" customHeight="1" x14ac:dyDescent="0.3">
      <c r="A861" s="6" t="s">
        <v>5496</v>
      </c>
      <c r="B861" s="7" t="s">
        <v>5507</v>
      </c>
      <c r="C861" s="6" t="s">
        <v>5508</v>
      </c>
      <c r="D861" s="7" t="s">
        <v>5509</v>
      </c>
      <c r="E861" s="6" t="s">
        <v>6188</v>
      </c>
      <c r="F861" s="42">
        <v>35.880000000000003</v>
      </c>
      <c r="G861" s="42">
        <v>2</v>
      </c>
      <c r="H861" s="43">
        <v>71.760000000000005</v>
      </c>
    </row>
    <row r="862" spans="1:8" ht="19.95" customHeight="1" x14ac:dyDescent="0.3">
      <c r="A862" s="2" t="s">
        <v>5496</v>
      </c>
      <c r="B862" s="3" t="s">
        <v>5507</v>
      </c>
      <c r="C862" s="2" t="s">
        <v>5508</v>
      </c>
      <c r="D862" s="3" t="s">
        <v>5509</v>
      </c>
      <c r="E862" s="2" t="s">
        <v>4270</v>
      </c>
      <c r="F862" s="40">
        <v>8.9700000000000006</v>
      </c>
      <c r="G862" s="40">
        <v>2</v>
      </c>
      <c r="H862" s="41">
        <v>17.940000000000001</v>
      </c>
    </row>
    <row r="863" spans="1:8" ht="19.95" customHeight="1" x14ac:dyDescent="0.3">
      <c r="A863" s="6" t="s">
        <v>5496</v>
      </c>
      <c r="B863" s="7" t="s">
        <v>4982</v>
      </c>
      <c r="C863" s="6" t="s">
        <v>5564</v>
      </c>
      <c r="D863" s="7" t="s">
        <v>5509</v>
      </c>
      <c r="E863" s="6" t="s">
        <v>6189</v>
      </c>
      <c r="F863" s="42">
        <v>-20</v>
      </c>
      <c r="G863" s="42">
        <v>2</v>
      </c>
      <c r="H863" s="43">
        <v>-40</v>
      </c>
    </row>
    <row r="864" spans="1:8" ht="19.95" customHeight="1" x14ac:dyDescent="0.3">
      <c r="A864" s="2" t="s">
        <v>5496</v>
      </c>
      <c r="B864" s="3" t="s">
        <v>4982</v>
      </c>
      <c r="C864" s="2" t="s">
        <v>5564</v>
      </c>
      <c r="D864" s="3" t="s">
        <v>5509</v>
      </c>
      <c r="E864" s="2" t="s">
        <v>6188</v>
      </c>
      <c r="F864" s="40">
        <v>35.880000000000003</v>
      </c>
      <c r="G864" s="40">
        <v>2</v>
      </c>
      <c r="H864" s="41">
        <v>71.760000000000005</v>
      </c>
    </row>
    <row r="865" spans="1:8" ht="19.95" customHeight="1" x14ac:dyDescent="0.3">
      <c r="A865" s="6" t="s">
        <v>5496</v>
      </c>
      <c r="B865" s="7" t="s">
        <v>4982</v>
      </c>
      <c r="C865" s="6" t="s">
        <v>5564</v>
      </c>
      <c r="D865" s="7" t="s">
        <v>5509</v>
      </c>
      <c r="E865" s="6" t="s">
        <v>4270</v>
      </c>
      <c r="F865" s="42">
        <v>8.9700000000000006</v>
      </c>
      <c r="G865" s="42">
        <v>2</v>
      </c>
      <c r="H865" s="43">
        <v>17.940000000000001</v>
      </c>
    </row>
    <row r="866" spans="1:8" ht="19.95" customHeight="1" x14ac:dyDescent="0.3">
      <c r="A866" s="2" t="s">
        <v>5496</v>
      </c>
      <c r="B866" s="3" t="s">
        <v>5510</v>
      </c>
      <c r="C866" s="2" t="s">
        <v>5511</v>
      </c>
      <c r="D866" s="3" t="s">
        <v>5509</v>
      </c>
      <c r="E866" s="2" t="s">
        <v>6188</v>
      </c>
      <c r="F866" s="40">
        <v>35.880000000000003</v>
      </c>
      <c r="G866" s="40">
        <v>2</v>
      </c>
      <c r="H866" s="41">
        <v>71.760000000000005</v>
      </c>
    </row>
    <row r="867" spans="1:8" ht="19.95" customHeight="1" x14ac:dyDescent="0.3">
      <c r="A867" s="6" t="s">
        <v>5496</v>
      </c>
      <c r="B867" s="7" t="s">
        <v>5510</v>
      </c>
      <c r="C867" s="6" t="s">
        <v>5511</v>
      </c>
      <c r="D867" s="7" t="s">
        <v>5509</v>
      </c>
      <c r="E867" s="6" t="s">
        <v>4270</v>
      </c>
      <c r="F867" s="42">
        <v>8.9700000000000006</v>
      </c>
      <c r="G867" s="42">
        <v>2</v>
      </c>
      <c r="H867" s="43">
        <v>17.940000000000001</v>
      </c>
    </row>
    <row r="868" spans="1:8" ht="19.95" customHeight="1" x14ac:dyDescent="0.3">
      <c r="A868" s="2" t="s">
        <v>5496</v>
      </c>
      <c r="B868" s="3" t="s">
        <v>4982</v>
      </c>
      <c r="C868" s="2" t="s">
        <v>5564</v>
      </c>
      <c r="D868" s="3" t="s">
        <v>5509</v>
      </c>
      <c r="E868" s="2" t="s">
        <v>6190</v>
      </c>
      <c r="F868" s="40">
        <v>-20</v>
      </c>
      <c r="G868" s="40">
        <v>2</v>
      </c>
      <c r="H868" s="41">
        <v>-40</v>
      </c>
    </row>
    <row r="869" spans="1:8" ht="19.95" customHeight="1" x14ac:dyDescent="0.3">
      <c r="A869" s="6" t="s">
        <v>5496</v>
      </c>
      <c r="B869" s="7" t="s">
        <v>4982</v>
      </c>
      <c r="C869" s="6" t="s">
        <v>5564</v>
      </c>
      <c r="D869" s="7" t="s">
        <v>5509</v>
      </c>
      <c r="E869" s="6" t="s">
        <v>6188</v>
      </c>
      <c r="F869" s="42">
        <v>35.880000000000003</v>
      </c>
      <c r="G869" s="42">
        <v>2</v>
      </c>
      <c r="H869" s="43">
        <v>71.760000000000005</v>
      </c>
    </row>
    <row r="870" spans="1:8" ht="19.95" customHeight="1" x14ac:dyDescent="0.3">
      <c r="A870" s="2" t="s">
        <v>5496</v>
      </c>
      <c r="B870" s="3" t="s">
        <v>4982</v>
      </c>
      <c r="C870" s="2" t="s">
        <v>5564</v>
      </c>
      <c r="D870" s="3" t="s">
        <v>5509</v>
      </c>
      <c r="E870" s="2" t="s">
        <v>4270</v>
      </c>
      <c r="F870" s="40">
        <v>8.9700000000000006</v>
      </c>
      <c r="G870" s="40">
        <v>2</v>
      </c>
      <c r="H870" s="41">
        <v>17.940000000000001</v>
      </c>
    </row>
    <row r="871" spans="1:8" ht="19.95" customHeight="1" x14ac:dyDescent="0.3">
      <c r="A871" s="6" t="s">
        <v>5496</v>
      </c>
      <c r="B871" s="7" t="s">
        <v>5512</v>
      </c>
      <c r="C871" s="6" t="s">
        <v>5513</v>
      </c>
      <c r="D871" s="7" t="s">
        <v>5509</v>
      </c>
      <c r="E871" s="6" t="s">
        <v>6188</v>
      </c>
      <c r="F871" s="42">
        <v>35.880000000000003</v>
      </c>
      <c r="G871" s="42">
        <v>2</v>
      </c>
      <c r="H871" s="43">
        <v>71.760000000000005</v>
      </c>
    </row>
    <row r="872" spans="1:8" ht="19.95" customHeight="1" x14ac:dyDescent="0.3">
      <c r="A872" s="2" t="s">
        <v>5496</v>
      </c>
      <c r="B872" s="3" t="s">
        <v>5512</v>
      </c>
      <c r="C872" s="2" t="s">
        <v>5513</v>
      </c>
      <c r="D872" s="3" t="s">
        <v>5509</v>
      </c>
      <c r="E872" s="2" t="s">
        <v>4270</v>
      </c>
      <c r="F872" s="40">
        <v>8.9700000000000006</v>
      </c>
      <c r="G872" s="40">
        <v>2</v>
      </c>
      <c r="H872" s="41">
        <v>17.940000000000001</v>
      </c>
    </row>
    <row r="873" spans="1:8" ht="19.95" customHeight="1" x14ac:dyDescent="0.3">
      <c r="A873" s="6" t="s">
        <v>5496</v>
      </c>
      <c r="B873" s="7" t="s">
        <v>4982</v>
      </c>
      <c r="C873" s="6" t="s">
        <v>5564</v>
      </c>
      <c r="D873" s="7" t="s">
        <v>5509</v>
      </c>
      <c r="E873" s="6" t="s">
        <v>6191</v>
      </c>
      <c r="F873" s="42">
        <v>-20</v>
      </c>
      <c r="G873" s="42">
        <v>2</v>
      </c>
      <c r="H873" s="43">
        <v>-40</v>
      </c>
    </row>
    <row r="874" spans="1:8" ht="19.95" customHeight="1" x14ac:dyDescent="0.3">
      <c r="A874" s="2" t="s">
        <v>5496</v>
      </c>
      <c r="B874" s="3" t="s">
        <v>4982</v>
      </c>
      <c r="C874" s="2" t="s">
        <v>5564</v>
      </c>
      <c r="D874" s="3" t="s">
        <v>5509</v>
      </c>
      <c r="E874" s="2" t="s">
        <v>6188</v>
      </c>
      <c r="F874" s="40">
        <v>35.880000000000003</v>
      </c>
      <c r="G874" s="40">
        <v>2</v>
      </c>
      <c r="H874" s="41">
        <v>71.760000000000005</v>
      </c>
    </row>
    <row r="875" spans="1:8" ht="19.95" customHeight="1" x14ac:dyDescent="0.3">
      <c r="A875" s="6" t="s">
        <v>5496</v>
      </c>
      <c r="B875" s="7" t="s">
        <v>4982</v>
      </c>
      <c r="C875" s="6" t="s">
        <v>5564</v>
      </c>
      <c r="D875" s="7" t="s">
        <v>5509</v>
      </c>
      <c r="E875" s="6" t="s">
        <v>4270</v>
      </c>
      <c r="F875" s="42">
        <v>8.9700000000000006</v>
      </c>
      <c r="G875" s="42">
        <v>2</v>
      </c>
      <c r="H875" s="43">
        <v>17.940000000000001</v>
      </c>
    </row>
    <row r="876" spans="1:8" ht="19.95" customHeight="1" x14ac:dyDescent="0.3">
      <c r="A876" s="2" t="s">
        <v>5496</v>
      </c>
      <c r="B876" s="3" t="s">
        <v>4653</v>
      </c>
      <c r="C876" s="2" t="s">
        <v>4987</v>
      </c>
      <c r="D876" s="3" t="s">
        <v>4368</v>
      </c>
      <c r="E876" s="2" t="s">
        <v>6186</v>
      </c>
      <c r="F876" s="40">
        <v>35.880000000000003</v>
      </c>
      <c r="G876" s="40">
        <v>2</v>
      </c>
      <c r="H876" s="41">
        <v>71.760000000000005</v>
      </c>
    </row>
    <row r="877" spans="1:8" ht="19.95" customHeight="1" x14ac:dyDescent="0.3">
      <c r="A877" s="6" t="s">
        <v>5496</v>
      </c>
      <c r="B877" s="7" t="s">
        <v>4653</v>
      </c>
      <c r="C877" s="6" t="s">
        <v>4987</v>
      </c>
      <c r="D877" s="7" t="s">
        <v>4368</v>
      </c>
      <c r="E877" s="6" t="s">
        <v>6187</v>
      </c>
      <c r="F877" s="42">
        <v>17.940000000000001</v>
      </c>
      <c r="G877" s="42">
        <v>2</v>
      </c>
      <c r="H877" s="43">
        <v>35.880000000000003</v>
      </c>
    </row>
    <row r="878" spans="1:8" ht="19.95" customHeight="1" x14ac:dyDescent="0.3">
      <c r="A878" s="2" t="s">
        <v>5496</v>
      </c>
      <c r="B878" s="3" t="s">
        <v>4653</v>
      </c>
      <c r="C878" s="2" t="s">
        <v>4987</v>
      </c>
      <c r="D878" s="3" t="s">
        <v>4368</v>
      </c>
      <c r="E878" s="2" t="s">
        <v>4270</v>
      </c>
      <c r="F878" s="40">
        <v>3.64</v>
      </c>
      <c r="G878" s="40">
        <v>2</v>
      </c>
      <c r="H878" s="41">
        <v>7.28</v>
      </c>
    </row>
    <row r="879" spans="1:8" ht="19.95" customHeight="1" x14ac:dyDescent="0.3">
      <c r="A879" s="6" t="s">
        <v>5496</v>
      </c>
      <c r="B879" s="7" t="s">
        <v>5514</v>
      </c>
      <c r="C879" s="6" t="s">
        <v>5500</v>
      </c>
      <c r="D879" s="7" t="s">
        <v>5113</v>
      </c>
      <c r="E879" s="6" t="s">
        <v>6186</v>
      </c>
      <c r="F879" s="42">
        <v>35.880000000000003</v>
      </c>
      <c r="G879" s="42">
        <v>2</v>
      </c>
      <c r="H879" s="43">
        <v>71.760000000000005</v>
      </c>
    </row>
    <row r="880" spans="1:8" ht="19.95" customHeight="1" x14ac:dyDescent="0.3">
      <c r="A880" s="2" t="s">
        <v>5496</v>
      </c>
      <c r="B880" s="3" t="s">
        <v>5514</v>
      </c>
      <c r="C880" s="2" t="s">
        <v>5500</v>
      </c>
      <c r="D880" s="3" t="s">
        <v>5113</v>
      </c>
      <c r="E880" s="2" t="s">
        <v>6187</v>
      </c>
      <c r="F880" s="40">
        <v>17.940000000000001</v>
      </c>
      <c r="G880" s="40">
        <v>2</v>
      </c>
      <c r="H880" s="41">
        <v>35.880000000000003</v>
      </c>
    </row>
    <row r="881" spans="1:8" ht="19.95" customHeight="1" x14ac:dyDescent="0.3">
      <c r="A881" s="6" t="s">
        <v>5496</v>
      </c>
      <c r="B881" s="7" t="s">
        <v>5514</v>
      </c>
      <c r="C881" s="6" t="s">
        <v>5500</v>
      </c>
      <c r="D881" s="7" t="s">
        <v>5113</v>
      </c>
      <c r="E881" s="6" t="s">
        <v>4270</v>
      </c>
      <c r="F881" s="42">
        <v>3.64</v>
      </c>
      <c r="G881" s="42">
        <v>2</v>
      </c>
      <c r="H881" s="43">
        <v>7.28</v>
      </c>
    </row>
    <row r="882" spans="1:8" ht="19.95" customHeight="1" x14ac:dyDescent="0.3">
      <c r="A882" s="2" t="s">
        <v>5496</v>
      </c>
      <c r="B882" s="3" t="s">
        <v>4982</v>
      </c>
      <c r="C882" s="2" t="s">
        <v>5564</v>
      </c>
      <c r="D882" s="3" t="s">
        <v>4368</v>
      </c>
      <c r="E882" s="2" t="s">
        <v>4270</v>
      </c>
      <c r="F882" s="40">
        <v>80.73</v>
      </c>
      <c r="G882" s="40">
        <v>2</v>
      </c>
      <c r="H882" s="41">
        <v>161.46</v>
      </c>
    </row>
    <row r="883" spans="1:8" ht="19.95" customHeight="1" x14ac:dyDescent="0.3">
      <c r="A883" s="6" t="s">
        <v>5496</v>
      </c>
      <c r="B883" s="7" t="s">
        <v>4982</v>
      </c>
      <c r="C883" s="6" t="s">
        <v>5564</v>
      </c>
      <c r="D883" s="7" t="s">
        <v>4368</v>
      </c>
      <c r="E883" s="6" t="s">
        <v>4270</v>
      </c>
      <c r="F883" s="42">
        <v>80.73</v>
      </c>
      <c r="G883" s="42">
        <v>2</v>
      </c>
      <c r="H883" s="43">
        <v>161.46</v>
      </c>
    </row>
    <row r="884" spans="1:8" ht="19.95" customHeight="1" x14ac:dyDescent="0.3">
      <c r="A884" s="2" t="s">
        <v>5496</v>
      </c>
      <c r="B884" s="3" t="s">
        <v>4982</v>
      </c>
      <c r="C884" s="2" t="s">
        <v>5564</v>
      </c>
      <c r="D884" s="3" t="s">
        <v>4368</v>
      </c>
      <c r="E884" s="2" t="s">
        <v>4270</v>
      </c>
      <c r="F884" s="40">
        <v>80.73</v>
      </c>
      <c r="G884" s="40">
        <v>2</v>
      </c>
      <c r="H884" s="41">
        <v>161.46</v>
      </c>
    </row>
    <row r="885" spans="1:8" ht="19.95" customHeight="1" x14ac:dyDescent="0.3">
      <c r="A885" s="6" t="s">
        <v>5496</v>
      </c>
      <c r="B885" s="7" t="s">
        <v>5515</v>
      </c>
      <c r="C885" s="6" t="s">
        <v>5516</v>
      </c>
      <c r="D885" s="7" t="s">
        <v>5517</v>
      </c>
      <c r="E885" s="6" t="s">
        <v>6192</v>
      </c>
      <c r="F885" s="42">
        <v>1.82</v>
      </c>
      <c r="G885" s="42">
        <v>2</v>
      </c>
      <c r="H885" s="43">
        <v>3.64</v>
      </c>
    </row>
    <row r="886" spans="1:8" ht="19.95" customHeight="1" x14ac:dyDescent="0.3">
      <c r="A886" s="2" t="s">
        <v>5496</v>
      </c>
      <c r="B886" s="3" t="s">
        <v>5518</v>
      </c>
      <c r="C886" s="2" t="s">
        <v>5519</v>
      </c>
      <c r="D886" s="3" t="s">
        <v>4368</v>
      </c>
      <c r="E886" s="2" t="s">
        <v>6192</v>
      </c>
      <c r="F886" s="40">
        <v>1.82</v>
      </c>
      <c r="G886" s="40">
        <v>2</v>
      </c>
      <c r="H886" s="41">
        <v>3.64</v>
      </c>
    </row>
    <row r="887" spans="1:8" ht="19.95" customHeight="1" x14ac:dyDescent="0.3">
      <c r="A887" s="6" t="s">
        <v>5496</v>
      </c>
      <c r="B887" s="7" t="s">
        <v>5524</v>
      </c>
      <c r="C887" s="6" t="s">
        <v>5525</v>
      </c>
      <c r="D887" s="7" t="s">
        <v>5110</v>
      </c>
      <c r="E887" s="6" t="s">
        <v>4270</v>
      </c>
      <c r="F887" s="42">
        <v>4.55</v>
      </c>
      <c r="G887" s="42">
        <v>2</v>
      </c>
      <c r="H887" s="43">
        <v>9.1</v>
      </c>
    </row>
    <row r="888" spans="1:8" ht="19.95" customHeight="1" x14ac:dyDescent="0.3">
      <c r="A888" s="2" t="s">
        <v>5496</v>
      </c>
      <c r="B888" s="3" t="s">
        <v>5526</v>
      </c>
      <c r="C888" s="2" t="s">
        <v>5527</v>
      </c>
      <c r="D888" s="3" t="s">
        <v>5110</v>
      </c>
      <c r="E888" s="2" t="s">
        <v>4270</v>
      </c>
      <c r="F888" s="40">
        <v>10.79</v>
      </c>
      <c r="G888" s="40">
        <v>2</v>
      </c>
      <c r="H888" s="41">
        <v>21.58</v>
      </c>
    </row>
    <row r="889" spans="1:8" ht="19.95" customHeight="1" x14ac:dyDescent="0.3">
      <c r="A889" s="6" t="s">
        <v>5496</v>
      </c>
      <c r="B889" s="7" t="s">
        <v>4674</v>
      </c>
      <c r="C889" s="6" t="s">
        <v>6193</v>
      </c>
      <c r="D889" s="7" t="s">
        <v>6194</v>
      </c>
      <c r="E889" s="6" t="s">
        <v>4270</v>
      </c>
      <c r="F889" s="42">
        <v>0.26</v>
      </c>
      <c r="G889" s="42">
        <v>2</v>
      </c>
      <c r="H889" s="43">
        <v>0.52</v>
      </c>
    </row>
    <row r="890" spans="1:8" ht="19.95" customHeight="1" x14ac:dyDescent="0.3">
      <c r="A890" s="2" t="s">
        <v>5496</v>
      </c>
      <c r="B890" s="3" t="s">
        <v>4982</v>
      </c>
      <c r="C890" s="2" t="s">
        <v>5564</v>
      </c>
      <c r="D890" s="3" t="s">
        <v>4368</v>
      </c>
      <c r="E890" s="2" t="s">
        <v>4270</v>
      </c>
      <c r="F890" s="40">
        <v>110.89</v>
      </c>
      <c r="G890" s="40">
        <v>2</v>
      </c>
      <c r="H890" s="41">
        <v>221.78</v>
      </c>
    </row>
    <row r="891" spans="1:8" ht="19.95" customHeight="1" x14ac:dyDescent="0.3">
      <c r="A891" s="6" t="s">
        <v>5496</v>
      </c>
      <c r="B891" s="7" t="s">
        <v>4982</v>
      </c>
      <c r="C891" s="6" t="s">
        <v>5564</v>
      </c>
      <c r="D891" s="7" t="s">
        <v>4368</v>
      </c>
      <c r="E891" s="6" t="s">
        <v>4270</v>
      </c>
      <c r="F891" s="42">
        <v>4.55</v>
      </c>
      <c r="G891" s="42">
        <v>2</v>
      </c>
      <c r="H891" s="43">
        <v>9.1</v>
      </c>
    </row>
    <row r="892" spans="1:8" ht="19.95" customHeight="1" x14ac:dyDescent="0.3">
      <c r="A892" s="2" t="s">
        <v>5496</v>
      </c>
      <c r="B892" s="3" t="s">
        <v>4982</v>
      </c>
      <c r="C892" s="2" t="s">
        <v>5564</v>
      </c>
      <c r="D892" s="3" t="s">
        <v>4368</v>
      </c>
      <c r="E892" s="2" t="s">
        <v>4270</v>
      </c>
      <c r="F892" s="40">
        <v>12.48</v>
      </c>
      <c r="G892" s="40">
        <v>2</v>
      </c>
      <c r="H892" s="41">
        <v>24.96</v>
      </c>
    </row>
    <row r="893" spans="1:8" ht="19.95" customHeight="1" x14ac:dyDescent="0.3">
      <c r="A893" s="6" t="s">
        <v>5496</v>
      </c>
      <c r="B893" s="7" t="s">
        <v>4982</v>
      </c>
      <c r="C893" s="6" t="s">
        <v>5564</v>
      </c>
      <c r="D893" s="7" t="s">
        <v>4368</v>
      </c>
      <c r="E893" s="6" t="s">
        <v>4270</v>
      </c>
      <c r="F893" s="42">
        <v>12.48</v>
      </c>
      <c r="G893" s="42">
        <v>2</v>
      </c>
      <c r="H893" s="43">
        <v>24.96</v>
      </c>
    </row>
    <row r="894" spans="1:8" ht="19.95" customHeight="1" x14ac:dyDescent="0.3">
      <c r="A894" s="2" t="s">
        <v>5496</v>
      </c>
      <c r="B894" s="3" t="s">
        <v>4982</v>
      </c>
      <c r="C894" s="2" t="s">
        <v>5564</v>
      </c>
      <c r="D894" s="3" t="s">
        <v>4368</v>
      </c>
      <c r="E894" s="2" t="s">
        <v>4270</v>
      </c>
      <c r="F894" s="40">
        <v>12.48</v>
      </c>
      <c r="G894" s="40">
        <v>2</v>
      </c>
      <c r="H894" s="41">
        <v>24.96</v>
      </c>
    </row>
    <row r="895" spans="1:8" ht="19.95" customHeight="1" x14ac:dyDescent="0.3">
      <c r="A895" s="6" t="s">
        <v>5496</v>
      </c>
      <c r="B895" s="7" t="s">
        <v>5532</v>
      </c>
      <c r="C895" s="6" t="s">
        <v>5533</v>
      </c>
      <c r="D895" s="7" t="s">
        <v>4419</v>
      </c>
      <c r="E895" s="6" t="s">
        <v>6179</v>
      </c>
      <c r="F895" s="42">
        <v>10</v>
      </c>
      <c r="G895" s="42">
        <v>2</v>
      </c>
      <c r="H895" s="43">
        <v>20</v>
      </c>
    </row>
    <row r="896" spans="1:8" ht="19.95" customHeight="1" x14ac:dyDescent="0.3">
      <c r="A896" s="2" t="s">
        <v>5496</v>
      </c>
      <c r="B896" s="3" t="s">
        <v>5534</v>
      </c>
      <c r="C896" s="2" t="s">
        <v>5535</v>
      </c>
      <c r="D896" s="3" t="s">
        <v>4419</v>
      </c>
      <c r="E896" s="2" t="s">
        <v>6179</v>
      </c>
      <c r="F896" s="40">
        <v>10</v>
      </c>
      <c r="G896" s="40">
        <v>2</v>
      </c>
      <c r="H896" s="41">
        <v>20</v>
      </c>
    </row>
    <row r="897" spans="1:8" ht="19.95" customHeight="1" x14ac:dyDescent="0.3">
      <c r="A897" s="6" t="s">
        <v>5496</v>
      </c>
      <c r="B897" s="7" t="s">
        <v>5536</v>
      </c>
      <c r="C897" s="6" t="s">
        <v>5537</v>
      </c>
      <c r="D897" s="7" t="s">
        <v>4419</v>
      </c>
      <c r="E897" s="6" t="s">
        <v>6179</v>
      </c>
      <c r="F897" s="42">
        <v>10</v>
      </c>
      <c r="G897" s="42">
        <v>2</v>
      </c>
      <c r="H897" s="43">
        <v>20</v>
      </c>
    </row>
    <row r="898" spans="1:8" ht="19.95" customHeight="1" x14ac:dyDescent="0.3">
      <c r="A898" s="2" t="s">
        <v>5496</v>
      </c>
      <c r="B898" s="3" t="s">
        <v>5538</v>
      </c>
      <c r="C898" s="2" t="s">
        <v>5539</v>
      </c>
      <c r="D898" s="3" t="s">
        <v>4419</v>
      </c>
      <c r="E898" s="2" t="s">
        <v>6179</v>
      </c>
      <c r="F898" s="40">
        <v>10</v>
      </c>
      <c r="G898" s="40">
        <v>2</v>
      </c>
      <c r="H898" s="41">
        <v>20</v>
      </c>
    </row>
    <row r="899" spans="1:8" ht="19.95" customHeight="1" x14ac:dyDescent="0.3">
      <c r="A899" s="6" t="s">
        <v>5496</v>
      </c>
      <c r="B899" s="7" t="s">
        <v>5540</v>
      </c>
      <c r="C899" s="6" t="s">
        <v>5541</v>
      </c>
      <c r="D899" s="7" t="s">
        <v>4419</v>
      </c>
      <c r="E899" s="6" t="s">
        <v>6180</v>
      </c>
      <c r="F899" s="42">
        <v>10</v>
      </c>
      <c r="G899" s="42">
        <v>2</v>
      </c>
      <c r="H899" s="43">
        <v>20</v>
      </c>
    </row>
    <row r="900" spans="1:8" ht="19.95" customHeight="1" x14ac:dyDescent="0.3">
      <c r="A900" s="2" t="s">
        <v>5496</v>
      </c>
      <c r="B900" s="3" t="s">
        <v>5542</v>
      </c>
      <c r="C900" s="2" t="s">
        <v>5543</v>
      </c>
      <c r="D900" s="3" t="s">
        <v>5544</v>
      </c>
      <c r="E900" s="2" t="s">
        <v>6195</v>
      </c>
      <c r="F900" s="40">
        <v>30</v>
      </c>
      <c r="G900" s="40">
        <v>2</v>
      </c>
      <c r="H900" s="41">
        <v>60</v>
      </c>
    </row>
    <row r="901" spans="1:8" ht="19.95" customHeight="1" x14ac:dyDescent="0.3">
      <c r="A901" s="6" t="s">
        <v>5496</v>
      </c>
      <c r="B901" s="7" t="s">
        <v>5542</v>
      </c>
      <c r="C901" s="6" t="s">
        <v>5543</v>
      </c>
      <c r="D901" s="7" t="s">
        <v>5544</v>
      </c>
      <c r="E901" s="6" t="s">
        <v>6196</v>
      </c>
      <c r="F901" s="42">
        <v>20</v>
      </c>
      <c r="G901" s="42">
        <v>2</v>
      </c>
      <c r="H901" s="43">
        <v>40</v>
      </c>
    </row>
    <row r="902" spans="1:8" ht="19.95" customHeight="1" x14ac:dyDescent="0.3">
      <c r="A902" s="2" t="s">
        <v>5496</v>
      </c>
      <c r="B902" s="3" t="s">
        <v>5542</v>
      </c>
      <c r="C902" s="2" t="s">
        <v>5543</v>
      </c>
      <c r="D902" s="3" t="s">
        <v>5544</v>
      </c>
      <c r="E902" s="2" t="s">
        <v>6197</v>
      </c>
      <c r="F902" s="40">
        <v>7.5</v>
      </c>
      <c r="G902" s="40">
        <v>2</v>
      </c>
      <c r="H902" s="41">
        <v>15</v>
      </c>
    </row>
    <row r="903" spans="1:8" ht="19.95" customHeight="1" x14ac:dyDescent="0.3">
      <c r="A903" s="6" t="s">
        <v>5496</v>
      </c>
      <c r="B903" s="7" t="s">
        <v>5545</v>
      </c>
      <c r="C903" s="6" t="s">
        <v>5546</v>
      </c>
      <c r="D903" s="7" t="s">
        <v>4429</v>
      </c>
      <c r="E903" s="6" t="s">
        <v>4270</v>
      </c>
      <c r="F903" s="42">
        <v>19.760000000000002</v>
      </c>
      <c r="G903" s="42">
        <v>2</v>
      </c>
      <c r="H903" s="43">
        <v>39.520000000000003</v>
      </c>
    </row>
    <row r="904" spans="1:8" ht="19.95" customHeight="1" x14ac:dyDescent="0.3">
      <c r="A904" s="2" t="s">
        <v>5496</v>
      </c>
      <c r="B904" s="3" t="s">
        <v>5547</v>
      </c>
      <c r="C904" s="2" t="s">
        <v>5548</v>
      </c>
      <c r="D904" s="3" t="s">
        <v>4429</v>
      </c>
      <c r="E904" s="2" t="s">
        <v>4270</v>
      </c>
      <c r="F904" s="40">
        <v>19.760000000000002</v>
      </c>
      <c r="G904" s="40">
        <v>2</v>
      </c>
      <c r="H904" s="41">
        <v>39.520000000000003</v>
      </c>
    </row>
    <row r="905" spans="1:8" ht="19.95" customHeight="1" x14ac:dyDescent="0.3">
      <c r="A905" s="6" t="s">
        <v>5496</v>
      </c>
      <c r="B905" s="7" t="s">
        <v>5549</v>
      </c>
      <c r="C905" s="6" t="s">
        <v>5550</v>
      </c>
      <c r="D905" s="7" t="s">
        <v>4430</v>
      </c>
      <c r="E905" s="6" t="s">
        <v>6198</v>
      </c>
      <c r="F905" s="42">
        <v>125.58</v>
      </c>
      <c r="G905" s="42">
        <v>2</v>
      </c>
      <c r="H905" s="43">
        <v>251.16</v>
      </c>
    </row>
    <row r="906" spans="1:8" ht="19.95" customHeight="1" x14ac:dyDescent="0.3">
      <c r="A906" s="2" t="s">
        <v>5496</v>
      </c>
      <c r="B906" s="3" t="s">
        <v>5551</v>
      </c>
      <c r="C906" s="2" t="s">
        <v>5552</v>
      </c>
      <c r="D906" s="3" t="s">
        <v>4430</v>
      </c>
      <c r="E906" s="2" t="s">
        <v>6198</v>
      </c>
      <c r="F906" s="40">
        <v>125.58</v>
      </c>
      <c r="G906" s="40">
        <v>2</v>
      </c>
      <c r="H906" s="41">
        <v>251.16</v>
      </c>
    </row>
    <row r="907" spans="1:8" ht="19.95" customHeight="1" x14ac:dyDescent="0.3">
      <c r="A907" s="6" t="s">
        <v>5496</v>
      </c>
      <c r="B907" s="7" t="s">
        <v>5553</v>
      </c>
      <c r="C907" s="6" t="s">
        <v>5554</v>
      </c>
      <c r="D907" s="7" t="s">
        <v>5506</v>
      </c>
      <c r="E907" s="6" t="s">
        <v>6187</v>
      </c>
      <c r="F907" s="42">
        <v>17.940000000000001</v>
      </c>
      <c r="G907" s="42">
        <v>2</v>
      </c>
      <c r="H907" s="43">
        <v>35.880000000000003</v>
      </c>
    </row>
    <row r="908" spans="1:8" ht="19.95" customHeight="1" x14ac:dyDescent="0.3">
      <c r="A908" s="2" t="s">
        <v>5496</v>
      </c>
      <c r="B908" s="3" t="s">
        <v>5553</v>
      </c>
      <c r="C908" s="2" t="s">
        <v>5554</v>
      </c>
      <c r="D908" s="3" t="s">
        <v>5506</v>
      </c>
      <c r="E908" s="2" t="s">
        <v>6152</v>
      </c>
      <c r="F908" s="40">
        <v>5.33</v>
      </c>
      <c r="G908" s="40">
        <v>2</v>
      </c>
      <c r="H908" s="41">
        <v>10.66</v>
      </c>
    </row>
    <row r="909" spans="1:8" ht="19.95" customHeight="1" x14ac:dyDescent="0.3">
      <c r="A909" s="6" t="s">
        <v>5496</v>
      </c>
      <c r="B909" s="7" t="s">
        <v>5553</v>
      </c>
      <c r="C909" s="6" t="s">
        <v>5554</v>
      </c>
      <c r="D909" s="7" t="s">
        <v>5506</v>
      </c>
      <c r="E909" s="6" t="s">
        <v>4270</v>
      </c>
      <c r="F909" s="42">
        <v>8.9700000000000006</v>
      </c>
      <c r="G909" s="42">
        <v>2</v>
      </c>
      <c r="H909" s="43">
        <v>17.940000000000001</v>
      </c>
    </row>
    <row r="910" spans="1:8" ht="19.95" customHeight="1" x14ac:dyDescent="0.3">
      <c r="A910" s="2" t="s">
        <v>5771</v>
      </c>
      <c r="B910" s="3" t="s">
        <v>5795</v>
      </c>
      <c r="C910" s="2" t="s">
        <v>5796</v>
      </c>
      <c r="D910" s="3" t="s">
        <v>4416</v>
      </c>
      <c r="E910" s="2" t="s">
        <v>4270</v>
      </c>
      <c r="F910" s="40">
        <v>40.43</v>
      </c>
      <c r="G910" s="40">
        <v>2</v>
      </c>
      <c r="H910" s="41">
        <v>80.86</v>
      </c>
    </row>
    <row r="911" spans="1:8" ht="19.95" customHeight="1" x14ac:dyDescent="0.3">
      <c r="A911" s="6" t="s">
        <v>5771</v>
      </c>
      <c r="B911" s="7" t="s">
        <v>5860</v>
      </c>
      <c r="C911" s="6" t="s">
        <v>5861</v>
      </c>
      <c r="D911" s="7" t="s">
        <v>4416</v>
      </c>
      <c r="E911" s="6" t="s">
        <v>4270</v>
      </c>
      <c r="F911" s="42">
        <v>53.82</v>
      </c>
      <c r="G911" s="42">
        <v>2</v>
      </c>
      <c r="H911" s="43">
        <v>107.64</v>
      </c>
    </row>
    <row r="912" spans="1:8" ht="19.95" customHeight="1" x14ac:dyDescent="0.3">
      <c r="A912" s="2" t="s">
        <v>5771</v>
      </c>
      <c r="B912" s="3" t="s">
        <v>5862</v>
      </c>
      <c r="C912" s="2" t="s">
        <v>5863</v>
      </c>
      <c r="D912" s="3" t="s">
        <v>4416</v>
      </c>
      <c r="E912" s="2" t="s">
        <v>4270</v>
      </c>
      <c r="F912" s="40">
        <v>53.82</v>
      </c>
      <c r="G912" s="40">
        <v>2</v>
      </c>
      <c r="H912" s="41">
        <v>107.64</v>
      </c>
    </row>
    <row r="913" spans="1:8" ht="19.95" customHeight="1" x14ac:dyDescent="0.3">
      <c r="A913" s="6" t="s">
        <v>5771</v>
      </c>
      <c r="B913" s="7" t="s">
        <v>4605</v>
      </c>
      <c r="C913" s="6" t="s">
        <v>4835</v>
      </c>
      <c r="D913" s="7" t="s">
        <v>4368</v>
      </c>
      <c r="E913" s="6" t="s">
        <v>4270</v>
      </c>
      <c r="F913" s="42">
        <v>19.760000000000002</v>
      </c>
      <c r="G913" s="42">
        <v>2</v>
      </c>
      <c r="H913" s="43">
        <v>39.520000000000003</v>
      </c>
    </row>
    <row r="914" spans="1:8" ht="19.95" customHeight="1" x14ac:dyDescent="0.3">
      <c r="A914" s="2" t="s">
        <v>5771</v>
      </c>
      <c r="B914" s="3" t="s">
        <v>4623</v>
      </c>
      <c r="C914" s="2" t="s">
        <v>5859</v>
      </c>
      <c r="D914" s="3" t="s">
        <v>4368</v>
      </c>
      <c r="E914" s="2" t="s">
        <v>4270</v>
      </c>
      <c r="F914" s="40">
        <v>19.760000000000002</v>
      </c>
      <c r="G914" s="40">
        <v>2</v>
      </c>
      <c r="H914" s="41">
        <v>39.520000000000003</v>
      </c>
    </row>
    <row r="915" spans="1:8" ht="19.95" customHeight="1" x14ac:dyDescent="0.3">
      <c r="A915" s="6" t="s">
        <v>5771</v>
      </c>
      <c r="B915" s="7" t="s">
        <v>5842</v>
      </c>
      <c r="C915" s="6" t="s">
        <v>5843</v>
      </c>
      <c r="D915" s="7" t="s">
        <v>4416</v>
      </c>
      <c r="E915" s="6" t="s">
        <v>6199</v>
      </c>
      <c r="F915" s="42">
        <v>13.52</v>
      </c>
      <c r="G915" s="42">
        <v>2</v>
      </c>
      <c r="H915" s="43">
        <v>27.04</v>
      </c>
    </row>
    <row r="916" spans="1:8" ht="19.95" customHeight="1" x14ac:dyDescent="0.3">
      <c r="A916" s="2" t="s">
        <v>5771</v>
      </c>
      <c r="B916" s="3" t="s">
        <v>5844</v>
      </c>
      <c r="C916" s="2" t="s">
        <v>5845</v>
      </c>
      <c r="D916" s="3" t="s">
        <v>4416</v>
      </c>
      <c r="E916" s="2" t="s">
        <v>4270</v>
      </c>
      <c r="F916" s="40">
        <v>161.46</v>
      </c>
      <c r="G916" s="40">
        <v>2</v>
      </c>
      <c r="H916" s="41">
        <v>322.92</v>
      </c>
    </row>
    <row r="917" spans="1:8" ht="19.95" customHeight="1" x14ac:dyDescent="0.3">
      <c r="A917" s="6" t="s">
        <v>5771</v>
      </c>
      <c r="B917" s="7" t="s">
        <v>5846</v>
      </c>
      <c r="C917" s="6" t="s">
        <v>5847</v>
      </c>
      <c r="D917" s="7" t="s">
        <v>4416</v>
      </c>
      <c r="E917" s="6" t="s">
        <v>4270</v>
      </c>
      <c r="F917" s="42">
        <v>161.46</v>
      </c>
      <c r="G917" s="42">
        <v>2</v>
      </c>
      <c r="H917" s="43">
        <v>322.92</v>
      </c>
    </row>
    <row r="918" spans="1:8" ht="19.95" customHeight="1" x14ac:dyDescent="0.3">
      <c r="A918" s="2" t="s">
        <v>5771</v>
      </c>
      <c r="B918" s="3" t="s">
        <v>5844</v>
      </c>
      <c r="C918" s="2" t="s">
        <v>6200</v>
      </c>
      <c r="D918" s="3" t="s">
        <v>4368</v>
      </c>
      <c r="E918" s="2" t="s">
        <v>6201</v>
      </c>
      <c r="F918" s="40">
        <v>-7.38</v>
      </c>
      <c r="G918" s="40">
        <v>2</v>
      </c>
      <c r="H918" s="41">
        <v>-14.76</v>
      </c>
    </row>
    <row r="919" spans="1:8" ht="19.95" customHeight="1" x14ac:dyDescent="0.3">
      <c r="A919" s="6" t="s">
        <v>5771</v>
      </c>
      <c r="B919" s="7" t="s">
        <v>5772</v>
      </c>
      <c r="C919" s="6" t="s">
        <v>5773</v>
      </c>
      <c r="D919" s="7" t="s">
        <v>4416</v>
      </c>
      <c r="E919" s="6" t="s">
        <v>4270</v>
      </c>
      <c r="F919" s="42">
        <v>134.55000000000001</v>
      </c>
      <c r="G919" s="42">
        <v>2</v>
      </c>
      <c r="H919" s="43">
        <v>269.10000000000002</v>
      </c>
    </row>
    <row r="920" spans="1:8" ht="19.95" customHeight="1" x14ac:dyDescent="0.3">
      <c r="A920" s="2" t="s">
        <v>5771</v>
      </c>
      <c r="B920" s="3" t="s">
        <v>5774</v>
      </c>
      <c r="C920" s="2" t="s">
        <v>5775</v>
      </c>
      <c r="D920" s="3" t="s">
        <v>4416</v>
      </c>
      <c r="E920" s="2" t="s">
        <v>4270</v>
      </c>
      <c r="F920" s="40">
        <v>161.46</v>
      </c>
      <c r="G920" s="40">
        <v>2</v>
      </c>
      <c r="H920" s="41">
        <v>322.92</v>
      </c>
    </row>
    <row r="921" spans="1:8" ht="19.95" customHeight="1" x14ac:dyDescent="0.3">
      <c r="A921" s="6" t="s">
        <v>5771</v>
      </c>
      <c r="B921" s="7" t="s">
        <v>5776</v>
      </c>
      <c r="C921" s="6" t="s">
        <v>5777</v>
      </c>
      <c r="D921" s="7" t="s">
        <v>4416</v>
      </c>
      <c r="E921" s="6" t="s">
        <v>4270</v>
      </c>
      <c r="F921" s="42">
        <v>134.55000000000001</v>
      </c>
      <c r="G921" s="42">
        <v>2</v>
      </c>
      <c r="H921" s="43">
        <v>269.10000000000002</v>
      </c>
    </row>
    <row r="922" spans="1:8" ht="19.95" customHeight="1" x14ac:dyDescent="0.3">
      <c r="A922" s="2" t="s">
        <v>5771</v>
      </c>
      <c r="B922" s="3" t="s">
        <v>5778</v>
      </c>
      <c r="C922" s="2" t="s">
        <v>5779</v>
      </c>
      <c r="D922" s="3" t="s">
        <v>4416</v>
      </c>
      <c r="E922" s="2" t="s">
        <v>4270</v>
      </c>
      <c r="F922" s="40">
        <v>156.13</v>
      </c>
      <c r="G922" s="40">
        <v>2</v>
      </c>
      <c r="H922" s="41">
        <v>312.26</v>
      </c>
    </row>
    <row r="923" spans="1:8" ht="19.95" customHeight="1" x14ac:dyDescent="0.3">
      <c r="A923" s="6" t="s">
        <v>5771</v>
      </c>
      <c r="B923" s="7" t="s">
        <v>5780</v>
      </c>
      <c r="C923" s="6" t="s">
        <v>5781</v>
      </c>
      <c r="D923" s="7" t="s">
        <v>4416</v>
      </c>
      <c r="E923" s="6" t="s">
        <v>4270</v>
      </c>
      <c r="F923" s="42">
        <v>134.55000000000001</v>
      </c>
      <c r="G923" s="42">
        <v>2</v>
      </c>
      <c r="H923" s="43">
        <v>269.10000000000002</v>
      </c>
    </row>
    <row r="924" spans="1:8" ht="19.95" customHeight="1" x14ac:dyDescent="0.3">
      <c r="A924" s="2" t="s">
        <v>5771</v>
      </c>
      <c r="B924" s="3" t="s">
        <v>5782</v>
      </c>
      <c r="C924" s="2" t="s">
        <v>5783</v>
      </c>
      <c r="D924" s="3" t="s">
        <v>4416</v>
      </c>
      <c r="E924" s="2" t="s">
        <v>4270</v>
      </c>
      <c r="F924" s="40">
        <v>134.55000000000001</v>
      </c>
      <c r="G924" s="40">
        <v>2</v>
      </c>
      <c r="H924" s="41">
        <v>269.10000000000002</v>
      </c>
    </row>
    <row r="925" spans="1:8" ht="19.95" customHeight="1" x14ac:dyDescent="0.3">
      <c r="A925" s="6" t="s">
        <v>5771</v>
      </c>
      <c r="B925" s="7" t="s">
        <v>4605</v>
      </c>
      <c r="C925" s="6" t="s">
        <v>4835</v>
      </c>
      <c r="D925" s="7" t="s">
        <v>4368</v>
      </c>
      <c r="E925" s="6" t="s">
        <v>4270</v>
      </c>
      <c r="F925" s="42">
        <v>201.89</v>
      </c>
      <c r="G925" s="42">
        <v>2</v>
      </c>
      <c r="H925" s="43">
        <v>403.78</v>
      </c>
    </row>
    <row r="926" spans="1:8" ht="19.95" customHeight="1" x14ac:dyDescent="0.3">
      <c r="A926" s="2" t="s">
        <v>5771</v>
      </c>
      <c r="B926" s="3" t="s">
        <v>4605</v>
      </c>
      <c r="C926" s="2" t="s">
        <v>4835</v>
      </c>
      <c r="D926" s="3" t="s">
        <v>4368</v>
      </c>
      <c r="E926" s="2" t="s">
        <v>4270</v>
      </c>
      <c r="F926" s="40">
        <v>201.89</v>
      </c>
      <c r="G926" s="40">
        <v>2</v>
      </c>
      <c r="H926" s="41">
        <v>403.78</v>
      </c>
    </row>
    <row r="927" spans="1:8" ht="19.95" customHeight="1" x14ac:dyDescent="0.3">
      <c r="A927" s="6" t="s">
        <v>5771</v>
      </c>
      <c r="B927" s="7" t="s">
        <v>4605</v>
      </c>
      <c r="C927" s="6" t="s">
        <v>4835</v>
      </c>
      <c r="D927" s="7" t="s">
        <v>4416</v>
      </c>
      <c r="E927" s="6" t="s">
        <v>6202</v>
      </c>
      <c r="F927" s="42">
        <v>-3.64</v>
      </c>
      <c r="G927" s="42">
        <v>2</v>
      </c>
      <c r="H927" s="43">
        <v>-7.28</v>
      </c>
    </row>
    <row r="928" spans="1:8" ht="19.95" customHeight="1" x14ac:dyDescent="0.3">
      <c r="A928" s="2" t="s">
        <v>5771</v>
      </c>
      <c r="B928" s="3" t="s">
        <v>5784</v>
      </c>
      <c r="C928" s="2" t="s">
        <v>5785</v>
      </c>
      <c r="D928" s="3" t="s">
        <v>5786</v>
      </c>
      <c r="E928" s="2" t="s">
        <v>4270</v>
      </c>
      <c r="F928" s="40">
        <v>13.52</v>
      </c>
      <c r="G928" s="40">
        <v>2</v>
      </c>
      <c r="H928" s="41">
        <v>27.04</v>
      </c>
    </row>
    <row r="929" spans="1:8" ht="19.95" customHeight="1" x14ac:dyDescent="0.3">
      <c r="A929" s="6" t="s">
        <v>5771</v>
      </c>
      <c r="B929" s="7" t="s">
        <v>5840</v>
      </c>
      <c r="C929" s="6" t="s">
        <v>5841</v>
      </c>
      <c r="D929" s="7" t="s">
        <v>4368</v>
      </c>
      <c r="E929" s="6" t="s">
        <v>6203</v>
      </c>
      <c r="F929" s="42">
        <v>134.55000000000001</v>
      </c>
      <c r="G929" s="42">
        <v>2</v>
      </c>
      <c r="H929" s="43">
        <v>269.10000000000002</v>
      </c>
    </row>
    <row r="930" spans="1:8" ht="19.95" customHeight="1" x14ac:dyDescent="0.3">
      <c r="A930" s="2" t="s">
        <v>5771</v>
      </c>
      <c r="B930" s="3" t="s">
        <v>4607</v>
      </c>
      <c r="C930" s="2" t="s">
        <v>4838</v>
      </c>
      <c r="D930" s="3" t="s">
        <v>4368</v>
      </c>
      <c r="E930" s="2" t="s">
        <v>6204</v>
      </c>
      <c r="F930" s="40">
        <v>161.97999999999999</v>
      </c>
      <c r="G930" s="40">
        <v>2</v>
      </c>
      <c r="H930" s="41">
        <v>323.95999999999998</v>
      </c>
    </row>
    <row r="931" spans="1:8" ht="19.95" customHeight="1" x14ac:dyDescent="0.3">
      <c r="A931" s="6" t="s">
        <v>5771</v>
      </c>
      <c r="B931" s="7" t="s">
        <v>4607</v>
      </c>
      <c r="C931" s="6" t="s">
        <v>4838</v>
      </c>
      <c r="D931" s="7" t="s">
        <v>4368</v>
      </c>
      <c r="E931" s="6" t="s">
        <v>6204</v>
      </c>
      <c r="F931" s="42">
        <v>161.97999999999999</v>
      </c>
      <c r="G931" s="42">
        <v>2</v>
      </c>
      <c r="H931" s="43">
        <v>323.95999999999998</v>
      </c>
    </row>
    <row r="932" spans="1:8" ht="19.95" customHeight="1" x14ac:dyDescent="0.3">
      <c r="A932" s="2" t="s">
        <v>5771</v>
      </c>
      <c r="B932" s="3" t="s">
        <v>4607</v>
      </c>
      <c r="C932" s="2" t="s">
        <v>4838</v>
      </c>
      <c r="D932" s="3" t="s">
        <v>4368</v>
      </c>
      <c r="E932" s="2" t="s">
        <v>6204</v>
      </c>
      <c r="F932" s="40">
        <v>161.97999999999999</v>
      </c>
      <c r="G932" s="40">
        <v>2</v>
      </c>
      <c r="H932" s="41">
        <v>323.95999999999998</v>
      </c>
    </row>
    <row r="933" spans="1:8" ht="19.95" customHeight="1" x14ac:dyDescent="0.3">
      <c r="A933" s="6" t="s">
        <v>5771</v>
      </c>
      <c r="B933" s="7" t="s">
        <v>4607</v>
      </c>
      <c r="C933" s="6" t="s">
        <v>4838</v>
      </c>
      <c r="D933" s="7" t="s">
        <v>4368</v>
      </c>
      <c r="E933" s="6" t="s">
        <v>6204</v>
      </c>
      <c r="F933" s="42">
        <v>161.97999999999999</v>
      </c>
      <c r="G933" s="42">
        <v>2</v>
      </c>
      <c r="H933" s="43">
        <v>323.95999999999998</v>
      </c>
    </row>
    <row r="934" spans="1:8" ht="19.95" customHeight="1" x14ac:dyDescent="0.3">
      <c r="A934" s="2" t="s">
        <v>5771</v>
      </c>
      <c r="B934" s="3" t="s">
        <v>4605</v>
      </c>
      <c r="C934" s="2" t="s">
        <v>4835</v>
      </c>
      <c r="D934" s="3" t="s">
        <v>4368</v>
      </c>
      <c r="E934" s="2" t="s">
        <v>6205</v>
      </c>
      <c r="F934" s="40">
        <v>161.46</v>
      </c>
      <c r="G934" s="40">
        <v>2</v>
      </c>
      <c r="H934" s="41">
        <v>322.92</v>
      </c>
    </row>
    <row r="935" spans="1:8" ht="19.95" customHeight="1" x14ac:dyDescent="0.3">
      <c r="A935" s="6" t="s">
        <v>5771</v>
      </c>
      <c r="B935" s="7" t="s">
        <v>4605</v>
      </c>
      <c r="C935" s="6" t="s">
        <v>4835</v>
      </c>
      <c r="D935" s="7" t="s">
        <v>4368</v>
      </c>
      <c r="E935" s="6" t="s">
        <v>6205</v>
      </c>
      <c r="F935" s="42">
        <v>161.46</v>
      </c>
      <c r="G935" s="42">
        <v>2</v>
      </c>
      <c r="H935" s="43">
        <v>322.92</v>
      </c>
    </row>
    <row r="936" spans="1:8" ht="19.95" customHeight="1" x14ac:dyDescent="0.3">
      <c r="A936" s="2" t="s">
        <v>5771</v>
      </c>
      <c r="B936" s="3" t="s">
        <v>4605</v>
      </c>
      <c r="C936" s="2" t="s">
        <v>4835</v>
      </c>
      <c r="D936" s="3" t="s">
        <v>4368</v>
      </c>
      <c r="E936" s="2" t="s">
        <v>6205</v>
      </c>
      <c r="F936" s="40">
        <v>161.46</v>
      </c>
      <c r="G936" s="40">
        <v>2</v>
      </c>
      <c r="H936" s="41">
        <v>322.92</v>
      </c>
    </row>
    <row r="937" spans="1:8" ht="19.95" customHeight="1" x14ac:dyDescent="0.3">
      <c r="A937" s="6" t="s">
        <v>5771</v>
      </c>
      <c r="B937" s="7" t="s">
        <v>4605</v>
      </c>
      <c r="C937" s="6" t="s">
        <v>4835</v>
      </c>
      <c r="D937" s="7" t="s">
        <v>4368</v>
      </c>
      <c r="E937" s="6" t="s">
        <v>6205</v>
      </c>
      <c r="F937" s="42">
        <v>161.46</v>
      </c>
      <c r="G937" s="42">
        <v>2</v>
      </c>
      <c r="H937" s="43">
        <v>322.92</v>
      </c>
    </row>
    <row r="938" spans="1:8" ht="19.95" customHeight="1" x14ac:dyDescent="0.3">
      <c r="A938" s="2" t="s">
        <v>5771</v>
      </c>
      <c r="B938" s="3" t="s">
        <v>4607</v>
      </c>
      <c r="C938" s="2" t="s">
        <v>4838</v>
      </c>
      <c r="D938" s="3" t="s">
        <v>4368</v>
      </c>
      <c r="E938" s="2" t="s">
        <v>6204</v>
      </c>
      <c r="F938" s="40">
        <v>161.97999999999999</v>
      </c>
      <c r="G938" s="40">
        <v>2</v>
      </c>
      <c r="H938" s="41">
        <v>323.95999999999998</v>
      </c>
    </row>
    <row r="939" spans="1:8" ht="19.95" customHeight="1" x14ac:dyDescent="0.3">
      <c r="A939" s="6" t="s">
        <v>5771</v>
      </c>
      <c r="B939" s="7" t="s">
        <v>4607</v>
      </c>
      <c r="C939" s="6" t="s">
        <v>4838</v>
      </c>
      <c r="D939" s="7" t="s">
        <v>4368</v>
      </c>
      <c r="E939" s="6" t="s">
        <v>6206</v>
      </c>
      <c r="F939" s="42">
        <v>0</v>
      </c>
      <c r="G939" s="42">
        <v>2</v>
      </c>
      <c r="H939" s="43">
        <v>0</v>
      </c>
    </row>
    <row r="940" spans="1:8" ht="19.95" customHeight="1" x14ac:dyDescent="0.3">
      <c r="A940" s="2" t="s">
        <v>5771</v>
      </c>
      <c r="B940" s="3" t="s">
        <v>4607</v>
      </c>
      <c r="C940" s="2" t="s">
        <v>4838</v>
      </c>
      <c r="D940" s="3" t="s">
        <v>4368</v>
      </c>
      <c r="E940" s="2" t="s">
        <v>6204</v>
      </c>
      <c r="F940" s="40">
        <v>161.97999999999999</v>
      </c>
      <c r="G940" s="40">
        <v>2</v>
      </c>
      <c r="H940" s="41">
        <v>323.95999999999998</v>
      </c>
    </row>
    <row r="941" spans="1:8" ht="19.95" customHeight="1" x14ac:dyDescent="0.3">
      <c r="A941" s="6" t="s">
        <v>5771</v>
      </c>
      <c r="B941" s="7" t="s">
        <v>4607</v>
      </c>
      <c r="C941" s="6" t="s">
        <v>4838</v>
      </c>
      <c r="D941" s="7" t="s">
        <v>4368</v>
      </c>
      <c r="E941" s="6" t="s">
        <v>6063</v>
      </c>
      <c r="F941" s="42">
        <v>0</v>
      </c>
      <c r="G941" s="42">
        <v>2</v>
      </c>
      <c r="H941" s="43">
        <v>0</v>
      </c>
    </row>
    <row r="942" spans="1:8" ht="19.95" customHeight="1" x14ac:dyDescent="0.3">
      <c r="A942" s="2" t="s">
        <v>5771</v>
      </c>
      <c r="B942" s="3" t="s">
        <v>4607</v>
      </c>
      <c r="C942" s="2" t="s">
        <v>4838</v>
      </c>
      <c r="D942" s="3" t="s">
        <v>4368</v>
      </c>
      <c r="E942" s="2" t="s">
        <v>6204</v>
      </c>
      <c r="F942" s="40">
        <v>161.97999999999999</v>
      </c>
      <c r="G942" s="40">
        <v>2</v>
      </c>
      <c r="H942" s="41">
        <v>323.95999999999998</v>
      </c>
    </row>
    <row r="943" spans="1:8" ht="19.95" customHeight="1" x14ac:dyDescent="0.3">
      <c r="A943" s="6" t="s">
        <v>5771</v>
      </c>
      <c r="B943" s="7" t="s">
        <v>4607</v>
      </c>
      <c r="C943" s="6" t="s">
        <v>4838</v>
      </c>
      <c r="D943" s="7" t="s">
        <v>4368</v>
      </c>
      <c r="E943" s="6" t="s">
        <v>6063</v>
      </c>
      <c r="F943" s="42">
        <v>0</v>
      </c>
      <c r="G943" s="42">
        <v>2</v>
      </c>
      <c r="H943" s="43">
        <v>0</v>
      </c>
    </row>
    <row r="944" spans="1:8" ht="19.95" customHeight="1" x14ac:dyDescent="0.3">
      <c r="A944" s="2" t="s">
        <v>5771</v>
      </c>
      <c r="B944" s="3" t="s">
        <v>4607</v>
      </c>
      <c r="C944" s="2" t="s">
        <v>4838</v>
      </c>
      <c r="D944" s="3" t="s">
        <v>4368</v>
      </c>
      <c r="E944" s="2" t="s">
        <v>6204</v>
      </c>
      <c r="F944" s="40">
        <v>162.59</v>
      </c>
      <c r="G944" s="40">
        <v>2</v>
      </c>
      <c r="H944" s="41">
        <v>325.18</v>
      </c>
    </row>
    <row r="945" spans="1:8" ht="19.95" customHeight="1" x14ac:dyDescent="0.3">
      <c r="A945" s="6" t="s">
        <v>5771</v>
      </c>
      <c r="B945" s="7" t="s">
        <v>4607</v>
      </c>
      <c r="C945" s="6" t="s">
        <v>4838</v>
      </c>
      <c r="D945" s="7" t="s">
        <v>4368</v>
      </c>
      <c r="E945" s="6" t="s">
        <v>6207</v>
      </c>
      <c r="F945" s="42">
        <v>40.43</v>
      </c>
      <c r="G945" s="42">
        <v>2</v>
      </c>
      <c r="H945" s="43">
        <v>80.86</v>
      </c>
    </row>
    <row r="946" spans="1:8" ht="19.95" customHeight="1" x14ac:dyDescent="0.3">
      <c r="A946" s="2" t="s">
        <v>5771</v>
      </c>
      <c r="B946" s="3" t="s">
        <v>4607</v>
      </c>
      <c r="C946" s="2" t="s">
        <v>4838</v>
      </c>
      <c r="D946" s="3" t="s">
        <v>4368</v>
      </c>
      <c r="E946" s="2" t="s">
        <v>6208</v>
      </c>
      <c r="F946" s="40">
        <v>26.91</v>
      </c>
      <c r="G946" s="40">
        <v>2</v>
      </c>
      <c r="H946" s="41">
        <v>53.82</v>
      </c>
    </row>
    <row r="947" spans="1:8" ht="19.95" customHeight="1" x14ac:dyDescent="0.3">
      <c r="A947" s="6" t="s">
        <v>5771</v>
      </c>
      <c r="B947" s="7" t="s">
        <v>4607</v>
      </c>
      <c r="C947" s="6" t="s">
        <v>4838</v>
      </c>
      <c r="D947" s="7" t="s">
        <v>4368</v>
      </c>
      <c r="E947" s="6" t="s">
        <v>6209</v>
      </c>
      <c r="F947" s="42">
        <v>40.43</v>
      </c>
      <c r="G947" s="42">
        <v>2</v>
      </c>
      <c r="H947" s="43">
        <v>80.86</v>
      </c>
    </row>
    <row r="948" spans="1:8" ht="19.95" customHeight="1" x14ac:dyDescent="0.3">
      <c r="A948" s="2" t="s">
        <v>5771</v>
      </c>
      <c r="B948" s="3" t="s">
        <v>4607</v>
      </c>
      <c r="C948" s="2" t="s">
        <v>4838</v>
      </c>
      <c r="D948" s="3" t="s">
        <v>4368</v>
      </c>
      <c r="E948" s="2" t="s">
        <v>6208</v>
      </c>
      <c r="F948" s="40">
        <v>26.91</v>
      </c>
      <c r="G948" s="40">
        <v>2</v>
      </c>
      <c r="H948" s="41">
        <v>53.82</v>
      </c>
    </row>
    <row r="949" spans="1:8" ht="19.95" customHeight="1" x14ac:dyDescent="0.3">
      <c r="A949" s="6" t="s">
        <v>5771</v>
      </c>
      <c r="B949" s="7" t="s">
        <v>4605</v>
      </c>
      <c r="C949" s="6" t="s">
        <v>4835</v>
      </c>
      <c r="D949" s="7" t="s">
        <v>4368</v>
      </c>
      <c r="E949" s="6" t="s">
        <v>5997</v>
      </c>
      <c r="F949" s="42">
        <v>25.35</v>
      </c>
      <c r="G949" s="42">
        <v>2</v>
      </c>
      <c r="H949" s="43">
        <v>50.7</v>
      </c>
    </row>
    <row r="950" spans="1:8" ht="19.95" customHeight="1" x14ac:dyDescent="0.3">
      <c r="A950" s="2" t="s">
        <v>5771</v>
      </c>
      <c r="B950" s="3" t="s">
        <v>4605</v>
      </c>
      <c r="C950" s="2" t="s">
        <v>4835</v>
      </c>
      <c r="D950" s="3" t="s">
        <v>4368</v>
      </c>
      <c r="E950" s="2" t="s">
        <v>5989</v>
      </c>
      <c r="F950" s="40">
        <v>2.08</v>
      </c>
      <c r="G950" s="40">
        <v>2</v>
      </c>
      <c r="H950" s="41">
        <v>4.16</v>
      </c>
    </row>
    <row r="951" spans="1:8" ht="19.95" customHeight="1" x14ac:dyDescent="0.3">
      <c r="A951" s="6" t="s">
        <v>5771</v>
      </c>
      <c r="B951" s="7" t="s">
        <v>4605</v>
      </c>
      <c r="C951" s="6" t="s">
        <v>4835</v>
      </c>
      <c r="D951" s="7" t="s">
        <v>4368</v>
      </c>
      <c r="E951" s="6" t="s">
        <v>6208</v>
      </c>
      <c r="F951" s="42">
        <v>16.899999999999999</v>
      </c>
      <c r="G951" s="42">
        <v>2</v>
      </c>
      <c r="H951" s="43">
        <v>33.799999999999997</v>
      </c>
    </row>
    <row r="952" spans="1:8" ht="19.95" customHeight="1" x14ac:dyDescent="0.3">
      <c r="A952" s="2" t="s">
        <v>5771</v>
      </c>
      <c r="B952" s="3" t="s">
        <v>4607</v>
      </c>
      <c r="C952" s="2" t="s">
        <v>4838</v>
      </c>
      <c r="D952" s="3" t="s">
        <v>4368</v>
      </c>
      <c r="E952" s="2" t="s">
        <v>6210</v>
      </c>
      <c r="F952" s="40">
        <v>134.55000000000001</v>
      </c>
      <c r="G952" s="40">
        <v>2</v>
      </c>
      <c r="H952" s="41">
        <v>269.10000000000002</v>
      </c>
    </row>
    <row r="953" spans="1:8" ht="19.95" customHeight="1" x14ac:dyDescent="0.3">
      <c r="A953" s="6" t="s">
        <v>5771</v>
      </c>
      <c r="B953" s="7" t="s">
        <v>4607</v>
      </c>
      <c r="C953" s="6" t="s">
        <v>4838</v>
      </c>
      <c r="D953" s="7" t="s">
        <v>4368</v>
      </c>
      <c r="E953" s="6" t="s">
        <v>6210</v>
      </c>
      <c r="F953" s="42">
        <v>134.55000000000001</v>
      </c>
      <c r="G953" s="42">
        <v>2</v>
      </c>
      <c r="H953" s="43">
        <v>269.10000000000002</v>
      </c>
    </row>
    <row r="954" spans="1:8" ht="19.95" customHeight="1" x14ac:dyDescent="0.3">
      <c r="A954" s="2" t="s">
        <v>5771</v>
      </c>
      <c r="B954" s="3" t="s">
        <v>4607</v>
      </c>
      <c r="C954" s="2" t="s">
        <v>4838</v>
      </c>
      <c r="D954" s="3" t="s">
        <v>4368</v>
      </c>
      <c r="E954" s="2" t="s">
        <v>6210</v>
      </c>
      <c r="F954" s="40">
        <v>134.55000000000001</v>
      </c>
      <c r="G954" s="40">
        <v>2</v>
      </c>
      <c r="H954" s="41">
        <v>269.10000000000002</v>
      </c>
    </row>
    <row r="955" spans="1:8" ht="19.95" customHeight="1" x14ac:dyDescent="0.3">
      <c r="A955" s="6" t="s">
        <v>5771</v>
      </c>
      <c r="B955" s="7" t="s">
        <v>4607</v>
      </c>
      <c r="C955" s="6" t="s">
        <v>4838</v>
      </c>
      <c r="D955" s="7" t="s">
        <v>4368</v>
      </c>
      <c r="E955" s="6" t="s">
        <v>6210</v>
      </c>
      <c r="F955" s="42">
        <v>134.55000000000001</v>
      </c>
      <c r="G955" s="42">
        <v>2</v>
      </c>
      <c r="H955" s="43">
        <v>269.10000000000002</v>
      </c>
    </row>
    <row r="956" spans="1:8" ht="19.95" customHeight="1" x14ac:dyDescent="0.3">
      <c r="A956" s="2" t="s">
        <v>5771</v>
      </c>
      <c r="B956" s="3" t="s">
        <v>4607</v>
      </c>
      <c r="C956" s="2" t="s">
        <v>4838</v>
      </c>
      <c r="D956" s="3" t="s">
        <v>4368</v>
      </c>
      <c r="E956" s="2" t="s">
        <v>6210</v>
      </c>
      <c r="F956" s="40">
        <v>134.55000000000001</v>
      </c>
      <c r="G956" s="40">
        <v>2</v>
      </c>
      <c r="H956" s="41">
        <v>269.10000000000002</v>
      </c>
    </row>
    <row r="957" spans="1:8" ht="19.95" customHeight="1" x14ac:dyDescent="0.3">
      <c r="A957" s="6" t="s">
        <v>5771</v>
      </c>
      <c r="B957" s="7" t="s">
        <v>4607</v>
      </c>
      <c r="C957" s="6" t="s">
        <v>4838</v>
      </c>
      <c r="D957" s="7" t="s">
        <v>4368</v>
      </c>
      <c r="E957" s="6" t="s">
        <v>6210</v>
      </c>
      <c r="F957" s="42">
        <v>134.55000000000001</v>
      </c>
      <c r="G957" s="42">
        <v>2</v>
      </c>
      <c r="H957" s="43">
        <v>269.10000000000002</v>
      </c>
    </row>
    <row r="958" spans="1:8" ht="19.95" customHeight="1" x14ac:dyDescent="0.3">
      <c r="A958" s="2" t="s">
        <v>5771</v>
      </c>
      <c r="B958" s="3" t="s">
        <v>5791</v>
      </c>
      <c r="C958" s="2" t="s">
        <v>5792</v>
      </c>
      <c r="D958" s="3" t="s">
        <v>4441</v>
      </c>
      <c r="E958" s="2" t="s">
        <v>4270</v>
      </c>
      <c r="F958" s="40">
        <v>53.82</v>
      </c>
      <c r="G958" s="40">
        <v>2</v>
      </c>
      <c r="H958" s="41">
        <v>107.64</v>
      </c>
    </row>
    <row r="959" spans="1:8" ht="19.95" customHeight="1" x14ac:dyDescent="0.3">
      <c r="A959" s="6" t="s">
        <v>5771</v>
      </c>
      <c r="B959" s="7" t="s">
        <v>5793</v>
      </c>
      <c r="C959" s="6" t="s">
        <v>5794</v>
      </c>
      <c r="D959" s="7" t="s">
        <v>4636</v>
      </c>
      <c r="E959" s="6" t="s">
        <v>4270</v>
      </c>
      <c r="F959" s="42">
        <v>26.91</v>
      </c>
      <c r="G959" s="42">
        <v>2</v>
      </c>
      <c r="H959" s="43">
        <v>53.82</v>
      </c>
    </row>
    <row r="960" spans="1:8" ht="19.95" customHeight="1" x14ac:dyDescent="0.3">
      <c r="A960" s="2" t="s">
        <v>5771</v>
      </c>
      <c r="B960" s="3" t="s">
        <v>4607</v>
      </c>
      <c r="C960" s="2" t="s">
        <v>4838</v>
      </c>
      <c r="D960" s="3" t="s">
        <v>4368</v>
      </c>
      <c r="E960" s="2" t="s">
        <v>4270</v>
      </c>
      <c r="F960" s="40">
        <v>208.13</v>
      </c>
      <c r="G960" s="40">
        <v>2</v>
      </c>
      <c r="H960" s="41">
        <v>416.26</v>
      </c>
    </row>
    <row r="961" spans="1:8" ht="19.95" customHeight="1" x14ac:dyDescent="0.3">
      <c r="A961" s="6" t="s">
        <v>5771</v>
      </c>
      <c r="B961" s="7" t="s">
        <v>4605</v>
      </c>
      <c r="C961" s="6" t="s">
        <v>4835</v>
      </c>
      <c r="D961" s="7" t="s">
        <v>4368</v>
      </c>
      <c r="E961" s="6" t="s">
        <v>4270</v>
      </c>
      <c r="F961" s="42">
        <v>174.98</v>
      </c>
      <c r="G961" s="42">
        <v>2</v>
      </c>
      <c r="H961" s="43">
        <v>349.96</v>
      </c>
    </row>
    <row r="962" spans="1:8" ht="19.95" customHeight="1" x14ac:dyDescent="0.3">
      <c r="A962" s="2" t="s">
        <v>5771</v>
      </c>
      <c r="B962" s="3" t="s">
        <v>4575</v>
      </c>
      <c r="C962" s="2" t="s">
        <v>5850</v>
      </c>
      <c r="D962" s="3" t="s">
        <v>4368</v>
      </c>
      <c r="E962" s="2" t="s">
        <v>4270</v>
      </c>
      <c r="F962" s="40">
        <v>10.79</v>
      </c>
      <c r="G962" s="40">
        <v>2</v>
      </c>
      <c r="H962" s="41">
        <v>21.58</v>
      </c>
    </row>
    <row r="963" spans="1:8" ht="19.95" customHeight="1" x14ac:dyDescent="0.3">
      <c r="A963" s="6" t="s">
        <v>5771</v>
      </c>
      <c r="B963" s="7" t="s">
        <v>4575</v>
      </c>
      <c r="C963" s="6" t="s">
        <v>5850</v>
      </c>
      <c r="D963" s="7" t="s">
        <v>4368</v>
      </c>
      <c r="E963" s="6" t="s">
        <v>4270</v>
      </c>
      <c r="F963" s="42">
        <v>10.79</v>
      </c>
      <c r="G963" s="42">
        <v>2</v>
      </c>
      <c r="H963" s="43">
        <v>21.58</v>
      </c>
    </row>
    <row r="964" spans="1:8" ht="19.95" customHeight="1" x14ac:dyDescent="0.3">
      <c r="A964" s="2" t="s">
        <v>5771</v>
      </c>
      <c r="B964" s="3" t="s">
        <v>4579</v>
      </c>
      <c r="C964" s="2" t="s">
        <v>4864</v>
      </c>
      <c r="D964" s="3" t="s">
        <v>4368</v>
      </c>
      <c r="E964" s="2" t="s">
        <v>4270</v>
      </c>
      <c r="F964" s="40">
        <v>26.91</v>
      </c>
      <c r="G964" s="40">
        <v>2</v>
      </c>
      <c r="H964" s="41">
        <v>53.82</v>
      </c>
    </row>
    <row r="965" spans="1:8" ht="19.95" customHeight="1" x14ac:dyDescent="0.3">
      <c r="A965" s="6" t="s">
        <v>5771</v>
      </c>
      <c r="B965" s="7" t="s">
        <v>4579</v>
      </c>
      <c r="C965" s="6" t="s">
        <v>4864</v>
      </c>
      <c r="D965" s="7" t="s">
        <v>4368</v>
      </c>
      <c r="E965" s="6" t="s">
        <v>4270</v>
      </c>
      <c r="F965" s="42">
        <v>26.91</v>
      </c>
      <c r="G965" s="42">
        <v>2</v>
      </c>
      <c r="H965" s="43">
        <v>53.82</v>
      </c>
    </row>
    <row r="966" spans="1:8" ht="19.95" customHeight="1" x14ac:dyDescent="0.3">
      <c r="A966" s="2" t="s">
        <v>5771</v>
      </c>
      <c r="B966" s="3" t="s">
        <v>4579</v>
      </c>
      <c r="C966" s="2" t="s">
        <v>4864</v>
      </c>
      <c r="D966" s="3" t="s">
        <v>4368</v>
      </c>
      <c r="E966" s="2" t="s">
        <v>4270</v>
      </c>
      <c r="F966" s="40">
        <v>26.91</v>
      </c>
      <c r="G966" s="40">
        <v>2</v>
      </c>
      <c r="H966" s="41">
        <v>53.82</v>
      </c>
    </row>
    <row r="967" spans="1:8" ht="19.95" customHeight="1" x14ac:dyDescent="0.3">
      <c r="A967" s="6" t="s">
        <v>5771</v>
      </c>
      <c r="B967" s="7" t="s">
        <v>4579</v>
      </c>
      <c r="C967" s="6" t="s">
        <v>4864</v>
      </c>
      <c r="D967" s="7" t="s">
        <v>4368</v>
      </c>
      <c r="E967" s="6" t="s">
        <v>4270</v>
      </c>
      <c r="F967" s="42">
        <v>26.91</v>
      </c>
      <c r="G967" s="42">
        <v>2</v>
      </c>
      <c r="H967" s="43">
        <v>53.82</v>
      </c>
    </row>
    <row r="968" spans="1:8" ht="19.95" customHeight="1" x14ac:dyDescent="0.3">
      <c r="A968" s="2" t="s">
        <v>5771</v>
      </c>
      <c r="B968" s="3" t="s">
        <v>5801</v>
      </c>
      <c r="C968" s="2" t="s">
        <v>5802</v>
      </c>
      <c r="D968" s="3" t="s">
        <v>4440</v>
      </c>
      <c r="E968" s="2" t="s">
        <v>6211</v>
      </c>
      <c r="F968" s="40">
        <v>33.28</v>
      </c>
      <c r="G968" s="40">
        <v>2</v>
      </c>
      <c r="H968" s="41">
        <v>66.56</v>
      </c>
    </row>
    <row r="969" spans="1:8" ht="19.95" customHeight="1" x14ac:dyDescent="0.3">
      <c r="A969" s="6" t="s">
        <v>5771</v>
      </c>
      <c r="B969" s="7" t="s">
        <v>5803</v>
      </c>
      <c r="C969" s="6" t="s">
        <v>5804</v>
      </c>
      <c r="D969" s="7" t="s">
        <v>4440</v>
      </c>
      <c r="E969" s="6" t="s">
        <v>6211</v>
      </c>
      <c r="F969" s="42">
        <v>26.91</v>
      </c>
      <c r="G969" s="42">
        <v>2</v>
      </c>
      <c r="H969" s="43">
        <v>53.82</v>
      </c>
    </row>
    <row r="970" spans="1:8" ht="19.95" customHeight="1" x14ac:dyDescent="0.3">
      <c r="A970" s="2" t="s">
        <v>5771</v>
      </c>
      <c r="B970" s="3" t="s">
        <v>5805</v>
      </c>
      <c r="C970" s="2" t="s">
        <v>5806</v>
      </c>
      <c r="D970" s="3" t="s">
        <v>4443</v>
      </c>
      <c r="E970" s="2" t="s">
        <v>6212</v>
      </c>
      <c r="F970" s="40">
        <v>80.73</v>
      </c>
      <c r="G970" s="40">
        <v>2</v>
      </c>
      <c r="H970" s="41">
        <v>161.46</v>
      </c>
    </row>
    <row r="971" spans="1:8" ht="19.95" customHeight="1" x14ac:dyDescent="0.3">
      <c r="A971" s="6" t="s">
        <v>5771</v>
      </c>
      <c r="B971" s="7" t="s">
        <v>5807</v>
      </c>
      <c r="C971" s="6" t="s">
        <v>5808</v>
      </c>
      <c r="D971" s="7" t="s">
        <v>4442</v>
      </c>
      <c r="E971" s="6" t="s">
        <v>4270</v>
      </c>
      <c r="F971" s="42">
        <v>9.1</v>
      </c>
      <c r="G971" s="42">
        <v>2</v>
      </c>
      <c r="H971" s="43">
        <v>18.2</v>
      </c>
    </row>
    <row r="972" spans="1:8" ht="19.95" customHeight="1" x14ac:dyDescent="0.3">
      <c r="A972" s="2" t="s">
        <v>5771</v>
      </c>
      <c r="B972" s="3" t="s">
        <v>4607</v>
      </c>
      <c r="C972" s="2" t="s">
        <v>4838</v>
      </c>
      <c r="D972" s="3" t="s">
        <v>4368</v>
      </c>
      <c r="E972" s="2" t="s">
        <v>5997</v>
      </c>
      <c r="F972" s="40">
        <v>20.2</v>
      </c>
      <c r="G972" s="40">
        <v>2</v>
      </c>
      <c r="H972" s="41">
        <v>40.4</v>
      </c>
    </row>
    <row r="973" spans="1:8" ht="19.95" customHeight="1" x14ac:dyDescent="0.3">
      <c r="A973" s="6" t="s">
        <v>5771</v>
      </c>
      <c r="B973" s="7" t="s">
        <v>4607</v>
      </c>
      <c r="C973" s="6" t="s">
        <v>4838</v>
      </c>
      <c r="D973" s="7" t="s">
        <v>4368</v>
      </c>
      <c r="E973" s="6" t="s">
        <v>6053</v>
      </c>
      <c r="F973" s="42">
        <v>26.91</v>
      </c>
      <c r="G973" s="42">
        <v>2</v>
      </c>
      <c r="H973" s="43">
        <v>53.82</v>
      </c>
    </row>
    <row r="974" spans="1:8" ht="19.95" customHeight="1" x14ac:dyDescent="0.3">
      <c r="A974" s="2" t="s">
        <v>5771</v>
      </c>
      <c r="B974" s="3" t="s">
        <v>4607</v>
      </c>
      <c r="C974" s="2" t="s">
        <v>4838</v>
      </c>
      <c r="D974" s="3" t="s">
        <v>4368</v>
      </c>
      <c r="E974" s="2" t="s">
        <v>6213</v>
      </c>
      <c r="F974" s="40">
        <v>6.24</v>
      </c>
      <c r="G974" s="40">
        <v>2</v>
      </c>
      <c r="H974" s="41">
        <v>12.48</v>
      </c>
    </row>
    <row r="975" spans="1:8" ht="19.95" customHeight="1" x14ac:dyDescent="0.3">
      <c r="A975" s="6" t="s">
        <v>5771</v>
      </c>
      <c r="B975" s="7" t="s">
        <v>4605</v>
      </c>
      <c r="C975" s="6" t="s">
        <v>5852</v>
      </c>
      <c r="D975" s="7" t="s">
        <v>4368</v>
      </c>
      <c r="E975" s="6" t="s">
        <v>5997</v>
      </c>
      <c r="F975" s="42">
        <v>3.64</v>
      </c>
      <c r="G975" s="42">
        <v>2</v>
      </c>
      <c r="H975" s="43">
        <v>7.28</v>
      </c>
    </row>
    <row r="976" spans="1:8" ht="19.95" customHeight="1" x14ac:dyDescent="0.3">
      <c r="A976" s="2" t="s">
        <v>5771</v>
      </c>
      <c r="B976" s="3" t="s">
        <v>4605</v>
      </c>
      <c r="C976" s="2" t="s">
        <v>5852</v>
      </c>
      <c r="D976" s="3" t="s">
        <v>4368</v>
      </c>
      <c r="E976" s="2" t="s">
        <v>6214</v>
      </c>
      <c r="F976" s="40">
        <v>26.91</v>
      </c>
      <c r="G976" s="40">
        <v>2</v>
      </c>
      <c r="H976" s="41">
        <v>53.82</v>
      </c>
    </row>
    <row r="977" spans="1:8" ht="19.95" customHeight="1" x14ac:dyDescent="0.3">
      <c r="A977" s="6" t="s">
        <v>5771</v>
      </c>
      <c r="B977" s="7" t="s">
        <v>4607</v>
      </c>
      <c r="C977" s="6" t="s">
        <v>4838</v>
      </c>
      <c r="D977" s="7" t="s">
        <v>4368</v>
      </c>
      <c r="E977" s="6" t="s">
        <v>5997</v>
      </c>
      <c r="F977" s="42">
        <v>20.2</v>
      </c>
      <c r="G977" s="42">
        <v>2</v>
      </c>
      <c r="H977" s="43">
        <v>40.4</v>
      </c>
    </row>
    <row r="978" spans="1:8" ht="19.95" customHeight="1" x14ac:dyDescent="0.3">
      <c r="A978" s="2" t="s">
        <v>5771</v>
      </c>
      <c r="B978" s="3" t="s">
        <v>4607</v>
      </c>
      <c r="C978" s="2" t="s">
        <v>4838</v>
      </c>
      <c r="D978" s="3" t="s">
        <v>4368</v>
      </c>
      <c r="E978" s="2" t="s">
        <v>6053</v>
      </c>
      <c r="F978" s="40">
        <v>26.91</v>
      </c>
      <c r="G978" s="40">
        <v>2</v>
      </c>
      <c r="H978" s="41">
        <v>53.82</v>
      </c>
    </row>
    <row r="979" spans="1:8" ht="19.95" customHeight="1" x14ac:dyDescent="0.3">
      <c r="A979" s="6" t="s">
        <v>5771</v>
      </c>
      <c r="B979" s="7" t="s">
        <v>4607</v>
      </c>
      <c r="C979" s="6" t="s">
        <v>4838</v>
      </c>
      <c r="D979" s="7" t="s">
        <v>4368</v>
      </c>
      <c r="E979" s="6" t="s">
        <v>5997</v>
      </c>
      <c r="F979" s="42">
        <v>13.47</v>
      </c>
      <c r="G979" s="42">
        <v>2</v>
      </c>
      <c r="H979" s="43">
        <v>26.94</v>
      </c>
    </row>
    <row r="980" spans="1:8" ht="19.95" customHeight="1" x14ac:dyDescent="0.3">
      <c r="A980" s="2" t="s">
        <v>5771</v>
      </c>
      <c r="B980" s="3" t="s">
        <v>4607</v>
      </c>
      <c r="C980" s="2" t="s">
        <v>4838</v>
      </c>
      <c r="D980" s="3" t="s">
        <v>4368</v>
      </c>
      <c r="E980" s="2" t="s">
        <v>6053</v>
      </c>
      <c r="F980" s="40">
        <v>26.91</v>
      </c>
      <c r="G980" s="40">
        <v>2</v>
      </c>
      <c r="H980" s="41">
        <v>53.82</v>
      </c>
    </row>
    <row r="981" spans="1:8" ht="19.95" customHeight="1" x14ac:dyDescent="0.3">
      <c r="A981" s="6" t="s">
        <v>5771</v>
      </c>
      <c r="B981" s="7" t="s">
        <v>4607</v>
      </c>
      <c r="C981" s="6" t="s">
        <v>4838</v>
      </c>
      <c r="D981" s="7" t="s">
        <v>4368</v>
      </c>
      <c r="E981" s="6" t="s">
        <v>5997</v>
      </c>
      <c r="F981" s="42">
        <v>13.47</v>
      </c>
      <c r="G981" s="42">
        <v>2</v>
      </c>
      <c r="H981" s="43">
        <v>26.94</v>
      </c>
    </row>
    <row r="982" spans="1:8" ht="19.95" customHeight="1" x14ac:dyDescent="0.3">
      <c r="A982" s="2" t="s">
        <v>5771</v>
      </c>
      <c r="B982" s="3" t="s">
        <v>4607</v>
      </c>
      <c r="C982" s="2" t="s">
        <v>4838</v>
      </c>
      <c r="D982" s="3" t="s">
        <v>4368</v>
      </c>
      <c r="E982" s="2" t="s">
        <v>6053</v>
      </c>
      <c r="F982" s="40">
        <v>26.91</v>
      </c>
      <c r="G982" s="40">
        <v>2</v>
      </c>
      <c r="H982" s="41">
        <v>53.82</v>
      </c>
    </row>
    <row r="983" spans="1:8" ht="19.95" customHeight="1" x14ac:dyDescent="0.3">
      <c r="A983" s="6" t="s">
        <v>5771</v>
      </c>
      <c r="B983" s="7" t="s">
        <v>4607</v>
      </c>
      <c r="C983" s="6" t="s">
        <v>4838</v>
      </c>
      <c r="D983" s="7" t="s">
        <v>4368</v>
      </c>
      <c r="E983" s="6" t="s">
        <v>5997</v>
      </c>
      <c r="F983" s="42">
        <v>3.64</v>
      </c>
      <c r="G983" s="42">
        <v>2</v>
      </c>
      <c r="H983" s="43">
        <v>7.28</v>
      </c>
    </row>
    <row r="984" spans="1:8" ht="19.95" customHeight="1" x14ac:dyDescent="0.3">
      <c r="A984" s="2" t="s">
        <v>5771</v>
      </c>
      <c r="B984" s="3" t="s">
        <v>4607</v>
      </c>
      <c r="C984" s="2" t="s">
        <v>4838</v>
      </c>
      <c r="D984" s="3" t="s">
        <v>4368</v>
      </c>
      <c r="E984" s="2" t="s">
        <v>6053</v>
      </c>
      <c r="F984" s="40">
        <v>26.91</v>
      </c>
      <c r="G984" s="40">
        <v>2</v>
      </c>
      <c r="H984" s="41">
        <v>53.82</v>
      </c>
    </row>
    <row r="985" spans="1:8" ht="19.95" customHeight="1" x14ac:dyDescent="0.3">
      <c r="A985" s="6" t="s">
        <v>5771</v>
      </c>
      <c r="B985" s="7" t="s">
        <v>4607</v>
      </c>
      <c r="C985" s="6" t="s">
        <v>4838</v>
      </c>
      <c r="D985" s="7" t="s">
        <v>4368</v>
      </c>
      <c r="E985" s="6" t="s">
        <v>5997</v>
      </c>
      <c r="F985" s="42">
        <v>3.64</v>
      </c>
      <c r="G985" s="42">
        <v>2</v>
      </c>
      <c r="H985" s="43">
        <v>7.28</v>
      </c>
    </row>
    <row r="986" spans="1:8" ht="19.95" customHeight="1" x14ac:dyDescent="0.3">
      <c r="A986" s="2" t="s">
        <v>5771</v>
      </c>
      <c r="B986" s="3" t="s">
        <v>4607</v>
      </c>
      <c r="C986" s="2" t="s">
        <v>4838</v>
      </c>
      <c r="D986" s="3" t="s">
        <v>4368</v>
      </c>
      <c r="E986" s="2" t="s">
        <v>6053</v>
      </c>
      <c r="F986" s="40">
        <v>26.91</v>
      </c>
      <c r="G986" s="40">
        <v>2</v>
      </c>
      <c r="H986" s="41">
        <v>53.82</v>
      </c>
    </row>
    <row r="987" spans="1:8" ht="19.95" customHeight="1" x14ac:dyDescent="0.3">
      <c r="A987" s="6" t="s">
        <v>5771</v>
      </c>
      <c r="B987" s="7" t="s">
        <v>4607</v>
      </c>
      <c r="C987" s="6" t="s">
        <v>4838</v>
      </c>
      <c r="D987" s="7" t="s">
        <v>4368</v>
      </c>
      <c r="E987" s="6" t="s">
        <v>5997</v>
      </c>
      <c r="F987" s="42">
        <v>2.6</v>
      </c>
      <c r="G987" s="42">
        <v>2</v>
      </c>
      <c r="H987" s="43">
        <v>5.2</v>
      </c>
    </row>
    <row r="988" spans="1:8" ht="19.95" customHeight="1" x14ac:dyDescent="0.3">
      <c r="A988" s="2" t="s">
        <v>5771</v>
      </c>
      <c r="B988" s="3" t="s">
        <v>4607</v>
      </c>
      <c r="C988" s="2" t="s">
        <v>4838</v>
      </c>
      <c r="D988" s="3" t="s">
        <v>4368</v>
      </c>
      <c r="E988" s="2" t="s">
        <v>6053</v>
      </c>
      <c r="F988" s="40">
        <v>26.91</v>
      </c>
      <c r="G988" s="40">
        <v>2</v>
      </c>
      <c r="H988" s="41">
        <v>53.82</v>
      </c>
    </row>
    <row r="989" spans="1:8" ht="19.95" customHeight="1" x14ac:dyDescent="0.3">
      <c r="A989" s="6" t="s">
        <v>5771</v>
      </c>
      <c r="B989" s="7" t="s">
        <v>4607</v>
      </c>
      <c r="C989" s="6" t="s">
        <v>4838</v>
      </c>
      <c r="D989" s="7" t="s">
        <v>4368</v>
      </c>
      <c r="E989" s="6" t="s">
        <v>5997</v>
      </c>
      <c r="F989" s="42">
        <v>2.6</v>
      </c>
      <c r="G989" s="42">
        <v>2</v>
      </c>
      <c r="H989" s="43">
        <v>5.2</v>
      </c>
    </row>
    <row r="990" spans="1:8" ht="19.95" customHeight="1" x14ac:dyDescent="0.3">
      <c r="A990" s="2" t="s">
        <v>5771</v>
      </c>
      <c r="B990" s="3" t="s">
        <v>4607</v>
      </c>
      <c r="C990" s="2" t="s">
        <v>4838</v>
      </c>
      <c r="D990" s="3" t="s">
        <v>4368</v>
      </c>
      <c r="E990" s="2" t="s">
        <v>6053</v>
      </c>
      <c r="F990" s="40">
        <v>26.91</v>
      </c>
      <c r="G990" s="40">
        <v>2</v>
      </c>
      <c r="H990" s="41">
        <v>53.82</v>
      </c>
    </row>
    <row r="991" spans="1:8" ht="19.95" customHeight="1" x14ac:dyDescent="0.3">
      <c r="A991" s="6" t="s">
        <v>5771</v>
      </c>
      <c r="B991" s="7" t="s">
        <v>4607</v>
      </c>
      <c r="C991" s="6" t="s">
        <v>4838</v>
      </c>
      <c r="D991" s="7" t="s">
        <v>4368</v>
      </c>
      <c r="E991" s="6" t="s">
        <v>5997</v>
      </c>
      <c r="F991" s="42">
        <v>40.43</v>
      </c>
      <c r="G991" s="42">
        <v>2</v>
      </c>
      <c r="H991" s="43">
        <v>80.86</v>
      </c>
    </row>
    <row r="992" spans="1:8" ht="19.95" customHeight="1" x14ac:dyDescent="0.3">
      <c r="A992" s="2" t="s">
        <v>5771</v>
      </c>
      <c r="B992" s="3" t="s">
        <v>4607</v>
      </c>
      <c r="C992" s="2" t="s">
        <v>4838</v>
      </c>
      <c r="D992" s="3" t="s">
        <v>4368</v>
      </c>
      <c r="E992" s="2" t="s">
        <v>6215</v>
      </c>
      <c r="F992" s="40">
        <v>26.91</v>
      </c>
      <c r="G992" s="40">
        <v>2</v>
      </c>
      <c r="H992" s="41">
        <v>53.82</v>
      </c>
    </row>
    <row r="993" spans="1:8" ht="19.95" customHeight="1" x14ac:dyDescent="0.3">
      <c r="A993" s="6" t="s">
        <v>5771</v>
      </c>
      <c r="B993" s="7" t="s">
        <v>5809</v>
      </c>
      <c r="C993" s="6" t="s">
        <v>5810</v>
      </c>
      <c r="D993" s="7" t="s">
        <v>4413</v>
      </c>
      <c r="E993" s="6" t="s">
        <v>5997</v>
      </c>
      <c r="F993" s="42">
        <v>40.43</v>
      </c>
      <c r="G993" s="42">
        <v>2</v>
      </c>
      <c r="H993" s="43">
        <v>80.86</v>
      </c>
    </row>
    <row r="994" spans="1:8" ht="19.95" customHeight="1" x14ac:dyDescent="0.3">
      <c r="A994" s="2" t="s">
        <v>5771</v>
      </c>
      <c r="B994" s="3" t="s">
        <v>5809</v>
      </c>
      <c r="C994" s="2" t="s">
        <v>5810</v>
      </c>
      <c r="D994" s="3" t="s">
        <v>4413</v>
      </c>
      <c r="E994" s="2" t="s">
        <v>6215</v>
      </c>
      <c r="F994" s="40">
        <v>26.91</v>
      </c>
      <c r="G994" s="40">
        <v>2</v>
      </c>
      <c r="H994" s="41">
        <v>53.82</v>
      </c>
    </row>
    <row r="995" spans="1:8" ht="19.95" customHeight="1" x14ac:dyDescent="0.3">
      <c r="A995" s="6" t="s">
        <v>5771</v>
      </c>
      <c r="B995" s="7" t="s">
        <v>4607</v>
      </c>
      <c r="C995" s="6" t="s">
        <v>5770</v>
      </c>
      <c r="D995" s="7" t="s">
        <v>4368</v>
      </c>
      <c r="E995" s="6" t="s">
        <v>4270</v>
      </c>
      <c r="F995" s="42">
        <v>8.9700000000000006</v>
      </c>
      <c r="G995" s="42">
        <v>2</v>
      </c>
      <c r="H995" s="43">
        <v>17.940000000000001</v>
      </c>
    </row>
    <row r="996" spans="1:8" ht="19.95" customHeight="1" x14ac:dyDescent="0.3">
      <c r="A996" s="2" t="s">
        <v>5771</v>
      </c>
      <c r="B996" s="3" t="s">
        <v>4607</v>
      </c>
      <c r="C996" s="2" t="s">
        <v>5770</v>
      </c>
      <c r="D996" s="3" t="s">
        <v>4368</v>
      </c>
      <c r="E996" s="2" t="s">
        <v>4270</v>
      </c>
      <c r="F996" s="40">
        <v>67.25</v>
      </c>
      <c r="G996" s="40">
        <v>2</v>
      </c>
      <c r="H996" s="41">
        <v>134.5</v>
      </c>
    </row>
    <row r="997" spans="1:8" ht="19.95" customHeight="1" x14ac:dyDescent="0.3">
      <c r="A997" s="6" t="s">
        <v>5771</v>
      </c>
      <c r="B997" s="7" t="s">
        <v>5848</v>
      </c>
      <c r="C997" s="6" t="s">
        <v>5849</v>
      </c>
      <c r="D997" s="7" t="s">
        <v>4368</v>
      </c>
      <c r="E997" s="6" t="s">
        <v>4270</v>
      </c>
      <c r="F997" s="42">
        <v>50</v>
      </c>
      <c r="G997" s="42">
        <v>2</v>
      </c>
      <c r="H997" s="43">
        <v>100</v>
      </c>
    </row>
    <row r="998" spans="1:8" ht="19.95" customHeight="1" x14ac:dyDescent="0.3">
      <c r="A998" s="2" t="s">
        <v>5771</v>
      </c>
      <c r="B998" s="3" t="s">
        <v>4605</v>
      </c>
      <c r="C998" s="2" t="s">
        <v>5854</v>
      </c>
      <c r="D998" s="3" t="s">
        <v>4368</v>
      </c>
      <c r="E998" s="2" t="s">
        <v>5997</v>
      </c>
      <c r="F998" s="40">
        <v>3.64</v>
      </c>
      <c r="G998" s="40">
        <v>2</v>
      </c>
      <c r="H998" s="41">
        <v>7.28</v>
      </c>
    </row>
    <row r="999" spans="1:8" ht="19.95" customHeight="1" x14ac:dyDescent="0.3">
      <c r="A999" s="6" t="s">
        <v>5771</v>
      </c>
      <c r="B999" s="7" t="s">
        <v>4605</v>
      </c>
      <c r="C999" s="6" t="s">
        <v>5854</v>
      </c>
      <c r="D999" s="7" t="s">
        <v>4368</v>
      </c>
      <c r="E999" s="6" t="s">
        <v>6216</v>
      </c>
      <c r="F999" s="42">
        <v>26.91</v>
      </c>
      <c r="G999" s="42">
        <v>2</v>
      </c>
      <c r="H999" s="43">
        <v>53.82</v>
      </c>
    </row>
    <row r="1000" spans="1:8" ht="19.95" customHeight="1" x14ac:dyDescent="0.3">
      <c r="A1000" s="2" t="s">
        <v>5771</v>
      </c>
      <c r="B1000" s="3" t="s">
        <v>4605</v>
      </c>
      <c r="C1000" s="2" t="s">
        <v>5854</v>
      </c>
      <c r="D1000" s="3" t="s">
        <v>4368</v>
      </c>
      <c r="E1000" s="2" t="s">
        <v>5997</v>
      </c>
      <c r="F1000" s="40">
        <v>3.64</v>
      </c>
      <c r="G1000" s="40">
        <v>2</v>
      </c>
      <c r="H1000" s="41">
        <v>7.28</v>
      </c>
    </row>
    <row r="1001" spans="1:8" ht="19.95" customHeight="1" x14ac:dyDescent="0.3">
      <c r="A1001" s="6" t="s">
        <v>5771</v>
      </c>
      <c r="B1001" s="7" t="s">
        <v>4605</v>
      </c>
      <c r="C1001" s="6" t="s">
        <v>5854</v>
      </c>
      <c r="D1001" s="7" t="s">
        <v>4368</v>
      </c>
      <c r="E1001" s="6" t="s">
        <v>6216</v>
      </c>
      <c r="F1001" s="42">
        <v>26.91</v>
      </c>
      <c r="G1001" s="42">
        <v>2</v>
      </c>
      <c r="H1001" s="43">
        <v>53.82</v>
      </c>
    </row>
    <row r="1002" spans="1:8" ht="19.95" customHeight="1" x14ac:dyDescent="0.3">
      <c r="A1002" s="2" t="s">
        <v>5771</v>
      </c>
      <c r="B1002" s="3" t="s">
        <v>4605</v>
      </c>
      <c r="C1002" s="2" t="s">
        <v>5854</v>
      </c>
      <c r="D1002" s="3" t="s">
        <v>4368</v>
      </c>
      <c r="E1002" s="2" t="s">
        <v>5997</v>
      </c>
      <c r="F1002" s="40">
        <v>3.64</v>
      </c>
      <c r="G1002" s="40">
        <v>2</v>
      </c>
      <c r="H1002" s="41">
        <v>7.28</v>
      </c>
    </row>
    <row r="1003" spans="1:8" ht="19.95" customHeight="1" x14ac:dyDescent="0.3">
      <c r="A1003" s="6" t="s">
        <v>5771</v>
      </c>
      <c r="B1003" s="7" t="s">
        <v>4605</v>
      </c>
      <c r="C1003" s="6" t="s">
        <v>5854</v>
      </c>
      <c r="D1003" s="7" t="s">
        <v>4368</v>
      </c>
      <c r="E1003" s="6" t="s">
        <v>6216</v>
      </c>
      <c r="F1003" s="42">
        <v>26.91</v>
      </c>
      <c r="G1003" s="42">
        <v>2</v>
      </c>
      <c r="H1003" s="43">
        <v>53.82</v>
      </c>
    </row>
    <row r="1004" spans="1:8" ht="19.95" customHeight="1" x14ac:dyDescent="0.3">
      <c r="A1004" s="2" t="s">
        <v>5771</v>
      </c>
      <c r="B1004" s="3" t="s">
        <v>4605</v>
      </c>
      <c r="C1004" s="2" t="s">
        <v>4932</v>
      </c>
      <c r="D1004" s="3" t="s">
        <v>4368</v>
      </c>
      <c r="E1004" s="2" t="s">
        <v>5997</v>
      </c>
      <c r="F1004" s="40">
        <v>3.64</v>
      </c>
      <c r="G1004" s="40">
        <v>2</v>
      </c>
      <c r="H1004" s="41">
        <v>7.28</v>
      </c>
    </row>
    <row r="1005" spans="1:8" ht="19.95" customHeight="1" x14ac:dyDescent="0.3">
      <c r="A1005" s="6" t="s">
        <v>5771</v>
      </c>
      <c r="B1005" s="7" t="s">
        <v>4605</v>
      </c>
      <c r="C1005" s="6" t="s">
        <v>4932</v>
      </c>
      <c r="D1005" s="7" t="s">
        <v>4368</v>
      </c>
      <c r="E1005" s="6" t="s">
        <v>6216</v>
      </c>
      <c r="F1005" s="42">
        <v>26.91</v>
      </c>
      <c r="G1005" s="42">
        <v>2</v>
      </c>
      <c r="H1005" s="43">
        <v>53.82</v>
      </c>
    </row>
    <row r="1006" spans="1:8" ht="19.95" customHeight="1" x14ac:dyDescent="0.3">
      <c r="A1006" s="2" t="s">
        <v>5771</v>
      </c>
      <c r="B1006" s="3" t="s">
        <v>4605</v>
      </c>
      <c r="C1006" s="2" t="s">
        <v>4932</v>
      </c>
      <c r="D1006" s="3" t="s">
        <v>4368</v>
      </c>
      <c r="E1006" s="2" t="s">
        <v>4265</v>
      </c>
      <c r="F1006" s="40">
        <v>6.24</v>
      </c>
      <c r="G1006" s="40">
        <v>2</v>
      </c>
      <c r="H1006" s="41">
        <v>12.48</v>
      </c>
    </row>
    <row r="1007" spans="1:8" ht="19.95" customHeight="1" x14ac:dyDescent="0.3">
      <c r="A1007" s="6" t="s">
        <v>5771</v>
      </c>
      <c r="B1007" s="7" t="s">
        <v>4605</v>
      </c>
      <c r="C1007" s="6" t="s">
        <v>5855</v>
      </c>
      <c r="D1007" s="7" t="s">
        <v>4368</v>
      </c>
      <c r="E1007" s="6" t="s">
        <v>5997</v>
      </c>
      <c r="F1007" s="42">
        <v>40.43</v>
      </c>
      <c r="G1007" s="42">
        <v>2</v>
      </c>
      <c r="H1007" s="43">
        <v>80.86</v>
      </c>
    </row>
    <row r="1008" spans="1:8" ht="19.95" customHeight="1" x14ac:dyDescent="0.3">
      <c r="A1008" s="2" t="s">
        <v>5771</v>
      </c>
      <c r="B1008" s="3" t="s">
        <v>4605</v>
      </c>
      <c r="C1008" s="2" t="s">
        <v>5855</v>
      </c>
      <c r="D1008" s="3" t="s">
        <v>4368</v>
      </c>
      <c r="E1008" s="2" t="s">
        <v>6217</v>
      </c>
      <c r="F1008" s="40">
        <v>26.75</v>
      </c>
      <c r="G1008" s="40">
        <v>2</v>
      </c>
      <c r="H1008" s="41">
        <v>53.5</v>
      </c>
    </row>
    <row r="1009" spans="1:8" ht="19.95" customHeight="1" x14ac:dyDescent="0.3">
      <c r="A1009" s="6" t="s">
        <v>5771</v>
      </c>
      <c r="B1009" s="7" t="s">
        <v>5813</v>
      </c>
      <c r="C1009" s="6" t="s">
        <v>5814</v>
      </c>
      <c r="D1009" s="7" t="s">
        <v>4413</v>
      </c>
      <c r="E1009" s="6" t="s">
        <v>6216</v>
      </c>
      <c r="F1009" s="42">
        <v>26.91</v>
      </c>
      <c r="G1009" s="42">
        <v>2</v>
      </c>
      <c r="H1009" s="43">
        <v>53.82</v>
      </c>
    </row>
    <row r="1010" spans="1:8" ht="19.95" customHeight="1" x14ac:dyDescent="0.3">
      <c r="A1010" s="2" t="s">
        <v>5771</v>
      </c>
      <c r="B1010" s="3" t="s">
        <v>5815</v>
      </c>
      <c r="C1010" s="2" t="s">
        <v>5816</v>
      </c>
      <c r="D1010" s="3" t="s">
        <v>4413</v>
      </c>
      <c r="E1010" s="2" t="s">
        <v>6216</v>
      </c>
      <c r="F1010" s="40">
        <v>26.91</v>
      </c>
      <c r="G1010" s="40">
        <v>2</v>
      </c>
      <c r="H1010" s="41">
        <v>53.82</v>
      </c>
    </row>
    <row r="1011" spans="1:8" ht="19.95" customHeight="1" x14ac:dyDescent="0.3">
      <c r="A1011" s="6" t="s">
        <v>5771</v>
      </c>
      <c r="B1011" s="7" t="s">
        <v>5817</v>
      </c>
      <c r="C1011" s="6" t="s">
        <v>5818</v>
      </c>
      <c r="D1011" s="7" t="s">
        <v>4413</v>
      </c>
      <c r="E1011" s="6" t="s">
        <v>6216</v>
      </c>
      <c r="F1011" s="42">
        <v>26.91</v>
      </c>
      <c r="G1011" s="42">
        <v>2</v>
      </c>
      <c r="H1011" s="43">
        <v>53.82</v>
      </c>
    </row>
    <row r="1012" spans="1:8" ht="19.95" customHeight="1" x14ac:dyDescent="0.3">
      <c r="A1012" s="2" t="s">
        <v>5771</v>
      </c>
      <c r="B1012" s="3" t="s">
        <v>5819</v>
      </c>
      <c r="C1012" s="2" t="s">
        <v>5820</v>
      </c>
      <c r="D1012" s="3" t="s">
        <v>4413</v>
      </c>
      <c r="E1012" s="2" t="s">
        <v>6216</v>
      </c>
      <c r="F1012" s="40">
        <v>26.91</v>
      </c>
      <c r="G1012" s="40">
        <v>2</v>
      </c>
      <c r="H1012" s="41">
        <v>53.82</v>
      </c>
    </row>
    <row r="1013" spans="1:8" ht="19.95" customHeight="1" x14ac:dyDescent="0.3">
      <c r="A1013" s="6" t="s">
        <v>5771</v>
      </c>
      <c r="B1013" s="7" t="s">
        <v>5821</v>
      </c>
      <c r="C1013" s="6" t="s">
        <v>5822</v>
      </c>
      <c r="D1013" s="7" t="s">
        <v>4413</v>
      </c>
      <c r="E1013" s="6" t="s">
        <v>6218</v>
      </c>
      <c r="F1013" s="42">
        <v>5</v>
      </c>
      <c r="G1013" s="42">
        <v>2</v>
      </c>
      <c r="H1013" s="43">
        <v>10</v>
      </c>
    </row>
    <row r="1014" spans="1:8" ht="19.95" customHeight="1" x14ac:dyDescent="0.3">
      <c r="A1014" s="2" t="s">
        <v>5771</v>
      </c>
      <c r="B1014" s="3" t="s">
        <v>5823</v>
      </c>
      <c r="C1014" s="2" t="s">
        <v>5824</v>
      </c>
      <c r="D1014" s="3" t="s">
        <v>4413</v>
      </c>
      <c r="E1014" s="2" t="s">
        <v>6218</v>
      </c>
      <c r="F1014" s="40">
        <v>5</v>
      </c>
      <c r="G1014" s="40">
        <v>2</v>
      </c>
      <c r="H1014" s="41">
        <v>10</v>
      </c>
    </row>
    <row r="1015" spans="1:8" ht="19.95" customHeight="1" x14ac:dyDescent="0.3">
      <c r="A1015" s="6" t="s">
        <v>5771</v>
      </c>
      <c r="B1015" s="7" t="s">
        <v>5825</v>
      </c>
      <c r="C1015" s="6" t="s">
        <v>5826</v>
      </c>
      <c r="D1015" s="7" t="s">
        <v>4413</v>
      </c>
      <c r="E1015" s="6" t="s">
        <v>6218</v>
      </c>
      <c r="F1015" s="42">
        <v>5</v>
      </c>
      <c r="G1015" s="42">
        <v>2</v>
      </c>
      <c r="H1015" s="43">
        <v>10</v>
      </c>
    </row>
    <row r="1016" spans="1:8" ht="19.95" customHeight="1" x14ac:dyDescent="0.3">
      <c r="A1016" s="2" t="s">
        <v>5771</v>
      </c>
      <c r="B1016" s="3" t="s">
        <v>5827</v>
      </c>
      <c r="C1016" s="2" t="s">
        <v>5828</v>
      </c>
      <c r="D1016" s="3" t="s">
        <v>4413</v>
      </c>
      <c r="E1016" s="2" t="s">
        <v>6218</v>
      </c>
      <c r="F1016" s="40">
        <v>5</v>
      </c>
      <c r="G1016" s="40">
        <v>2</v>
      </c>
      <c r="H1016" s="41">
        <v>10</v>
      </c>
    </row>
    <row r="1017" spans="1:8" ht="19.95" customHeight="1" x14ac:dyDescent="0.3">
      <c r="A1017" s="6" t="s">
        <v>5771</v>
      </c>
      <c r="B1017" s="7" t="s">
        <v>5829</v>
      </c>
      <c r="C1017" s="6" t="s">
        <v>5814</v>
      </c>
      <c r="D1017" s="7" t="s">
        <v>4413</v>
      </c>
      <c r="E1017" s="6" t="s">
        <v>6216</v>
      </c>
      <c r="F1017" s="42">
        <v>26.91</v>
      </c>
      <c r="G1017" s="42">
        <v>2</v>
      </c>
      <c r="H1017" s="43">
        <v>53.82</v>
      </c>
    </row>
    <row r="1018" spans="1:8" ht="19.95" customHeight="1" x14ac:dyDescent="0.3">
      <c r="A1018" s="2" t="s">
        <v>5771</v>
      </c>
      <c r="B1018" s="3" t="s">
        <v>5830</v>
      </c>
      <c r="C1018" s="2" t="s">
        <v>5816</v>
      </c>
      <c r="D1018" s="3" t="s">
        <v>4413</v>
      </c>
      <c r="E1018" s="2" t="s">
        <v>6216</v>
      </c>
      <c r="F1018" s="40">
        <v>26.91</v>
      </c>
      <c r="G1018" s="40">
        <v>2</v>
      </c>
      <c r="H1018" s="41">
        <v>53.82</v>
      </c>
    </row>
    <row r="1019" spans="1:8" ht="19.95" customHeight="1" x14ac:dyDescent="0.3">
      <c r="A1019" s="6" t="s">
        <v>5771</v>
      </c>
      <c r="B1019" s="7" t="s">
        <v>5831</v>
      </c>
      <c r="C1019" s="6" t="s">
        <v>5818</v>
      </c>
      <c r="D1019" s="7" t="s">
        <v>4413</v>
      </c>
      <c r="E1019" s="6" t="s">
        <v>6216</v>
      </c>
      <c r="F1019" s="42">
        <v>26.91</v>
      </c>
      <c r="G1019" s="42">
        <v>2</v>
      </c>
      <c r="H1019" s="43">
        <v>53.82</v>
      </c>
    </row>
    <row r="1020" spans="1:8" ht="19.95" customHeight="1" x14ac:dyDescent="0.3">
      <c r="A1020" s="2" t="s">
        <v>5771</v>
      </c>
      <c r="B1020" s="3" t="s">
        <v>5832</v>
      </c>
      <c r="C1020" s="2" t="s">
        <v>5820</v>
      </c>
      <c r="D1020" s="3" t="s">
        <v>4413</v>
      </c>
      <c r="E1020" s="2" t="s">
        <v>6216</v>
      </c>
      <c r="F1020" s="40">
        <v>26.91</v>
      </c>
      <c r="G1020" s="40">
        <v>2</v>
      </c>
      <c r="H1020" s="41">
        <v>53.82</v>
      </c>
    </row>
    <row r="1021" spans="1:8" ht="19.95" customHeight="1" x14ac:dyDescent="0.3">
      <c r="A1021" s="6" t="s">
        <v>5771</v>
      </c>
      <c r="B1021" s="7" t="s">
        <v>6219</v>
      </c>
      <c r="C1021" s="6" t="s">
        <v>6220</v>
      </c>
      <c r="D1021" s="7" t="s">
        <v>4413</v>
      </c>
      <c r="E1021" s="6" t="s">
        <v>6221</v>
      </c>
      <c r="F1021" s="42">
        <v>3.12</v>
      </c>
      <c r="G1021" s="42">
        <v>2</v>
      </c>
      <c r="H1021" s="43">
        <v>6.24</v>
      </c>
    </row>
    <row r="1022" spans="1:8" ht="19.95" customHeight="1" x14ac:dyDescent="0.3">
      <c r="A1022" s="2" t="s">
        <v>5771</v>
      </c>
      <c r="B1022" s="3" t="s">
        <v>6219</v>
      </c>
      <c r="C1022" s="2" t="s">
        <v>6220</v>
      </c>
      <c r="D1022" s="3" t="s">
        <v>4413</v>
      </c>
      <c r="E1022" s="2" t="s">
        <v>5978</v>
      </c>
      <c r="F1022" s="40">
        <v>1</v>
      </c>
      <c r="G1022" s="40">
        <v>2</v>
      </c>
      <c r="H1022" s="41">
        <v>2</v>
      </c>
    </row>
    <row r="1023" spans="1:8" ht="19.95" customHeight="1" x14ac:dyDescent="0.3">
      <c r="A1023" s="6" t="s">
        <v>5771</v>
      </c>
      <c r="B1023" s="7" t="s">
        <v>4607</v>
      </c>
      <c r="C1023" s="6" t="s">
        <v>5857</v>
      </c>
      <c r="D1023" s="7" t="s">
        <v>4368</v>
      </c>
      <c r="E1023" s="6" t="s">
        <v>6222</v>
      </c>
      <c r="F1023" s="42">
        <v>26.91</v>
      </c>
      <c r="G1023" s="42">
        <v>2</v>
      </c>
      <c r="H1023" s="43">
        <v>46.55</v>
      </c>
    </row>
    <row r="1024" spans="1:8" ht="19.95" customHeight="1" x14ac:dyDescent="0.3">
      <c r="A1024" s="2" t="s">
        <v>5771</v>
      </c>
      <c r="B1024" s="3" t="s">
        <v>4607</v>
      </c>
      <c r="C1024" s="2" t="s">
        <v>5857</v>
      </c>
      <c r="D1024" s="3" t="s">
        <v>4368</v>
      </c>
      <c r="E1024" s="2" t="s">
        <v>5997</v>
      </c>
      <c r="F1024" s="40">
        <v>25.74</v>
      </c>
      <c r="G1024" s="40">
        <v>2</v>
      </c>
      <c r="H1024" s="41">
        <v>51.48</v>
      </c>
    </row>
    <row r="1025" spans="1:8" ht="19.95" customHeight="1" x14ac:dyDescent="0.3">
      <c r="A1025" s="6" t="s">
        <v>5771</v>
      </c>
      <c r="B1025" s="7" t="s">
        <v>4607</v>
      </c>
      <c r="C1025" s="6" t="s">
        <v>5857</v>
      </c>
      <c r="D1025" s="7" t="s">
        <v>4368</v>
      </c>
      <c r="E1025" s="6" t="s">
        <v>6222</v>
      </c>
      <c r="F1025" s="42">
        <v>26.91</v>
      </c>
      <c r="G1025" s="42">
        <v>2</v>
      </c>
      <c r="H1025" s="43">
        <v>53.82</v>
      </c>
    </row>
    <row r="1026" spans="1:8" ht="19.95" customHeight="1" x14ac:dyDescent="0.3">
      <c r="A1026" s="2" t="s">
        <v>5771</v>
      </c>
      <c r="B1026" s="3" t="s">
        <v>4607</v>
      </c>
      <c r="C1026" s="2" t="s">
        <v>5857</v>
      </c>
      <c r="D1026" s="3" t="s">
        <v>4368</v>
      </c>
      <c r="E1026" s="2" t="s">
        <v>5997</v>
      </c>
      <c r="F1026" s="40">
        <v>25.74</v>
      </c>
      <c r="G1026" s="40">
        <v>2</v>
      </c>
      <c r="H1026" s="41">
        <v>51.48</v>
      </c>
    </row>
    <row r="1027" spans="1:8" ht="19.95" customHeight="1" x14ac:dyDescent="0.3">
      <c r="A1027" s="6" t="s">
        <v>5771</v>
      </c>
      <c r="B1027" s="7" t="s">
        <v>5833</v>
      </c>
      <c r="C1027" s="6" t="s">
        <v>5834</v>
      </c>
      <c r="D1027" s="7" t="s">
        <v>4368</v>
      </c>
      <c r="E1027" s="6" t="s">
        <v>6222</v>
      </c>
      <c r="F1027" s="42">
        <v>49.92</v>
      </c>
      <c r="G1027" s="42">
        <v>2</v>
      </c>
      <c r="H1027" s="43">
        <v>99.84</v>
      </c>
    </row>
    <row r="1028" spans="1:8" ht="19.95" customHeight="1" x14ac:dyDescent="0.3">
      <c r="A1028" s="2" t="s">
        <v>5771</v>
      </c>
      <c r="B1028" s="3" t="s">
        <v>5833</v>
      </c>
      <c r="C1028" s="2" t="s">
        <v>5834</v>
      </c>
      <c r="D1028" s="3" t="s">
        <v>4368</v>
      </c>
      <c r="E1028" s="2" t="s">
        <v>6223</v>
      </c>
      <c r="F1028" s="40">
        <v>26.91</v>
      </c>
      <c r="G1028" s="40">
        <v>2</v>
      </c>
      <c r="H1028" s="41">
        <v>53.82</v>
      </c>
    </row>
    <row r="1029" spans="1:8" ht="19.95" customHeight="1" x14ac:dyDescent="0.3">
      <c r="A1029" s="6" t="s">
        <v>5771</v>
      </c>
      <c r="B1029" s="7" t="s">
        <v>5835</v>
      </c>
      <c r="C1029" s="6" t="s">
        <v>5836</v>
      </c>
      <c r="D1029" s="7" t="s">
        <v>5837</v>
      </c>
      <c r="E1029" s="6" t="s">
        <v>6152</v>
      </c>
      <c r="F1029" s="42">
        <v>490</v>
      </c>
      <c r="G1029" s="42">
        <v>2</v>
      </c>
      <c r="H1029" s="43">
        <v>980</v>
      </c>
    </row>
    <row r="1030" spans="1:8" ht="19.95" customHeight="1" x14ac:dyDescent="0.3">
      <c r="A1030" s="2" t="s">
        <v>5771</v>
      </c>
      <c r="B1030" s="3" t="s">
        <v>5835</v>
      </c>
      <c r="C1030" s="2" t="s">
        <v>5836</v>
      </c>
      <c r="D1030" s="3" t="s">
        <v>5837</v>
      </c>
      <c r="E1030" s="2" t="s">
        <v>4270</v>
      </c>
      <c r="F1030" s="40">
        <v>329</v>
      </c>
      <c r="G1030" s="40">
        <v>2</v>
      </c>
      <c r="H1030" s="41">
        <v>658</v>
      </c>
    </row>
    <row r="1031" spans="1:8" ht="19.95" customHeight="1" x14ac:dyDescent="0.3">
      <c r="A1031" s="6" t="s">
        <v>5771</v>
      </c>
      <c r="B1031" s="7" t="s">
        <v>5838</v>
      </c>
      <c r="C1031" s="6" t="s">
        <v>5839</v>
      </c>
      <c r="D1031" s="7" t="s">
        <v>5837</v>
      </c>
      <c r="E1031" s="6" t="s">
        <v>6152</v>
      </c>
      <c r="F1031" s="42">
        <v>490</v>
      </c>
      <c r="G1031" s="42">
        <v>2</v>
      </c>
      <c r="H1031" s="43">
        <v>980</v>
      </c>
    </row>
    <row r="1032" spans="1:8" ht="19.95" customHeight="1" x14ac:dyDescent="0.3">
      <c r="A1032" s="2" t="s">
        <v>5771</v>
      </c>
      <c r="B1032" s="3" t="s">
        <v>5838</v>
      </c>
      <c r="C1032" s="2" t="s">
        <v>5839</v>
      </c>
      <c r="D1032" s="3" t="s">
        <v>5837</v>
      </c>
      <c r="E1032" s="2" t="s">
        <v>4270</v>
      </c>
      <c r="F1032" s="40">
        <v>329</v>
      </c>
      <c r="G1032" s="40">
        <v>2</v>
      </c>
      <c r="H1032" s="41">
        <v>658</v>
      </c>
    </row>
    <row r="1033" spans="1:8" ht="19.95" customHeight="1" x14ac:dyDescent="0.3">
      <c r="A1033" s="6" t="s">
        <v>5771</v>
      </c>
      <c r="B1033" s="7" t="s">
        <v>4607</v>
      </c>
      <c r="C1033" s="6" t="s">
        <v>5858</v>
      </c>
      <c r="D1033" s="7" t="s">
        <v>4368</v>
      </c>
      <c r="E1033" s="6" t="s">
        <v>5997</v>
      </c>
      <c r="F1033" s="42">
        <v>25.35</v>
      </c>
      <c r="G1033" s="42">
        <v>2</v>
      </c>
      <c r="H1033" s="43">
        <v>50.7</v>
      </c>
    </row>
    <row r="1034" spans="1:8" ht="19.95" customHeight="1" x14ac:dyDescent="0.3">
      <c r="A1034" s="2" t="s">
        <v>5771</v>
      </c>
      <c r="B1034" s="3" t="s">
        <v>4607</v>
      </c>
      <c r="C1034" s="2" t="s">
        <v>5858</v>
      </c>
      <c r="D1034" s="3" t="s">
        <v>4368</v>
      </c>
      <c r="E1034" s="2" t="s">
        <v>4270</v>
      </c>
      <c r="F1034" s="40">
        <v>208.13</v>
      </c>
      <c r="G1034" s="40">
        <v>2</v>
      </c>
      <c r="H1034" s="41">
        <v>416.26</v>
      </c>
    </row>
    <row r="1035" spans="1:8" ht="19.95" customHeight="1" x14ac:dyDescent="0.3">
      <c r="A1035" s="6" t="s">
        <v>5771</v>
      </c>
      <c r="B1035" s="7" t="s">
        <v>4607</v>
      </c>
      <c r="C1035" s="6" t="s">
        <v>5858</v>
      </c>
      <c r="D1035" s="7" t="s">
        <v>4368</v>
      </c>
      <c r="E1035" s="6" t="s">
        <v>6224</v>
      </c>
      <c r="F1035" s="42">
        <v>25.35</v>
      </c>
      <c r="G1035" s="42">
        <v>2</v>
      </c>
      <c r="H1035" s="43">
        <v>50.7</v>
      </c>
    </row>
    <row r="1036" spans="1:8" ht="19.95" customHeight="1" x14ac:dyDescent="0.3">
      <c r="A1036" s="2" t="s">
        <v>5771</v>
      </c>
      <c r="B1036" s="3" t="s">
        <v>4607</v>
      </c>
      <c r="C1036" s="2" t="s">
        <v>5858</v>
      </c>
      <c r="D1036" s="3" t="s">
        <v>4368</v>
      </c>
      <c r="E1036" s="2" t="s">
        <v>4270</v>
      </c>
      <c r="F1036" s="40">
        <v>208.13</v>
      </c>
      <c r="G1036" s="40">
        <v>2</v>
      </c>
      <c r="H1036" s="41">
        <v>416.26</v>
      </c>
    </row>
    <row r="1037" spans="1:8" ht="19.95" customHeight="1" x14ac:dyDescent="0.3">
      <c r="A1037" s="6" t="s">
        <v>5565</v>
      </c>
      <c r="B1037" s="7" t="s">
        <v>5566</v>
      </c>
      <c r="C1037" s="6" t="s">
        <v>5567</v>
      </c>
      <c r="D1037" s="7" t="s">
        <v>4448</v>
      </c>
      <c r="E1037" s="6" t="s">
        <v>4270</v>
      </c>
      <c r="F1037" s="42">
        <v>53.82</v>
      </c>
      <c r="G1037" s="42">
        <v>2</v>
      </c>
      <c r="H1037" s="43">
        <v>107.64</v>
      </c>
    </row>
    <row r="1038" spans="1:8" ht="19.95" customHeight="1" x14ac:dyDescent="0.3">
      <c r="A1038" s="2" t="s">
        <v>5565</v>
      </c>
      <c r="B1038" s="3" t="s">
        <v>5566</v>
      </c>
      <c r="C1038" s="2" t="s">
        <v>5567</v>
      </c>
      <c r="D1038" s="3" t="s">
        <v>4448</v>
      </c>
      <c r="E1038" s="2" t="s">
        <v>6225</v>
      </c>
      <c r="F1038" s="40">
        <v>50.57</v>
      </c>
      <c r="G1038" s="40">
        <v>2</v>
      </c>
      <c r="H1038" s="41">
        <v>101.14</v>
      </c>
    </row>
    <row r="1039" spans="1:8" ht="19.95" customHeight="1" x14ac:dyDescent="0.3">
      <c r="A1039" s="6" t="s">
        <v>5565</v>
      </c>
      <c r="B1039" s="7" t="s">
        <v>5566</v>
      </c>
      <c r="C1039" s="6" t="s">
        <v>5567</v>
      </c>
      <c r="D1039" s="7" t="s">
        <v>4448</v>
      </c>
      <c r="E1039" s="6" t="s">
        <v>6226</v>
      </c>
      <c r="F1039" s="42">
        <v>31.98</v>
      </c>
      <c r="G1039" s="42">
        <v>2</v>
      </c>
      <c r="H1039" s="43">
        <v>63.96</v>
      </c>
    </row>
    <row r="1040" spans="1:8" ht="19.95" customHeight="1" x14ac:dyDescent="0.3">
      <c r="A1040" s="2" t="s">
        <v>5565</v>
      </c>
      <c r="B1040" s="3" t="s">
        <v>5566</v>
      </c>
      <c r="C1040" s="2" t="s">
        <v>5567</v>
      </c>
      <c r="D1040" s="3" t="s">
        <v>4448</v>
      </c>
      <c r="E1040" s="2" t="s">
        <v>4270</v>
      </c>
      <c r="F1040" s="40">
        <v>38.090000000000003</v>
      </c>
      <c r="G1040" s="40">
        <v>2</v>
      </c>
      <c r="H1040" s="41">
        <v>76.180000000000007</v>
      </c>
    </row>
    <row r="1041" spans="1:8" ht="19.95" customHeight="1" x14ac:dyDescent="0.3">
      <c r="A1041" s="6" t="s">
        <v>5565</v>
      </c>
      <c r="B1041" s="7" t="s">
        <v>5568</v>
      </c>
      <c r="C1041" s="6" t="s">
        <v>5569</v>
      </c>
      <c r="D1041" s="7" t="s">
        <v>4448</v>
      </c>
      <c r="E1041" s="6" t="s">
        <v>4270</v>
      </c>
      <c r="F1041" s="42">
        <v>53.82</v>
      </c>
      <c r="G1041" s="42">
        <v>2</v>
      </c>
      <c r="H1041" s="43">
        <v>107.64</v>
      </c>
    </row>
    <row r="1042" spans="1:8" ht="19.95" customHeight="1" x14ac:dyDescent="0.3">
      <c r="A1042" s="2" t="s">
        <v>5565</v>
      </c>
      <c r="B1042" s="3" t="s">
        <v>5568</v>
      </c>
      <c r="C1042" s="2" t="s">
        <v>5569</v>
      </c>
      <c r="D1042" s="3" t="s">
        <v>4448</v>
      </c>
      <c r="E1042" s="2" t="s">
        <v>6225</v>
      </c>
      <c r="F1042" s="40">
        <v>50.57</v>
      </c>
      <c r="G1042" s="40">
        <v>2</v>
      </c>
      <c r="H1042" s="41">
        <v>101.14</v>
      </c>
    </row>
    <row r="1043" spans="1:8" ht="19.95" customHeight="1" x14ac:dyDescent="0.3">
      <c r="A1043" s="6" t="s">
        <v>5565</v>
      </c>
      <c r="B1043" s="7" t="s">
        <v>5568</v>
      </c>
      <c r="C1043" s="6" t="s">
        <v>5569</v>
      </c>
      <c r="D1043" s="7" t="s">
        <v>4448</v>
      </c>
      <c r="E1043" s="6" t="s">
        <v>6226</v>
      </c>
      <c r="F1043" s="42">
        <v>31.98</v>
      </c>
      <c r="G1043" s="42">
        <v>2</v>
      </c>
      <c r="H1043" s="43">
        <v>63.96</v>
      </c>
    </row>
    <row r="1044" spans="1:8" ht="19.95" customHeight="1" x14ac:dyDescent="0.3">
      <c r="A1044" s="2" t="s">
        <v>5565</v>
      </c>
      <c r="B1044" s="3" t="s">
        <v>5568</v>
      </c>
      <c r="C1044" s="2" t="s">
        <v>5569</v>
      </c>
      <c r="D1044" s="3" t="s">
        <v>4448</v>
      </c>
      <c r="E1044" s="2" t="s">
        <v>4270</v>
      </c>
      <c r="F1044" s="40">
        <v>38.090000000000003</v>
      </c>
      <c r="G1044" s="40">
        <v>2</v>
      </c>
      <c r="H1044" s="41">
        <v>76.180000000000007</v>
      </c>
    </row>
    <row r="1045" spans="1:8" ht="19.95" customHeight="1" x14ac:dyDescent="0.3">
      <c r="A1045" s="6" t="s">
        <v>5565</v>
      </c>
      <c r="B1045" s="7" t="s">
        <v>5570</v>
      </c>
      <c r="C1045" s="6" t="s">
        <v>5571</v>
      </c>
      <c r="D1045" s="7" t="s">
        <v>4448</v>
      </c>
      <c r="E1045" s="6" t="s">
        <v>4270</v>
      </c>
      <c r="F1045" s="42">
        <v>53.82</v>
      </c>
      <c r="G1045" s="42">
        <v>2</v>
      </c>
      <c r="H1045" s="43">
        <v>107.64</v>
      </c>
    </row>
    <row r="1046" spans="1:8" ht="19.95" customHeight="1" x14ac:dyDescent="0.3">
      <c r="A1046" s="2" t="s">
        <v>5565</v>
      </c>
      <c r="B1046" s="3" t="s">
        <v>5570</v>
      </c>
      <c r="C1046" s="2" t="s">
        <v>5571</v>
      </c>
      <c r="D1046" s="3" t="s">
        <v>4448</v>
      </c>
      <c r="E1046" s="2" t="s">
        <v>6225</v>
      </c>
      <c r="F1046" s="40">
        <v>50.57</v>
      </c>
      <c r="G1046" s="40">
        <v>2</v>
      </c>
      <c r="H1046" s="41">
        <v>101.14</v>
      </c>
    </row>
    <row r="1047" spans="1:8" ht="19.95" customHeight="1" x14ac:dyDescent="0.3">
      <c r="A1047" s="6" t="s">
        <v>5565</v>
      </c>
      <c r="B1047" s="7" t="s">
        <v>5570</v>
      </c>
      <c r="C1047" s="6" t="s">
        <v>5571</v>
      </c>
      <c r="D1047" s="7" t="s">
        <v>4448</v>
      </c>
      <c r="E1047" s="6" t="s">
        <v>6226</v>
      </c>
      <c r="F1047" s="42">
        <v>31.98</v>
      </c>
      <c r="G1047" s="42">
        <v>2</v>
      </c>
      <c r="H1047" s="43">
        <v>63.96</v>
      </c>
    </row>
    <row r="1048" spans="1:8" ht="19.95" customHeight="1" x14ac:dyDescent="0.3">
      <c r="A1048" s="2" t="s">
        <v>5565</v>
      </c>
      <c r="B1048" s="3" t="s">
        <v>5570</v>
      </c>
      <c r="C1048" s="2" t="s">
        <v>5571</v>
      </c>
      <c r="D1048" s="3" t="s">
        <v>4448</v>
      </c>
      <c r="E1048" s="2" t="s">
        <v>4270</v>
      </c>
      <c r="F1048" s="40">
        <v>38.090000000000003</v>
      </c>
      <c r="G1048" s="40">
        <v>2</v>
      </c>
      <c r="H1048" s="41">
        <v>76.180000000000007</v>
      </c>
    </row>
    <row r="1049" spans="1:8" ht="19.95" customHeight="1" x14ac:dyDescent="0.3">
      <c r="A1049" s="6" t="s">
        <v>5565</v>
      </c>
      <c r="B1049" s="7" t="s">
        <v>5682</v>
      </c>
      <c r="C1049" s="6" t="s">
        <v>5683</v>
      </c>
      <c r="D1049" s="7" t="s">
        <v>4344</v>
      </c>
      <c r="E1049" s="6" t="s">
        <v>4270</v>
      </c>
      <c r="F1049" s="42">
        <v>13.52</v>
      </c>
      <c r="G1049" s="42">
        <v>2</v>
      </c>
      <c r="H1049" s="43">
        <v>27.04</v>
      </c>
    </row>
    <row r="1050" spans="1:8" ht="19.95" customHeight="1" x14ac:dyDescent="0.3">
      <c r="A1050" s="2" t="s">
        <v>5565</v>
      </c>
      <c r="B1050" s="3" t="s">
        <v>5684</v>
      </c>
      <c r="C1050" s="2" t="s">
        <v>5685</v>
      </c>
      <c r="D1050" s="3" t="s">
        <v>4344</v>
      </c>
      <c r="E1050" s="2" t="s">
        <v>4270</v>
      </c>
      <c r="F1050" s="40">
        <v>13.52</v>
      </c>
      <c r="G1050" s="40">
        <v>2</v>
      </c>
      <c r="H1050" s="41">
        <v>27.04</v>
      </c>
    </row>
    <row r="1051" spans="1:8" ht="19.95" customHeight="1" x14ac:dyDescent="0.3">
      <c r="A1051" s="6" t="s">
        <v>5565</v>
      </c>
      <c r="B1051" s="7" t="s">
        <v>5712</v>
      </c>
      <c r="C1051" s="6" t="s">
        <v>5713</v>
      </c>
      <c r="D1051" s="7" t="s">
        <v>4435</v>
      </c>
      <c r="E1051" s="6" t="s">
        <v>4270</v>
      </c>
      <c r="F1051" s="42">
        <v>13.52</v>
      </c>
      <c r="G1051" s="42">
        <v>2</v>
      </c>
      <c r="H1051" s="43">
        <v>27.04</v>
      </c>
    </row>
    <row r="1052" spans="1:8" ht="19.95" customHeight="1" x14ac:dyDescent="0.3">
      <c r="A1052" s="2" t="s">
        <v>5565</v>
      </c>
      <c r="B1052" s="3" t="s">
        <v>5748</v>
      </c>
      <c r="C1052" s="2" t="s">
        <v>5749</v>
      </c>
      <c r="D1052" s="3" t="s">
        <v>4350</v>
      </c>
      <c r="E1052" s="2" t="s">
        <v>4270</v>
      </c>
      <c r="F1052" s="40">
        <v>10.79</v>
      </c>
      <c r="G1052" s="40">
        <v>2</v>
      </c>
      <c r="H1052" s="41">
        <v>21.58</v>
      </c>
    </row>
    <row r="1053" spans="1:8" ht="19.95" customHeight="1" x14ac:dyDescent="0.3">
      <c r="A1053" s="6" t="s">
        <v>5565</v>
      </c>
      <c r="B1053" s="7" t="s">
        <v>5760</v>
      </c>
      <c r="C1053" s="6" t="s">
        <v>5761</v>
      </c>
      <c r="D1053" s="7" t="s">
        <v>4435</v>
      </c>
      <c r="E1053" s="6" t="s">
        <v>4270</v>
      </c>
      <c r="F1053" s="42">
        <v>5.33</v>
      </c>
      <c r="G1053" s="42">
        <v>2</v>
      </c>
      <c r="H1053" s="43">
        <v>10.66</v>
      </c>
    </row>
    <row r="1054" spans="1:8" ht="19.95" customHeight="1" x14ac:dyDescent="0.3">
      <c r="A1054" s="2" t="s">
        <v>5565</v>
      </c>
      <c r="B1054" s="3" t="s">
        <v>5760</v>
      </c>
      <c r="C1054" s="2" t="s">
        <v>5761</v>
      </c>
      <c r="D1054" s="3" t="s">
        <v>4435</v>
      </c>
      <c r="E1054" s="2" t="s">
        <v>4270</v>
      </c>
      <c r="F1054" s="40">
        <v>12.61</v>
      </c>
      <c r="G1054" s="40">
        <v>2</v>
      </c>
      <c r="H1054" s="41">
        <v>25.22</v>
      </c>
    </row>
    <row r="1055" spans="1:8" ht="19.95" customHeight="1" x14ac:dyDescent="0.3">
      <c r="A1055" s="6" t="s">
        <v>5565</v>
      </c>
      <c r="B1055" s="7" t="s">
        <v>5762</v>
      </c>
      <c r="C1055" s="6" t="s">
        <v>5763</v>
      </c>
      <c r="D1055" s="7" t="s">
        <v>4435</v>
      </c>
      <c r="E1055" s="6" t="s">
        <v>4270</v>
      </c>
      <c r="F1055" s="42">
        <v>5.33</v>
      </c>
      <c r="G1055" s="42">
        <v>2</v>
      </c>
      <c r="H1055" s="43">
        <v>10.66</v>
      </c>
    </row>
    <row r="1056" spans="1:8" ht="19.95" customHeight="1" x14ac:dyDescent="0.3">
      <c r="A1056" s="2" t="s">
        <v>5565</v>
      </c>
      <c r="B1056" s="3" t="s">
        <v>5762</v>
      </c>
      <c r="C1056" s="2" t="s">
        <v>5763</v>
      </c>
      <c r="D1056" s="3" t="s">
        <v>4435</v>
      </c>
      <c r="E1056" s="2" t="s">
        <v>4270</v>
      </c>
      <c r="F1056" s="40">
        <v>12.61</v>
      </c>
      <c r="G1056" s="40">
        <v>2</v>
      </c>
      <c r="H1056" s="41">
        <v>25.22</v>
      </c>
    </row>
    <row r="1057" spans="1:8" ht="19.95" customHeight="1" x14ac:dyDescent="0.3">
      <c r="A1057" s="6" t="s">
        <v>5565</v>
      </c>
      <c r="B1057" s="7" t="s">
        <v>5764</v>
      </c>
      <c r="C1057" s="6" t="s">
        <v>5765</v>
      </c>
      <c r="D1057" s="7" t="s">
        <v>5766</v>
      </c>
      <c r="E1057" s="6" t="s">
        <v>4270</v>
      </c>
      <c r="F1057" s="42">
        <v>39.520000000000003</v>
      </c>
      <c r="G1057" s="42">
        <v>2</v>
      </c>
      <c r="H1057" s="43">
        <v>79.040000000000006</v>
      </c>
    </row>
    <row r="1058" spans="1:8" ht="19.95" customHeight="1" x14ac:dyDescent="0.3">
      <c r="A1058" s="2" t="s">
        <v>5565</v>
      </c>
      <c r="B1058" s="3" t="s">
        <v>5575</v>
      </c>
      <c r="C1058" s="2" t="s">
        <v>5576</v>
      </c>
      <c r="D1058" s="3" t="s">
        <v>5577</v>
      </c>
      <c r="E1058" s="2" t="s">
        <v>4270</v>
      </c>
      <c r="F1058" s="40">
        <v>20.67</v>
      </c>
      <c r="G1058" s="40">
        <v>2</v>
      </c>
      <c r="H1058" s="41">
        <v>41.34</v>
      </c>
    </row>
    <row r="1059" spans="1:8" ht="19.95" customHeight="1" x14ac:dyDescent="0.3">
      <c r="A1059" s="6" t="s">
        <v>5565</v>
      </c>
      <c r="B1059" s="7" t="s">
        <v>5578</v>
      </c>
      <c r="C1059" s="6" t="s">
        <v>5579</v>
      </c>
      <c r="D1059" s="7" t="s">
        <v>5580</v>
      </c>
      <c r="E1059" s="6" t="s">
        <v>4270</v>
      </c>
      <c r="F1059" s="42">
        <v>6.76</v>
      </c>
      <c r="G1059" s="42">
        <v>2</v>
      </c>
      <c r="H1059" s="43">
        <v>13.52</v>
      </c>
    </row>
    <row r="1060" spans="1:8" ht="19.95" customHeight="1" x14ac:dyDescent="0.3">
      <c r="A1060" s="2" t="s">
        <v>5565</v>
      </c>
      <c r="B1060" s="3" t="s">
        <v>5581</v>
      </c>
      <c r="C1060" s="2" t="s">
        <v>5582</v>
      </c>
      <c r="D1060" s="3" t="s">
        <v>5580</v>
      </c>
      <c r="E1060" s="2" t="s">
        <v>4270</v>
      </c>
      <c r="F1060" s="40">
        <v>6.76</v>
      </c>
      <c r="G1060" s="40">
        <v>2</v>
      </c>
      <c r="H1060" s="41">
        <v>13.52</v>
      </c>
    </row>
    <row r="1061" spans="1:8" ht="19.95" customHeight="1" x14ac:dyDescent="0.3">
      <c r="A1061" s="6" t="s">
        <v>5565</v>
      </c>
      <c r="B1061" s="7" t="s">
        <v>5583</v>
      </c>
      <c r="C1061" s="6" t="s">
        <v>5584</v>
      </c>
      <c r="D1061" s="7" t="s">
        <v>5580</v>
      </c>
      <c r="E1061" s="6" t="s">
        <v>4270</v>
      </c>
      <c r="F1061" s="42">
        <v>7.15</v>
      </c>
      <c r="G1061" s="42">
        <v>2</v>
      </c>
      <c r="H1061" s="43">
        <v>14.3</v>
      </c>
    </row>
    <row r="1062" spans="1:8" ht="19.95" customHeight="1" x14ac:dyDescent="0.3">
      <c r="A1062" s="2" t="s">
        <v>5565</v>
      </c>
      <c r="B1062" s="3" t="s">
        <v>5585</v>
      </c>
      <c r="C1062" s="2" t="s">
        <v>5586</v>
      </c>
      <c r="D1062" s="3" t="s">
        <v>5587</v>
      </c>
      <c r="E1062" s="2" t="s">
        <v>4270</v>
      </c>
      <c r="F1062" s="40">
        <v>6.63</v>
      </c>
      <c r="G1062" s="40">
        <v>2</v>
      </c>
      <c r="H1062" s="41">
        <v>13.26</v>
      </c>
    </row>
    <row r="1063" spans="1:8" ht="19.95" customHeight="1" x14ac:dyDescent="0.3">
      <c r="A1063" s="6" t="s">
        <v>5565</v>
      </c>
      <c r="B1063" s="7" t="s">
        <v>5588</v>
      </c>
      <c r="C1063" s="6" t="s">
        <v>5589</v>
      </c>
      <c r="D1063" s="7" t="s">
        <v>4368</v>
      </c>
      <c r="E1063" s="6" t="s">
        <v>4270</v>
      </c>
      <c r="F1063" s="42">
        <v>3.25</v>
      </c>
      <c r="G1063" s="42">
        <v>2</v>
      </c>
      <c r="H1063" s="43">
        <v>6.5</v>
      </c>
    </row>
    <row r="1064" spans="1:8" ht="19.95" customHeight="1" x14ac:dyDescent="0.3">
      <c r="A1064" s="2" t="s">
        <v>5565</v>
      </c>
      <c r="B1064" s="3" t="s">
        <v>5590</v>
      </c>
      <c r="C1064" s="2" t="s">
        <v>5591</v>
      </c>
      <c r="D1064" s="3" t="s">
        <v>4368</v>
      </c>
      <c r="E1064" s="2" t="s">
        <v>6227</v>
      </c>
      <c r="F1064" s="40">
        <v>3.25</v>
      </c>
      <c r="G1064" s="40">
        <v>2</v>
      </c>
      <c r="H1064" s="41">
        <v>6.5</v>
      </c>
    </row>
    <row r="1065" spans="1:8" ht="19.95" customHeight="1" x14ac:dyDescent="0.3">
      <c r="A1065" s="6" t="s">
        <v>5565</v>
      </c>
      <c r="B1065" s="7" t="s">
        <v>5590</v>
      </c>
      <c r="C1065" s="6" t="s">
        <v>5591</v>
      </c>
      <c r="D1065" s="7" t="s">
        <v>4368</v>
      </c>
      <c r="E1065" s="6" t="s">
        <v>4270</v>
      </c>
      <c r="F1065" s="42">
        <v>3.25</v>
      </c>
      <c r="G1065" s="42">
        <v>2</v>
      </c>
      <c r="H1065" s="43">
        <v>6.5</v>
      </c>
    </row>
    <row r="1066" spans="1:8" ht="19.95" customHeight="1" x14ac:dyDescent="0.3">
      <c r="A1066" s="2" t="s">
        <v>5565</v>
      </c>
      <c r="B1066" s="3" t="s">
        <v>5592</v>
      </c>
      <c r="C1066" s="2" t="s">
        <v>5593</v>
      </c>
      <c r="D1066" s="3" t="s">
        <v>4368</v>
      </c>
      <c r="E1066" s="2" t="s">
        <v>4270</v>
      </c>
      <c r="F1066" s="40">
        <v>6.24</v>
      </c>
      <c r="G1066" s="40">
        <v>2</v>
      </c>
      <c r="H1066" s="41">
        <v>12.48</v>
      </c>
    </row>
    <row r="1067" spans="1:8" ht="19.95" customHeight="1" x14ac:dyDescent="0.3">
      <c r="A1067" s="6" t="s">
        <v>5565</v>
      </c>
      <c r="B1067" s="7" t="s">
        <v>5594</v>
      </c>
      <c r="C1067" s="6" t="s">
        <v>5595</v>
      </c>
      <c r="D1067" s="7" t="s">
        <v>4368</v>
      </c>
      <c r="E1067" s="6" t="s">
        <v>4270</v>
      </c>
      <c r="F1067" s="42">
        <v>6.24</v>
      </c>
      <c r="G1067" s="42">
        <v>2</v>
      </c>
      <c r="H1067" s="43">
        <v>12.48</v>
      </c>
    </row>
    <row r="1068" spans="1:8" ht="19.95" customHeight="1" x14ac:dyDescent="0.3">
      <c r="A1068" s="2" t="s">
        <v>5565</v>
      </c>
      <c r="B1068" s="3" t="s">
        <v>5596</v>
      </c>
      <c r="C1068" s="2" t="s">
        <v>5597</v>
      </c>
      <c r="D1068" s="3" t="s">
        <v>4435</v>
      </c>
      <c r="E1068" s="2" t="s">
        <v>4270</v>
      </c>
      <c r="F1068" s="40">
        <v>6.76</v>
      </c>
      <c r="G1068" s="40">
        <v>2</v>
      </c>
      <c r="H1068" s="41">
        <v>13.52</v>
      </c>
    </row>
    <row r="1069" spans="1:8" ht="19.95" customHeight="1" x14ac:dyDescent="0.3">
      <c r="A1069" s="6" t="s">
        <v>5565</v>
      </c>
      <c r="B1069" s="7" t="s">
        <v>6228</v>
      </c>
      <c r="C1069" s="6" t="s">
        <v>6229</v>
      </c>
      <c r="D1069" s="7" t="s">
        <v>4368</v>
      </c>
      <c r="E1069" s="6" t="s">
        <v>6230</v>
      </c>
      <c r="F1069" s="42">
        <v>10.79</v>
      </c>
      <c r="G1069" s="42">
        <v>2</v>
      </c>
      <c r="H1069" s="43">
        <v>21.58</v>
      </c>
    </row>
    <row r="1070" spans="1:8" ht="19.95" customHeight="1" x14ac:dyDescent="0.3">
      <c r="A1070" s="2" t="s">
        <v>5565</v>
      </c>
      <c r="B1070" s="3" t="s">
        <v>5598</v>
      </c>
      <c r="C1070" s="2" t="s">
        <v>5599</v>
      </c>
      <c r="D1070" s="3" t="s">
        <v>5600</v>
      </c>
      <c r="E1070" s="2" t="s">
        <v>4270</v>
      </c>
      <c r="F1070" s="40">
        <v>6.24</v>
      </c>
      <c r="G1070" s="40">
        <v>2</v>
      </c>
      <c r="H1070" s="41">
        <v>12.48</v>
      </c>
    </row>
    <row r="1071" spans="1:8" ht="19.95" customHeight="1" x14ac:dyDescent="0.3">
      <c r="A1071" s="6" t="s">
        <v>5565</v>
      </c>
      <c r="B1071" s="7" t="s">
        <v>5601</v>
      </c>
      <c r="C1071" s="6" t="s">
        <v>5602</v>
      </c>
      <c r="D1071" s="7" t="s">
        <v>5603</v>
      </c>
      <c r="E1071" s="6" t="s">
        <v>4270</v>
      </c>
      <c r="F1071" s="42">
        <v>13.39</v>
      </c>
      <c r="G1071" s="42">
        <v>2</v>
      </c>
      <c r="H1071" s="43">
        <v>26.78</v>
      </c>
    </row>
    <row r="1072" spans="1:8" ht="19.95" customHeight="1" x14ac:dyDescent="0.3">
      <c r="A1072" s="2" t="s">
        <v>5565</v>
      </c>
      <c r="B1072" s="3" t="s">
        <v>5604</v>
      </c>
      <c r="C1072" s="2" t="s">
        <v>5605</v>
      </c>
      <c r="D1072" s="3" t="s">
        <v>4368</v>
      </c>
      <c r="E1072" s="2" t="s">
        <v>4270</v>
      </c>
      <c r="F1072" s="40">
        <v>1.04</v>
      </c>
      <c r="G1072" s="40">
        <v>2</v>
      </c>
      <c r="H1072" s="41">
        <v>2.08</v>
      </c>
    </row>
    <row r="1073" spans="1:8" ht="19.95" customHeight="1" x14ac:dyDescent="0.3">
      <c r="A1073" s="6" t="s">
        <v>5565</v>
      </c>
      <c r="B1073" s="7" t="s">
        <v>5606</v>
      </c>
      <c r="C1073" s="6" t="s">
        <v>5607</v>
      </c>
      <c r="D1073" s="7" t="s">
        <v>5608</v>
      </c>
      <c r="E1073" s="6" t="s">
        <v>6231</v>
      </c>
      <c r="F1073" s="42">
        <v>13.52</v>
      </c>
      <c r="G1073" s="42">
        <v>2</v>
      </c>
      <c r="H1073" s="43">
        <v>27.04</v>
      </c>
    </row>
    <row r="1074" spans="1:8" ht="19.95" customHeight="1" x14ac:dyDescent="0.3">
      <c r="A1074" s="2" t="s">
        <v>5565</v>
      </c>
      <c r="B1074" s="3" t="s">
        <v>4591</v>
      </c>
      <c r="C1074" s="2" t="s">
        <v>5851</v>
      </c>
      <c r="D1074" s="3" t="s">
        <v>4368</v>
      </c>
      <c r="E1074" s="2" t="s">
        <v>346</v>
      </c>
      <c r="F1074" s="40">
        <v>5.33</v>
      </c>
      <c r="G1074" s="40">
        <v>2</v>
      </c>
      <c r="H1074" s="41">
        <v>10.66</v>
      </c>
    </row>
    <row r="1075" spans="1:8" ht="19.95" customHeight="1" x14ac:dyDescent="0.3">
      <c r="A1075" s="6" t="s">
        <v>5565</v>
      </c>
      <c r="B1075" s="7" t="s">
        <v>4591</v>
      </c>
      <c r="C1075" s="6" t="s">
        <v>5851</v>
      </c>
      <c r="D1075" s="7" t="s">
        <v>4368</v>
      </c>
      <c r="E1075" s="6" t="s">
        <v>6232</v>
      </c>
      <c r="F1075" s="42">
        <v>8.06</v>
      </c>
      <c r="G1075" s="42">
        <v>2</v>
      </c>
      <c r="H1075" s="43">
        <v>16.12</v>
      </c>
    </row>
    <row r="1076" spans="1:8" ht="19.95" customHeight="1" x14ac:dyDescent="0.3">
      <c r="A1076" s="2" t="s">
        <v>5565</v>
      </c>
      <c r="B1076" s="3" t="s">
        <v>4595</v>
      </c>
      <c r="C1076" s="2" t="s">
        <v>4931</v>
      </c>
      <c r="D1076" s="3" t="s">
        <v>4368</v>
      </c>
      <c r="E1076" s="2" t="s">
        <v>4270</v>
      </c>
      <c r="F1076" s="40">
        <v>6.76</v>
      </c>
      <c r="G1076" s="40">
        <v>2</v>
      </c>
      <c r="H1076" s="41">
        <v>13.52</v>
      </c>
    </row>
    <row r="1077" spans="1:8" ht="19.95" customHeight="1" x14ac:dyDescent="0.3">
      <c r="A1077" s="6" t="s">
        <v>5565</v>
      </c>
      <c r="B1077" s="7" t="s">
        <v>4591</v>
      </c>
      <c r="C1077" s="6" t="s">
        <v>5851</v>
      </c>
      <c r="D1077" s="7" t="s">
        <v>4368</v>
      </c>
      <c r="E1077" s="6" t="s">
        <v>346</v>
      </c>
      <c r="F1077" s="42">
        <v>5.33</v>
      </c>
      <c r="G1077" s="42">
        <v>2</v>
      </c>
      <c r="H1077" s="43">
        <v>10.66</v>
      </c>
    </row>
    <row r="1078" spans="1:8" ht="19.95" customHeight="1" x14ac:dyDescent="0.3">
      <c r="A1078" s="2" t="s">
        <v>5565</v>
      </c>
      <c r="B1078" s="3" t="s">
        <v>4591</v>
      </c>
      <c r="C1078" s="2" t="s">
        <v>5851</v>
      </c>
      <c r="D1078" s="3" t="s">
        <v>4368</v>
      </c>
      <c r="E1078" s="2" t="s">
        <v>6232</v>
      </c>
      <c r="F1078" s="40">
        <v>8.06</v>
      </c>
      <c r="G1078" s="40">
        <v>2</v>
      </c>
      <c r="H1078" s="41">
        <v>16.12</v>
      </c>
    </row>
    <row r="1079" spans="1:8" ht="19.95" customHeight="1" x14ac:dyDescent="0.3">
      <c r="A1079" s="6" t="s">
        <v>5565</v>
      </c>
      <c r="B1079" s="7" t="s">
        <v>4595</v>
      </c>
      <c r="C1079" s="6" t="s">
        <v>4931</v>
      </c>
      <c r="D1079" s="7" t="s">
        <v>4368</v>
      </c>
      <c r="E1079" s="6" t="s">
        <v>4270</v>
      </c>
      <c r="F1079" s="42">
        <v>6.76</v>
      </c>
      <c r="G1079" s="42">
        <v>2</v>
      </c>
      <c r="H1079" s="43">
        <v>13.52</v>
      </c>
    </row>
    <row r="1080" spans="1:8" ht="19.95" customHeight="1" x14ac:dyDescent="0.3">
      <c r="A1080" s="2" t="s">
        <v>5565</v>
      </c>
      <c r="B1080" s="3" t="s">
        <v>5609</v>
      </c>
      <c r="C1080" s="2" t="s">
        <v>5610</v>
      </c>
      <c r="D1080" s="3" t="s">
        <v>4368</v>
      </c>
      <c r="E1080" s="2" t="s">
        <v>6233</v>
      </c>
      <c r="F1080" s="40">
        <v>26.91</v>
      </c>
      <c r="G1080" s="40">
        <v>2</v>
      </c>
      <c r="H1080" s="41">
        <v>53.82</v>
      </c>
    </row>
    <row r="1081" spans="1:8" ht="19.95" customHeight="1" x14ac:dyDescent="0.3">
      <c r="A1081" s="6" t="s">
        <v>5565</v>
      </c>
      <c r="B1081" s="7" t="s">
        <v>4595</v>
      </c>
      <c r="C1081" s="6" t="s">
        <v>4931</v>
      </c>
      <c r="D1081" s="7" t="s">
        <v>4368</v>
      </c>
      <c r="E1081" s="6" t="s">
        <v>4270</v>
      </c>
      <c r="F1081" s="42">
        <v>1.82</v>
      </c>
      <c r="G1081" s="42">
        <v>2</v>
      </c>
      <c r="H1081" s="43">
        <v>3.64</v>
      </c>
    </row>
    <row r="1082" spans="1:8" ht="19.95" customHeight="1" x14ac:dyDescent="0.3">
      <c r="A1082" s="2" t="s">
        <v>5565</v>
      </c>
      <c r="B1082" s="3" t="s">
        <v>4607</v>
      </c>
      <c r="C1082" s="2" t="s">
        <v>4838</v>
      </c>
      <c r="D1082" s="3" t="s">
        <v>4368</v>
      </c>
      <c r="E1082" s="2" t="s">
        <v>4270</v>
      </c>
      <c r="F1082" s="40">
        <v>13</v>
      </c>
      <c r="G1082" s="40">
        <v>2</v>
      </c>
      <c r="H1082" s="41">
        <v>26</v>
      </c>
    </row>
    <row r="1083" spans="1:8" ht="19.95" customHeight="1" x14ac:dyDescent="0.3">
      <c r="A1083" s="6" t="s">
        <v>5565</v>
      </c>
      <c r="B1083" s="7" t="s">
        <v>5618</v>
      </c>
      <c r="C1083" s="6" t="s">
        <v>5619</v>
      </c>
      <c r="D1083" s="7" t="s">
        <v>5620</v>
      </c>
      <c r="E1083" s="6" t="s">
        <v>6234</v>
      </c>
      <c r="F1083" s="42">
        <v>2.4700000000000002</v>
      </c>
      <c r="G1083" s="42">
        <v>2</v>
      </c>
      <c r="H1083" s="43">
        <v>4.9400000000000004</v>
      </c>
    </row>
    <row r="1084" spans="1:8" ht="19.95" customHeight="1" x14ac:dyDescent="0.3">
      <c r="A1084" s="2" t="s">
        <v>5565</v>
      </c>
      <c r="B1084" s="3" t="s">
        <v>5618</v>
      </c>
      <c r="C1084" s="2" t="s">
        <v>5619</v>
      </c>
      <c r="D1084" s="3" t="s">
        <v>5620</v>
      </c>
      <c r="E1084" s="2" t="s">
        <v>4270</v>
      </c>
      <c r="F1084" s="40">
        <v>1.3</v>
      </c>
      <c r="G1084" s="40">
        <v>2</v>
      </c>
      <c r="H1084" s="41">
        <v>2.6</v>
      </c>
    </row>
    <row r="1085" spans="1:8" ht="19.95" customHeight="1" x14ac:dyDescent="0.3">
      <c r="A1085" s="6" t="s">
        <v>5565</v>
      </c>
      <c r="B1085" s="7" t="s">
        <v>5618</v>
      </c>
      <c r="C1085" s="6" t="s">
        <v>5619</v>
      </c>
      <c r="D1085" s="7" t="s">
        <v>5620</v>
      </c>
      <c r="E1085" s="6" t="s">
        <v>4270</v>
      </c>
      <c r="F1085" s="42">
        <v>5.07</v>
      </c>
      <c r="G1085" s="42">
        <v>2</v>
      </c>
      <c r="H1085" s="43">
        <v>10.14</v>
      </c>
    </row>
    <row r="1086" spans="1:8" ht="19.95" customHeight="1" x14ac:dyDescent="0.3">
      <c r="A1086" s="2" t="s">
        <v>5565</v>
      </c>
      <c r="B1086" s="3" t="s">
        <v>4595</v>
      </c>
      <c r="C1086" s="2" t="s">
        <v>4931</v>
      </c>
      <c r="D1086" s="3" t="s">
        <v>4368</v>
      </c>
      <c r="E1086" s="2" t="s">
        <v>5878</v>
      </c>
      <c r="F1086" s="40">
        <v>1.69</v>
      </c>
      <c r="G1086" s="40">
        <v>2</v>
      </c>
      <c r="H1086" s="41">
        <v>3.38</v>
      </c>
    </row>
    <row r="1087" spans="1:8" ht="19.95" customHeight="1" x14ac:dyDescent="0.3">
      <c r="A1087" s="6" t="s">
        <v>5565</v>
      </c>
      <c r="B1087" s="7" t="s">
        <v>4595</v>
      </c>
      <c r="C1087" s="6" t="s">
        <v>4931</v>
      </c>
      <c r="D1087" s="7" t="s">
        <v>4368</v>
      </c>
      <c r="E1087" s="6" t="s">
        <v>4270</v>
      </c>
      <c r="F1087" s="42">
        <v>1.43</v>
      </c>
      <c r="G1087" s="42">
        <v>2</v>
      </c>
      <c r="H1087" s="43">
        <v>2.86</v>
      </c>
    </row>
    <row r="1088" spans="1:8" ht="19.95" customHeight="1" x14ac:dyDescent="0.3">
      <c r="A1088" s="2" t="s">
        <v>5565</v>
      </c>
      <c r="B1088" s="3" t="s">
        <v>5621</v>
      </c>
      <c r="C1088" s="2" t="s">
        <v>5622</v>
      </c>
      <c r="D1088" s="3" t="s">
        <v>5044</v>
      </c>
      <c r="E1088" s="2" t="s">
        <v>6234</v>
      </c>
      <c r="F1088" s="40">
        <v>0.26</v>
      </c>
      <c r="G1088" s="40">
        <v>2</v>
      </c>
      <c r="H1088" s="41">
        <v>0.52</v>
      </c>
    </row>
    <row r="1089" spans="1:8" ht="19.95" customHeight="1" x14ac:dyDescent="0.3">
      <c r="A1089" s="6" t="s">
        <v>5565</v>
      </c>
      <c r="B1089" s="7" t="s">
        <v>5621</v>
      </c>
      <c r="C1089" s="6" t="s">
        <v>5622</v>
      </c>
      <c r="D1089" s="7" t="s">
        <v>5044</v>
      </c>
      <c r="E1089" s="6" t="s">
        <v>4270</v>
      </c>
      <c r="F1089" s="42">
        <v>0.13</v>
      </c>
      <c r="G1089" s="42">
        <v>2</v>
      </c>
      <c r="H1089" s="43">
        <v>0.26</v>
      </c>
    </row>
    <row r="1090" spans="1:8" ht="19.95" customHeight="1" x14ac:dyDescent="0.3">
      <c r="A1090" s="2" t="s">
        <v>5565</v>
      </c>
      <c r="B1090" s="3" t="s">
        <v>4605</v>
      </c>
      <c r="C1090" s="2" t="s">
        <v>4835</v>
      </c>
      <c r="D1090" s="3" t="s">
        <v>4368</v>
      </c>
      <c r="E1090" s="2" t="s">
        <v>4270</v>
      </c>
      <c r="F1090" s="40">
        <v>0.39</v>
      </c>
      <c r="G1090" s="40">
        <v>2</v>
      </c>
      <c r="H1090" s="41">
        <v>0.78</v>
      </c>
    </row>
    <row r="1091" spans="1:8" ht="19.95" customHeight="1" x14ac:dyDescent="0.3">
      <c r="A1091" s="6" t="s">
        <v>5565</v>
      </c>
      <c r="B1091" s="7" t="s">
        <v>4605</v>
      </c>
      <c r="C1091" s="6" t="s">
        <v>4835</v>
      </c>
      <c r="D1091" s="7" t="s">
        <v>4368</v>
      </c>
      <c r="E1091" s="6" t="s">
        <v>6235</v>
      </c>
      <c r="F1091" s="42">
        <v>0.26</v>
      </c>
      <c r="G1091" s="42">
        <v>2</v>
      </c>
      <c r="H1091" s="43">
        <v>0.52</v>
      </c>
    </row>
    <row r="1092" spans="1:8" ht="19.95" customHeight="1" x14ac:dyDescent="0.3">
      <c r="A1092" s="2" t="s">
        <v>5565</v>
      </c>
      <c r="B1092" s="3" t="s">
        <v>4605</v>
      </c>
      <c r="C1092" s="2" t="s">
        <v>4835</v>
      </c>
      <c r="D1092" s="3" t="s">
        <v>4368</v>
      </c>
      <c r="E1092" s="2" t="s">
        <v>4270</v>
      </c>
      <c r="F1092" s="40">
        <v>13.52</v>
      </c>
      <c r="G1092" s="40">
        <v>2</v>
      </c>
      <c r="H1092" s="41">
        <v>27.04</v>
      </c>
    </row>
    <row r="1093" spans="1:8" ht="19.95" customHeight="1" x14ac:dyDescent="0.3">
      <c r="A1093" s="6" t="s">
        <v>5565</v>
      </c>
      <c r="B1093" s="7" t="s">
        <v>4595</v>
      </c>
      <c r="C1093" s="6" t="s">
        <v>4931</v>
      </c>
      <c r="D1093" s="7" t="s">
        <v>4368</v>
      </c>
      <c r="E1093" s="6" t="s">
        <v>4270</v>
      </c>
      <c r="F1093" s="42">
        <v>16.12</v>
      </c>
      <c r="G1093" s="42">
        <v>2</v>
      </c>
      <c r="H1093" s="43">
        <v>32.24</v>
      </c>
    </row>
    <row r="1094" spans="1:8" ht="19.95" customHeight="1" x14ac:dyDescent="0.3">
      <c r="A1094" s="2" t="s">
        <v>5565</v>
      </c>
      <c r="B1094" s="3" t="s">
        <v>4607</v>
      </c>
      <c r="C1094" s="2" t="s">
        <v>4838</v>
      </c>
      <c r="D1094" s="3" t="s">
        <v>4368</v>
      </c>
      <c r="E1094" s="2" t="s">
        <v>4270</v>
      </c>
      <c r="F1094" s="40">
        <v>16.12</v>
      </c>
      <c r="G1094" s="40">
        <v>2</v>
      </c>
      <c r="H1094" s="41">
        <v>32.24</v>
      </c>
    </row>
    <row r="1095" spans="1:8" ht="19.95" customHeight="1" x14ac:dyDescent="0.3">
      <c r="A1095" s="6" t="s">
        <v>5565</v>
      </c>
      <c r="B1095" s="7" t="s">
        <v>5623</v>
      </c>
      <c r="C1095" s="6" t="s">
        <v>5624</v>
      </c>
      <c r="D1095" s="7" t="s">
        <v>4416</v>
      </c>
      <c r="E1095" s="6" t="s">
        <v>6236</v>
      </c>
      <c r="F1095" s="42">
        <v>26.91</v>
      </c>
      <c r="G1095" s="42">
        <v>2</v>
      </c>
      <c r="H1095" s="43">
        <v>53.82</v>
      </c>
    </row>
    <row r="1096" spans="1:8" ht="19.95" customHeight="1" x14ac:dyDescent="0.3">
      <c r="A1096" s="2" t="s">
        <v>5565</v>
      </c>
      <c r="B1096" s="3" t="s">
        <v>5623</v>
      </c>
      <c r="C1096" s="2" t="s">
        <v>5624</v>
      </c>
      <c r="D1096" s="3" t="s">
        <v>4416</v>
      </c>
      <c r="E1096" s="2" t="s">
        <v>5880</v>
      </c>
      <c r="F1096" s="40">
        <v>31.07</v>
      </c>
      <c r="G1096" s="40">
        <v>2</v>
      </c>
      <c r="H1096" s="41">
        <v>62.14</v>
      </c>
    </row>
    <row r="1097" spans="1:8" ht="19.95" customHeight="1" x14ac:dyDescent="0.3">
      <c r="A1097" s="6" t="s">
        <v>5565</v>
      </c>
      <c r="B1097" s="7" t="s">
        <v>5623</v>
      </c>
      <c r="C1097" s="6" t="s">
        <v>5624</v>
      </c>
      <c r="D1097" s="7" t="s">
        <v>4416</v>
      </c>
      <c r="E1097" s="6" t="s">
        <v>4270</v>
      </c>
      <c r="F1097" s="42">
        <v>31.07</v>
      </c>
      <c r="G1097" s="42">
        <v>2</v>
      </c>
      <c r="H1097" s="43">
        <v>62.14</v>
      </c>
    </row>
    <row r="1098" spans="1:8" ht="19.95" customHeight="1" x14ac:dyDescent="0.3">
      <c r="A1098" s="2" t="s">
        <v>5565</v>
      </c>
      <c r="B1098" s="3" t="s">
        <v>5625</v>
      </c>
      <c r="C1098" s="2" t="s">
        <v>5626</v>
      </c>
      <c r="D1098" s="3" t="s">
        <v>4416</v>
      </c>
      <c r="E1098" s="2" t="s">
        <v>6236</v>
      </c>
      <c r="F1098" s="40">
        <v>26.91</v>
      </c>
      <c r="G1098" s="40">
        <v>2</v>
      </c>
      <c r="H1098" s="41">
        <v>53.82</v>
      </c>
    </row>
    <row r="1099" spans="1:8" ht="19.95" customHeight="1" x14ac:dyDescent="0.3">
      <c r="A1099" s="6" t="s">
        <v>5565</v>
      </c>
      <c r="B1099" s="7" t="s">
        <v>5625</v>
      </c>
      <c r="C1099" s="6" t="s">
        <v>5626</v>
      </c>
      <c r="D1099" s="7" t="s">
        <v>4416</v>
      </c>
      <c r="E1099" s="6" t="s">
        <v>5880</v>
      </c>
      <c r="F1099" s="42">
        <v>31.07</v>
      </c>
      <c r="G1099" s="42">
        <v>2</v>
      </c>
      <c r="H1099" s="43">
        <v>62.14</v>
      </c>
    </row>
    <row r="1100" spans="1:8" ht="19.95" customHeight="1" x14ac:dyDescent="0.3">
      <c r="A1100" s="2" t="s">
        <v>5565</v>
      </c>
      <c r="B1100" s="3" t="s">
        <v>5625</v>
      </c>
      <c r="C1100" s="2" t="s">
        <v>5626</v>
      </c>
      <c r="D1100" s="3" t="s">
        <v>4416</v>
      </c>
      <c r="E1100" s="2" t="s">
        <v>4270</v>
      </c>
      <c r="F1100" s="40">
        <v>31.07</v>
      </c>
      <c r="G1100" s="40">
        <v>2</v>
      </c>
      <c r="H1100" s="41">
        <v>62.14</v>
      </c>
    </row>
    <row r="1101" spans="1:8" ht="19.95" customHeight="1" x14ac:dyDescent="0.3">
      <c r="A1101" s="6" t="s">
        <v>5565</v>
      </c>
      <c r="B1101" s="7" t="s">
        <v>5627</v>
      </c>
      <c r="C1101" s="6" t="s">
        <v>5628</v>
      </c>
      <c r="D1101" s="7" t="s">
        <v>4416</v>
      </c>
      <c r="E1101" s="6" t="s">
        <v>6236</v>
      </c>
      <c r="F1101" s="42">
        <v>26.91</v>
      </c>
      <c r="G1101" s="42">
        <v>2</v>
      </c>
      <c r="H1101" s="43">
        <v>53.82</v>
      </c>
    </row>
    <row r="1102" spans="1:8" ht="19.95" customHeight="1" x14ac:dyDescent="0.3">
      <c r="A1102" s="2" t="s">
        <v>5565</v>
      </c>
      <c r="B1102" s="3" t="s">
        <v>5627</v>
      </c>
      <c r="C1102" s="2" t="s">
        <v>5628</v>
      </c>
      <c r="D1102" s="3" t="s">
        <v>4416</v>
      </c>
      <c r="E1102" s="2" t="s">
        <v>5880</v>
      </c>
      <c r="F1102" s="40">
        <v>31.07</v>
      </c>
      <c r="G1102" s="40">
        <v>2</v>
      </c>
      <c r="H1102" s="41">
        <v>62.14</v>
      </c>
    </row>
    <row r="1103" spans="1:8" ht="19.95" customHeight="1" x14ac:dyDescent="0.3">
      <c r="A1103" s="6" t="s">
        <v>5565</v>
      </c>
      <c r="B1103" s="7" t="s">
        <v>5627</v>
      </c>
      <c r="C1103" s="6" t="s">
        <v>5628</v>
      </c>
      <c r="D1103" s="7" t="s">
        <v>4416</v>
      </c>
      <c r="E1103" s="6" t="s">
        <v>4270</v>
      </c>
      <c r="F1103" s="42">
        <v>31.07</v>
      </c>
      <c r="G1103" s="42">
        <v>2</v>
      </c>
      <c r="H1103" s="43">
        <v>62.14</v>
      </c>
    </row>
    <row r="1104" spans="1:8" ht="19.95" customHeight="1" x14ac:dyDescent="0.3">
      <c r="A1104" s="2" t="s">
        <v>5565</v>
      </c>
      <c r="B1104" s="3" t="s">
        <v>5629</v>
      </c>
      <c r="C1104" s="2" t="s">
        <v>5630</v>
      </c>
      <c r="D1104" s="3" t="s">
        <v>4416</v>
      </c>
      <c r="E1104" s="2" t="s">
        <v>6236</v>
      </c>
      <c r="F1104" s="40">
        <v>26.91</v>
      </c>
      <c r="G1104" s="40">
        <v>2</v>
      </c>
      <c r="H1104" s="41">
        <v>53.82</v>
      </c>
    </row>
    <row r="1105" spans="1:8" ht="19.95" customHeight="1" x14ac:dyDescent="0.3">
      <c r="A1105" s="6" t="s">
        <v>5565</v>
      </c>
      <c r="B1105" s="7" t="s">
        <v>5629</v>
      </c>
      <c r="C1105" s="6" t="s">
        <v>5630</v>
      </c>
      <c r="D1105" s="7" t="s">
        <v>4416</v>
      </c>
      <c r="E1105" s="6" t="s">
        <v>5880</v>
      </c>
      <c r="F1105" s="42">
        <v>31.07</v>
      </c>
      <c r="G1105" s="42">
        <v>2</v>
      </c>
      <c r="H1105" s="43">
        <v>62.14</v>
      </c>
    </row>
    <row r="1106" spans="1:8" ht="19.95" customHeight="1" x14ac:dyDescent="0.3">
      <c r="A1106" s="2" t="s">
        <v>5565</v>
      </c>
      <c r="B1106" s="3" t="s">
        <v>5629</v>
      </c>
      <c r="C1106" s="2" t="s">
        <v>5630</v>
      </c>
      <c r="D1106" s="3" t="s">
        <v>4416</v>
      </c>
      <c r="E1106" s="2" t="s">
        <v>4270</v>
      </c>
      <c r="F1106" s="40">
        <v>31.07</v>
      </c>
      <c r="G1106" s="40">
        <v>2</v>
      </c>
      <c r="H1106" s="41">
        <v>62.14</v>
      </c>
    </row>
    <row r="1107" spans="1:8" ht="19.95" customHeight="1" x14ac:dyDescent="0.3">
      <c r="A1107" s="6" t="s">
        <v>5565</v>
      </c>
      <c r="B1107" s="7" t="s">
        <v>5631</v>
      </c>
      <c r="C1107" s="6" t="s">
        <v>5632</v>
      </c>
      <c r="D1107" s="7" t="s">
        <v>4416</v>
      </c>
      <c r="E1107" s="6" t="s">
        <v>6236</v>
      </c>
      <c r="F1107" s="42">
        <v>26.91</v>
      </c>
      <c r="G1107" s="42">
        <v>2</v>
      </c>
      <c r="H1107" s="43">
        <v>53.82</v>
      </c>
    </row>
    <row r="1108" spans="1:8" ht="19.95" customHeight="1" x14ac:dyDescent="0.3">
      <c r="A1108" s="2" t="s">
        <v>5565</v>
      </c>
      <c r="B1108" s="3" t="s">
        <v>5631</v>
      </c>
      <c r="C1108" s="2" t="s">
        <v>5632</v>
      </c>
      <c r="D1108" s="3" t="s">
        <v>4416</v>
      </c>
      <c r="E1108" s="2" t="s">
        <v>5880</v>
      </c>
      <c r="F1108" s="40">
        <v>31.07</v>
      </c>
      <c r="G1108" s="40">
        <v>2</v>
      </c>
      <c r="H1108" s="41">
        <v>62.14</v>
      </c>
    </row>
    <row r="1109" spans="1:8" ht="19.95" customHeight="1" x14ac:dyDescent="0.3">
      <c r="A1109" s="6" t="s">
        <v>5565</v>
      </c>
      <c r="B1109" s="7" t="s">
        <v>5631</v>
      </c>
      <c r="C1109" s="6" t="s">
        <v>5632</v>
      </c>
      <c r="D1109" s="7" t="s">
        <v>4416</v>
      </c>
      <c r="E1109" s="6" t="s">
        <v>4270</v>
      </c>
      <c r="F1109" s="42">
        <v>31.07</v>
      </c>
      <c r="G1109" s="42">
        <v>2</v>
      </c>
      <c r="H1109" s="43">
        <v>62.14</v>
      </c>
    </row>
    <row r="1110" spans="1:8" ht="19.95" customHeight="1" x14ac:dyDescent="0.3">
      <c r="A1110" s="2" t="s">
        <v>5565</v>
      </c>
      <c r="B1110" s="3" t="s">
        <v>5633</v>
      </c>
      <c r="C1110" s="2" t="s">
        <v>5634</v>
      </c>
      <c r="D1110" s="3" t="s">
        <v>4416</v>
      </c>
      <c r="E1110" s="2" t="s">
        <v>6236</v>
      </c>
      <c r="F1110" s="40">
        <v>26.91</v>
      </c>
      <c r="G1110" s="40">
        <v>2</v>
      </c>
      <c r="H1110" s="41">
        <v>53.82</v>
      </c>
    </row>
    <row r="1111" spans="1:8" ht="19.95" customHeight="1" x14ac:dyDescent="0.3">
      <c r="A1111" s="6" t="s">
        <v>5565</v>
      </c>
      <c r="B1111" s="7" t="s">
        <v>5633</v>
      </c>
      <c r="C1111" s="6" t="s">
        <v>5634</v>
      </c>
      <c r="D1111" s="7" t="s">
        <v>4416</v>
      </c>
      <c r="E1111" s="6" t="s">
        <v>5880</v>
      </c>
      <c r="F1111" s="42">
        <v>31.07</v>
      </c>
      <c r="G1111" s="42">
        <v>2</v>
      </c>
      <c r="H1111" s="43">
        <v>62.14</v>
      </c>
    </row>
    <row r="1112" spans="1:8" ht="19.95" customHeight="1" x14ac:dyDescent="0.3">
      <c r="A1112" s="2" t="s">
        <v>5565</v>
      </c>
      <c r="B1112" s="3" t="s">
        <v>5633</v>
      </c>
      <c r="C1112" s="2" t="s">
        <v>5634</v>
      </c>
      <c r="D1112" s="3" t="s">
        <v>4416</v>
      </c>
      <c r="E1112" s="2" t="s">
        <v>4270</v>
      </c>
      <c r="F1112" s="40">
        <v>31.07</v>
      </c>
      <c r="G1112" s="40">
        <v>2</v>
      </c>
      <c r="H1112" s="41">
        <v>62.14</v>
      </c>
    </row>
    <row r="1113" spans="1:8" ht="19.95" customHeight="1" x14ac:dyDescent="0.3">
      <c r="A1113" s="6" t="s">
        <v>5565</v>
      </c>
      <c r="B1113" s="7" t="s">
        <v>5635</v>
      </c>
      <c r="C1113" s="6" t="s">
        <v>5636</v>
      </c>
      <c r="D1113" s="7" t="s">
        <v>5637</v>
      </c>
      <c r="E1113" s="6" t="s">
        <v>5880</v>
      </c>
      <c r="F1113" s="42">
        <v>7.8</v>
      </c>
      <c r="G1113" s="42">
        <v>2</v>
      </c>
      <c r="H1113" s="43">
        <v>15.6</v>
      </c>
    </row>
    <row r="1114" spans="1:8" ht="19.95" customHeight="1" x14ac:dyDescent="0.3">
      <c r="A1114" s="2" t="s">
        <v>5565</v>
      </c>
      <c r="B1114" s="3" t="s">
        <v>5635</v>
      </c>
      <c r="C1114" s="2" t="s">
        <v>5636</v>
      </c>
      <c r="D1114" s="3" t="s">
        <v>5637</v>
      </c>
      <c r="E1114" s="2" t="s">
        <v>4270</v>
      </c>
      <c r="F1114" s="40">
        <v>14.69</v>
      </c>
      <c r="G1114" s="40">
        <v>2</v>
      </c>
      <c r="H1114" s="41">
        <v>29.38</v>
      </c>
    </row>
    <row r="1115" spans="1:8" ht="19.95" customHeight="1" x14ac:dyDescent="0.3">
      <c r="A1115" s="6" t="s">
        <v>5565</v>
      </c>
      <c r="B1115" s="7" t="s">
        <v>5638</v>
      </c>
      <c r="C1115" s="6" t="s">
        <v>5624</v>
      </c>
      <c r="D1115" s="7" t="s">
        <v>5637</v>
      </c>
      <c r="E1115" s="6" t="s">
        <v>6236</v>
      </c>
      <c r="F1115" s="42">
        <v>5.33</v>
      </c>
      <c r="G1115" s="42">
        <v>2</v>
      </c>
      <c r="H1115" s="43">
        <v>10.66</v>
      </c>
    </row>
    <row r="1116" spans="1:8" ht="19.95" customHeight="1" x14ac:dyDescent="0.3">
      <c r="A1116" s="2" t="s">
        <v>5565</v>
      </c>
      <c r="B1116" s="3" t="s">
        <v>5638</v>
      </c>
      <c r="C1116" s="2" t="s">
        <v>5624</v>
      </c>
      <c r="D1116" s="3" t="s">
        <v>5637</v>
      </c>
      <c r="E1116" s="2" t="s">
        <v>5880</v>
      </c>
      <c r="F1116" s="40">
        <v>6.11</v>
      </c>
      <c r="G1116" s="40">
        <v>2</v>
      </c>
      <c r="H1116" s="41">
        <v>12.22</v>
      </c>
    </row>
    <row r="1117" spans="1:8" ht="19.95" customHeight="1" x14ac:dyDescent="0.3">
      <c r="A1117" s="6" t="s">
        <v>5565</v>
      </c>
      <c r="B1117" s="7" t="s">
        <v>5638</v>
      </c>
      <c r="C1117" s="6" t="s">
        <v>5624</v>
      </c>
      <c r="D1117" s="7" t="s">
        <v>5637</v>
      </c>
      <c r="E1117" s="6" t="s">
        <v>4270</v>
      </c>
      <c r="F1117" s="42">
        <v>6.11</v>
      </c>
      <c r="G1117" s="42">
        <v>2</v>
      </c>
      <c r="H1117" s="43">
        <v>12.22</v>
      </c>
    </row>
    <row r="1118" spans="1:8" ht="19.95" customHeight="1" x14ac:dyDescent="0.3">
      <c r="A1118" s="2" t="s">
        <v>5565</v>
      </c>
      <c r="B1118" s="3" t="s">
        <v>5638</v>
      </c>
      <c r="C1118" s="2" t="s">
        <v>5624</v>
      </c>
      <c r="D1118" s="3" t="s">
        <v>5637</v>
      </c>
      <c r="E1118" s="2" t="s">
        <v>5880</v>
      </c>
      <c r="F1118" s="40">
        <v>10.79</v>
      </c>
      <c r="G1118" s="40">
        <v>2</v>
      </c>
      <c r="H1118" s="41">
        <v>21.58</v>
      </c>
    </row>
    <row r="1119" spans="1:8" ht="19.95" customHeight="1" x14ac:dyDescent="0.3">
      <c r="A1119" s="6" t="s">
        <v>5565</v>
      </c>
      <c r="B1119" s="7" t="s">
        <v>5639</v>
      </c>
      <c r="C1119" s="6" t="s">
        <v>5640</v>
      </c>
      <c r="D1119" s="7" t="s">
        <v>5641</v>
      </c>
      <c r="E1119" s="6" t="s">
        <v>6236</v>
      </c>
      <c r="F1119" s="42">
        <v>5.33</v>
      </c>
      <c r="G1119" s="42">
        <v>2</v>
      </c>
      <c r="H1119" s="43">
        <v>10.66</v>
      </c>
    </row>
    <row r="1120" spans="1:8" ht="19.95" customHeight="1" x14ac:dyDescent="0.3">
      <c r="A1120" s="2" t="s">
        <v>5565</v>
      </c>
      <c r="B1120" s="3" t="s">
        <v>5639</v>
      </c>
      <c r="C1120" s="2" t="s">
        <v>5640</v>
      </c>
      <c r="D1120" s="3" t="s">
        <v>5641</v>
      </c>
      <c r="E1120" s="2" t="s">
        <v>5880</v>
      </c>
      <c r="F1120" s="40">
        <v>6.11</v>
      </c>
      <c r="G1120" s="40">
        <v>2</v>
      </c>
      <c r="H1120" s="41">
        <v>12.22</v>
      </c>
    </row>
    <row r="1121" spans="1:8" ht="19.95" customHeight="1" x14ac:dyDescent="0.3">
      <c r="A1121" s="6" t="s">
        <v>5565</v>
      </c>
      <c r="B1121" s="7" t="s">
        <v>5639</v>
      </c>
      <c r="C1121" s="6" t="s">
        <v>5640</v>
      </c>
      <c r="D1121" s="7" t="s">
        <v>5641</v>
      </c>
      <c r="E1121" s="6" t="s">
        <v>4270</v>
      </c>
      <c r="F1121" s="42">
        <v>6.11</v>
      </c>
      <c r="G1121" s="42">
        <v>2</v>
      </c>
      <c r="H1121" s="43">
        <v>12.22</v>
      </c>
    </row>
    <row r="1122" spans="1:8" ht="19.95" customHeight="1" x14ac:dyDescent="0.3">
      <c r="A1122" s="2" t="s">
        <v>5565</v>
      </c>
      <c r="B1122" s="3" t="s">
        <v>5639</v>
      </c>
      <c r="C1122" s="2" t="s">
        <v>5640</v>
      </c>
      <c r="D1122" s="3" t="s">
        <v>5641</v>
      </c>
      <c r="E1122" s="2" t="s">
        <v>5880</v>
      </c>
      <c r="F1122" s="40">
        <v>10.79</v>
      </c>
      <c r="G1122" s="40">
        <v>2</v>
      </c>
      <c r="H1122" s="41">
        <v>21.58</v>
      </c>
    </row>
    <row r="1123" spans="1:8" ht="19.95" customHeight="1" x14ac:dyDescent="0.3">
      <c r="A1123" s="6" t="s">
        <v>5565</v>
      </c>
      <c r="B1123" s="7" t="s">
        <v>5642</v>
      </c>
      <c r="C1123" s="6" t="s">
        <v>5643</v>
      </c>
      <c r="D1123" s="7" t="s">
        <v>5641</v>
      </c>
      <c r="E1123" s="6" t="s">
        <v>6236</v>
      </c>
      <c r="F1123" s="42">
        <v>5.33</v>
      </c>
      <c r="G1123" s="42">
        <v>2</v>
      </c>
      <c r="H1123" s="43">
        <v>10.66</v>
      </c>
    </row>
    <row r="1124" spans="1:8" ht="19.95" customHeight="1" x14ac:dyDescent="0.3">
      <c r="A1124" s="2" t="s">
        <v>5565</v>
      </c>
      <c r="B1124" s="3" t="s">
        <v>5642</v>
      </c>
      <c r="C1124" s="2" t="s">
        <v>5643</v>
      </c>
      <c r="D1124" s="3" t="s">
        <v>5641</v>
      </c>
      <c r="E1124" s="2" t="s">
        <v>5880</v>
      </c>
      <c r="F1124" s="40">
        <v>6.11</v>
      </c>
      <c r="G1124" s="40">
        <v>2</v>
      </c>
      <c r="H1124" s="41">
        <v>12.22</v>
      </c>
    </row>
    <row r="1125" spans="1:8" ht="19.95" customHeight="1" x14ac:dyDescent="0.3">
      <c r="A1125" s="6" t="s">
        <v>5565</v>
      </c>
      <c r="B1125" s="7" t="s">
        <v>5642</v>
      </c>
      <c r="C1125" s="6" t="s">
        <v>5643</v>
      </c>
      <c r="D1125" s="7" t="s">
        <v>5641</v>
      </c>
      <c r="E1125" s="6" t="s">
        <v>4270</v>
      </c>
      <c r="F1125" s="42">
        <v>6.11</v>
      </c>
      <c r="G1125" s="42">
        <v>2</v>
      </c>
      <c r="H1125" s="43">
        <v>12.22</v>
      </c>
    </row>
    <row r="1126" spans="1:8" ht="19.95" customHeight="1" x14ac:dyDescent="0.3">
      <c r="A1126" s="2" t="s">
        <v>5565</v>
      </c>
      <c r="B1126" s="3" t="s">
        <v>5642</v>
      </c>
      <c r="C1126" s="2" t="s">
        <v>5643</v>
      </c>
      <c r="D1126" s="3" t="s">
        <v>5641</v>
      </c>
      <c r="E1126" s="2" t="s">
        <v>5880</v>
      </c>
      <c r="F1126" s="40">
        <v>10.79</v>
      </c>
      <c r="G1126" s="40">
        <v>2</v>
      </c>
      <c r="H1126" s="41">
        <v>21.58</v>
      </c>
    </row>
    <row r="1127" spans="1:8" ht="19.95" customHeight="1" x14ac:dyDescent="0.3">
      <c r="A1127" s="6" t="s">
        <v>5565</v>
      </c>
      <c r="B1127" s="7" t="s">
        <v>5644</v>
      </c>
      <c r="C1127" s="6" t="s">
        <v>5645</v>
      </c>
      <c r="D1127" s="7" t="s">
        <v>5641</v>
      </c>
      <c r="E1127" s="6" t="s">
        <v>6236</v>
      </c>
      <c r="F1127" s="42">
        <v>5.33</v>
      </c>
      <c r="G1127" s="42">
        <v>2</v>
      </c>
      <c r="H1127" s="43">
        <v>10.66</v>
      </c>
    </row>
    <row r="1128" spans="1:8" ht="19.95" customHeight="1" x14ac:dyDescent="0.3">
      <c r="A1128" s="2" t="s">
        <v>5565</v>
      </c>
      <c r="B1128" s="3" t="s">
        <v>5644</v>
      </c>
      <c r="C1128" s="2" t="s">
        <v>5645</v>
      </c>
      <c r="D1128" s="3" t="s">
        <v>5641</v>
      </c>
      <c r="E1128" s="2" t="s">
        <v>5880</v>
      </c>
      <c r="F1128" s="40">
        <v>6.11</v>
      </c>
      <c r="G1128" s="40">
        <v>2</v>
      </c>
      <c r="H1128" s="41">
        <v>12.22</v>
      </c>
    </row>
    <row r="1129" spans="1:8" ht="19.95" customHeight="1" x14ac:dyDescent="0.3">
      <c r="A1129" s="6" t="s">
        <v>5565</v>
      </c>
      <c r="B1129" s="7" t="s">
        <v>5644</v>
      </c>
      <c r="C1129" s="6" t="s">
        <v>5645</v>
      </c>
      <c r="D1129" s="7" t="s">
        <v>5641</v>
      </c>
      <c r="E1129" s="6" t="s">
        <v>4270</v>
      </c>
      <c r="F1129" s="42">
        <v>6.11</v>
      </c>
      <c r="G1129" s="42">
        <v>2</v>
      </c>
      <c r="H1129" s="43">
        <v>12.22</v>
      </c>
    </row>
    <row r="1130" spans="1:8" ht="19.95" customHeight="1" x14ac:dyDescent="0.3">
      <c r="A1130" s="2" t="s">
        <v>5565</v>
      </c>
      <c r="B1130" s="3" t="s">
        <v>5644</v>
      </c>
      <c r="C1130" s="2" t="s">
        <v>5645</v>
      </c>
      <c r="D1130" s="3" t="s">
        <v>5641</v>
      </c>
      <c r="E1130" s="2" t="s">
        <v>5880</v>
      </c>
      <c r="F1130" s="40">
        <v>10.79</v>
      </c>
      <c r="G1130" s="40">
        <v>2</v>
      </c>
      <c r="H1130" s="41">
        <v>21.58</v>
      </c>
    </row>
    <row r="1131" spans="1:8" ht="19.95" customHeight="1" x14ac:dyDescent="0.3">
      <c r="A1131" s="6" t="s">
        <v>5565</v>
      </c>
      <c r="B1131" s="7" t="s">
        <v>5644</v>
      </c>
      <c r="C1131" s="6" t="s">
        <v>5645</v>
      </c>
      <c r="D1131" s="7" t="s">
        <v>5641</v>
      </c>
      <c r="E1131" s="6" t="s">
        <v>6236</v>
      </c>
      <c r="F1131" s="42">
        <v>5.33</v>
      </c>
      <c r="G1131" s="42">
        <v>2</v>
      </c>
      <c r="H1131" s="43">
        <v>10.66</v>
      </c>
    </row>
    <row r="1132" spans="1:8" ht="19.95" customHeight="1" x14ac:dyDescent="0.3">
      <c r="A1132" s="2" t="s">
        <v>5565</v>
      </c>
      <c r="B1132" s="3" t="s">
        <v>5644</v>
      </c>
      <c r="C1132" s="2" t="s">
        <v>5645</v>
      </c>
      <c r="D1132" s="3" t="s">
        <v>5641</v>
      </c>
      <c r="E1132" s="2" t="s">
        <v>5880</v>
      </c>
      <c r="F1132" s="40">
        <v>6.11</v>
      </c>
      <c r="G1132" s="40">
        <v>2</v>
      </c>
      <c r="H1132" s="41">
        <v>12.22</v>
      </c>
    </row>
    <row r="1133" spans="1:8" ht="19.95" customHeight="1" x14ac:dyDescent="0.3">
      <c r="A1133" s="6" t="s">
        <v>5565</v>
      </c>
      <c r="B1133" s="7" t="s">
        <v>5644</v>
      </c>
      <c r="C1133" s="6" t="s">
        <v>5645</v>
      </c>
      <c r="D1133" s="7" t="s">
        <v>5641</v>
      </c>
      <c r="E1133" s="6" t="s">
        <v>4270</v>
      </c>
      <c r="F1133" s="42">
        <v>6.11</v>
      </c>
      <c r="G1133" s="42">
        <v>2</v>
      </c>
      <c r="H1133" s="43">
        <v>12.22</v>
      </c>
    </row>
    <row r="1134" spans="1:8" ht="19.95" customHeight="1" x14ac:dyDescent="0.3">
      <c r="A1134" s="2" t="s">
        <v>5565</v>
      </c>
      <c r="B1134" s="3" t="s">
        <v>5644</v>
      </c>
      <c r="C1134" s="2" t="s">
        <v>5645</v>
      </c>
      <c r="D1134" s="3" t="s">
        <v>5641</v>
      </c>
      <c r="E1134" s="2" t="s">
        <v>5880</v>
      </c>
      <c r="F1134" s="40">
        <v>10.79</v>
      </c>
      <c r="G1134" s="40">
        <v>2</v>
      </c>
      <c r="H1134" s="41">
        <v>21.58</v>
      </c>
    </row>
    <row r="1135" spans="1:8" ht="19.95" customHeight="1" x14ac:dyDescent="0.3">
      <c r="A1135" s="6" t="s">
        <v>5565</v>
      </c>
      <c r="B1135" s="7" t="s">
        <v>5654</v>
      </c>
      <c r="C1135" s="6" t="s">
        <v>5655</v>
      </c>
      <c r="D1135" s="7" t="s">
        <v>4436</v>
      </c>
      <c r="E1135" s="6" t="s">
        <v>5880</v>
      </c>
      <c r="F1135" s="42">
        <v>83.98</v>
      </c>
      <c r="G1135" s="42">
        <v>2</v>
      </c>
      <c r="H1135" s="43">
        <v>167.96</v>
      </c>
    </row>
    <row r="1136" spans="1:8" ht="19.95" customHeight="1" x14ac:dyDescent="0.3">
      <c r="A1136" s="2" t="s">
        <v>5565</v>
      </c>
      <c r="B1136" s="3" t="s">
        <v>5654</v>
      </c>
      <c r="C1136" s="2" t="s">
        <v>5655</v>
      </c>
      <c r="D1136" s="3" t="s">
        <v>4436</v>
      </c>
      <c r="E1136" s="2" t="s">
        <v>4270</v>
      </c>
      <c r="F1136" s="40">
        <v>53.82</v>
      </c>
      <c r="G1136" s="40">
        <v>2</v>
      </c>
      <c r="H1136" s="41">
        <v>107.64</v>
      </c>
    </row>
    <row r="1137" spans="1:8" ht="19.95" customHeight="1" x14ac:dyDescent="0.3">
      <c r="A1137" s="6" t="s">
        <v>5565</v>
      </c>
      <c r="B1137" s="7" t="s">
        <v>5656</v>
      </c>
      <c r="C1137" s="6" t="s">
        <v>5657</v>
      </c>
      <c r="D1137" s="7" t="s">
        <v>4436</v>
      </c>
      <c r="E1137" s="6" t="s">
        <v>5880</v>
      </c>
      <c r="F1137" s="42">
        <v>83.98</v>
      </c>
      <c r="G1137" s="42">
        <v>2</v>
      </c>
      <c r="H1137" s="43">
        <v>167.96</v>
      </c>
    </row>
    <row r="1138" spans="1:8" ht="19.95" customHeight="1" x14ac:dyDescent="0.3">
      <c r="A1138" s="2" t="s">
        <v>5565</v>
      </c>
      <c r="B1138" s="3" t="s">
        <v>5656</v>
      </c>
      <c r="C1138" s="2" t="s">
        <v>5657</v>
      </c>
      <c r="D1138" s="3" t="s">
        <v>4436</v>
      </c>
      <c r="E1138" s="2" t="s">
        <v>4270</v>
      </c>
      <c r="F1138" s="40">
        <v>53.82</v>
      </c>
      <c r="G1138" s="40">
        <v>2</v>
      </c>
      <c r="H1138" s="41">
        <v>107.64</v>
      </c>
    </row>
    <row r="1139" spans="1:8" ht="19.95" customHeight="1" x14ac:dyDescent="0.3">
      <c r="A1139" s="6" t="s">
        <v>5565</v>
      </c>
      <c r="B1139" s="7" t="s">
        <v>5658</v>
      </c>
      <c r="C1139" s="6" t="s">
        <v>5659</v>
      </c>
      <c r="D1139" s="7" t="s">
        <v>4416</v>
      </c>
      <c r="E1139" s="6" t="s">
        <v>5922</v>
      </c>
      <c r="F1139" s="42">
        <v>13.52</v>
      </c>
      <c r="G1139" s="42">
        <v>2</v>
      </c>
      <c r="H1139" s="43">
        <v>27.04</v>
      </c>
    </row>
    <row r="1140" spans="1:8" ht="19.95" customHeight="1" x14ac:dyDescent="0.3">
      <c r="A1140" s="2" t="s">
        <v>5565</v>
      </c>
      <c r="B1140" s="3" t="s">
        <v>5660</v>
      </c>
      <c r="C1140" s="2" t="s">
        <v>5661</v>
      </c>
      <c r="D1140" s="3" t="s">
        <v>5662</v>
      </c>
      <c r="E1140" s="2" t="s">
        <v>5880</v>
      </c>
      <c r="F1140" s="40">
        <v>13.52</v>
      </c>
      <c r="G1140" s="40">
        <v>2</v>
      </c>
      <c r="H1140" s="41">
        <v>27.04</v>
      </c>
    </row>
    <row r="1141" spans="1:8" ht="19.95" customHeight="1" x14ac:dyDescent="0.3">
      <c r="A1141" s="6" t="s">
        <v>5565</v>
      </c>
      <c r="B1141" s="7" t="s">
        <v>5663</v>
      </c>
      <c r="C1141" s="6" t="s">
        <v>5664</v>
      </c>
      <c r="D1141" s="7" t="s">
        <v>4344</v>
      </c>
      <c r="E1141" s="6" t="s">
        <v>6237</v>
      </c>
      <c r="F1141" s="42">
        <v>104</v>
      </c>
      <c r="G1141" s="42">
        <v>2</v>
      </c>
      <c r="H1141" s="43">
        <v>208</v>
      </c>
    </row>
    <row r="1142" spans="1:8" ht="19.95" customHeight="1" x14ac:dyDescent="0.3">
      <c r="A1142" s="2" t="s">
        <v>5565</v>
      </c>
      <c r="B1142" s="3" t="s">
        <v>5663</v>
      </c>
      <c r="C1142" s="2" t="s">
        <v>5664</v>
      </c>
      <c r="D1142" s="3" t="s">
        <v>4344</v>
      </c>
      <c r="E1142" s="2" t="s">
        <v>6238</v>
      </c>
      <c r="F1142" s="40">
        <v>351</v>
      </c>
      <c r="G1142" s="40">
        <v>2</v>
      </c>
      <c r="H1142" s="41">
        <v>702</v>
      </c>
    </row>
    <row r="1143" spans="1:8" ht="19.95" customHeight="1" x14ac:dyDescent="0.3">
      <c r="A1143" s="6" t="s">
        <v>5565</v>
      </c>
      <c r="B1143" s="7" t="s">
        <v>5665</v>
      </c>
      <c r="C1143" s="6" t="s">
        <v>5666</v>
      </c>
      <c r="D1143" s="7" t="s">
        <v>4344</v>
      </c>
      <c r="E1143" s="6" t="s">
        <v>6237</v>
      </c>
      <c r="F1143" s="42">
        <v>52</v>
      </c>
      <c r="G1143" s="42">
        <v>2</v>
      </c>
      <c r="H1143" s="43">
        <v>104</v>
      </c>
    </row>
    <row r="1144" spans="1:8" ht="19.95" customHeight="1" x14ac:dyDescent="0.3">
      <c r="A1144" s="2" t="s">
        <v>5565</v>
      </c>
      <c r="B1144" s="3" t="s">
        <v>5667</v>
      </c>
      <c r="C1144" s="2" t="s">
        <v>5668</v>
      </c>
      <c r="D1144" s="3" t="s">
        <v>4344</v>
      </c>
      <c r="E1144" s="2" t="s">
        <v>4270</v>
      </c>
      <c r="F1144" s="40">
        <v>13</v>
      </c>
      <c r="G1144" s="40">
        <v>2</v>
      </c>
      <c r="H1144" s="41">
        <v>26</v>
      </c>
    </row>
    <row r="1145" spans="1:8" ht="19.95" customHeight="1" x14ac:dyDescent="0.3">
      <c r="A1145" s="6" t="s">
        <v>5565</v>
      </c>
      <c r="B1145" s="7" t="s">
        <v>5669</v>
      </c>
      <c r="C1145" s="6" t="s">
        <v>5670</v>
      </c>
      <c r="D1145" s="7" t="s">
        <v>4344</v>
      </c>
      <c r="E1145" s="6" t="s">
        <v>4270</v>
      </c>
      <c r="F1145" s="42">
        <v>13</v>
      </c>
      <c r="G1145" s="42">
        <v>2</v>
      </c>
      <c r="H1145" s="43">
        <v>26</v>
      </c>
    </row>
    <row r="1146" spans="1:8" ht="19.95" customHeight="1" x14ac:dyDescent="0.3">
      <c r="A1146" s="2" t="s">
        <v>5565</v>
      </c>
      <c r="B1146" s="3" t="s">
        <v>5671</v>
      </c>
      <c r="C1146" s="2" t="s">
        <v>5672</v>
      </c>
      <c r="D1146" s="3" t="s">
        <v>5673</v>
      </c>
      <c r="E1146" s="2" t="s">
        <v>6239</v>
      </c>
      <c r="F1146" s="40">
        <v>13.52</v>
      </c>
      <c r="G1146" s="40">
        <v>2</v>
      </c>
      <c r="H1146" s="41">
        <v>27.04</v>
      </c>
    </row>
    <row r="1147" spans="1:8" ht="19.95" customHeight="1" x14ac:dyDescent="0.3">
      <c r="A1147" s="6" t="s">
        <v>5565</v>
      </c>
      <c r="B1147" s="7" t="s">
        <v>5671</v>
      </c>
      <c r="C1147" s="6" t="s">
        <v>5672</v>
      </c>
      <c r="D1147" s="7" t="s">
        <v>5673</v>
      </c>
      <c r="E1147" s="6" t="s">
        <v>4270</v>
      </c>
      <c r="F1147" s="42">
        <v>5.33</v>
      </c>
      <c r="G1147" s="42">
        <v>2</v>
      </c>
      <c r="H1147" s="43">
        <v>10.66</v>
      </c>
    </row>
    <row r="1148" spans="1:8" ht="19.95" customHeight="1" x14ac:dyDescent="0.3">
      <c r="A1148" s="2" t="s">
        <v>5565</v>
      </c>
      <c r="B1148" s="3" t="s">
        <v>5674</v>
      </c>
      <c r="C1148" s="2" t="s">
        <v>5675</v>
      </c>
      <c r="D1148" s="3" t="s">
        <v>4368</v>
      </c>
      <c r="E1148" s="2" t="s">
        <v>4270</v>
      </c>
      <c r="F1148" s="40">
        <v>7.15</v>
      </c>
      <c r="G1148" s="40">
        <v>2</v>
      </c>
      <c r="H1148" s="41">
        <v>14.3</v>
      </c>
    </row>
    <row r="1149" spans="1:8" ht="19.95" customHeight="1" x14ac:dyDescent="0.3">
      <c r="A1149" s="6" t="s">
        <v>5565</v>
      </c>
      <c r="B1149" s="7" t="s">
        <v>5674</v>
      </c>
      <c r="C1149" s="6" t="s">
        <v>5675</v>
      </c>
      <c r="D1149" s="7" t="s">
        <v>4368</v>
      </c>
      <c r="E1149" s="6" t="s">
        <v>6240</v>
      </c>
      <c r="F1149" s="42">
        <v>0.26</v>
      </c>
      <c r="G1149" s="42">
        <v>2</v>
      </c>
      <c r="H1149" s="43">
        <v>0.52</v>
      </c>
    </row>
    <row r="1150" spans="1:8" ht="19.95" customHeight="1" x14ac:dyDescent="0.3">
      <c r="A1150" s="2" t="s">
        <v>5565</v>
      </c>
      <c r="B1150" s="3" t="s">
        <v>5674</v>
      </c>
      <c r="C1150" s="2" t="s">
        <v>5675</v>
      </c>
      <c r="D1150" s="3" t="s">
        <v>4368</v>
      </c>
      <c r="E1150" s="2" t="s">
        <v>4270</v>
      </c>
      <c r="F1150" s="40">
        <v>0.13</v>
      </c>
      <c r="G1150" s="40">
        <v>2</v>
      </c>
      <c r="H1150" s="41">
        <v>0.26</v>
      </c>
    </row>
    <row r="1151" spans="1:8" ht="19.95" customHeight="1" x14ac:dyDescent="0.3">
      <c r="A1151" s="6" t="s">
        <v>5565</v>
      </c>
      <c r="B1151" s="7" t="s">
        <v>5674</v>
      </c>
      <c r="C1151" s="6" t="s">
        <v>5675</v>
      </c>
      <c r="D1151" s="7" t="s">
        <v>4368</v>
      </c>
      <c r="E1151" s="6" t="s">
        <v>4270</v>
      </c>
      <c r="F1151" s="42">
        <v>0.13</v>
      </c>
      <c r="G1151" s="42">
        <v>2</v>
      </c>
      <c r="H1151" s="43">
        <v>0.26</v>
      </c>
    </row>
    <row r="1152" spans="1:8" ht="19.95" customHeight="1" x14ac:dyDescent="0.3">
      <c r="A1152" s="2" t="s">
        <v>5565</v>
      </c>
      <c r="B1152" s="3" t="s">
        <v>5676</v>
      </c>
      <c r="C1152" s="2" t="s">
        <v>5677</v>
      </c>
      <c r="D1152" s="3" t="s">
        <v>4368</v>
      </c>
      <c r="E1152" s="2" t="s">
        <v>4270</v>
      </c>
      <c r="F1152" s="40">
        <v>7.15</v>
      </c>
      <c r="G1152" s="40">
        <v>2</v>
      </c>
      <c r="H1152" s="41">
        <v>14.3</v>
      </c>
    </row>
    <row r="1153" spans="1:8" ht="19.95" customHeight="1" x14ac:dyDescent="0.3">
      <c r="A1153" s="6" t="s">
        <v>5565</v>
      </c>
      <c r="B1153" s="7" t="s">
        <v>5676</v>
      </c>
      <c r="C1153" s="6" t="s">
        <v>5677</v>
      </c>
      <c r="D1153" s="7" t="s">
        <v>4368</v>
      </c>
      <c r="E1153" s="6" t="s">
        <v>6240</v>
      </c>
      <c r="F1153" s="42">
        <v>0.26</v>
      </c>
      <c r="G1153" s="42">
        <v>2</v>
      </c>
      <c r="H1153" s="43">
        <v>0.52</v>
      </c>
    </row>
    <row r="1154" spans="1:8" ht="19.95" customHeight="1" x14ac:dyDescent="0.3">
      <c r="A1154" s="2" t="s">
        <v>5565</v>
      </c>
      <c r="B1154" s="3" t="s">
        <v>5676</v>
      </c>
      <c r="C1154" s="2" t="s">
        <v>5677</v>
      </c>
      <c r="D1154" s="3" t="s">
        <v>4368</v>
      </c>
      <c r="E1154" s="2" t="s">
        <v>4270</v>
      </c>
      <c r="F1154" s="40">
        <v>0.13</v>
      </c>
      <c r="G1154" s="40">
        <v>2</v>
      </c>
      <c r="H1154" s="41">
        <v>0.26</v>
      </c>
    </row>
    <row r="1155" spans="1:8" ht="19.95" customHeight="1" x14ac:dyDescent="0.3">
      <c r="A1155" s="6" t="s">
        <v>5565</v>
      </c>
      <c r="B1155" s="7" t="s">
        <v>5676</v>
      </c>
      <c r="C1155" s="6" t="s">
        <v>5677</v>
      </c>
      <c r="D1155" s="7" t="s">
        <v>4368</v>
      </c>
      <c r="E1155" s="6" t="s">
        <v>4270</v>
      </c>
      <c r="F1155" s="42">
        <v>0.13</v>
      </c>
      <c r="G1155" s="42">
        <v>2</v>
      </c>
      <c r="H1155" s="43">
        <v>0.26</v>
      </c>
    </row>
    <row r="1156" spans="1:8" ht="19.95" customHeight="1" x14ac:dyDescent="0.3">
      <c r="A1156" s="2" t="s">
        <v>5565</v>
      </c>
      <c r="B1156" s="3" t="s">
        <v>5678</v>
      </c>
      <c r="C1156" s="2" t="s">
        <v>5679</v>
      </c>
      <c r="D1156" s="3" t="s">
        <v>4437</v>
      </c>
      <c r="E1156" s="2" t="s">
        <v>6241</v>
      </c>
      <c r="F1156" s="40">
        <v>13.52</v>
      </c>
      <c r="G1156" s="40">
        <v>2</v>
      </c>
      <c r="H1156" s="41">
        <v>27.04</v>
      </c>
    </row>
    <row r="1157" spans="1:8" ht="19.95" customHeight="1" x14ac:dyDescent="0.3">
      <c r="A1157" s="6" t="s">
        <v>5565</v>
      </c>
      <c r="B1157" s="7" t="s">
        <v>5680</v>
      </c>
      <c r="C1157" s="6" t="s">
        <v>5681</v>
      </c>
      <c r="D1157" s="7" t="s">
        <v>4437</v>
      </c>
      <c r="E1157" s="6" t="s">
        <v>6241</v>
      </c>
      <c r="F1157" s="42">
        <v>13.52</v>
      </c>
      <c r="G1157" s="42">
        <v>2</v>
      </c>
      <c r="H1157" s="43">
        <v>27.04</v>
      </c>
    </row>
    <row r="1158" spans="1:8" ht="19.95" customHeight="1" x14ac:dyDescent="0.3">
      <c r="A1158" s="2" t="s">
        <v>5565</v>
      </c>
      <c r="B1158" s="3" t="s">
        <v>5686</v>
      </c>
      <c r="C1158" s="2" t="s">
        <v>5687</v>
      </c>
      <c r="D1158" s="3" t="s">
        <v>5014</v>
      </c>
      <c r="E1158" s="2" t="s">
        <v>6242</v>
      </c>
      <c r="F1158" s="40">
        <v>6.76</v>
      </c>
      <c r="G1158" s="40">
        <v>2</v>
      </c>
      <c r="H1158" s="41">
        <v>13.52</v>
      </c>
    </row>
    <row r="1159" spans="1:8" ht="19.95" customHeight="1" x14ac:dyDescent="0.3">
      <c r="A1159" s="6" t="s">
        <v>5565</v>
      </c>
      <c r="B1159" s="7" t="s">
        <v>5686</v>
      </c>
      <c r="C1159" s="6" t="s">
        <v>5687</v>
      </c>
      <c r="D1159" s="7" t="s">
        <v>5014</v>
      </c>
      <c r="E1159" s="6" t="s">
        <v>6243</v>
      </c>
      <c r="F1159" s="42">
        <v>18.59</v>
      </c>
      <c r="G1159" s="42">
        <v>2</v>
      </c>
      <c r="H1159" s="43">
        <v>37.18</v>
      </c>
    </row>
    <row r="1160" spans="1:8" ht="19.95" customHeight="1" x14ac:dyDescent="0.3">
      <c r="A1160" s="2" t="s">
        <v>5565</v>
      </c>
      <c r="B1160" s="3" t="s">
        <v>5688</v>
      </c>
      <c r="C1160" s="2" t="s">
        <v>5689</v>
      </c>
      <c r="D1160" s="3" t="s">
        <v>5014</v>
      </c>
      <c r="E1160" s="2" t="s">
        <v>6242</v>
      </c>
      <c r="F1160" s="40">
        <v>8.06</v>
      </c>
      <c r="G1160" s="40">
        <v>2</v>
      </c>
      <c r="H1160" s="41">
        <v>16.12</v>
      </c>
    </row>
    <row r="1161" spans="1:8" ht="19.95" customHeight="1" x14ac:dyDescent="0.3">
      <c r="A1161" s="6" t="s">
        <v>5565</v>
      </c>
      <c r="B1161" s="7" t="s">
        <v>5688</v>
      </c>
      <c r="C1161" s="6" t="s">
        <v>5689</v>
      </c>
      <c r="D1161" s="7" t="s">
        <v>5014</v>
      </c>
      <c r="E1161" s="6" t="s">
        <v>6243</v>
      </c>
      <c r="F1161" s="42">
        <v>18.59</v>
      </c>
      <c r="G1161" s="42">
        <v>2</v>
      </c>
      <c r="H1161" s="43">
        <v>37.18</v>
      </c>
    </row>
    <row r="1162" spans="1:8" ht="19.95" customHeight="1" x14ac:dyDescent="0.3">
      <c r="A1162" s="2" t="s">
        <v>5565</v>
      </c>
      <c r="B1162" s="3" t="s">
        <v>6244</v>
      </c>
      <c r="C1162" s="2" t="s">
        <v>6245</v>
      </c>
      <c r="D1162" s="3" t="s">
        <v>6246</v>
      </c>
      <c r="E1162" s="2" t="s">
        <v>6242</v>
      </c>
      <c r="F1162" s="40">
        <v>2.73</v>
      </c>
      <c r="G1162" s="40">
        <v>2</v>
      </c>
      <c r="H1162" s="41">
        <v>5.46</v>
      </c>
    </row>
    <row r="1163" spans="1:8" ht="19.95" customHeight="1" x14ac:dyDescent="0.3">
      <c r="A1163" s="6" t="s">
        <v>5565</v>
      </c>
      <c r="B1163" s="7" t="s">
        <v>6244</v>
      </c>
      <c r="C1163" s="6" t="s">
        <v>6245</v>
      </c>
      <c r="D1163" s="7" t="s">
        <v>6246</v>
      </c>
      <c r="E1163" s="6" t="s">
        <v>6242</v>
      </c>
      <c r="F1163" s="42">
        <v>2.73</v>
      </c>
      <c r="G1163" s="42">
        <v>2</v>
      </c>
      <c r="H1163" s="43">
        <v>5.46</v>
      </c>
    </row>
    <row r="1164" spans="1:8" ht="19.95" customHeight="1" x14ac:dyDescent="0.3">
      <c r="A1164" s="2" t="s">
        <v>5565</v>
      </c>
      <c r="B1164" s="3" t="s">
        <v>6247</v>
      </c>
      <c r="C1164" s="2" t="s">
        <v>6248</v>
      </c>
      <c r="D1164" s="3" t="s">
        <v>6246</v>
      </c>
      <c r="E1164" s="2" t="s">
        <v>6242</v>
      </c>
      <c r="F1164" s="40">
        <v>2.73</v>
      </c>
      <c r="G1164" s="40">
        <v>2</v>
      </c>
      <c r="H1164" s="41">
        <v>5.46</v>
      </c>
    </row>
    <row r="1165" spans="1:8" ht="19.95" customHeight="1" x14ac:dyDescent="0.3">
      <c r="A1165" s="6" t="s">
        <v>5565</v>
      </c>
      <c r="B1165" s="7" t="s">
        <v>6247</v>
      </c>
      <c r="C1165" s="6" t="s">
        <v>6248</v>
      </c>
      <c r="D1165" s="7" t="s">
        <v>6246</v>
      </c>
      <c r="E1165" s="6" t="s">
        <v>6242</v>
      </c>
      <c r="F1165" s="42">
        <v>2.73</v>
      </c>
      <c r="G1165" s="42">
        <v>2</v>
      </c>
      <c r="H1165" s="43">
        <v>5.46</v>
      </c>
    </row>
    <row r="1166" spans="1:8" ht="19.95" customHeight="1" x14ac:dyDescent="0.3">
      <c r="A1166" s="2" t="s">
        <v>5565</v>
      </c>
      <c r="B1166" s="3" t="s">
        <v>6249</v>
      </c>
      <c r="C1166" s="2" t="s">
        <v>6250</v>
      </c>
      <c r="D1166" s="3" t="s">
        <v>6251</v>
      </c>
      <c r="E1166" s="2" t="s">
        <v>6242</v>
      </c>
      <c r="F1166" s="40">
        <v>2.73</v>
      </c>
      <c r="G1166" s="40">
        <v>2</v>
      </c>
      <c r="H1166" s="41">
        <v>5.46</v>
      </c>
    </row>
    <row r="1167" spans="1:8" ht="19.95" customHeight="1" x14ac:dyDescent="0.3">
      <c r="A1167" s="6" t="s">
        <v>5565</v>
      </c>
      <c r="B1167" s="7" t="s">
        <v>6249</v>
      </c>
      <c r="C1167" s="6" t="s">
        <v>6250</v>
      </c>
      <c r="D1167" s="7" t="s">
        <v>6251</v>
      </c>
      <c r="E1167" s="6" t="s">
        <v>6242</v>
      </c>
      <c r="F1167" s="42">
        <v>2.73</v>
      </c>
      <c r="G1167" s="42">
        <v>2</v>
      </c>
      <c r="H1167" s="43">
        <v>5.46</v>
      </c>
    </row>
    <row r="1168" spans="1:8" ht="19.95" customHeight="1" x14ac:dyDescent="0.3">
      <c r="A1168" s="2" t="s">
        <v>5565</v>
      </c>
      <c r="B1168" s="3" t="s">
        <v>6252</v>
      </c>
      <c r="C1168" s="2" t="s">
        <v>6253</v>
      </c>
      <c r="D1168" s="3" t="s">
        <v>6254</v>
      </c>
      <c r="E1168" s="2" t="s">
        <v>6242</v>
      </c>
      <c r="F1168" s="40">
        <v>2.73</v>
      </c>
      <c r="G1168" s="40">
        <v>2</v>
      </c>
      <c r="H1168" s="41">
        <v>5.46</v>
      </c>
    </row>
    <row r="1169" spans="1:8" ht="19.95" customHeight="1" x14ac:dyDescent="0.3">
      <c r="A1169" s="6" t="s">
        <v>5565</v>
      </c>
      <c r="B1169" s="7" t="s">
        <v>6252</v>
      </c>
      <c r="C1169" s="6" t="s">
        <v>6253</v>
      </c>
      <c r="D1169" s="7" t="s">
        <v>6254</v>
      </c>
      <c r="E1169" s="6" t="s">
        <v>6242</v>
      </c>
      <c r="F1169" s="42">
        <v>2.73</v>
      </c>
      <c r="G1169" s="42">
        <v>2</v>
      </c>
      <c r="H1169" s="43">
        <v>5.46</v>
      </c>
    </row>
    <row r="1170" spans="1:8" ht="19.95" customHeight="1" x14ac:dyDescent="0.3">
      <c r="A1170" s="2" t="s">
        <v>5565</v>
      </c>
      <c r="B1170" s="3" t="s">
        <v>5690</v>
      </c>
      <c r="C1170" s="2" t="s">
        <v>5691</v>
      </c>
      <c r="D1170" s="3" t="s">
        <v>5692</v>
      </c>
      <c r="E1170" s="2" t="s">
        <v>4270</v>
      </c>
      <c r="F1170" s="40">
        <v>7.15</v>
      </c>
      <c r="G1170" s="40">
        <v>2</v>
      </c>
      <c r="H1170" s="41">
        <v>14.3</v>
      </c>
    </row>
    <row r="1171" spans="1:8" ht="19.95" customHeight="1" x14ac:dyDescent="0.3">
      <c r="A1171" s="6" t="s">
        <v>5565</v>
      </c>
      <c r="B1171" s="7" t="s">
        <v>5690</v>
      </c>
      <c r="C1171" s="6" t="s">
        <v>5691</v>
      </c>
      <c r="D1171" s="7" t="s">
        <v>5692</v>
      </c>
      <c r="E1171" s="6" t="s">
        <v>4270</v>
      </c>
      <c r="F1171" s="42">
        <v>0.91</v>
      </c>
      <c r="G1171" s="42">
        <v>2</v>
      </c>
      <c r="H1171" s="43">
        <v>1.82</v>
      </c>
    </row>
    <row r="1172" spans="1:8" ht="19.95" customHeight="1" x14ac:dyDescent="0.3">
      <c r="A1172" s="2" t="s">
        <v>5565</v>
      </c>
      <c r="B1172" s="3" t="s">
        <v>5690</v>
      </c>
      <c r="C1172" s="2" t="s">
        <v>5691</v>
      </c>
      <c r="D1172" s="3" t="s">
        <v>5692</v>
      </c>
      <c r="E1172" s="2" t="s">
        <v>6255</v>
      </c>
      <c r="F1172" s="40">
        <v>3.9</v>
      </c>
      <c r="G1172" s="40">
        <v>2</v>
      </c>
      <c r="H1172" s="41">
        <v>7.8</v>
      </c>
    </row>
    <row r="1173" spans="1:8" ht="19.95" customHeight="1" x14ac:dyDescent="0.3">
      <c r="A1173" s="6" t="s">
        <v>5565</v>
      </c>
      <c r="B1173" s="7" t="s">
        <v>5693</v>
      </c>
      <c r="C1173" s="6" t="s">
        <v>5694</v>
      </c>
      <c r="D1173" s="7" t="s">
        <v>5692</v>
      </c>
      <c r="E1173" s="6" t="s">
        <v>4270</v>
      </c>
      <c r="F1173" s="42">
        <v>7.15</v>
      </c>
      <c r="G1173" s="42">
        <v>2</v>
      </c>
      <c r="H1173" s="43">
        <v>14.3</v>
      </c>
    </row>
    <row r="1174" spans="1:8" ht="19.95" customHeight="1" x14ac:dyDescent="0.3">
      <c r="A1174" s="2" t="s">
        <v>5565</v>
      </c>
      <c r="B1174" s="3" t="s">
        <v>5693</v>
      </c>
      <c r="C1174" s="2" t="s">
        <v>5694</v>
      </c>
      <c r="D1174" s="3" t="s">
        <v>5692</v>
      </c>
      <c r="E1174" s="2" t="s">
        <v>4270</v>
      </c>
      <c r="F1174" s="40">
        <v>0.91</v>
      </c>
      <c r="G1174" s="40">
        <v>2</v>
      </c>
      <c r="H1174" s="41">
        <v>1.82</v>
      </c>
    </row>
    <row r="1175" spans="1:8" ht="19.95" customHeight="1" x14ac:dyDescent="0.3">
      <c r="A1175" s="6" t="s">
        <v>5565</v>
      </c>
      <c r="B1175" s="7" t="s">
        <v>5693</v>
      </c>
      <c r="C1175" s="6" t="s">
        <v>5694</v>
      </c>
      <c r="D1175" s="7" t="s">
        <v>5692</v>
      </c>
      <c r="E1175" s="6" t="s">
        <v>6255</v>
      </c>
      <c r="F1175" s="42">
        <v>3.9</v>
      </c>
      <c r="G1175" s="42">
        <v>2</v>
      </c>
      <c r="H1175" s="43">
        <v>7.8</v>
      </c>
    </row>
    <row r="1176" spans="1:8" ht="19.95" customHeight="1" x14ac:dyDescent="0.3">
      <c r="A1176" s="2" t="s">
        <v>5565</v>
      </c>
      <c r="B1176" s="3" t="s">
        <v>5695</v>
      </c>
      <c r="C1176" s="2" t="s">
        <v>5696</v>
      </c>
      <c r="D1176" s="3" t="s">
        <v>4344</v>
      </c>
      <c r="E1176" s="2" t="s">
        <v>6256</v>
      </c>
      <c r="F1176" s="40">
        <v>807.3</v>
      </c>
      <c r="G1176" s="40">
        <v>2</v>
      </c>
      <c r="H1176" s="41">
        <v>1614.6</v>
      </c>
    </row>
    <row r="1177" spans="1:8" ht="19.95" customHeight="1" x14ac:dyDescent="0.3">
      <c r="A1177" s="6" t="s">
        <v>5565</v>
      </c>
      <c r="B1177" s="7" t="s">
        <v>5697</v>
      </c>
      <c r="C1177" s="6" t="s">
        <v>5698</v>
      </c>
      <c r="D1177" s="7" t="s">
        <v>4344</v>
      </c>
      <c r="E1177" s="6" t="s">
        <v>6256</v>
      </c>
      <c r="F1177" s="42">
        <v>807.3</v>
      </c>
      <c r="G1177" s="42">
        <v>2</v>
      </c>
      <c r="H1177" s="43">
        <v>1614.6</v>
      </c>
    </row>
    <row r="1178" spans="1:8" ht="19.95" customHeight="1" x14ac:dyDescent="0.3">
      <c r="A1178" s="2" t="s">
        <v>5565</v>
      </c>
      <c r="B1178" s="3" t="s">
        <v>5699</v>
      </c>
      <c r="C1178" s="2" t="s">
        <v>5700</v>
      </c>
      <c r="D1178" s="3" t="s">
        <v>4344</v>
      </c>
      <c r="E1178" s="2" t="s">
        <v>6256</v>
      </c>
      <c r="F1178" s="40">
        <v>807.3</v>
      </c>
      <c r="G1178" s="40">
        <v>2</v>
      </c>
      <c r="H1178" s="41">
        <v>1614.6</v>
      </c>
    </row>
    <row r="1179" spans="1:8" ht="19.95" customHeight="1" x14ac:dyDescent="0.3">
      <c r="A1179" s="6" t="s">
        <v>5565</v>
      </c>
      <c r="B1179" s="7" t="s">
        <v>5701</v>
      </c>
      <c r="C1179" s="6" t="s">
        <v>5702</v>
      </c>
      <c r="D1179" s="7" t="s">
        <v>4344</v>
      </c>
      <c r="E1179" s="6" t="s">
        <v>6256</v>
      </c>
      <c r="F1179" s="42">
        <v>807.3</v>
      </c>
      <c r="G1179" s="42">
        <v>2</v>
      </c>
      <c r="H1179" s="43">
        <v>1614.6</v>
      </c>
    </row>
    <row r="1180" spans="1:8" ht="19.95" customHeight="1" x14ac:dyDescent="0.3">
      <c r="A1180" s="2" t="s">
        <v>5565</v>
      </c>
      <c r="B1180" s="3" t="s">
        <v>5703</v>
      </c>
      <c r="C1180" s="2" t="s">
        <v>5704</v>
      </c>
      <c r="D1180" s="3" t="s">
        <v>5705</v>
      </c>
      <c r="E1180" s="2" t="s">
        <v>4270</v>
      </c>
      <c r="F1180" s="40">
        <v>53.82</v>
      </c>
      <c r="G1180" s="40">
        <v>2</v>
      </c>
      <c r="H1180" s="41">
        <v>107.64</v>
      </c>
    </row>
    <row r="1181" spans="1:8" ht="19.95" customHeight="1" x14ac:dyDescent="0.3">
      <c r="A1181" s="6" t="s">
        <v>5565</v>
      </c>
      <c r="B1181" s="7" t="s">
        <v>5706</v>
      </c>
      <c r="C1181" s="6" t="s">
        <v>5707</v>
      </c>
      <c r="D1181" s="7" t="s">
        <v>5705</v>
      </c>
      <c r="E1181" s="6" t="s">
        <v>4270</v>
      </c>
      <c r="F1181" s="42">
        <v>53.82</v>
      </c>
      <c r="G1181" s="42">
        <v>2</v>
      </c>
      <c r="H1181" s="43">
        <v>107.64</v>
      </c>
    </row>
    <row r="1182" spans="1:8" ht="19.95" customHeight="1" x14ac:dyDescent="0.3">
      <c r="A1182" s="2" t="s">
        <v>5565</v>
      </c>
      <c r="B1182" s="3" t="s">
        <v>5708</v>
      </c>
      <c r="C1182" s="2" t="s">
        <v>5709</v>
      </c>
      <c r="D1182" s="3" t="s">
        <v>4416</v>
      </c>
      <c r="E1182" s="2" t="s">
        <v>4270</v>
      </c>
      <c r="F1182" s="40">
        <v>13</v>
      </c>
      <c r="G1182" s="40">
        <v>2</v>
      </c>
      <c r="H1182" s="41">
        <v>26</v>
      </c>
    </row>
    <row r="1183" spans="1:8" ht="19.95" customHeight="1" x14ac:dyDescent="0.3">
      <c r="A1183" s="6" t="s">
        <v>5565</v>
      </c>
      <c r="B1183" s="7" t="s">
        <v>5710</v>
      </c>
      <c r="C1183" s="6" t="s">
        <v>5711</v>
      </c>
      <c r="D1183" s="7" t="s">
        <v>4371</v>
      </c>
      <c r="E1183" s="6" t="s">
        <v>4270</v>
      </c>
      <c r="F1183" s="42">
        <v>2.6</v>
      </c>
      <c r="G1183" s="42">
        <v>2</v>
      </c>
      <c r="H1183" s="43">
        <v>5.2</v>
      </c>
    </row>
    <row r="1184" spans="1:8" ht="19.95" customHeight="1" x14ac:dyDescent="0.3">
      <c r="A1184" s="2" t="s">
        <v>5565</v>
      </c>
      <c r="B1184" s="3" t="s">
        <v>5714</v>
      </c>
      <c r="C1184" s="2" t="s">
        <v>5715</v>
      </c>
      <c r="D1184" s="3" t="s">
        <v>4368</v>
      </c>
      <c r="E1184" s="2" t="s">
        <v>4270</v>
      </c>
      <c r="F1184" s="40">
        <v>39.520000000000003</v>
      </c>
      <c r="G1184" s="40">
        <v>2</v>
      </c>
      <c r="H1184" s="41">
        <v>79.040000000000006</v>
      </c>
    </row>
    <row r="1185" spans="1:8" ht="19.95" customHeight="1" x14ac:dyDescent="0.3">
      <c r="A1185" s="6" t="s">
        <v>5565</v>
      </c>
      <c r="B1185" s="7" t="s">
        <v>5716</v>
      </c>
      <c r="C1185" s="6" t="s">
        <v>5717</v>
      </c>
      <c r="D1185" s="7" t="s">
        <v>4368</v>
      </c>
      <c r="E1185" s="6" t="s">
        <v>4270</v>
      </c>
      <c r="F1185" s="42">
        <v>6.76</v>
      </c>
      <c r="G1185" s="42">
        <v>2</v>
      </c>
      <c r="H1185" s="43">
        <v>13.52</v>
      </c>
    </row>
    <row r="1186" spans="1:8" ht="19.95" customHeight="1" x14ac:dyDescent="0.3">
      <c r="A1186" s="2" t="s">
        <v>5565</v>
      </c>
      <c r="B1186" s="3" t="s">
        <v>5718</v>
      </c>
      <c r="C1186" s="2" t="s">
        <v>5719</v>
      </c>
      <c r="D1186" s="3" t="s">
        <v>4368</v>
      </c>
      <c r="E1186" s="2" t="s">
        <v>4270</v>
      </c>
      <c r="F1186" s="40">
        <v>3.25</v>
      </c>
      <c r="G1186" s="40">
        <v>2</v>
      </c>
      <c r="H1186" s="41">
        <v>6.5</v>
      </c>
    </row>
    <row r="1187" spans="1:8" ht="19.95" customHeight="1" x14ac:dyDescent="0.3">
      <c r="A1187" s="6" t="s">
        <v>5565</v>
      </c>
      <c r="B1187" s="7" t="s">
        <v>5720</v>
      </c>
      <c r="C1187" s="6" t="s">
        <v>5721</v>
      </c>
      <c r="D1187" s="7" t="s">
        <v>4368</v>
      </c>
      <c r="E1187" s="6" t="s">
        <v>4270</v>
      </c>
      <c r="F1187" s="42">
        <v>6.24</v>
      </c>
      <c r="G1187" s="42">
        <v>2</v>
      </c>
      <c r="H1187" s="43">
        <v>12.48</v>
      </c>
    </row>
    <row r="1188" spans="1:8" ht="19.95" customHeight="1" x14ac:dyDescent="0.3">
      <c r="A1188" s="2" t="s">
        <v>5565</v>
      </c>
      <c r="B1188" s="3" t="s">
        <v>5722</v>
      </c>
      <c r="C1188" s="2" t="s">
        <v>5723</v>
      </c>
      <c r="D1188" s="3" t="s">
        <v>5603</v>
      </c>
      <c r="E1188" s="2" t="s">
        <v>4270</v>
      </c>
      <c r="F1188" s="40">
        <v>6.76</v>
      </c>
      <c r="G1188" s="40">
        <v>2</v>
      </c>
      <c r="H1188" s="41">
        <v>11.69</v>
      </c>
    </row>
    <row r="1189" spans="1:8" ht="19.95" customHeight="1" x14ac:dyDescent="0.3">
      <c r="A1189" s="6" t="s">
        <v>5565</v>
      </c>
      <c r="B1189" s="7" t="s">
        <v>5724</v>
      </c>
      <c r="C1189" s="6" t="s">
        <v>5725</v>
      </c>
      <c r="D1189" s="7" t="s">
        <v>4368</v>
      </c>
      <c r="E1189" s="6" t="s">
        <v>4270</v>
      </c>
      <c r="F1189" s="42">
        <v>6.24</v>
      </c>
      <c r="G1189" s="42">
        <v>2</v>
      </c>
      <c r="H1189" s="43">
        <v>12.48</v>
      </c>
    </row>
    <row r="1190" spans="1:8" ht="19.95" customHeight="1" x14ac:dyDescent="0.3">
      <c r="A1190" s="2" t="s">
        <v>5565</v>
      </c>
      <c r="B1190" s="3" t="s">
        <v>5726</v>
      </c>
      <c r="C1190" s="2" t="s">
        <v>5727</v>
      </c>
      <c r="D1190" s="3" t="s">
        <v>4368</v>
      </c>
      <c r="E1190" s="2" t="s">
        <v>4270</v>
      </c>
      <c r="F1190" s="40">
        <v>5.33</v>
      </c>
      <c r="G1190" s="40">
        <v>2</v>
      </c>
      <c r="H1190" s="41">
        <v>10.66</v>
      </c>
    </row>
    <row r="1191" spans="1:8" ht="19.95" customHeight="1" x14ac:dyDescent="0.3">
      <c r="A1191" s="6" t="s">
        <v>5565</v>
      </c>
      <c r="B1191" s="7" t="s">
        <v>5726</v>
      </c>
      <c r="C1191" s="6" t="s">
        <v>5727</v>
      </c>
      <c r="D1191" s="7" t="s">
        <v>4368</v>
      </c>
      <c r="E1191" s="6" t="s">
        <v>4270</v>
      </c>
      <c r="F1191" s="42">
        <v>12.61</v>
      </c>
      <c r="G1191" s="42">
        <v>2</v>
      </c>
      <c r="H1191" s="43">
        <v>25.22</v>
      </c>
    </row>
    <row r="1192" spans="1:8" ht="19.95" customHeight="1" x14ac:dyDescent="0.3">
      <c r="A1192" s="2" t="s">
        <v>5565</v>
      </c>
      <c r="B1192" s="3" t="s">
        <v>5728</v>
      </c>
      <c r="C1192" s="2" t="s">
        <v>5729</v>
      </c>
      <c r="D1192" s="3" t="s">
        <v>4519</v>
      </c>
      <c r="E1192" s="2" t="s">
        <v>6257</v>
      </c>
      <c r="F1192" s="40">
        <v>187.95</v>
      </c>
      <c r="G1192" s="40">
        <v>2</v>
      </c>
      <c r="H1192" s="41">
        <v>375.9</v>
      </c>
    </row>
    <row r="1193" spans="1:8" ht="19.95" customHeight="1" x14ac:dyDescent="0.3">
      <c r="A1193" s="6" t="s">
        <v>5565</v>
      </c>
      <c r="B1193" s="7" t="s">
        <v>5730</v>
      </c>
      <c r="C1193" s="6" t="s">
        <v>5731</v>
      </c>
      <c r="D1193" s="7" t="s">
        <v>4519</v>
      </c>
      <c r="E1193" s="6" t="s">
        <v>6257</v>
      </c>
      <c r="F1193" s="42">
        <v>187.95</v>
      </c>
      <c r="G1193" s="42">
        <v>2</v>
      </c>
      <c r="H1193" s="43">
        <v>375.9</v>
      </c>
    </row>
    <row r="1194" spans="1:8" ht="19.95" customHeight="1" x14ac:dyDescent="0.3">
      <c r="A1194" s="2" t="s">
        <v>5565</v>
      </c>
      <c r="B1194" s="3" t="s">
        <v>5732</v>
      </c>
      <c r="C1194" s="2" t="s">
        <v>5733</v>
      </c>
      <c r="D1194" s="3" t="s">
        <v>4519</v>
      </c>
      <c r="E1194" s="2" t="s">
        <v>6257</v>
      </c>
      <c r="F1194" s="40">
        <v>187.95</v>
      </c>
      <c r="G1194" s="40">
        <v>2</v>
      </c>
      <c r="H1194" s="41">
        <v>375.9</v>
      </c>
    </row>
    <row r="1195" spans="1:8" ht="19.95" customHeight="1" x14ac:dyDescent="0.3">
      <c r="A1195" s="6" t="s">
        <v>5565</v>
      </c>
      <c r="B1195" s="7" t="s">
        <v>5734</v>
      </c>
      <c r="C1195" s="6" t="s">
        <v>5735</v>
      </c>
      <c r="D1195" s="7" t="s">
        <v>4519</v>
      </c>
      <c r="E1195" s="6" t="s">
        <v>6257</v>
      </c>
      <c r="F1195" s="42">
        <v>187.95</v>
      </c>
      <c r="G1195" s="42">
        <v>2</v>
      </c>
      <c r="H1195" s="43">
        <v>375.9</v>
      </c>
    </row>
    <row r="1196" spans="1:8" ht="19.95" customHeight="1" x14ac:dyDescent="0.3">
      <c r="A1196" s="2" t="s">
        <v>5565</v>
      </c>
      <c r="B1196" s="3" t="s">
        <v>5736</v>
      </c>
      <c r="C1196" s="2" t="s">
        <v>5737</v>
      </c>
      <c r="D1196" s="3" t="s">
        <v>4519</v>
      </c>
      <c r="E1196" s="2" t="s">
        <v>6258</v>
      </c>
      <c r="F1196" s="40">
        <v>498.65</v>
      </c>
      <c r="G1196" s="40">
        <v>2</v>
      </c>
      <c r="H1196" s="41">
        <v>997.3</v>
      </c>
    </row>
    <row r="1197" spans="1:8" ht="19.95" customHeight="1" x14ac:dyDescent="0.3">
      <c r="A1197" s="6" t="s">
        <v>5565</v>
      </c>
      <c r="B1197" s="7" t="s">
        <v>5736</v>
      </c>
      <c r="C1197" s="6" t="s">
        <v>5737</v>
      </c>
      <c r="D1197" s="7" t="s">
        <v>4519</v>
      </c>
      <c r="E1197" s="6" t="s">
        <v>4270</v>
      </c>
      <c r="F1197" s="42">
        <v>310.7</v>
      </c>
      <c r="G1197" s="42">
        <v>2</v>
      </c>
      <c r="H1197" s="43">
        <v>621.4</v>
      </c>
    </row>
    <row r="1198" spans="1:8" ht="19.95" customHeight="1" x14ac:dyDescent="0.3">
      <c r="A1198" s="2" t="s">
        <v>5565</v>
      </c>
      <c r="B1198" s="3" t="s">
        <v>5738</v>
      </c>
      <c r="C1198" s="2" t="s">
        <v>5739</v>
      </c>
      <c r="D1198" s="3" t="s">
        <v>4519</v>
      </c>
      <c r="E1198" s="2" t="s">
        <v>6257</v>
      </c>
      <c r="F1198" s="40">
        <v>188</v>
      </c>
      <c r="G1198" s="40">
        <v>2</v>
      </c>
      <c r="H1198" s="41">
        <v>376</v>
      </c>
    </row>
    <row r="1199" spans="1:8" ht="19.95" customHeight="1" x14ac:dyDescent="0.3">
      <c r="A1199" s="6" t="s">
        <v>5565</v>
      </c>
      <c r="B1199" s="7" t="s">
        <v>5740</v>
      </c>
      <c r="C1199" s="6" t="s">
        <v>5739</v>
      </c>
      <c r="D1199" s="7" t="s">
        <v>4519</v>
      </c>
      <c r="E1199" s="6" t="s">
        <v>6257</v>
      </c>
      <c r="F1199" s="42">
        <v>188</v>
      </c>
      <c r="G1199" s="42">
        <v>2</v>
      </c>
      <c r="H1199" s="43">
        <v>376</v>
      </c>
    </row>
    <row r="1200" spans="1:8" ht="19.95" customHeight="1" x14ac:dyDescent="0.3">
      <c r="A1200" s="2" t="s">
        <v>5565</v>
      </c>
      <c r="B1200" s="3" t="s">
        <v>4607</v>
      </c>
      <c r="C1200" s="2" t="s">
        <v>5770</v>
      </c>
      <c r="D1200" s="3" t="s">
        <v>4368</v>
      </c>
      <c r="E1200" s="2" t="s">
        <v>6204</v>
      </c>
      <c r="F1200" s="40">
        <v>169.98</v>
      </c>
      <c r="G1200" s="40">
        <v>2</v>
      </c>
      <c r="H1200" s="41">
        <v>339.96</v>
      </c>
    </row>
    <row r="1201" spans="1:8" ht="19.95" customHeight="1" x14ac:dyDescent="0.3">
      <c r="A1201" s="6" t="s">
        <v>5565</v>
      </c>
      <c r="B1201" s="7" t="s">
        <v>6259</v>
      </c>
      <c r="C1201" s="6" t="s">
        <v>6260</v>
      </c>
      <c r="D1201" s="7" t="s">
        <v>4413</v>
      </c>
      <c r="E1201" s="6" t="s">
        <v>4270</v>
      </c>
      <c r="F1201" s="42">
        <v>6.71</v>
      </c>
      <c r="G1201" s="42">
        <v>2</v>
      </c>
      <c r="H1201" s="43">
        <v>13.42</v>
      </c>
    </row>
    <row r="1202" spans="1:8" ht="19.95" customHeight="1" x14ac:dyDescent="0.3">
      <c r="A1202" s="2" t="s">
        <v>5565</v>
      </c>
      <c r="B1202" s="3" t="s">
        <v>6259</v>
      </c>
      <c r="C1202" s="2" t="s">
        <v>6260</v>
      </c>
      <c r="D1202" s="3" t="s">
        <v>4413</v>
      </c>
      <c r="E1202" s="2" t="s">
        <v>6261</v>
      </c>
      <c r="F1202" s="40">
        <v>20.13</v>
      </c>
      <c r="G1202" s="40">
        <v>2</v>
      </c>
      <c r="H1202" s="41">
        <v>40.26</v>
      </c>
    </row>
    <row r="1203" spans="1:8" ht="19.95" customHeight="1" x14ac:dyDescent="0.3">
      <c r="A1203" s="6" t="s">
        <v>5565</v>
      </c>
      <c r="B1203" s="7" t="s">
        <v>6259</v>
      </c>
      <c r="C1203" s="6" t="s">
        <v>6260</v>
      </c>
      <c r="D1203" s="7" t="s">
        <v>4413</v>
      </c>
      <c r="E1203" s="6" t="s">
        <v>6262</v>
      </c>
      <c r="F1203" s="42">
        <v>44.67</v>
      </c>
      <c r="G1203" s="42">
        <v>2</v>
      </c>
      <c r="H1203" s="43">
        <v>89.34</v>
      </c>
    </row>
    <row r="1204" spans="1:8" ht="19.95" customHeight="1" x14ac:dyDescent="0.3">
      <c r="A1204" s="2" t="s">
        <v>5565</v>
      </c>
      <c r="B1204" s="3" t="s">
        <v>6259</v>
      </c>
      <c r="C1204" s="2" t="s">
        <v>6260</v>
      </c>
      <c r="D1204" s="3" t="s">
        <v>4413</v>
      </c>
      <c r="E1204" s="2" t="s">
        <v>6263</v>
      </c>
      <c r="F1204" s="40">
        <v>13.75</v>
      </c>
      <c r="G1204" s="40">
        <v>2</v>
      </c>
      <c r="H1204" s="41">
        <v>27.5</v>
      </c>
    </row>
    <row r="1205" spans="1:8" ht="19.95" customHeight="1" x14ac:dyDescent="0.3">
      <c r="A1205" s="6" t="s">
        <v>5565</v>
      </c>
      <c r="B1205" s="7" t="s">
        <v>6259</v>
      </c>
      <c r="C1205" s="6" t="s">
        <v>6260</v>
      </c>
      <c r="D1205" s="7" t="s">
        <v>4413</v>
      </c>
      <c r="E1205" s="6" t="s">
        <v>6264</v>
      </c>
      <c r="F1205" s="42">
        <v>21.48</v>
      </c>
      <c r="G1205" s="42">
        <v>2</v>
      </c>
      <c r="H1205" s="43">
        <v>42.96</v>
      </c>
    </row>
    <row r="1206" spans="1:8" ht="19.95" customHeight="1" x14ac:dyDescent="0.3">
      <c r="A1206" s="2" t="s">
        <v>5565</v>
      </c>
      <c r="B1206" s="3" t="s">
        <v>6259</v>
      </c>
      <c r="C1206" s="2" t="s">
        <v>6260</v>
      </c>
      <c r="D1206" s="3" t="s">
        <v>4413</v>
      </c>
      <c r="E1206" s="2" t="s">
        <v>6265</v>
      </c>
      <c r="F1206" s="40">
        <v>80.540000000000006</v>
      </c>
      <c r="G1206" s="40">
        <v>2</v>
      </c>
      <c r="H1206" s="41">
        <v>161.08000000000001</v>
      </c>
    </row>
    <row r="1207" spans="1:8" ht="19.95" customHeight="1" x14ac:dyDescent="0.3">
      <c r="A1207" s="6" t="s">
        <v>5565</v>
      </c>
      <c r="B1207" s="7" t="s">
        <v>6259</v>
      </c>
      <c r="C1207" s="6" t="s">
        <v>6260</v>
      </c>
      <c r="D1207" s="7" t="s">
        <v>4413</v>
      </c>
      <c r="E1207" s="6" t="s">
        <v>6266</v>
      </c>
      <c r="F1207" s="42">
        <v>53.69</v>
      </c>
      <c r="G1207" s="42">
        <v>2</v>
      </c>
      <c r="H1207" s="43">
        <v>107.38</v>
      </c>
    </row>
    <row r="1208" spans="1:8" ht="19.95" customHeight="1" x14ac:dyDescent="0.3">
      <c r="A1208" s="2" t="s">
        <v>5565</v>
      </c>
      <c r="B1208" s="3" t="s">
        <v>5741</v>
      </c>
      <c r="C1208" s="2" t="s">
        <v>5742</v>
      </c>
      <c r="D1208" s="3" t="s">
        <v>4416</v>
      </c>
      <c r="E1208" s="2" t="s">
        <v>6267</v>
      </c>
      <c r="F1208" s="40">
        <v>52</v>
      </c>
      <c r="G1208" s="40">
        <v>2</v>
      </c>
      <c r="H1208" s="41">
        <v>104</v>
      </c>
    </row>
    <row r="1209" spans="1:8" ht="19.95" customHeight="1" x14ac:dyDescent="0.3">
      <c r="A1209" s="6" t="s">
        <v>5565</v>
      </c>
      <c r="B1209" s="7" t="s">
        <v>5741</v>
      </c>
      <c r="C1209" s="6" t="s">
        <v>5742</v>
      </c>
      <c r="D1209" s="7" t="s">
        <v>4416</v>
      </c>
      <c r="E1209" s="6" t="s">
        <v>6268</v>
      </c>
      <c r="F1209" s="42">
        <v>20</v>
      </c>
      <c r="G1209" s="42">
        <v>2</v>
      </c>
      <c r="H1209" s="43">
        <v>40</v>
      </c>
    </row>
    <row r="1210" spans="1:8" ht="19.95" customHeight="1" x14ac:dyDescent="0.3">
      <c r="A1210" s="2" t="s">
        <v>5565</v>
      </c>
      <c r="B1210" s="3" t="s">
        <v>5743</v>
      </c>
      <c r="C1210" s="2" t="s">
        <v>5744</v>
      </c>
      <c r="D1210" s="3" t="s">
        <v>5745</v>
      </c>
      <c r="E1210" s="2" t="s">
        <v>4270</v>
      </c>
      <c r="F1210" s="40">
        <v>89.28</v>
      </c>
      <c r="G1210" s="40">
        <v>2</v>
      </c>
      <c r="H1210" s="41">
        <v>178.56</v>
      </c>
    </row>
    <row r="1211" spans="1:8" ht="19.95" customHeight="1" x14ac:dyDescent="0.3">
      <c r="A1211" s="6" t="s">
        <v>5565</v>
      </c>
      <c r="B1211" s="7" t="s">
        <v>5743</v>
      </c>
      <c r="C1211" s="6" t="s">
        <v>5744</v>
      </c>
      <c r="D1211" s="7" t="s">
        <v>5745</v>
      </c>
      <c r="E1211" s="6" t="s">
        <v>6269</v>
      </c>
      <c r="F1211" s="42">
        <v>187.95</v>
      </c>
      <c r="G1211" s="42">
        <v>2</v>
      </c>
      <c r="H1211" s="43">
        <v>375.9</v>
      </c>
    </row>
    <row r="1212" spans="1:8" ht="19.95" customHeight="1" x14ac:dyDescent="0.3">
      <c r="A1212" s="2" t="s">
        <v>5565</v>
      </c>
      <c r="B1212" s="3" t="s">
        <v>5746</v>
      </c>
      <c r="C1212" s="2" t="s">
        <v>5747</v>
      </c>
      <c r="D1212" s="3" t="s">
        <v>4344</v>
      </c>
      <c r="E1212" s="2" t="s">
        <v>6270</v>
      </c>
      <c r="F1212" s="40">
        <v>807.3</v>
      </c>
      <c r="G1212" s="40">
        <v>2</v>
      </c>
      <c r="H1212" s="41">
        <v>1614.6</v>
      </c>
    </row>
    <row r="1213" spans="1:8" ht="19.95" customHeight="1" x14ac:dyDescent="0.3">
      <c r="A1213" s="6" t="s">
        <v>5565</v>
      </c>
      <c r="B1213" s="7" t="s">
        <v>5750</v>
      </c>
      <c r="C1213" s="6" t="s">
        <v>5751</v>
      </c>
      <c r="D1213" s="7" t="s">
        <v>5752</v>
      </c>
      <c r="E1213" s="6" t="s">
        <v>6271</v>
      </c>
      <c r="F1213" s="42">
        <v>104</v>
      </c>
      <c r="G1213" s="42">
        <v>2</v>
      </c>
      <c r="H1213" s="43">
        <v>208</v>
      </c>
    </row>
    <row r="1214" spans="1:8" ht="19.95" customHeight="1" x14ac:dyDescent="0.3">
      <c r="A1214" s="2" t="s">
        <v>5565</v>
      </c>
      <c r="B1214" s="3" t="s">
        <v>5750</v>
      </c>
      <c r="C1214" s="2" t="s">
        <v>5751</v>
      </c>
      <c r="D1214" s="3" t="s">
        <v>5752</v>
      </c>
      <c r="E1214" s="2" t="s">
        <v>6238</v>
      </c>
      <c r="F1214" s="40">
        <v>351</v>
      </c>
      <c r="G1214" s="40">
        <v>2</v>
      </c>
      <c r="H1214" s="41">
        <v>702</v>
      </c>
    </row>
    <row r="1215" spans="1:8" ht="19.95" customHeight="1" x14ac:dyDescent="0.3">
      <c r="A1215" s="6" t="s">
        <v>5565</v>
      </c>
      <c r="B1215" s="7" t="s">
        <v>5753</v>
      </c>
      <c r="C1215" s="6" t="s">
        <v>5754</v>
      </c>
      <c r="D1215" s="7" t="s">
        <v>5752</v>
      </c>
      <c r="E1215" s="6" t="s">
        <v>6271</v>
      </c>
      <c r="F1215" s="42">
        <v>52</v>
      </c>
      <c r="G1215" s="42">
        <v>2</v>
      </c>
      <c r="H1215" s="43">
        <v>104</v>
      </c>
    </row>
    <row r="1216" spans="1:8" ht="19.95" customHeight="1" x14ac:dyDescent="0.3">
      <c r="A1216" s="2" t="s">
        <v>5565</v>
      </c>
      <c r="B1216" s="3" t="s">
        <v>5755</v>
      </c>
      <c r="C1216" s="2" t="s">
        <v>5756</v>
      </c>
      <c r="D1216" s="3" t="s">
        <v>5752</v>
      </c>
      <c r="E1216" s="2" t="s">
        <v>6272</v>
      </c>
      <c r="F1216" s="40">
        <v>52</v>
      </c>
      <c r="G1216" s="40">
        <v>2</v>
      </c>
      <c r="H1216" s="41">
        <v>104</v>
      </c>
    </row>
    <row r="1217" spans="1:8" ht="19.95" customHeight="1" x14ac:dyDescent="0.3">
      <c r="A1217" s="6" t="s">
        <v>5565</v>
      </c>
      <c r="B1217" s="7" t="s">
        <v>5755</v>
      </c>
      <c r="C1217" s="6" t="s">
        <v>5756</v>
      </c>
      <c r="D1217" s="7" t="s">
        <v>5752</v>
      </c>
      <c r="E1217" s="6" t="s">
        <v>6273</v>
      </c>
      <c r="F1217" s="42">
        <v>20</v>
      </c>
      <c r="G1217" s="42">
        <v>2</v>
      </c>
      <c r="H1217" s="43">
        <v>40</v>
      </c>
    </row>
    <row r="1218" spans="1:8" ht="19.95" customHeight="1" x14ac:dyDescent="0.3">
      <c r="A1218" s="2" t="s">
        <v>5565</v>
      </c>
      <c r="B1218" s="3" t="s">
        <v>5757</v>
      </c>
      <c r="C1218" s="2" t="s">
        <v>5758</v>
      </c>
      <c r="D1218" s="3" t="s">
        <v>5608</v>
      </c>
      <c r="E1218" s="2" t="s">
        <v>6274</v>
      </c>
      <c r="F1218" s="40">
        <v>13.52</v>
      </c>
      <c r="G1218" s="40">
        <v>2</v>
      </c>
      <c r="H1218" s="41">
        <v>27.04</v>
      </c>
    </row>
  </sheetData>
  <sheetProtection sheet="1"/>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6"/>
  <sheetViews>
    <sheetView workbookViewId="0">
      <pane ySplit="3" topLeftCell="A4" activePane="bottomLeft" state="frozen"/>
      <selection pane="bottomLeft"/>
    </sheetView>
  </sheetViews>
  <sheetFormatPr defaultRowHeight="14.4" x14ac:dyDescent="0.3"/>
  <cols>
    <col min="1" max="1" width="12" style="151" customWidth="1"/>
    <col min="2" max="2" width="26" style="151" customWidth="1"/>
    <col min="3" max="3" width="56" style="151" customWidth="1"/>
    <col min="4" max="4" width="14" style="151" customWidth="1"/>
    <col min="5" max="5" width="16" style="151" customWidth="1"/>
    <col min="6" max="6" width="18" style="151" customWidth="1"/>
    <col min="7" max="7" width="20" style="151" customWidth="1"/>
    <col min="8" max="8" width="60" style="151" customWidth="1"/>
    <col min="9" max="9" width="12" style="151" customWidth="1"/>
  </cols>
  <sheetData>
    <row r="1" spans="1:9" ht="30" customHeight="1" x14ac:dyDescent="0.3">
      <c r="A1" s="227" t="s">
        <v>6275</v>
      </c>
      <c r="B1" s="228"/>
      <c r="C1" s="228"/>
      <c r="D1" s="228"/>
      <c r="E1" s="228"/>
      <c r="F1" s="228"/>
      <c r="G1" s="228"/>
      <c r="H1" s="228"/>
      <c r="I1" s="228"/>
    </row>
    <row r="2" spans="1:9" ht="15" customHeight="1" x14ac:dyDescent="0.3">
      <c r="A2" s="44" t="s">
        <v>4272</v>
      </c>
      <c r="B2" s="45" t="s">
        <v>6276</v>
      </c>
      <c r="C2" s="28" t="s">
        <v>6277</v>
      </c>
      <c r="D2" s="7" t="s">
        <v>6278</v>
      </c>
      <c r="E2" s="46" t="s">
        <v>6279</v>
      </c>
      <c r="F2" s="47" t="s">
        <v>6280</v>
      </c>
    </row>
    <row r="3" spans="1:9" ht="40.049999999999997" customHeight="1" x14ac:dyDescent="0.3">
      <c r="A3" s="238" t="s">
        <v>6281</v>
      </c>
      <c r="B3" s="228"/>
      <c r="C3" s="228"/>
      <c r="D3" s="228"/>
      <c r="E3" s="228"/>
      <c r="F3" s="228"/>
      <c r="G3" s="228"/>
      <c r="H3" s="228"/>
      <c r="I3" s="228"/>
    </row>
    <row r="5" spans="1:9" ht="24" customHeight="1" x14ac:dyDescent="0.3">
      <c r="A5" s="239" t="s">
        <v>6282</v>
      </c>
      <c r="B5" s="228"/>
      <c r="C5" s="228"/>
      <c r="D5" s="228"/>
      <c r="E5" s="228"/>
      <c r="F5" s="228"/>
      <c r="G5" s="228"/>
      <c r="H5" s="228"/>
      <c r="I5" s="228"/>
    </row>
    <row r="6" spans="1:9" ht="24" customHeight="1" x14ac:dyDescent="0.3">
      <c r="A6" s="153" t="s">
        <v>6283</v>
      </c>
      <c r="B6" s="153" t="s">
        <v>6284</v>
      </c>
      <c r="C6" s="153" t="s">
        <v>6285</v>
      </c>
      <c r="D6" s="153" t="s">
        <v>6</v>
      </c>
      <c r="E6" s="153" t="s">
        <v>6286</v>
      </c>
      <c r="F6" s="153" t="s">
        <v>6287</v>
      </c>
      <c r="G6" s="153" t="s">
        <v>6288</v>
      </c>
      <c r="H6" s="153" t="s">
        <v>6289</v>
      </c>
      <c r="I6" s="153" t="s">
        <v>6290</v>
      </c>
    </row>
    <row r="7" spans="1:9" ht="34.049999999999997" customHeight="1" x14ac:dyDescent="0.3">
      <c r="A7" s="48" t="s">
        <v>4653</v>
      </c>
      <c r="B7" s="17" t="s">
        <v>6291</v>
      </c>
      <c r="C7" s="49" t="s">
        <v>6292</v>
      </c>
      <c r="D7" s="16" t="s">
        <v>18</v>
      </c>
      <c r="E7" s="50">
        <v>1</v>
      </c>
      <c r="F7" s="51">
        <v>8025</v>
      </c>
      <c r="G7" s="52">
        <f>G44</f>
        <v>8025</v>
      </c>
      <c r="H7" s="48" t="s">
        <v>6293</v>
      </c>
      <c r="I7" s="152" t="s">
        <v>6294</v>
      </c>
    </row>
    <row r="8" spans="1:9" ht="34.049999999999997" customHeight="1" x14ac:dyDescent="0.3">
      <c r="A8" s="48" t="s">
        <v>4926</v>
      </c>
      <c r="B8" s="17" t="s">
        <v>6295</v>
      </c>
      <c r="C8" s="49" t="s">
        <v>6296</v>
      </c>
      <c r="D8" s="16" t="s">
        <v>169</v>
      </c>
      <c r="E8" s="50">
        <v>10</v>
      </c>
      <c r="F8" s="51">
        <v>57.05</v>
      </c>
      <c r="G8" s="52">
        <f>G66</f>
        <v>57.050000000000004</v>
      </c>
      <c r="H8" s="48" t="s">
        <v>6297</v>
      </c>
      <c r="I8" s="152" t="s">
        <v>6298</v>
      </c>
    </row>
    <row r="9" spans="1:9" ht="34.049999999999997" customHeight="1" x14ac:dyDescent="0.3">
      <c r="A9" s="48" t="s">
        <v>4982</v>
      </c>
      <c r="B9" s="17" t="s">
        <v>6295</v>
      </c>
      <c r="C9" s="49" t="s">
        <v>6299</v>
      </c>
      <c r="D9" s="16" t="s">
        <v>169</v>
      </c>
      <c r="E9" s="50">
        <v>10</v>
      </c>
      <c r="F9" s="51">
        <v>50.7</v>
      </c>
      <c r="G9" s="52">
        <f>G86</f>
        <v>50.7</v>
      </c>
      <c r="H9" s="48" t="s">
        <v>6300</v>
      </c>
      <c r="I9" s="152" t="s">
        <v>6301</v>
      </c>
    </row>
    <row r="10" spans="1:9" ht="34.049999999999997" customHeight="1" x14ac:dyDescent="0.3">
      <c r="A10" s="48" t="s">
        <v>4985</v>
      </c>
      <c r="B10" s="17" t="s">
        <v>6295</v>
      </c>
      <c r="C10" s="49" t="s">
        <v>6302</v>
      </c>
      <c r="D10" s="16" t="s">
        <v>169</v>
      </c>
      <c r="E10" s="50">
        <v>10</v>
      </c>
      <c r="F10" s="51">
        <v>44.5</v>
      </c>
      <c r="G10" s="52">
        <f>G107</f>
        <v>44.5</v>
      </c>
      <c r="H10" s="48" t="s">
        <v>6303</v>
      </c>
      <c r="I10" s="152" t="s">
        <v>6304</v>
      </c>
    </row>
    <row r="11" spans="1:9" ht="34.049999999999997" customHeight="1" x14ac:dyDescent="0.3">
      <c r="A11" s="48" t="s">
        <v>4928</v>
      </c>
      <c r="B11" s="17" t="s">
        <v>6305</v>
      </c>
      <c r="C11" s="49" t="s">
        <v>6306</v>
      </c>
      <c r="D11" s="16" t="s">
        <v>283</v>
      </c>
      <c r="E11" s="50">
        <v>10</v>
      </c>
      <c r="F11" s="51">
        <v>154.15</v>
      </c>
      <c r="G11" s="52">
        <f>G126</f>
        <v>154.15</v>
      </c>
      <c r="H11" s="48" t="s">
        <v>6307</v>
      </c>
      <c r="I11" s="152" t="s">
        <v>6308</v>
      </c>
    </row>
    <row r="13" spans="1:9" ht="24" customHeight="1" x14ac:dyDescent="0.3">
      <c r="A13" s="239" t="s">
        <v>6309</v>
      </c>
      <c r="B13" s="228"/>
      <c r="C13" s="228"/>
      <c r="D13" s="228"/>
      <c r="E13" s="228"/>
      <c r="F13" s="228"/>
      <c r="G13" s="228"/>
      <c r="H13" s="228"/>
      <c r="I13" s="228"/>
    </row>
    <row r="14" spans="1:9" ht="31.95" customHeight="1" x14ac:dyDescent="0.3">
      <c r="A14" s="243" t="s">
        <v>6310</v>
      </c>
      <c r="B14" s="228"/>
      <c r="C14" s="228"/>
      <c r="D14" s="228"/>
      <c r="E14" s="228"/>
      <c r="F14" s="228"/>
      <c r="G14" s="228"/>
      <c r="H14" s="228"/>
      <c r="I14" s="228"/>
    </row>
    <row r="15" spans="1:9" ht="19.95" customHeight="1" x14ac:dyDescent="0.35">
      <c r="A15" s="14" t="s">
        <v>6311</v>
      </c>
      <c r="B15" s="50">
        <v>1</v>
      </c>
      <c r="C15" s="17" t="s">
        <v>18</v>
      </c>
      <c r="D15" s="14" t="s">
        <v>6312</v>
      </c>
      <c r="E15" s="246" t="s">
        <v>6294</v>
      </c>
      <c r="F15" s="241"/>
      <c r="G15" s="241"/>
      <c r="H15" s="241"/>
      <c r="I15" s="242"/>
    </row>
    <row r="16" spans="1:9" ht="22.05" customHeight="1" x14ac:dyDescent="0.3">
      <c r="A16" s="153" t="s">
        <v>6313</v>
      </c>
      <c r="B16" s="153" t="s">
        <v>6314</v>
      </c>
      <c r="C16" s="153" t="s">
        <v>5</v>
      </c>
      <c r="D16" s="153" t="s">
        <v>6</v>
      </c>
      <c r="E16" s="153" t="s">
        <v>6315</v>
      </c>
      <c r="F16" s="153" t="s">
        <v>7</v>
      </c>
      <c r="G16" s="153" t="s">
        <v>6316</v>
      </c>
      <c r="H16" s="153" t="s">
        <v>6317</v>
      </c>
      <c r="I16" s="153" t="s">
        <v>6318</v>
      </c>
    </row>
    <row r="17" spans="1:9" ht="19.95" customHeight="1" x14ac:dyDescent="0.3">
      <c r="A17" s="16">
        <v>1</v>
      </c>
      <c r="B17" s="54" t="s">
        <v>335</v>
      </c>
      <c r="C17" s="55" t="str">
        <f>IFERROR(INDEX(Rates_Master!$C:$C, MATCH(B17, Rates_Master!$A:$A, 0)), "Code not found in Rates_Master")</f>
        <v>Stone Aggregate (Single size) : 20 mm nominal size</v>
      </c>
      <c r="D17" s="56" t="str">
        <f>IFERROR(INDEX(Rates_Master!$D:$D, MATCH(B17, Rates_Master!$A:$A, 0)), "")</f>
        <v>cum</v>
      </c>
      <c r="E17" s="57">
        <v>0.7</v>
      </c>
      <c r="F17" s="58">
        <f>IFERROR(INDEX(Rates_Master!$E:$E, MATCH(B17, Rates_Master!$A:$A, 0)), 0)</f>
        <v>1350</v>
      </c>
      <c r="G17" s="51">
        <f t="shared" ref="G17:G33" si="0">ROUND(E17 * F17, 2)</f>
        <v>945</v>
      </c>
      <c r="H17" s="152" t="s">
        <v>6319</v>
      </c>
      <c r="I17" s="48"/>
    </row>
    <row r="18" spans="1:9" ht="19.95" customHeight="1" x14ac:dyDescent="0.3">
      <c r="A18" s="16">
        <v>2</v>
      </c>
      <c r="B18" s="54" t="s">
        <v>339</v>
      </c>
      <c r="C18" s="55" t="str">
        <f>IFERROR(INDEX(Rates_Master!$C:$C, MATCH(B18, Rates_Master!$A:$A, 0)), "Code not found in Rates_Master")</f>
        <v>Stone Aggregate (Single size) : 10 mm nominal size</v>
      </c>
      <c r="D18" s="56" t="str">
        <f>IFERROR(INDEX(Rates_Master!$D:$D, MATCH(B18, Rates_Master!$A:$A, 0)), "")</f>
        <v>cum</v>
      </c>
      <c r="E18" s="57">
        <v>0.24</v>
      </c>
      <c r="F18" s="58">
        <f>IFERROR(INDEX(Rates_Master!$E:$E, MATCH(B18, Rates_Master!$A:$A, 0)), 0)</f>
        <v>1350</v>
      </c>
      <c r="G18" s="51">
        <f t="shared" si="0"/>
        <v>324</v>
      </c>
      <c r="H18" s="152" t="s">
        <v>6320</v>
      </c>
      <c r="I18" s="48"/>
    </row>
    <row r="19" spans="1:9" ht="19.95" customHeight="1" x14ac:dyDescent="0.3">
      <c r="A19" s="16">
        <v>3</v>
      </c>
      <c r="B19" s="54" t="s">
        <v>1628</v>
      </c>
      <c r="C19" s="55" t="str">
        <f>IFERROR(INDEX(Rates_Master!$C:$C, MATCH(B19, Rates_Master!$A:$A, 0)), "Code not found in Rates_Master")</f>
        <v>Carriage of Stone aggregate below 40 mm nominal size</v>
      </c>
      <c r="D19" s="56" t="str">
        <f>IFERROR(INDEX(Rates_Master!$D:$D, MATCH(B19, Rates_Master!$A:$A, 0)), "")</f>
        <v>cum</v>
      </c>
      <c r="E19" s="57">
        <v>0.94</v>
      </c>
      <c r="F19" s="58">
        <f>IFERROR(INDEX(Rates_Master!$E:$E, MATCH(B19, Rates_Master!$A:$A, 0)), 0)</f>
        <v>103.77</v>
      </c>
      <c r="G19" s="51">
        <f t="shared" si="0"/>
        <v>97.54</v>
      </c>
      <c r="H19" s="152" t="s">
        <v>1629</v>
      </c>
      <c r="I19" s="48"/>
    </row>
    <row r="20" spans="1:9" ht="19.95" customHeight="1" x14ac:dyDescent="0.3">
      <c r="A20" s="16">
        <v>4</v>
      </c>
      <c r="B20" s="54" t="s">
        <v>909</v>
      </c>
      <c r="C20" s="55" t="str">
        <f>IFERROR(INDEX(Rates_Master!$C:$C, MATCH(B20, Rates_Master!$A:$A, 0)), "Code not found in Rates_Master")</f>
        <v>Coarse sand (zone III)</v>
      </c>
      <c r="D20" s="56" t="str">
        <f>IFERROR(INDEX(Rates_Master!$D:$D, MATCH(B20, Rates_Master!$A:$A, 0)), "")</f>
        <v>cum</v>
      </c>
      <c r="E20" s="57">
        <v>0.47</v>
      </c>
      <c r="F20" s="58">
        <f>IFERROR(INDEX(Rates_Master!$E:$E, MATCH(B20, Rates_Master!$A:$A, 0)), 0)</f>
        <v>1350</v>
      </c>
      <c r="G20" s="51">
        <f t="shared" si="0"/>
        <v>634.5</v>
      </c>
      <c r="H20" s="152" t="s">
        <v>910</v>
      </c>
      <c r="I20" s="48"/>
    </row>
    <row r="21" spans="1:9" ht="19.95" customHeight="1" x14ac:dyDescent="0.3">
      <c r="A21" s="16">
        <v>5</v>
      </c>
      <c r="B21" s="54" t="s">
        <v>1630</v>
      </c>
      <c r="C21" s="55" t="str">
        <f>IFERROR(INDEX(Rates_Master!$C:$C, MATCH(B21, Rates_Master!$A:$A, 0)), "Code not found in Rates_Master")</f>
        <v>Carriage of Coarse sand</v>
      </c>
      <c r="D21" s="56" t="str">
        <f>IFERROR(INDEX(Rates_Master!$D:$D, MATCH(B21, Rates_Master!$A:$A, 0)), "")</f>
        <v>cum</v>
      </c>
      <c r="E21" s="57">
        <v>0.47</v>
      </c>
      <c r="F21" s="58">
        <f>IFERROR(INDEX(Rates_Master!$E:$E, MATCH(B21, Rates_Master!$A:$A, 0)), 0)</f>
        <v>103.77</v>
      </c>
      <c r="G21" s="51">
        <f t="shared" si="0"/>
        <v>48.77</v>
      </c>
      <c r="H21" s="152" t="s">
        <v>1631</v>
      </c>
      <c r="I21" s="48"/>
    </row>
    <row r="22" spans="1:9" ht="19.95" customHeight="1" x14ac:dyDescent="0.3">
      <c r="A22" s="16">
        <v>6</v>
      </c>
      <c r="B22" s="54" t="s">
        <v>424</v>
      </c>
      <c r="C22" s="55" t="str">
        <f>IFERROR(INDEX(Rates_Master!$C:$C, MATCH(B22, Rates_Master!$A:$A, 0)), "Code not found in Rates_Master")</f>
        <v>Portland Cement (OPC-43 Grade)</v>
      </c>
      <c r="D22" s="56" t="str">
        <f>IFERROR(INDEX(Rates_Master!$D:$D, MATCH(B22, Rates_Master!$A:$A, 0)), "")</f>
        <v>tonne</v>
      </c>
      <c r="E22" s="57">
        <v>0.22</v>
      </c>
      <c r="F22" s="58">
        <f>IFERROR(INDEX(Rates_Master!$E:$E, MATCH(B22, Rates_Master!$A:$A, 0)), 0)</f>
        <v>4940</v>
      </c>
      <c r="G22" s="51">
        <f t="shared" si="0"/>
        <v>1086.8</v>
      </c>
      <c r="H22" s="152" t="s">
        <v>6321</v>
      </c>
      <c r="I22" s="48"/>
    </row>
    <row r="23" spans="1:9" ht="19.95" customHeight="1" x14ac:dyDescent="0.3">
      <c r="A23" s="16">
        <v>7</v>
      </c>
      <c r="B23" s="54" t="s">
        <v>1642</v>
      </c>
      <c r="C23" s="55" t="str">
        <f>IFERROR(INDEX(Rates_Master!$C:$C, MATCH(B23, Rates_Master!$A:$A, 0)), "Code not found in Rates_Master")</f>
        <v>Carriage of Cement</v>
      </c>
      <c r="D23" s="56" t="str">
        <f>IFERROR(INDEX(Rates_Master!$D:$D, MATCH(B23, Rates_Master!$A:$A, 0)), "")</f>
        <v>tonne</v>
      </c>
      <c r="E23" s="57">
        <v>0.22</v>
      </c>
      <c r="F23" s="58">
        <f>IFERROR(INDEX(Rates_Master!$E:$E, MATCH(B23, Rates_Master!$A:$A, 0)), 0)</f>
        <v>92.24</v>
      </c>
      <c r="G23" s="51">
        <f t="shared" si="0"/>
        <v>20.29</v>
      </c>
      <c r="H23" s="152" t="s">
        <v>1643</v>
      </c>
      <c r="I23" s="48"/>
    </row>
    <row r="24" spans="1:9" ht="19.95" customHeight="1" x14ac:dyDescent="0.3">
      <c r="A24" s="16">
        <v>8</v>
      </c>
      <c r="B24" s="54" t="s">
        <v>209</v>
      </c>
      <c r="C24" s="55" t="str">
        <f>IFERROR(INDEX(Rates_Master!$C:$C, MATCH(B24, Rates_Master!$A:$A, 0)), "Code not found in Rates_Master")</f>
        <v>Beldar</v>
      </c>
      <c r="D24" s="56" t="str">
        <f>IFERROR(INDEX(Rates_Master!$D:$D, MATCH(B24, Rates_Master!$A:$A, 0)), "")</f>
        <v>day</v>
      </c>
      <c r="E24" s="57">
        <v>0.9</v>
      </c>
      <c r="F24" s="58">
        <f>IFERROR(INDEX(Rates_Master!$E:$E, MATCH(B24, Rates_Master!$A:$A, 0)), 0)</f>
        <v>558</v>
      </c>
      <c r="G24" s="51">
        <f t="shared" si="0"/>
        <v>502.2</v>
      </c>
      <c r="H24" s="152" t="s">
        <v>210</v>
      </c>
      <c r="I24" s="16"/>
    </row>
    <row r="25" spans="1:9" ht="19.95" customHeight="1" x14ac:dyDescent="0.3">
      <c r="A25" s="16">
        <v>9</v>
      </c>
      <c r="B25" s="54" t="s">
        <v>211</v>
      </c>
      <c r="C25" s="55" t="str">
        <f>IFERROR(INDEX(Rates_Master!$C:$C, MATCH(B25, Rates_Master!$A:$A, 0)), "Code not found in Rates_Master")</f>
        <v>Coolie</v>
      </c>
      <c r="D25" s="56" t="str">
        <f>IFERROR(INDEX(Rates_Master!$D:$D, MATCH(B25, Rates_Master!$A:$A, 0)), "")</f>
        <v>day</v>
      </c>
      <c r="E25" s="57">
        <v>0.78</v>
      </c>
      <c r="F25" s="58">
        <f>IFERROR(INDEX(Rates_Master!$E:$E, MATCH(B25, Rates_Master!$A:$A, 0)), 0)</f>
        <v>558</v>
      </c>
      <c r="G25" s="51">
        <f t="shared" si="0"/>
        <v>435.24</v>
      </c>
      <c r="H25" s="152" t="s">
        <v>212</v>
      </c>
      <c r="I25" s="16"/>
    </row>
    <row r="26" spans="1:9" ht="19.95" customHeight="1" x14ac:dyDescent="0.3">
      <c r="A26" s="16">
        <v>10</v>
      </c>
      <c r="B26" s="54" t="s">
        <v>197</v>
      </c>
      <c r="C26" s="55" t="str">
        <f>IFERROR(INDEX(Rates_Master!$C:$C, MATCH(B26, Rates_Master!$A:$A, 0)), "Code not found in Rates_Master")</f>
        <v>Bhisti</v>
      </c>
      <c r="D26" s="56" t="str">
        <f>IFERROR(INDEX(Rates_Master!$D:$D, MATCH(B26, Rates_Master!$A:$A, 0)), "")</f>
        <v>day</v>
      </c>
      <c r="E26" s="57">
        <v>0.7</v>
      </c>
      <c r="F26" s="58">
        <f>IFERROR(INDEX(Rates_Master!$E:$E, MATCH(B26, Rates_Master!$A:$A, 0)), 0)</f>
        <v>617</v>
      </c>
      <c r="G26" s="51">
        <f t="shared" si="0"/>
        <v>431.9</v>
      </c>
      <c r="H26" s="152" t="s">
        <v>198</v>
      </c>
      <c r="I26" s="16"/>
    </row>
    <row r="27" spans="1:9" ht="19.95" customHeight="1" x14ac:dyDescent="0.3">
      <c r="A27" s="16">
        <v>11</v>
      </c>
      <c r="B27" s="54" t="s">
        <v>221</v>
      </c>
      <c r="C27" s="55" t="str">
        <f>IFERROR(INDEX(Rates_Master!$C:$C, MATCH(B27, Rates_Master!$A:$A, 0)), "Code not found in Rates_Master")</f>
        <v>Mason (brick layer) 1st class</v>
      </c>
      <c r="D27" s="56" t="str">
        <f>IFERROR(INDEX(Rates_Master!$D:$D, MATCH(B27, Rates_Master!$A:$A, 0)), "")</f>
        <v>day</v>
      </c>
      <c r="E27" s="57">
        <v>0.06</v>
      </c>
      <c r="F27" s="58">
        <f>IFERROR(INDEX(Rates_Master!$E:$E, MATCH(B27, Rates_Master!$A:$A, 0)), 0)</f>
        <v>738</v>
      </c>
      <c r="G27" s="51">
        <f t="shared" si="0"/>
        <v>44.28</v>
      </c>
      <c r="H27" s="152" t="s">
        <v>222</v>
      </c>
      <c r="I27" s="16"/>
    </row>
    <row r="28" spans="1:9" ht="19.95" customHeight="1" x14ac:dyDescent="0.3">
      <c r="A28" s="16">
        <v>12</v>
      </c>
      <c r="B28" s="54" t="s">
        <v>223</v>
      </c>
      <c r="C28" s="55" t="str">
        <f>IFERROR(INDEX(Rates_Master!$C:$C, MATCH(B28, Rates_Master!$A:$A, 0)), "Code not found in Rates_Master")</f>
        <v>Mason (brick layer) 2nd class</v>
      </c>
      <c r="D28" s="56" t="str">
        <f>IFERROR(INDEX(Rates_Master!$D:$D, MATCH(B28, Rates_Master!$A:$A, 0)), "")</f>
        <v>day</v>
      </c>
      <c r="E28" s="57">
        <v>0.06</v>
      </c>
      <c r="F28" s="58">
        <f>IFERROR(INDEX(Rates_Master!$E:$E, MATCH(B28, Rates_Master!$A:$A, 0)), 0)</f>
        <v>679</v>
      </c>
      <c r="G28" s="51">
        <f t="shared" si="0"/>
        <v>40.74</v>
      </c>
      <c r="H28" s="152" t="s">
        <v>224</v>
      </c>
      <c r="I28" s="16"/>
    </row>
    <row r="29" spans="1:9" ht="19.95" customHeight="1" x14ac:dyDescent="0.3">
      <c r="A29" s="16">
        <v>13</v>
      </c>
      <c r="B29" s="54" t="s">
        <v>12</v>
      </c>
      <c r="C29" s="55" t="str">
        <f>IFERROR(INDEX(Rates_Master!$C:$C, MATCH(B29, Rates_Master!$A:$A, 0)), "Code not found in Rates_Master")</f>
        <v>Hire charges of Concrete Mixer 0.25 to 0.40 cum with Hopper</v>
      </c>
      <c r="D29" s="56" t="str">
        <f>IFERROR(INDEX(Rates_Master!$D:$D, MATCH(B29, Rates_Master!$A:$A, 0)), "")</f>
        <v>day</v>
      </c>
      <c r="E29" s="57">
        <v>7.0000000000000007E-2</v>
      </c>
      <c r="F29" s="58">
        <f>IFERROR(INDEX(Rates_Master!$E:$E, MATCH(B29, Rates_Master!$A:$A, 0)), 0)</f>
        <v>800</v>
      </c>
      <c r="G29" s="51">
        <f t="shared" si="0"/>
        <v>56</v>
      </c>
      <c r="H29" s="152" t="s">
        <v>6322</v>
      </c>
      <c r="I29" s="16"/>
    </row>
    <row r="30" spans="1:9" ht="19.95" customHeight="1" x14ac:dyDescent="0.3">
      <c r="A30" s="16">
        <v>14</v>
      </c>
      <c r="B30" s="54" t="s">
        <v>33</v>
      </c>
      <c r="C30" s="55" t="str">
        <f>IFERROR(INDEX(Rates_Master!$C:$C, MATCH(B30, Rates_Master!$A:$A, 0)), "Code not found in Rates_Master")</f>
        <v>Vibrator (Needle type 40 mm)</v>
      </c>
      <c r="D30" s="56" t="str">
        <f>IFERROR(INDEX(Rates_Master!$D:$D, MATCH(B30, Rates_Master!$A:$A, 0)), "")</f>
        <v>day</v>
      </c>
      <c r="E30" s="57">
        <v>7.0000000000000007E-2</v>
      </c>
      <c r="F30" s="58">
        <f>IFERROR(INDEX(Rates_Master!$E:$E, MATCH(B30, Rates_Master!$A:$A, 0)), 0)</f>
        <v>370</v>
      </c>
      <c r="G30" s="51">
        <f t="shared" si="0"/>
        <v>25.9</v>
      </c>
      <c r="H30" s="152" t="s">
        <v>6323</v>
      </c>
      <c r="I30" s="16"/>
    </row>
    <row r="31" spans="1:9" ht="19.95" customHeight="1" x14ac:dyDescent="0.3">
      <c r="A31" s="16">
        <v>15</v>
      </c>
      <c r="B31" s="54" t="s">
        <v>211</v>
      </c>
      <c r="C31" s="55" t="str">
        <f>IFERROR(INDEX(Rates_Master!$C:$C, MATCH(B31, Rates_Master!$A:$A, 0)), "Code not found in Rates_Master")</f>
        <v>Coolie</v>
      </c>
      <c r="D31" s="56" t="str">
        <f>IFERROR(INDEX(Rates_Master!$D:$D, MATCH(B31, Rates_Master!$A:$A, 0)), "")</f>
        <v>day</v>
      </c>
      <c r="E31" s="57">
        <v>1.88</v>
      </c>
      <c r="F31" s="58">
        <f>IFERROR(INDEX(Rates_Master!$E:$E, MATCH(B31, Rates_Master!$A:$A, 0)), 0)</f>
        <v>558</v>
      </c>
      <c r="G31" s="51">
        <f t="shared" si="0"/>
        <v>1049.04</v>
      </c>
      <c r="H31" s="152" t="s">
        <v>6324</v>
      </c>
      <c r="I31" s="16"/>
    </row>
    <row r="32" spans="1:9" ht="19.95" customHeight="1" x14ac:dyDescent="0.3">
      <c r="A32" s="16">
        <v>16</v>
      </c>
      <c r="B32" s="48" t="s">
        <v>4269</v>
      </c>
      <c r="C32" s="17" t="s">
        <v>6325</v>
      </c>
      <c r="D32" s="16" t="s">
        <v>4266</v>
      </c>
      <c r="E32" s="22">
        <v>114.4</v>
      </c>
      <c r="F32" s="59">
        <f>Factor_Sundries</f>
        <v>2</v>
      </c>
      <c r="G32" s="51">
        <f t="shared" si="0"/>
        <v>228.8</v>
      </c>
      <c r="H32" s="60" t="s">
        <v>6326</v>
      </c>
      <c r="I32" s="16"/>
    </row>
    <row r="33" spans="1:9" ht="19.95" customHeight="1" x14ac:dyDescent="0.3">
      <c r="A33" s="16">
        <v>17</v>
      </c>
      <c r="B33" s="48" t="s">
        <v>4269</v>
      </c>
      <c r="C33" s="17" t="s">
        <v>4270</v>
      </c>
      <c r="D33" s="16" t="s">
        <v>4266</v>
      </c>
      <c r="E33" s="22">
        <v>13.52</v>
      </c>
      <c r="F33" s="59">
        <f>Factor_Sundries</f>
        <v>2</v>
      </c>
      <c r="G33" s="51">
        <f t="shared" si="0"/>
        <v>27.04</v>
      </c>
      <c r="H33" s="60" t="s">
        <v>6326</v>
      </c>
      <c r="I33" s="16"/>
    </row>
    <row r="34" spans="1:9" ht="15" customHeight="1" x14ac:dyDescent="0.3">
      <c r="A34" s="244" t="s">
        <v>6327</v>
      </c>
      <c r="B34" s="241"/>
      <c r="C34" s="241"/>
      <c r="D34" s="241"/>
      <c r="E34" s="241"/>
      <c r="F34" s="242"/>
      <c r="G34" s="41">
        <f>ROUND(SUM(G17:G33), 2)</f>
        <v>5998.04</v>
      </c>
      <c r="H34" s="62" t="s">
        <v>6328</v>
      </c>
      <c r="I34" s="61"/>
    </row>
    <row r="35" spans="1:9" ht="28.05" customHeight="1" x14ac:dyDescent="0.3">
      <c r="A35" s="244" t="s">
        <v>6329</v>
      </c>
      <c r="B35" s="241"/>
      <c r="C35" s="241"/>
      <c r="D35" s="241"/>
      <c r="E35" s="241"/>
      <c r="F35" s="242"/>
      <c r="G35" s="41">
        <f>ROUND(SUMIF($I$17:$I$33, "A", $G$17:$G$33), 2)</f>
        <v>0</v>
      </c>
      <c r="H35" s="63" t="s">
        <v>6330</v>
      </c>
      <c r="I35" s="61"/>
    </row>
    <row r="36" spans="1:9" ht="22.05" customHeight="1" x14ac:dyDescent="0.3">
      <c r="A36" s="48" t="s">
        <v>6331</v>
      </c>
      <c r="B36" s="54" t="s">
        <v>4318</v>
      </c>
      <c r="C36" s="17" t="s">
        <v>6332</v>
      </c>
      <c r="D36" s="53"/>
      <c r="E36" s="51">
        <f>G34 - G35</f>
        <v>5998.04</v>
      </c>
      <c r="F36" s="64">
        <f>Factor_Water</f>
        <v>0.01</v>
      </c>
      <c r="G36" s="65">
        <f>IF(B36="YES", ROUND(E36 * F36, 2), 0)</f>
        <v>59.98</v>
      </c>
      <c r="H36" s="152" t="s">
        <v>6333</v>
      </c>
      <c r="I36" s="53"/>
    </row>
    <row r="37" spans="1:9" ht="22.05" customHeight="1" x14ac:dyDescent="0.3">
      <c r="A37" s="1" t="s">
        <v>6334</v>
      </c>
      <c r="B37" s="66" t="s">
        <v>6335</v>
      </c>
      <c r="C37" s="67" t="s">
        <v>6336</v>
      </c>
      <c r="D37" s="61"/>
      <c r="E37" s="61"/>
      <c r="F37" s="61"/>
      <c r="G37" s="41">
        <f>G34 + G36</f>
        <v>6058.0199999999995</v>
      </c>
      <c r="H37" s="63" t="s">
        <v>6337</v>
      </c>
      <c r="I37" s="61"/>
    </row>
    <row r="38" spans="1:9" ht="22.05" customHeight="1" x14ac:dyDescent="0.3">
      <c r="A38" s="48" t="s">
        <v>6338</v>
      </c>
      <c r="B38" s="54" t="s">
        <v>4318</v>
      </c>
      <c r="C38" s="17" t="s">
        <v>6339</v>
      </c>
      <c r="D38" s="53"/>
      <c r="E38" s="51">
        <f>G37 - G35</f>
        <v>6058.0199999999995</v>
      </c>
      <c r="F38" s="64">
        <f>Factor_GST</f>
        <v>0.14050000000000001</v>
      </c>
      <c r="G38" s="65">
        <f>IF(B38="YES", ROUND(E38 * F38, 2), 0)</f>
        <v>851.15</v>
      </c>
      <c r="H38" s="152" t="s">
        <v>6340</v>
      </c>
      <c r="I38" s="53"/>
    </row>
    <row r="39" spans="1:9" ht="22.05" customHeight="1" x14ac:dyDescent="0.3">
      <c r="A39" s="1" t="s">
        <v>6341</v>
      </c>
      <c r="B39" s="66" t="s">
        <v>6335</v>
      </c>
      <c r="C39" s="67" t="s">
        <v>6342</v>
      </c>
      <c r="D39" s="61"/>
      <c r="E39" s="61"/>
      <c r="F39" s="61"/>
      <c r="G39" s="41">
        <f>G37 + G38</f>
        <v>6909.1699999999992</v>
      </c>
      <c r="H39" s="63" t="s">
        <v>6337</v>
      </c>
      <c r="I39" s="61"/>
    </row>
    <row r="40" spans="1:9" ht="22.05" customHeight="1" x14ac:dyDescent="0.3">
      <c r="A40" s="48" t="s">
        <v>6343</v>
      </c>
      <c r="B40" s="54" t="s">
        <v>4318</v>
      </c>
      <c r="C40" s="17" t="s">
        <v>6344</v>
      </c>
      <c r="D40" s="53"/>
      <c r="E40" s="51">
        <f>G39 - G35</f>
        <v>6909.1699999999992</v>
      </c>
      <c r="F40" s="64">
        <f>Factor_CPOH</f>
        <v>0.15</v>
      </c>
      <c r="G40" s="65">
        <f>IF(B40="YES", ROUND(E40 * F40, 2), 0)</f>
        <v>1036.3800000000001</v>
      </c>
      <c r="H40" s="152" t="s">
        <v>6345</v>
      </c>
      <c r="I40" s="53"/>
    </row>
    <row r="41" spans="1:9" ht="22.05" customHeight="1" x14ac:dyDescent="0.3">
      <c r="A41" s="1" t="s">
        <v>6346</v>
      </c>
      <c r="B41" s="66" t="s">
        <v>6335</v>
      </c>
      <c r="C41" s="67" t="s">
        <v>6347</v>
      </c>
      <c r="D41" s="61"/>
      <c r="E41" s="61"/>
      <c r="F41" s="61"/>
      <c r="G41" s="41">
        <f>G39 + G40</f>
        <v>7945.5499999999993</v>
      </c>
      <c r="H41" s="63" t="s">
        <v>6337</v>
      </c>
      <c r="I41" s="61"/>
    </row>
    <row r="42" spans="1:9" ht="22.05" customHeight="1" x14ac:dyDescent="0.3">
      <c r="A42" s="48" t="s">
        <v>6348</v>
      </c>
      <c r="B42" s="54" t="s">
        <v>4318</v>
      </c>
      <c r="C42" s="17" t="s">
        <v>6349</v>
      </c>
      <c r="D42" s="53"/>
      <c r="E42" s="51">
        <f>G41 - G35</f>
        <v>7945.5499999999993</v>
      </c>
      <c r="F42" s="64">
        <f>Factor_Cess</f>
        <v>0.01</v>
      </c>
      <c r="G42" s="65">
        <f>IF(B42="YES", ROUND(E42 * F42, 2), 0)</f>
        <v>79.459999999999994</v>
      </c>
      <c r="H42" s="152" t="s">
        <v>6350</v>
      </c>
      <c r="I42" s="53"/>
    </row>
    <row r="43" spans="1:9" ht="15" customHeight="1" x14ac:dyDescent="0.3">
      <c r="A43" s="245" t="s">
        <v>6351</v>
      </c>
      <c r="B43" s="241"/>
      <c r="C43" s="241"/>
      <c r="D43" s="241"/>
      <c r="E43" s="241"/>
      <c r="F43" s="242"/>
      <c r="G43" s="69">
        <f>ROUND(G41 + G42, 2)</f>
        <v>8025.01</v>
      </c>
      <c r="H43" s="68"/>
      <c r="I43" s="68"/>
    </row>
    <row r="44" spans="1:9" ht="30" customHeight="1" x14ac:dyDescent="0.3">
      <c r="A44" s="240" t="s">
        <v>6352</v>
      </c>
      <c r="B44" s="241"/>
      <c r="C44" s="241"/>
      <c r="D44" s="241"/>
      <c r="E44" s="241"/>
      <c r="F44" s="242"/>
      <c r="G44" s="52">
        <f>MROUND(G43 / 1, 0.05)</f>
        <v>8025</v>
      </c>
      <c r="H44" s="71" t="s">
        <v>6353</v>
      </c>
      <c r="I44" s="70"/>
    </row>
    <row r="46" spans="1:9" ht="31.95" customHeight="1" x14ac:dyDescent="0.3">
      <c r="A46" s="243" t="s">
        <v>6354</v>
      </c>
      <c r="B46" s="228"/>
      <c r="C46" s="228"/>
      <c r="D46" s="228"/>
      <c r="E46" s="228"/>
      <c r="F46" s="228"/>
      <c r="G46" s="228"/>
      <c r="H46" s="228"/>
      <c r="I46" s="228"/>
    </row>
    <row r="47" spans="1:9" ht="19.95" customHeight="1" x14ac:dyDescent="0.35">
      <c r="A47" s="14" t="s">
        <v>6311</v>
      </c>
      <c r="B47" s="50">
        <v>10</v>
      </c>
      <c r="C47" s="17" t="s">
        <v>169</v>
      </c>
      <c r="D47" s="14" t="s">
        <v>6312</v>
      </c>
      <c r="E47" s="246" t="s">
        <v>6298</v>
      </c>
      <c r="F47" s="241"/>
      <c r="G47" s="241"/>
      <c r="H47" s="241"/>
      <c r="I47" s="242"/>
    </row>
    <row r="48" spans="1:9" ht="22.05" customHeight="1" x14ac:dyDescent="0.3">
      <c r="A48" s="153" t="s">
        <v>6313</v>
      </c>
      <c r="B48" s="153" t="s">
        <v>6314</v>
      </c>
      <c r="C48" s="153" t="s">
        <v>5</v>
      </c>
      <c r="D48" s="153" t="s">
        <v>6</v>
      </c>
      <c r="E48" s="153" t="s">
        <v>6315</v>
      </c>
      <c r="F48" s="153" t="s">
        <v>7</v>
      </c>
      <c r="G48" s="153" t="s">
        <v>6316</v>
      </c>
      <c r="H48" s="153" t="s">
        <v>6317</v>
      </c>
      <c r="I48" s="153" t="s">
        <v>6318</v>
      </c>
    </row>
    <row r="49" spans="1:9" ht="19.95" customHeight="1" x14ac:dyDescent="0.3">
      <c r="A49" s="16">
        <v>1</v>
      </c>
      <c r="B49" s="54" t="s">
        <v>828</v>
      </c>
      <c r="C49" s="55" t="str">
        <f>IFERROR(INDEX(Rates_Master!$C:$C, MATCH(B49, Rates_Master!$A:$A, 0)), "Code not found in Rates_Master")</f>
        <v>Pink primer (for wood)</v>
      </c>
      <c r="D49" s="56" t="str">
        <f>IFERROR(INDEX(Rates_Master!$D:$D, MATCH(B49, Rates_Master!$A:$A, 0)), "")</f>
        <v>litre</v>
      </c>
      <c r="E49" s="57">
        <v>0.75</v>
      </c>
      <c r="F49" s="58">
        <f>IFERROR(INDEX(Rates_Master!$E:$E, MATCH(B49, Rates_Master!$A:$A, 0)), 0)</f>
        <v>105</v>
      </c>
      <c r="G49" s="51">
        <f t="shared" ref="G49:G55" si="1">ROUND(E49 * F49, 2)</f>
        <v>78.75</v>
      </c>
      <c r="H49" s="152" t="s">
        <v>829</v>
      </c>
      <c r="I49" s="48"/>
    </row>
    <row r="50" spans="1:9" ht="19.95" customHeight="1" x14ac:dyDescent="0.3">
      <c r="A50" s="16">
        <v>2</v>
      </c>
      <c r="B50" s="54" t="s">
        <v>237</v>
      </c>
      <c r="C50" s="55" t="str">
        <f>IFERROR(INDEX(Rates_Master!$C:$C, MATCH(B50, Rates_Master!$A:$A, 0)), "Code not found in Rates_Master")</f>
        <v>Painter</v>
      </c>
      <c r="D50" s="56" t="str">
        <f>IFERROR(INDEX(Rates_Master!$D:$D, MATCH(B50, Rates_Master!$A:$A, 0)), "")</f>
        <v>day</v>
      </c>
      <c r="E50" s="57">
        <v>0.25</v>
      </c>
      <c r="F50" s="58">
        <f>IFERROR(INDEX(Rates_Master!$E:$E, MATCH(B50, Rates_Master!$A:$A, 0)), 0)</f>
        <v>679</v>
      </c>
      <c r="G50" s="51">
        <f t="shared" si="1"/>
        <v>169.75</v>
      </c>
      <c r="H50" s="152" t="s">
        <v>238</v>
      </c>
      <c r="I50" s="16"/>
    </row>
    <row r="51" spans="1:9" ht="19.95" customHeight="1" x14ac:dyDescent="0.3">
      <c r="A51" s="16">
        <v>3</v>
      </c>
      <c r="B51" s="54" t="s">
        <v>211</v>
      </c>
      <c r="C51" s="55" t="str">
        <f>IFERROR(INDEX(Rates_Master!$C:$C, MATCH(B51, Rates_Master!$A:$A, 0)), "Code not found in Rates_Master")</f>
        <v>Coolie</v>
      </c>
      <c r="D51" s="56" t="str">
        <f>IFERROR(INDEX(Rates_Master!$D:$D, MATCH(B51, Rates_Master!$A:$A, 0)), "")</f>
        <v>day</v>
      </c>
      <c r="E51" s="57">
        <v>0.25</v>
      </c>
      <c r="F51" s="58">
        <f>IFERROR(INDEX(Rates_Master!$E:$E, MATCH(B51, Rates_Master!$A:$A, 0)), 0)</f>
        <v>558</v>
      </c>
      <c r="G51" s="51">
        <f t="shared" si="1"/>
        <v>139.5</v>
      </c>
      <c r="H51" s="152" t="s">
        <v>212</v>
      </c>
      <c r="I51" s="16"/>
    </row>
    <row r="52" spans="1:9" ht="19.95" customHeight="1" x14ac:dyDescent="0.3">
      <c r="A52" s="16">
        <v>4</v>
      </c>
      <c r="B52" s="48" t="s">
        <v>4269</v>
      </c>
      <c r="C52" s="17" t="s">
        <v>6355</v>
      </c>
      <c r="D52" s="16" t="s">
        <v>4266</v>
      </c>
      <c r="E52" s="22">
        <v>2.73</v>
      </c>
      <c r="F52" s="59">
        <f>Factor_Sundries</f>
        <v>2</v>
      </c>
      <c r="G52" s="51">
        <f t="shared" si="1"/>
        <v>5.46</v>
      </c>
      <c r="H52" s="60" t="s">
        <v>6326</v>
      </c>
      <c r="I52" s="16"/>
    </row>
    <row r="53" spans="1:9" ht="19.95" customHeight="1" x14ac:dyDescent="0.3">
      <c r="A53" s="16">
        <v>5</v>
      </c>
      <c r="B53" s="48" t="s">
        <v>4269</v>
      </c>
      <c r="C53" s="17" t="s">
        <v>6152</v>
      </c>
      <c r="D53" s="16" t="s">
        <v>4266</v>
      </c>
      <c r="E53" s="22">
        <v>0.39</v>
      </c>
      <c r="F53" s="59">
        <f>Factor_Sundries</f>
        <v>2</v>
      </c>
      <c r="G53" s="51">
        <f t="shared" si="1"/>
        <v>0.78</v>
      </c>
      <c r="H53" s="60" t="s">
        <v>6326</v>
      </c>
      <c r="I53" s="16"/>
    </row>
    <row r="54" spans="1:9" ht="19.95" customHeight="1" x14ac:dyDescent="0.3">
      <c r="A54" s="16">
        <v>6</v>
      </c>
      <c r="B54" s="48" t="s">
        <v>4269</v>
      </c>
      <c r="C54" s="17" t="s">
        <v>6356</v>
      </c>
      <c r="D54" s="16" t="s">
        <v>4266</v>
      </c>
      <c r="E54" s="22">
        <v>5.33</v>
      </c>
      <c r="F54" s="59">
        <f>Factor_Sundries</f>
        <v>2</v>
      </c>
      <c r="G54" s="51">
        <f t="shared" si="1"/>
        <v>10.66</v>
      </c>
      <c r="H54" s="60" t="s">
        <v>6326</v>
      </c>
      <c r="I54" s="16"/>
    </row>
    <row r="55" spans="1:9" ht="19.95" customHeight="1" x14ac:dyDescent="0.3">
      <c r="A55" s="16">
        <v>7</v>
      </c>
      <c r="B55" s="48" t="s">
        <v>4269</v>
      </c>
      <c r="C55" s="17" t="s">
        <v>4270</v>
      </c>
      <c r="D55" s="16" t="s">
        <v>4266</v>
      </c>
      <c r="E55" s="22">
        <v>10.79</v>
      </c>
      <c r="F55" s="59">
        <f>Factor_Sundries</f>
        <v>2</v>
      </c>
      <c r="G55" s="51">
        <f t="shared" si="1"/>
        <v>21.58</v>
      </c>
      <c r="H55" s="60" t="s">
        <v>6326</v>
      </c>
      <c r="I55" s="16"/>
    </row>
    <row r="56" spans="1:9" ht="15" customHeight="1" x14ac:dyDescent="0.3">
      <c r="A56" s="244" t="s">
        <v>6327</v>
      </c>
      <c r="B56" s="241"/>
      <c r="C56" s="241"/>
      <c r="D56" s="241"/>
      <c r="E56" s="241"/>
      <c r="F56" s="242"/>
      <c r="G56" s="41">
        <f>ROUND(SUM(G49:G55), 2)</f>
        <v>426.48</v>
      </c>
      <c r="H56" s="62" t="s">
        <v>6357</v>
      </c>
      <c r="I56" s="61"/>
    </row>
    <row r="57" spans="1:9" ht="28.05" customHeight="1" x14ac:dyDescent="0.3">
      <c r="A57" s="244" t="s">
        <v>6329</v>
      </c>
      <c r="B57" s="241"/>
      <c r="C57" s="241"/>
      <c r="D57" s="241"/>
      <c r="E57" s="241"/>
      <c r="F57" s="242"/>
      <c r="G57" s="41">
        <f>ROUND(SUMIF($I$49:$I$55, "A", $G$49:$G$55), 2)</f>
        <v>0</v>
      </c>
      <c r="H57" s="63" t="s">
        <v>6330</v>
      </c>
      <c r="I57" s="61"/>
    </row>
    <row r="58" spans="1:9" ht="22.05" customHeight="1" x14ac:dyDescent="0.3">
      <c r="A58" s="48" t="s">
        <v>6331</v>
      </c>
      <c r="B58" s="54" t="s">
        <v>4318</v>
      </c>
      <c r="C58" s="17" t="s">
        <v>6332</v>
      </c>
      <c r="D58" s="53"/>
      <c r="E58" s="51">
        <f>G56 - G57</f>
        <v>426.48</v>
      </c>
      <c r="F58" s="64">
        <f>Factor_Water</f>
        <v>0.01</v>
      </c>
      <c r="G58" s="65">
        <f>IF(B58="YES", ROUND(E58 * F58, 2), 0)</f>
        <v>4.26</v>
      </c>
      <c r="H58" s="152" t="s">
        <v>6333</v>
      </c>
      <c r="I58" s="53"/>
    </row>
    <row r="59" spans="1:9" ht="22.05" customHeight="1" x14ac:dyDescent="0.3">
      <c r="A59" s="1" t="s">
        <v>6334</v>
      </c>
      <c r="B59" s="66" t="s">
        <v>6335</v>
      </c>
      <c r="C59" s="67" t="s">
        <v>6336</v>
      </c>
      <c r="D59" s="61"/>
      <c r="E59" s="61"/>
      <c r="F59" s="61"/>
      <c r="G59" s="41">
        <f>G56 + G58</f>
        <v>430.74</v>
      </c>
      <c r="H59" s="63" t="s">
        <v>6337</v>
      </c>
      <c r="I59" s="61"/>
    </row>
    <row r="60" spans="1:9" ht="22.05" customHeight="1" x14ac:dyDescent="0.3">
      <c r="A60" s="48" t="s">
        <v>6338</v>
      </c>
      <c r="B60" s="54" t="s">
        <v>4318</v>
      </c>
      <c r="C60" s="17" t="s">
        <v>6339</v>
      </c>
      <c r="D60" s="53"/>
      <c r="E60" s="51">
        <f>G59 - G57</f>
        <v>430.74</v>
      </c>
      <c r="F60" s="64">
        <f>Factor_GST</f>
        <v>0.14050000000000001</v>
      </c>
      <c r="G60" s="65">
        <f>IF(B60="YES", ROUND(E60 * F60, 2), 0)</f>
        <v>60.52</v>
      </c>
      <c r="H60" s="152" t="s">
        <v>6340</v>
      </c>
      <c r="I60" s="53"/>
    </row>
    <row r="61" spans="1:9" ht="22.05" customHeight="1" x14ac:dyDescent="0.3">
      <c r="A61" s="1" t="s">
        <v>6341</v>
      </c>
      <c r="B61" s="66" t="s">
        <v>6335</v>
      </c>
      <c r="C61" s="67" t="s">
        <v>6342</v>
      </c>
      <c r="D61" s="61"/>
      <c r="E61" s="61"/>
      <c r="F61" s="61"/>
      <c r="G61" s="41">
        <f>G59 + G60</f>
        <v>491.26</v>
      </c>
      <c r="H61" s="63" t="s">
        <v>6337</v>
      </c>
      <c r="I61" s="61"/>
    </row>
    <row r="62" spans="1:9" ht="22.05" customHeight="1" x14ac:dyDescent="0.3">
      <c r="A62" s="48" t="s">
        <v>6343</v>
      </c>
      <c r="B62" s="54" t="s">
        <v>4318</v>
      </c>
      <c r="C62" s="17" t="s">
        <v>6344</v>
      </c>
      <c r="D62" s="53"/>
      <c r="E62" s="51">
        <f>G61 - G57</f>
        <v>491.26</v>
      </c>
      <c r="F62" s="64">
        <f>Factor_CPOH</f>
        <v>0.15</v>
      </c>
      <c r="G62" s="65">
        <f>IF(B62="YES", ROUND(E62 * F62, 2), 0)</f>
        <v>73.69</v>
      </c>
      <c r="H62" s="152" t="s">
        <v>6345</v>
      </c>
      <c r="I62" s="53"/>
    </row>
    <row r="63" spans="1:9" ht="22.05" customHeight="1" x14ac:dyDescent="0.3">
      <c r="A63" s="1" t="s">
        <v>6346</v>
      </c>
      <c r="B63" s="66" t="s">
        <v>6335</v>
      </c>
      <c r="C63" s="67" t="s">
        <v>6347</v>
      </c>
      <c r="D63" s="61"/>
      <c r="E63" s="61"/>
      <c r="F63" s="61"/>
      <c r="G63" s="41">
        <f>G61 + G62</f>
        <v>564.95000000000005</v>
      </c>
      <c r="H63" s="63" t="s">
        <v>6337</v>
      </c>
      <c r="I63" s="61"/>
    </row>
    <row r="64" spans="1:9" ht="22.05" customHeight="1" x14ac:dyDescent="0.3">
      <c r="A64" s="48" t="s">
        <v>6348</v>
      </c>
      <c r="B64" s="54" t="s">
        <v>4318</v>
      </c>
      <c r="C64" s="17" t="s">
        <v>6349</v>
      </c>
      <c r="D64" s="53"/>
      <c r="E64" s="51">
        <f>G63 - G57</f>
        <v>564.95000000000005</v>
      </c>
      <c r="F64" s="64">
        <f>Factor_Cess</f>
        <v>0.01</v>
      </c>
      <c r="G64" s="65">
        <f>IF(B64="YES", ROUND(E64 * F64, 2), 0)</f>
        <v>5.65</v>
      </c>
      <c r="H64" s="152" t="s">
        <v>6350</v>
      </c>
      <c r="I64" s="53"/>
    </row>
    <row r="65" spans="1:9" ht="15" customHeight="1" x14ac:dyDescent="0.3">
      <c r="A65" s="245" t="s">
        <v>6358</v>
      </c>
      <c r="B65" s="241"/>
      <c r="C65" s="241"/>
      <c r="D65" s="241"/>
      <c r="E65" s="241"/>
      <c r="F65" s="242"/>
      <c r="G65" s="69">
        <f>ROUND(G63 + G64, 2)</f>
        <v>570.6</v>
      </c>
      <c r="H65" s="68"/>
      <c r="I65" s="68"/>
    </row>
    <row r="66" spans="1:9" ht="30" customHeight="1" x14ac:dyDescent="0.3">
      <c r="A66" s="240" t="s">
        <v>6359</v>
      </c>
      <c r="B66" s="241"/>
      <c r="C66" s="241"/>
      <c r="D66" s="241"/>
      <c r="E66" s="241"/>
      <c r="F66" s="242"/>
      <c r="G66" s="52">
        <f>MROUND(G65 / 10, 0.05)</f>
        <v>57.050000000000004</v>
      </c>
      <c r="H66" s="71" t="s">
        <v>6360</v>
      </c>
      <c r="I66" s="70"/>
    </row>
    <row r="68" spans="1:9" ht="31.95" customHeight="1" x14ac:dyDescent="0.3">
      <c r="A68" s="243" t="s">
        <v>6361</v>
      </c>
      <c r="B68" s="228"/>
      <c r="C68" s="228"/>
      <c r="D68" s="228"/>
      <c r="E68" s="228"/>
      <c r="F68" s="228"/>
      <c r="G68" s="228"/>
      <c r="H68" s="228"/>
      <c r="I68" s="228"/>
    </row>
    <row r="69" spans="1:9" ht="19.95" customHeight="1" x14ac:dyDescent="0.35">
      <c r="A69" s="14" t="s">
        <v>6311</v>
      </c>
      <c r="B69" s="50">
        <v>10</v>
      </c>
      <c r="C69" s="17" t="s">
        <v>169</v>
      </c>
      <c r="D69" s="14" t="s">
        <v>6312</v>
      </c>
      <c r="E69" s="246" t="s">
        <v>6301</v>
      </c>
      <c r="F69" s="241"/>
      <c r="G69" s="241"/>
      <c r="H69" s="241"/>
      <c r="I69" s="242"/>
    </row>
    <row r="70" spans="1:9" ht="22.05" customHeight="1" x14ac:dyDescent="0.3">
      <c r="A70" s="153" t="s">
        <v>6313</v>
      </c>
      <c r="B70" s="153" t="s">
        <v>6314</v>
      </c>
      <c r="C70" s="153" t="s">
        <v>5</v>
      </c>
      <c r="D70" s="153" t="s">
        <v>6</v>
      </c>
      <c r="E70" s="153" t="s">
        <v>6315</v>
      </c>
      <c r="F70" s="153" t="s">
        <v>7</v>
      </c>
      <c r="G70" s="153" t="s">
        <v>6316</v>
      </c>
      <c r="H70" s="153" t="s">
        <v>6317</v>
      </c>
      <c r="I70" s="153" t="s">
        <v>6318</v>
      </c>
    </row>
    <row r="71" spans="1:9" ht="19.95" customHeight="1" x14ac:dyDescent="0.3">
      <c r="A71" s="16">
        <v>1</v>
      </c>
      <c r="B71" s="54" t="s">
        <v>2179</v>
      </c>
      <c r="C71" s="55" t="str">
        <f>IFERROR(INDEX(Rates_Master!$C:$C, MATCH(B71, Rates_Master!$A:$A, 0)), "Code not found in Rates_Master")</f>
        <v>Red oxide Zinc chromate primer</v>
      </c>
      <c r="D71" s="56" t="str">
        <f>IFERROR(INDEX(Rates_Master!$D:$D, MATCH(B71, Rates_Master!$A:$A, 0)), "")</f>
        <v>litre</v>
      </c>
      <c r="E71" s="57">
        <v>0.54</v>
      </c>
      <c r="F71" s="58">
        <f>IFERROR(INDEX(Rates_Master!$E:$E, MATCH(B71, Rates_Master!$A:$A, 0)), 0)</f>
        <v>110</v>
      </c>
      <c r="G71" s="51">
        <f>ROUND(E71 * F71, 2)</f>
        <v>59.4</v>
      </c>
      <c r="H71" s="152" t="s">
        <v>6362</v>
      </c>
      <c r="I71" s="48"/>
    </row>
    <row r="72" spans="1:9" ht="19.95" customHeight="1" x14ac:dyDescent="0.3">
      <c r="A72" s="16">
        <v>2</v>
      </c>
      <c r="B72" s="54" t="s">
        <v>237</v>
      </c>
      <c r="C72" s="55" t="str">
        <f>IFERROR(INDEX(Rates_Master!$C:$C, MATCH(B72, Rates_Master!$A:$A, 0)), "Code not found in Rates_Master")</f>
        <v>Painter</v>
      </c>
      <c r="D72" s="56" t="str">
        <f>IFERROR(INDEX(Rates_Master!$D:$D, MATCH(B72, Rates_Master!$A:$A, 0)), "")</f>
        <v>day</v>
      </c>
      <c r="E72" s="57">
        <v>0.24</v>
      </c>
      <c r="F72" s="58">
        <f>IFERROR(INDEX(Rates_Master!$E:$E, MATCH(B72, Rates_Master!$A:$A, 0)), 0)</f>
        <v>679</v>
      </c>
      <c r="G72" s="51">
        <f>ROUND(E72 * F72, 2)</f>
        <v>162.96</v>
      </c>
      <c r="H72" s="152" t="s">
        <v>238</v>
      </c>
      <c r="I72" s="16"/>
    </row>
    <row r="73" spans="1:9" ht="19.95" customHeight="1" x14ac:dyDescent="0.3">
      <c r="A73" s="16">
        <v>3</v>
      </c>
      <c r="B73" s="54" t="s">
        <v>211</v>
      </c>
      <c r="C73" s="55" t="str">
        <f>IFERROR(INDEX(Rates_Master!$C:$C, MATCH(B73, Rates_Master!$A:$A, 0)), "Code not found in Rates_Master")</f>
        <v>Coolie</v>
      </c>
      <c r="D73" s="56" t="str">
        <f>IFERROR(INDEX(Rates_Master!$D:$D, MATCH(B73, Rates_Master!$A:$A, 0)), "")</f>
        <v>day</v>
      </c>
      <c r="E73" s="57">
        <v>0.24</v>
      </c>
      <c r="F73" s="58">
        <f>IFERROR(INDEX(Rates_Master!$E:$E, MATCH(B73, Rates_Master!$A:$A, 0)), 0)</f>
        <v>558</v>
      </c>
      <c r="G73" s="51">
        <f>ROUND(E73 * F73, 2)</f>
        <v>133.91999999999999</v>
      </c>
      <c r="H73" s="152" t="s">
        <v>212</v>
      </c>
      <c r="I73" s="16"/>
    </row>
    <row r="74" spans="1:9" ht="19.95" customHeight="1" x14ac:dyDescent="0.3">
      <c r="A74" s="16">
        <v>4</v>
      </c>
      <c r="B74" s="48" t="s">
        <v>4269</v>
      </c>
      <c r="C74" s="17" t="s">
        <v>6152</v>
      </c>
      <c r="D74" s="16" t="s">
        <v>4266</v>
      </c>
      <c r="E74" s="22">
        <v>0.52</v>
      </c>
      <c r="F74" s="59">
        <f>Factor_Sundries</f>
        <v>2</v>
      </c>
      <c r="G74" s="51">
        <f>ROUND(E74 * F74, 2)</f>
        <v>1.04</v>
      </c>
      <c r="H74" s="60" t="s">
        <v>6326</v>
      </c>
      <c r="I74" s="16"/>
    </row>
    <row r="75" spans="1:9" ht="19.95" customHeight="1" x14ac:dyDescent="0.3">
      <c r="A75" s="16">
        <v>5</v>
      </c>
      <c r="B75" s="48" t="s">
        <v>4269</v>
      </c>
      <c r="C75" s="17" t="s">
        <v>6363</v>
      </c>
      <c r="D75" s="16" t="s">
        <v>4266</v>
      </c>
      <c r="E75" s="22">
        <v>10.79</v>
      </c>
      <c r="F75" s="59">
        <f>Factor_Sundries</f>
        <v>2</v>
      </c>
      <c r="G75" s="51">
        <f>ROUND(E75 * F75, 2)</f>
        <v>21.58</v>
      </c>
      <c r="H75" s="60" t="s">
        <v>6326</v>
      </c>
      <c r="I75" s="16"/>
    </row>
    <row r="76" spans="1:9" ht="15" customHeight="1" x14ac:dyDescent="0.3">
      <c r="A76" s="244" t="s">
        <v>6327</v>
      </c>
      <c r="B76" s="241"/>
      <c r="C76" s="241"/>
      <c r="D76" s="241"/>
      <c r="E76" s="241"/>
      <c r="F76" s="242"/>
      <c r="G76" s="41">
        <f>ROUND(SUM(G71:G75), 2)</f>
        <v>378.9</v>
      </c>
      <c r="H76" s="62" t="s">
        <v>6364</v>
      </c>
      <c r="I76" s="61"/>
    </row>
    <row r="77" spans="1:9" ht="28.05" customHeight="1" x14ac:dyDescent="0.3">
      <c r="A77" s="244" t="s">
        <v>6329</v>
      </c>
      <c r="B77" s="241"/>
      <c r="C77" s="241"/>
      <c r="D77" s="241"/>
      <c r="E77" s="241"/>
      <c r="F77" s="242"/>
      <c r="G77" s="41">
        <f>ROUND(SUMIF($I$71:$I$75, "A", $G$71:$G$75), 2)</f>
        <v>0</v>
      </c>
      <c r="H77" s="63" t="s">
        <v>6330</v>
      </c>
      <c r="I77" s="61"/>
    </row>
    <row r="78" spans="1:9" ht="22.05" customHeight="1" x14ac:dyDescent="0.3">
      <c r="A78" s="48" t="s">
        <v>6331</v>
      </c>
      <c r="B78" s="54" t="s">
        <v>4318</v>
      </c>
      <c r="C78" s="17" t="s">
        <v>6332</v>
      </c>
      <c r="D78" s="53"/>
      <c r="E78" s="51">
        <f>G76 - G77</f>
        <v>378.9</v>
      </c>
      <c r="F78" s="64">
        <f>Factor_Water</f>
        <v>0.01</v>
      </c>
      <c r="G78" s="65">
        <f>IF(B78="YES", ROUND(E78 * F78, 2), 0)</f>
        <v>3.79</v>
      </c>
      <c r="H78" s="152" t="s">
        <v>6333</v>
      </c>
      <c r="I78" s="53"/>
    </row>
    <row r="79" spans="1:9" ht="22.05" customHeight="1" x14ac:dyDescent="0.3">
      <c r="A79" s="1" t="s">
        <v>6334</v>
      </c>
      <c r="B79" s="66" t="s">
        <v>6335</v>
      </c>
      <c r="C79" s="67" t="s">
        <v>6336</v>
      </c>
      <c r="D79" s="61"/>
      <c r="E79" s="61"/>
      <c r="F79" s="61"/>
      <c r="G79" s="41">
        <f>G76 + G78</f>
        <v>382.69</v>
      </c>
      <c r="H79" s="63" t="s">
        <v>6337</v>
      </c>
      <c r="I79" s="61"/>
    </row>
    <row r="80" spans="1:9" ht="22.05" customHeight="1" x14ac:dyDescent="0.3">
      <c r="A80" s="48" t="s">
        <v>6338</v>
      </c>
      <c r="B80" s="54" t="s">
        <v>4318</v>
      </c>
      <c r="C80" s="17" t="s">
        <v>6339</v>
      </c>
      <c r="D80" s="53"/>
      <c r="E80" s="51">
        <f>G79 - G77</f>
        <v>382.69</v>
      </c>
      <c r="F80" s="64">
        <f>Factor_GST</f>
        <v>0.14050000000000001</v>
      </c>
      <c r="G80" s="65">
        <f>IF(B80="YES", ROUND(E80 * F80, 2), 0)</f>
        <v>53.77</v>
      </c>
      <c r="H80" s="152" t="s">
        <v>6340</v>
      </c>
      <c r="I80" s="53"/>
    </row>
    <row r="81" spans="1:9" ht="22.05" customHeight="1" x14ac:dyDescent="0.3">
      <c r="A81" s="1" t="s">
        <v>6341</v>
      </c>
      <c r="B81" s="66" t="s">
        <v>6335</v>
      </c>
      <c r="C81" s="67" t="s">
        <v>6342</v>
      </c>
      <c r="D81" s="61"/>
      <c r="E81" s="61"/>
      <c r="F81" s="61"/>
      <c r="G81" s="41">
        <f>G79 + G80</f>
        <v>436.46</v>
      </c>
      <c r="H81" s="63" t="s">
        <v>6337</v>
      </c>
      <c r="I81" s="61"/>
    </row>
    <row r="82" spans="1:9" ht="22.05" customHeight="1" x14ac:dyDescent="0.3">
      <c r="A82" s="48" t="s">
        <v>6343</v>
      </c>
      <c r="B82" s="54" t="s">
        <v>4318</v>
      </c>
      <c r="C82" s="17" t="s">
        <v>6344</v>
      </c>
      <c r="D82" s="53"/>
      <c r="E82" s="51">
        <f>G81 - G77</f>
        <v>436.46</v>
      </c>
      <c r="F82" s="64">
        <f>Factor_CPOH</f>
        <v>0.15</v>
      </c>
      <c r="G82" s="65">
        <f>IF(B82="YES", ROUND(E82 * F82, 2), 0)</f>
        <v>65.47</v>
      </c>
      <c r="H82" s="152" t="s">
        <v>6345</v>
      </c>
      <c r="I82" s="53"/>
    </row>
    <row r="83" spans="1:9" ht="22.05" customHeight="1" x14ac:dyDescent="0.3">
      <c r="A83" s="1" t="s">
        <v>6346</v>
      </c>
      <c r="B83" s="66" t="s">
        <v>6335</v>
      </c>
      <c r="C83" s="67" t="s">
        <v>6347</v>
      </c>
      <c r="D83" s="61"/>
      <c r="E83" s="61"/>
      <c r="F83" s="61"/>
      <c r="G83" s="41">
        <f>G81 + G82</f>
        <v>501.92999999999995</v>
      </c>
      <c r="H83" s="63" t="s">
        <v>6337</v>
      </c>
      <c r="I83" s="61"/>
    </row>
    <row r="84" spans="1:9" ht="22.05" customHeight="1" x14ac:dyDescent="0.3">
      <c r="A84" s="48" t="s">
        <v>6348</v>
      </c>
      <c r="B84" s="54" t="s">
        <v>4318</v>
      </c>
      <c r="C84" s="17" t="s">
        <v>6349</v>
      </c>
      <c r="D84" s="53"/>
      <c r="E84" s="51">
        <f>G83 - G77</f>
        <v>501.92999999999995</v>
      </c>
      <c r="F84" s="64">
        <f>Factor_Cess</f>
        <v>0.01</v>
      </c>
      <c r="G84" s="65">
        <f>IF(B84="YES", ROUND(E84 * F84, 2), 0)</f>
        <v>5.0199999999999996</v>
      </c>
      <c r="H84" s="152" t="s">
        <v>6350</v>
      </c>
      <c r="I84" s="53"/>
    </row>
    <row r="85" spans="1:9" ht="15" customHeight="1" x14ac:dyDescent="0.3">
      <c r="A85" s="245" t="s">
        <v>6358</v>
      </c>
      <c r="B85" s="241"/>
      <c r="C85" s="241"/>
      <c r="D85" s="241"/>
      <c r="E85" s="241"/>
      <c r="F85" s="242"/>
      <c r="G85" s="69">
        <f>ROUND(G83 + G84, 2)</f>
        <v>506.95</v>
      </c>
      <c r="H85" s="68"/>
      <c r="I85" s="68"/>
    </row>
    <row r="86" spans="1:9" ht="30" customHeight="1" x14ac:dyDescent="0.3">
      <c r="A86" s="240" t="s">
        <v>6359</v>
      </c>
      <c r="B86" s="241"/>
      <c r="C86" s="241"/>
      <c r="D86" s="241"/>
      <c r="E86" s="241"/>
      <c r="F86" s="242"/>
      <c r="G86" s="52">
        <f>MROUND(G85 / 10, 0.05)</f>
        <v>50.7</v>
      </c>
      <c r="H86" s="71" t="s">
        <v>6365</v>
      </c>
      <c r="I86" s="70"/>
    </row>
    <row r="88" spans="1:9" ht="31.95" customHeight="1" x14ac:dyDescent="0.3">
      <c r="A88" s="243" t="s">
        <v>6366</v>
      </c>
      <c r="B88" s="228"/>
      <c r="C88" s="228"/>
      <c r="D88" s="228"/>
      <c r="E88" s="228"/>
      <c r="F88" s="228"/>
      <c r="G88" s="228"/>
      <c r="H88" s="228"/>
      <c r="I88" s="228"/>
    </row>
    <row r="89" spans="1:9" ht="19.95" customHeight="1" x14ac:dyDescent="0.35">
      <c r="A89" s="14" t="s">
        <v>6311</v>
      </c>
      <c r="B89" s="50">
        <v>10</v>
      </c>
      <c r="C89" s="17" t="s">
        <v>169</v>
      </c>
      <c r="D89" s="14" t="s">
        <v>6312</v>
      </c>
      <c r="E89" s="246" t="s">
        <v>6304</v>
      </c>
      <c r="F89" s="241"/>
      <c r="G89" s="241"/>
      <c r="H89" s="241"/>
      <c r="I89" s="242"/>
    </row>
    <row r="90" spans="1:9" ht="22.05" customHeight="1" x14ac:dyDescent="0.3">
      <c r="A90" s="153" t="s">
        <v>6313</v>
      </c>
      <c r="B90" s="153" t="s">
        <v>6314</v>
      </c>
      <c r="C90" s="153" t="s">
        <v>5</v>
      </c>
      <c r="D90" s="153" t="s">
        <v>6</v>
      </c>
      <c r="E90" s="153" t="s">
        <v>6315</v>
      </c>
      <c r="F90" s="153" t="s">
        <v>7</v>
      </c>
      <c r="G90" s="153" t="s">
        <v>6316</v>
      </c>
      <c r="H90" s="153" t="s">
        <v>6317</v>
      </c>
      <c r="I90" s="153" t="s">
        <v>6318</v>
      </c>
    </row>
    <row r="91" spans="1:9" ht="19.95" customHeight="1" x14ac:dyDescent="0.3">
      <c r="A91" s="16">
        <v>1</v>
      </c>
      <c r="B91" s="54" t="s">
        <v>868</v>
      </c>
      <c r="C91" s="55" t="str">
        <f>IFERROR(INDEX(Rates_Master!$C:$C, MATCH(B91, Rates_Master!$A:$A, 0)), "Code not found in Rates_Master")</f>
        <v>Oil type wood preservative</v>
      </c>
      <c r="D91" s="56" t="str">
        <f>IFERROR(INDEX(Rates_Master!$D:$D, MATCH(B91, Rates_Master!$A:$A, 0)), "")</f>
        <v>litre</v>
      </c>
      <c r="E91" s="57">
        <v>1</v>
      </c>
      <c r="F91" s="58">
        <f>IFERROR(INDEX(Rates_Master!$E:$E, MATCH(B91, Rates_Master!$A:$A, 0)), 0)</f>
        <v>130</v>
      </c>
      <c r="G91" s="51">
        <f t="shared" ref="G91:G96" si="2">ROUND(E91 * F91, 2)</f>
        <v>130</v>
      </c>
      <c r="H91" s="152" t="s">
        <v>869</v>
      </c>
      <c r="I91" s="48"/>
    </row>
    <row r="92" spans="1:9" ht="19.95" customHeight="1" x14ac:dyDescent="0.3">
      <c r="A92" s="16">
        <v>2</v>
      </c>
      <c r="B92" s="54" t="s">
        <v>237</v>
      </c>
      <c r="C92" s="55" t="str">
        <f>IFERROR(INDEX(Rates_Master!$C:$C, MATCH(B92, Rates_Master!$A:$A, 0)), "Code not found in Rates_Master")</f>
        <v>Painter</v>
      </c>
      <c r="D92" s="56" t="str">
        <f>IFERROR(INDEX(Rates_Master!$D:$D, MATCH(B92, Rates_Master!$A:$A, 0)), "")</f>
        <v>day</v>
      </c>
      <c r="E92" s="57">
        <v>0.15</v>
      </c>
      <c r="F92" s="58">
        <f>IFERROR(INDEX(Rates_Master!$E:$E, MATCH(B92, Rates_Master!$A:$A, 0)), 0)</f>
        <v>679</v>
      </c>
      <c r="G92" s="51">
        <f t="shared" si="2"/>
        <v>101.85</v>
      </c>
      <c r="H92" s="152" t="s">
        <v>238</v>
      </c>
      <c r="I92" s="16"/>
    </row>
    <row r="93" spans="1:9" ht="19.95" customHeight="1" x14ac:dyDescent="0.3">
      <c r="A93" s="16">
        <v>3</v>
      </c>
      <c r="B93" s="54" t="s">
        <v>211</v>
      </c>
      <c r="C93" s="55" t="str">
        <f>IFERROR(INDEX(Rates_Master!$C:$C, MATCH(B93, Rates_Master!$A:$A, 0)), "Code not found in Rates_Master")</f>
        <v>Coolie</v>
      </c>
      <c r="D93" s="56" t="str">
        <f>IFERROR(INDEX(Rates_Master!$D:$D, MATCH(B93, Rates_Master!$A:$A, 0)), "")</f>
        <v>day</v>
      </c>
      <c r="E93" s="57">
        <v>0.15</v>
      </c>
      <c r="F93" s="58">
        <f>IFERROR(INDEX(Rates_Master!$E:$E, MATCH(B93, Rates_Master!$A:$A, 0)), 0)</f>
        <v>558</v>
      </c>
      <c r="G93" s="51">
        <f t="shared" si="2"/>
        <v>83.7</v>
      </c>
      <c r="H93" s="152" t="s">
        <v>212</v>
      </c>
      <c r="I93" s="16"/>
    </row>
    <row r="94" spans="1:9" ht="19.95" customHeight="1" x14ac:dyDescent="0.3">
      <c r="A94" s="16">
        <v>4</v>
      </c>
      <c r="B94" s="48" t="s">
        <v>4269</v>
      </c>
      <c r="C94" s="17" t="s">
        <v>6152</v>
      </c>
      <c r="D94" s="16" t="s">
        <v>4266</v>
      </c>
      <c r="E94" s="22">
        <v>0.52</v>
      </c>
      <c r="F94" s="59">
        <f>Factor_Sundries</f>
        <v>2</v>
      </c>
      <c r="G94" s="51">
        <f t="shared" si="2"/>
        <v>1.04</v>
      </c>
      <c r="H94" s="60" t="s">
        <v>6326</v>
      </c>
      <c r="I94" s="16"/>
    </row>
    <row r="95" spans="1:9" ht="19.95" customHeight="1" x14ac:dyDescent="0.3">
      <c r="A95" s="16">
        <v>5</v>
      </c>
      <c r="B95" s="48" t="s">
        <v>4269</v>
      </c>
      <c r="C95" s="17" t="s">
        <v>6367</v>
      </c>
      <c r="D95" s="16" t="s">
        <v>4266</v>
      </c>
      <c r="E95" s="22">
        <v>4.16</v>
      </c>
      <c r="F95" s="59">
        <f>Factor_Sundries</f>
        <v>2</v>
      </c>
      <c r="G95" s="51">
        <f t="shared" si="2"/>
        <v>8.32</v>
      </c>
      <c r="H95" s="60" t="s">
        <v>6326</v>
      </c>
      <c r="I95" s="16"/>
    </row>
    <row r="96" spans="1:9" ht="19.95" customHeight="1" x14ac:dyDescent="0.3">
      <c r="A96" s="16">
        <v>6</v>
      </c>
      <c r="B96" s="48" t="s">
        <v>4269</v>
      </c>
      <c r="C96" s="17" t="s">
        <v>4270</v>
      </c>
      <c r="D96" s="16" t="s">
        <v>4266</v>
      </c>
      <c r="E96" s="22">
        <v>3.9</v>
      </c>
      <c r="F96" s="59">
        <f>Factor_Sundries</f>
        <v>2</v>
      </c>
      <c r="G96" s="51">
        <f t="shared" si="2"/>
        <v>7.8</v>
      </c>
      <c r="H96" s="60" t="s">
        <v>6326</v>
      </c>
      <c r="I96" s="16"/>
    </row>
    <row r="97" spans="1:9" ht="15" customHeight="1" x14ac:dyDescent="0.3">
      <c r="A97" s="244" t="s">
        <v>6327</v>
      </c>
      <c r="B97" s="241"/>
      <c r="C97" s="241"/>
      <c r="D97" s="241"/>
      <c r="E97" s="241"/>
      <c r="F97" s="242"/>
      <c r="G97" s="41">
        <f>ROUND(SUM(G91:G96), 2)</f>
        <v>332.71</v>
      </c>
      <c r="H97" s="62" t="s">
        <v>6368</v>
      </c>
      <c r="I97" s="61"/>
    </row>
    <row r="98" spans="1:9" ht="28.05" customHeight="1" x14ac:dyDescent="0.3">
      <c r="A98" s="244" t="s">
        <v>6329</v>
      </c>
      <c r="B98" s="241"/>
      <c r="C98" s="241"/>
      <c r="D98" s="241"/>
      <c r="E98" s="241"/>
      <c r="F98" s="242"/>
      <c r="G98" s="41">
        <f>ROUND(SUMIF($I$91:$I$96, "A", $G$91:$G$96), 2)</f>
        <v>0</v>
      </c>
      <c r="H98" s="63" t="s">
        <v>6330</v>
      </c>
      <c r="I98" s="61"/>
    </row>
    <row r="99" spans="1:9" ht="22.05" customHeight="1" x14ac:dyDescent="0.3">
      <c r="A99" s="48" t="s">
        <v>6331</v>
      </c>
      <c r="B99" s="54" t="s">
        <v>4318</v>
      </c>
      <c r="C99" s="17" t="s">
        <v>6332</v>
      </c>
      <c r="D99" s="53"/>
      <c r="E99" s="51">
        <f>G97 - G98</f>
        <v>332.71</v>
      </c>
      <c r="F99" s="64">
        <f>Factor_Water</f>
        <v>0.01</v>
      </c>
      <c r="G99" s="65">
        <f>IF(B99="YES", ROUND(E99 * F99, 2), 0)</f>
        <v>3.33</v>
      </c>
      <c r="H99" s="152" t="s">
        <v>6333</v>
      </c>
      <c r="I99" s="53"/>
    </row>
    <row r="100" spans="1:9" ht="22.05" customHeight="1" x14ac:dyDescent="0.3">
      <c r="A100" s="1" t="s">
        <v>6334</v>
      </c>
      <c r="B100" s="66" t="s">
        <v>6335</v>
      </c>
      <c r="C100" s="67" t="s">
        <v>6336</v>
      </c>
      <c r="D100" s="61"/>
      <c r="E100" s="61"/>
      <c r="F100" s="61"/>
      <c r="G100" s="41">
        <f>G97 + G99</f>
        <v>336.03999999999996</v>
      </c>
      <c r="H100" s="63" t="s">
        <v>6337</v>
      </c>
      <c r="I100" s="61"/>
    </row>
    <row r="101" spans="1:9" ht="22.05" customHeight="1" x14ac:dyDescent="0.3">
      <c r="A101" s="48" t="s">
        <v>6338</v>
      </c>
      <c r="B101" s="54" t="s">
        <v>4318</v>
      </c>
      <c r="C101" s="17" t="s">
        <v>6339</v>
      </c>
      <c r="D101" s="53"/>
      <c r="E101" s="51">
        <f>G100 - G98</f>
        <v>336.03999999999996</v>
      </c>
      <c r="F101" s="64">
        <f>Factor_GST</f>
        <v>0.14050000000000001</v>
      </c>
      <c r="G101" s="65">
        <f>IF(B101="YES", ROUND(E101 * F101, 2), 0)</f>
        <v>47.21</v>
      </c>
      <c r="H101" s="152" t="s">
        <v>6340</v>
      </c>
      <c r="I101" s="53"/>
    </row>
    <row r="102" spans="1:9" ht="22.05" customHeight="1" x14ac:dyDescent="0.3">
      <c r="A102" s="1" t="s">
        <v>6341</v>
      </c>
      <c r="B102" s="66" t="s">
        <v>6335</v>
      </c>
      <c r="C102" s="67" t="s">
        <v>6342</v>
      </c>
      <c r="D102" s="61"/>
      <c r="E102" s="61"/>
      <c r="F102" s="61"/>
      <c r="G102" s="41">
        <f>G100 + G101</f>
        <v>383.24999999999994</v>
      </c>
      <c r="H102" s="63" t="s">
        <v>6337</v>
      </c>
      <c r="I102" s="61"/>
    </row>
    <row r="103" spans="1:9" ht="22.05" customHeight="1" x14ac:dyDescent="0.3">
      <c r="A103" s="48" t="s">
        <v>6343</v>
      </c>
      <c r="B103" s="54" t="s">
        <v>4318</v>
      </c>
      <c r="C103" s="17" t="s">
        <v>6344</v>
      </c>
      <c r="D103" s="53"/>
      <c r="E103" s="51">
        <f>G102 - G98</f>
        <v>383.24999999999994</v>
      </c>
      <c r="F103" s="64">
        <f>Factor_CPOH</f>
        <v>0.15</v>
      </c>
      <c r="G103" s="65">
        <f>IF(B103="YES", ROUND(E103 * F103, 2), 0)</f>
        <v>57.49</v>
      </c>
      <c r="H103" s="152" t="s">
        <v>6345</v>
      </c>
      <c r="I103" s="53"/>
    </row>
    <row r="104" spans="1:9" ht="22.05" customHeight="1" x14ac:dyDescent="0.3">
      <c r="A104" s="1" t="s">
        <v>6346</v>
      </c>
      <c r="B104" s="66" t="s">
        <v>6335</v>
      </c>
      <c r="C104" s="67" t="s">
        <v>6347</v>
      </c>
      <c r="D104" s="61"/>
      <c r="E104" s="61"/>
      <c r="F104" s="61"/>
      <c r="G104" s="41">
        <f>G102 + G103</f>
        <v>440.73999999999995</v>
      </c>
      <c r="H104" s="63" t="s">
        <v>6337</v>
      </c>
      <c r="I104" s="61"/>
    </row>
    <row r="105" spans="1:9" ht="22.05" customHeight="1" x14ac:dyDescent="0.3">
      <c r="A105" s="48" t="s">
        <v>6348</v>
      </c>
      <c r="B105" s="54" t="s">
        <v>4318</v>
      </c>
      <c r="C105" s="17" t="s">
        <v>6349</v>
      </c>
      <c r="D105" s="53"/>
      <c r="E105" s="51">
        <f>G104 - G98</f>
        <v>440.73999999999995</v>
      </c>
      <c r="F105" s="64">
        <f>Factor_Cess</f>
        <v>0.01</v>
      </c>
      <c r="G105" s="65">
        <f>IF(B105="YES", ROUND(E105 * F105, 2), 0)</f>
        <v>4.41</v>
      </c>
      <c r="H105" s="152" t="s">
        <v>6350</v>
      </c>
      <c r="I105" s="53"/>
    </row>
    <row r="106" spans="1:9" ht="15" customHeight="1" x14ac:dyDescent="0.3">
      <c r="A106" s="245" t="s">
        <v>6358</v>
      </c>
      <c r="B106" s="241"/>
      <c r="C106" s="241"/>
      <c r="D106" s="241"/>
      <c r="E106" s="241"/>
      <c r="F106" s="242"/>
      <c r="G106" s="69">
        <f>ROUND(G104 + G105, 2)</f>
        <v>445.15</v>
      </c>
      <c r="H106" s="68"/>
      <c r="I106" s="68"/>
    </row>
    <row r="107" spans="1:9" ht="30" customHeight="1" x14ac:dyDescent="0.3">
      <c r="A107" s="240" t="s">
        <v>6359</v>
      </c>
      <c r="B107" s="241"/>
      <c r="C107" s="241"/>
      <c r="D107" s="241"/>
      <c r="E107" s="241"/>
      <c r="F107" s="242"/>
      <c r="G107" s="52">
        <f>MROUND(G106 / 10, 0.05)</f>
        <v>44.5</v>
      </c>
      <c r="H107" s="71" t="s">
        <v>6369</v>
      </c>
      <c r="I107" s="70"/>
    </row>
    <row r="109" spans="1:9" ht="31.95" customHeight="1" x14ac:dyDescent="0.3">
      <c r="A109" s="243" t="s">
        <v>6370</v>
      </c>
      <c r="B109" s="228"/>
      <c r="C109" s="228"/>
      <c r="D109" s="228"/>
      <c r="E109" s="228"/>
      <c r="F109" s="228"/>
      <c r="G109" s="228"/>
      <c r="H109" s="228"/>
      <c r="I109" s="228"/>
    </row>
    <row r="110" spans="1:9" ht="19.95" customHeight="1" x14ac:dyDescent="0.35">
      <c r="A110" s="14" t="s">
        <v>6311</v>
      </c>
      <c r="B110" s="50">
        <v>10</v>
      </c>
      <c r="C110" s="17" t="s">
        <v>283</v>
      </c>
      <c r="D110" s="14" t="s">
        <v>6312</v>
      </c>
      <c r="E110" s="246" t="s">
        <v>6308</v>
      </c>
      <c r="F110" s="241"/>
      <c r="G110" s="241"/>
      <c r="H110" s="241"/>
      <c r="I110" s="242"/>
    </row>
    <row r="111" spans="1:9" ht="22.05" customHeight="1" x14ac:dyDescent="0.3">
      <c r="A111" s="153" t="s">
        <v>6313</v>
      </c>
      <c r="B111" s="153" t="s">
        <v>6314</v>
      </c>
      <c r="C111" s="153" t="s">
        <v>5</v>
      </c>
      <c r="D111" s="153" t="s">
        <v>6</v>
      </c>
      <c r="E111" s="153" t="s">
        <v>6315</v>
      </c>
      <c r="F111" s="153" t="s">
        <v>7</v>
      </c>
      <c r="G111" s="153" t="s">
        <v>6316</v>
      </c>
      <c r="H111" s="153" t="s">
        <v>6317</v>
      </c>
      <c r="I111" s="153" t="s">
        <v>6318</v>
      </c>
    </row>
    <row r="112" spans="1:9" ht="19.95" customHeight="1" x14ac:dyDescent="0.3">
      <c r="A112" s="16">
        <v>1</v>
      </c>
      <c r="B112" s="54" t="s">
        <v>4653</v>
      </c>
      <c r="C112" s="72" t="s">
        <v>6371</v>
      </c>
      <c r="D112" s="56" t="s">
        <v>18</v>
      </c>
      <c r="E112" s="57">
        <v>0.04</v>
      </c>
      <c r="F112" s="58">
        <f>Resolved_Cross_Volume_Items!$G$44</f>
        <v>8025</v>
      </c>
      <c r="G112" s="51">
        <f>ROUND(E112 * F112, 2)</f>
        <v>321</v>
      </c>
      <c r="H112" s="152" t="s">
        <v>6372</v>
      </c>
      <c r="I112" s="46" t="s">
        <v>6373</v>
      </c>
    </row>
    <row r="113" spans="1:9" ht="19.95" customHeight="1" x14ac:dyDescent="0.3">
      <c r="A113" s="16">
        <v>2</v>
      </c>
      <c r="B113" s="54" t="s">
        <v>221</v>
      </c>
      <c r="C113" s="55" t="str">
        <f>IFERROR(INDEX(Rates_Master!$C:$C, MATCH(B113, Rates_Master!$A:$A, 0)), "Code not found in Rates_Master")</f>
        <v>Mason (brick layer) 1st class</v>
      </c>
      <c r="D113" s="56" t="str">
        <f>IFERROR(INDEX(Rates_Master!$D:$D, MATCH(B113, Rates_Master!$A:$A, 0)), "")</f>
        <v>day</v>
      </c>
      <c r="E113" s="57">
        <v>0.25</v>
      </c>
      <c r="F113" s="58">
        <f>IFERROR(INDEX(Rates_Master!$E:$E, MATCH(B113, Rates_Master!$A:$A, 0)), 0)</f>
        <v>738</v>
      </c>
      <c r="G113" s="51">
        <f>ROUND(E113 * F113, 2)</f>
        <v>184.5</v>
      </c>
      <c r="H113" s="152" t="s">
        <v>222</v>
      </c>
      <c r="I113" s="16"/>
    </row>
    <row r="114" spans="1:9" ht="19.95" customHeight="1" x14ac:dyDescent="0.3">
      <c r="A114" s="16">
        <v>3</v>
      </c>
      <c r="B114" s="54" t="s">
        <v>223</v>
      </c>
      <c r="C114" s="55" t="str">
        <f>IFERROR(INDEX(Rates_Master!$C:$C, MATCH(B114, Rates_Master!$A:$A, 0)), "Code not found in Rates_Master")</f>
        <v>Mason (brick layer) 2nd class</v>
      </c>
      <c r="D114" s="56" t="str">
        <f>IFERROR(INDEX(Rates_Master!$D:$D, MATCH(B114, Rates_Master!$A:$A, 0)), "")</f>
        <v>day</v>
      </c>
      <c r="E114" s="57">
        <v>0.25</v>
      </c>
      <c r="F114" s="58">
        <f>IFERROR(INDEX(Rates_Master!$E:$E, MATCH(B114, Rates_Master!$A:$A, 0)), 0)</f>
        <v>679</v>
      </c>
      <c r="G114" s="51">
        <f>ROUND(E114 * F114, 2)</f>
        <v>169.75</v>
      </c>
      <c r="H114" s="152" t="s">
        <v>224</v>
      </c>
      <c r="I114" s="16"/>
    </row>
    <row r="115" spans="1:9" ht="19.95" customHeight="1" x14ac:dyDescent="0.3">
      <c r="A115" s="16">
        <v>4</v>
      </c>
      <c r="B115" s="54" t="s">
        <v>209</v>
      </c>
      <c r="C115" s="55" t="str">
        <f>IFERROR(INDEX(Rates_Master!$C:$C, MATCH(B115, Rates_Master!$A:$A, 0)), "Code not found in Rates_Master")</f>
        <v>Beldar</v>
      </c>
      <c r="D115" s="56" t="str">
        <f>IFERROR(INDEX(Rates_Master!$D:$D, MATCH(B115, Rates_Master!$A:$A, 0)), "")</f>
        <v>day</v>
      </c>
      <c r="E115" s="57">
        <v>1</v>
      </c>
      <c r="F115" s="58">
        <f>IFERROR(INDEX(Rates_Master!$E:$E, MATCH(B115, Rates_Master!$A:$A, 0)), 0)</f>
        <v>558</v>
      </c>
      <c r="G115" s="51">
        <f>ROUND(E115 * F115, 2)</f>
        <v>558</v>
      </c>
      <c r="H115" s="152" t="s">
        <v>210</v>
      </c>
      <c r="I115" s="16"/>
    </row>
    <row r="116" spans="1:9" ht="15" customHeight="1" x14ac:dyDescent="0.3">
      <c r="A116" s="244" t="s">
        <v>6327</v>
      </c>
      <c r="B116" s="241"/>
      <c r="C116" s="241"/>
      <c r="D116" s="241"/>
      <c r="E116" s="241"/>
      <c r="F116" s="242"/>
      <c r="G116" s="41">
        <f>ROUND(SUM(G112:G115), 2)</f>
        <v>1233.25</v>
      </c>
      <c r="H116" s="62" t="s">
        <v>6374</v>
      </c>
      <c r="I116" s="61"/>
    </row>
    <row r="117" spans="1:9" ht="28.05" customHeight="1" x14ac:dyDescent="0.3">
      <c r="A117" s="244" t="s">
        <v>6329</v>
      </c>
      <c r="B117" s="241"/>
      <c r="C117" s="241"/>
      <c r="D117" s="241"/>
      <c r="E117" s="241"/>
      <c r="F117" s="242"/>
      <c r="G117" s="41">
        <f>ROUND(SUMIF($I$112:$I$115, "A", $G$112:$G$115), 2)</f>
        <v>321</v>
      </c>
      <c r="H117" s="63" t="s">
        <v>6330</v>
      </c>
      <c r="I117" s="61"/>
    </row>
    <row r="118" spans="1:9" ht="22.05" customHeight="1" x14ac:dyDescent="0.3">
      <c r="A118" s="48" t="s">
        <v>6331</v>
      </c>
      <c r="B118" s="54" t="s">
        <v>4318</v>
      </c>
      <c r="C118" s="17" t="s">
        <v>6332</v>
      </c>
      <c r="D118" s="53"/>
      <c r="E118" s="51">
        <f>G116 - G117</f>
        <v>912.25</v>
      </c>
      <c r="F118" s="64">
        <f>Factor_Water</f>
        <v>0.01</v>
      </c>
      <c r="G118" s="65">
        <f>IF(B118="YES", ROUND(E118 * F118, 2), 0)</f>
        <v>9.1199999999999992</v>
      </c>
      <c r="H118" s="152" t="s">
        <v>6333</v>
      </c>
      <c r="I118" s="53"/>
    </row>
    <row r="119" spans="1:9" ht="22.05" customHeight="1" x14ac:dyDescent="0.3">
      <c r="A119" s="1" t="s">
        <v>6334</v>
      </c>
      <c r="B119" s="66" t="s">
        <v>6335</v>
      </c>
      <c r="C119" s="67" t="s">
        <v>6336</v>
      </c>
      <c r="D119" s="61"/>
      <c r="E119" s="61"/>
      <c r="F119" s="61"/>
      <c r="G119" s="41">
        <f>G116 + G118</f>
        <v>1242.3699999999999</v>
      </c>
      <c r="H119" s="63" t="s">
        <v>6337</v>
      </c>
      <c r="I119" s="61"/>
    </row>
    <row r="120" spans="1:9" ht="22.05" customHeight="1" x14ac:dyDescent="0.3">
      <c r="A120" s="48" t="s">
        <v>6338</v>
      </c>
      <c r="B120" s="54" t="s">
        <v>4318</v>
      </c>
      <c r="C120" s="17" t="s">
        <v>6339</v>
      </c>
      <c r="D120" s="53"/>
      <c r="E120" s="51">
        <f>G119 - G117</f>
        <v>921.36999999999989</v>
      </c>
      <c r="F120" s="64">
        <f>Factor_GST</f>
        <v>0.14050000000000001</v>
      </c>
      <c r="G120" s="65">
        <f>IF(B120="YES", ROUND(E120 * F120, 2), 0)</f>
        <v>129.44999999999999</v>
      </c>
      <c r="H120" s="152" t="s">
        <v>6340</v>
      </c>
      <c r="I120" s="53"/>
    </row>
    <row r="121" spans="1:9" ht="22.05" customHeight="1" x14ac:dyDescent="0.3">
      <c r="A121" s="1" t="s">
        <v>6341</v>
      </c>
      <c r="B121" s="66" t="s">
        <v>6335</v>
      </c>
      <c r="C121" s="67" t="s">
        <v>6342</v>
      </c>
      <c r="D121" s="61"/>
      <c r="E121" s="61"/>
      <c r="F121" s="61"/>
      <c r="G121" s="41">
        <f>G119 + G120</f>
        <v>1371.82</v>
      </c>
      <c r="H121" s="63" t="s">
        <v>6337</v>
      </c>
      <c r="I121" s="61"/>
    </row>
    <row r="122" spans="1:9" ht="22.05" customHeight="1" x14ac:dyDescent="0.3">
      <c r="A122" s="48" t="s">
        <v>6343</v>
      </c>
      <c r="B122" s="54" t="s">
        <v>4318</v>
      </c>
      <c r="C122" s="17" t="s">
        <v>6344</v>
      </c>
      <c r="D122" s="53"/>
      <c r="E122" s="51">
        <f>G121 - G117</f>
        <v>1050.82</v>
      </c>
      <c r="F122" s="64">
        <f>Factor_CPOH</f>
        <v>0.15</v>
      </c>
      <c r="G122" s="65">
        <f>IF(B122="YES", ROUND(E122 * F122, 2), 0)</f>
        <v>157.62</v>
      </c>
      <c r="H122" s="152" t="s">
        <v>6345</v>
      </c>
      <c r="I122" s="53"/>
    </row>
    <row r="123" spans="1:9" ht="22.05" customHeight="1" x14ac:dyDescent="0.3">
      <c r="A123" s="1" t="s">
        <v>6346</v>
      </c>
      <c r="B123" s="66" t="s">
        <v>6335</v>
      </c>
      <c r="C123" s="67" t="s">
        <v>6347</v>
      </c>
      <c r="D123" s="61"/>
      <c r="E123" s="61"/>
      <c r="F123" s="61"/>
      <c r="G123" s="41">
        <f>G121 + G122</f>
        <v>1529.44</v>
      </c>
      <c r="H123" s="63" t="s">
        <v>6337</v>
      </c>
      <c r="I123" s="61"/>
    </row>
    <row r="124" spans="1:9" ht="22.05" customHeight="1" x14ac:dyDescent="0.3">
      <c r="A124" s="48" t="s">
        <v>6348</v>
      </c>
      <c r="B124" s="54" t="s">
        <v>4318</v>
      </c>
      <c r="C124" s="17" t="s">
        <v>6349</v>
      </c>
      <c r="D124" s="53"/>
      <c r="E124" s="51">
        <f>G123 - G117</f>
        <v>1208.44</v>
      </c>
      <c r="F124" s="64">
        <f>Factor_Cess</f>
        <v>0.01</v>
      </c>
      <c r="G124" s="65">
        <f>IF(B124="YES", ROUND(E124 * F124, 2), 0)</f>
        <v>12.08</v>
      </c>
      <c r="H124" s="152" t="s">
        <v>6350</v>
      </c>
      <c r="I124" s="53"/>
    </row>
    <row r="125" spans="1:9" ht="15" customHeight="1" x14ac:dyDescent="0.3">
      <c r="A125" s="245" t="s">
        <v>6375</v>
      </c>
      <c r="B125" s="241"/>
      <c r="C125" s="241"/>
      <c r="D125" s="241"/>
      <c r="E125" s="241"/>
      <c r="F125" s="242"/>
      <c r="G125" s="69">
        <f>ROUND(G123 + G124, 2)</f>
        <v>1541.52</v>
      </c>
      <c r="H125" s="68"/>
      <c r="I125" s="68"/>
    </row>
    <row r="126" spans="1:9" ht="30" customHeight="1" x14ac:dyDescent="0.3">
      <c r="A126" s="240" t="s">
        <v>6376</v>
      </c>
      <c r="B126" s="241"/>
      <c r="C126" s="241"/>
      <c r="D126" s="241"/>
      <c r="E126" s="241"/>
      <c r="F126" s="242"/>
      <c r="G126" s="52">
        <f>MROUND(G125 / 10, 0.05)</f>
        <v>154.15</v>
      </c>
      <c r="H126" s="71" t="s">
        <v>6377</v>
      </c>
      <c r="I126" s="70"/>
    </row>
  </sheetData>
  <sheetProtection sheet="1"/>
  <mergeCells count="34">
    <mergeCell ref="E110:I110"/>
    <mergeCell ref="A77:F77"/>
    <mergeCell ref="A107:F107"/>
    <mergeCell ref="A98:F98"/>
    <mergeCell ref="A1:I1"/>
    <mergeCell ref="A88:I88"/>
    <mergeCell ref="E47:I47"/>
    <mergeCell ref="A65:F65"/>
    <mergeCell ref="A116:F116"/>
    <mergeCell ref="A14:I14"/>
    <mergeCell ref="A126:F126"/>
    <mergeCell ref="A106:F106"/>
    <mergeCell ref="A97:F97"/>
    <mergeCell ref="A35:F35"/>
    <mergeCell ref="A109:I109"/>
    <mergeCell ref="E69:I69"/>
    <mergeCell ref="A43:F43"/>
    <mergeCell ref="A125:F125"/>
    <mergeCell ref="E15:I15"/>
    <mergeCell ref="A68:I68"/>
    <mergeCell ref="A44:F44"/>
    <mergeCell ref="A117:F117"/>
    <mergeCell ref="E89:I89"/>
    <mergeCell ref="A34:F34"/>
    <mergeCell ref="A66:F66"/>
    <mergeCell ref="A46:I46"/>
    <mergeCell ref="A3:I3"/>
    <mergeCell ref="A56:F56"/>
    <mergeCell ref="A86:F86"/>
    <mergeCell ref="A57:F57"/>
    <mergeCell ref="A85:F85"/>
    <mergeCell ref="A76:F76"/>
    <mergeCell ref="A5:I5"/>
    <mergeCell ref="A13:I13"/>
  </mergeCells>
  <dataValidations count="1">
    <dataValidation type="list" sqref="B36 B38 B40 B42 B58 B60 B62 B64 B78 B80 B82 B84 B99 B101 B103 B105 B118 B120 B122 B124">
      <formula1>"YES,NO"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99"/>
  <sheetViews>
    <sheetView workbookViewId="0">
      <pane ySplit="6" topLeftCell="A270" activePane="bottomLeft" state="frozen"/>
      <selection pane="bottomLeft" activeCell="E283" sqref="E283"/>
    </sheetView>
  </sheetViews>
  <sheetFormatPr defaultRowHeight="14.4" x14ac:dyDescent="0.3"/>
  <cols>
    <col min="1" max="1" width="34" style="151" customWidth="1"/>
    <col min="2" max="2" width="30" style="151" customWidth="1"/>
    <col min="3" max="3" width="20" style="151" customWidth="1"/>
    <col min="4" max="4" width="16" style="151" customWidth="1"/>
    <col min="5" max="7" width="20" style="151" customWidth="1"/>
    <col min="8" max="8" width="44" style="151" customWidth="1"/>
    <col min="9" max="9" width="16" style="151" customWidth="1"/>
  </cols>
  <sheetData>
    <row r="1" spans="1:9" ht="30" customHeight="1" x14ac:dyDescent="0.3">
      <c r="A1" s="227" t="s">
        <v>6378</v>
      </c>
      <c r="B1" s="228"/>
      <c r="C1" s="228"/>
      <c r="D1" s="228"/>
      <c r="E1" s="228"/>
      <c r="F1" s="228"/>
      <c r="G1" s="228"/>
      <c r="H1" s="228"/>
      <c r="I1" s="228"/>
    </row>
    <row r="2" spans="1:9" ht="19.95" customHeight="1" x14ac:dyDescent="0.3">
      <c r="A2" s="73" t="s">
        <v>4272</v>
      </c>
      <c r="B2" s="45" t="s">
        <v>6379</v>
      </c>
      <c r="C2" s="74" t="s">
        <v>6380</v>
      </c>
      <c r="D2" s="28" t="s">
        <v>6381</v>
      </c>
      <c r="E2" s="7" t="s">
        <v>6382</v>
      </c>
      <c r="F2" s="26" t="s">
        <v>6383</v>
      </c>
      <c r="G2" s="46" t="s">
        <v>6384</v>
      </c>
      <c r="H2" s="47" t="s">
        <v>6385</v>
      </c>
      <c r="I2" s="3" t="s">
        <v>6386</v>
      </c>
    </row>
    <row r="3" spans="1:9" ht="30" customHeight="1" x14ac:dyDescent="0.3">
      <c r="A3" s="237" t="s">
        <v>6387</v>
      </c>
      <c r="B3" s="241"/>
      <c r="C3" s="241"/>
      <c r="D3" s="241"/>
      <c r="E3" s="241"/>
      <c r="F3" s="241"/>
      <c r="G3" s="241"/>
      <c r="H3" s="241"/>
      <c r="I3" s="242"/>
    </row>
    <row r="4" spans="1:9" ht="22.05" customHeight="1" x14ac:dyDescent="0.3">
      <c r="A4" s="239" t="s">
        <v>6388</v>
      </c>
      <c r="B4" s="228"/>
      <c r="C4" s="228"/>
      <c r="D4" s="228"/>
      <c r="E4" s="228"/>
      <c r="F4" s="228"/>
      <c r="G4" s="228"/>
      <c r="H4" s="228"/>
      <c r="I4" s="228"/>
    </row>
    <row r="5" spans="1:9" ht="46.05" customHeight="1" x14ac:dyDescent="0.3">
      <c r="A5" s="237" t="s">
        <v>6389</v>
      </c>
      <c r="B5" s="241"/>
      <c r="C5" s="241"/>
      <c r="D5" s="241"/>
      <c r="E5" s="241"/>
      <c r="F5" s="241"/>
      <c r="G5" s="241"/>
      <c r="H5" s="241"/>
      <c r="I5" s="242"/>
    </row>
    <row r="6" spans="1:9" ht="46.05" customHeight="1" x14ac:dyDescent="0.3">
      <c r="A6" s="237" t="s">
        <v>6390</v>
      </c>
      <c r="B6" s="241"/>
      <c r="C6" s="241"/>
      <c r="D6" s="241"/>
      <c r="E6" s="241"/>
      <c r="F6" s="241"/>
      <c r="G6" s="241"/>
      <c r="H6" s="241"/>
      <c r="I6" s="242"/>
    </row>
    <row r="7" spans="1:9" ht="7.95" customHeight="1" x14ac:dyDescent="0.3"/>
    <row r="8" spans="1:9" ht="30" customHeight="1" x14ac:dyDescent="0.3">
      <c r="A8" s="239" t="s">
        <v>6391</v>
      </c>
      <c r="B8" s="228"/>
      <c r="C8" s="228"/>
      <c r="D8" s="228"/>
      <c r="E8" s="228"/>
      <c r="F8" s="228"/>
      <c r="G8" s="228"/>
      <c r="H8" s="228"/>
      <c r="I8" s="228"/>
    </row>
    <row r="9" spans="1:9" ht="25.95" customHeight="1" x14ac:dyDescent="0.3">
      <c r="A9" s="153" t="s">
        <v>6392</v>
      </c>
      <c r="B9" s="153" t="s">
        <v>6393</v>
      </c>
      <c r="C9" s="153" t="s">
        <v>6</v>
      </c>
      <c r="D9" s="153" t="s">
        <v>6394</v>
      </c>
      <c r="E9" s="247" t="s">
        <v>6395</v>
      </c>
      <c r="F9" s="248"/>
      <c r="G9" s="248"/>
      <c r="H9" s="248"/>
      <c r="I9" s="249"/>
    </row>
    <row r="10" spans="1:9" ht="30" customHeight="1" x14ac:dyDescent="0.3">
      <c r="A10" s="75" t="s">
        <v>6396</v>
      </c>
      <c r="B10" s="76" t="s">
        <v>6397</v>
      </c>
      <c r="C10" s="24" t="s">
        <v>6335</v>
      </c>
      <c r="D10" s="45" t="s">
        <v>6398</v>
      </c>
      <c r="E10" s="246" t="s">
        <v>6399</v>
      </c>
      <c r="F10" s="241"/>
      <c r="G10" s="241"/>
      <c r="H10" s="241"/>
      <c r="I10" s="242"/>
    </row>
    <row r="11" spans="1:9" ht="30" customHeight="1" x14ac:dyDescent="0.3">
      <c r="A11" s="75" t="s">
        <v>6400</v>
      </c>
      <c r="B11" s="77">
        <v>10</v>
      </c>
      <c r="C11" s="24" t="s">
        <v>6401</v>
      </c>
      <c r="D11" s="45" t="s">
        <v>6398</v>
      </c>
      <c r="E11" s="246" t="s">
        <v>6402</v>
      </c>
      <c r="F11" s="241"/>
      <c r="G11" s="241"/>
      <c r="H11" s="241"/>
      <c r="I11" s="242"/>
    </row>
    <row r="12" spans="1:9" ht="30" customHeight="1" x14ac:dyDescent="0.3">
      <c r="A12" s="75" t="s">
        <v>6403</v>
      </c>
      <c r="B12" s="78">
        <f>IFERROR(MATCH(B10, $B$180:$B$216, 0), "")</f>
        <v>37</v>
      </c>
      <c r="C12" s="24" t="s">
        <v>6404</v>
      </c>
      <c r="D12" s="5" t="s">
        <v>6405</v>
      </c>
      <c r="E12" s="246" t="s">
        <v>6406</v>
      </c>
      <c r="F12" s="241"/>
      <c r="G12" s="241"/>
      <c r="H12" s="241"/>
      <c r="I12" s="242"/>
    </row>
    <row r="13" spans="1:9" ht="30" customHeight="1" x14ac:dyDescent="0.3">
      <c r="A13" s="75" t="s">
        <v>6407</v>
      </c>
      <c r="B13" s="29" t="str">
        <f>IFERROR(INDEX($E$180:$E$216, B12), "")</f>
        <v>100 m</v>
      </c>
      <c r="C13" s="24" t="s">
        <v>6335</v>
      </c>
      <c r="D13" s="29" t="s">
        <v>6408</v>
      </c>
      <c r="E13" s="246" t="s">
        <v>6409</v>
      </c>
      <c r="F13" s="241"/>
      <c r="G13" s="241"/>
      <c r="H13" s="241"/>
      <c r="I13" s="242"/>
    </row>
    <row r="14" spans="1:9" ht="30" customHeight="1" x14ac:dyDescent="0.3">
      <c r="A14" s="75" t="s">
        <v>6410</v>
      </c>
      <c r="B14" s="5" t="str">
        <f>IF(B12="", "", IF(B11&lt;=5, "Printed column for " &amp; TEXT(MAX(1,CEILING(B11,1)),"0") &amp; " km", IF(B11&lt;=10, "5 km rate + column L per km", IF(B11&lt;=20, "10 km rate + column M per km", "20 km rate + column N per km"))))</f>
        <v>5 km rate + column L per km</v>
      </c>
      <c r="C14" s="24" t="s">
        <v>6335</v>
      </c>
      <c r="D14" s="5" t="s">
        <v>6405</v>
      </c>
      <c r="E14" s="246" t="s">
        <v>6411</v>
      </c>
      <c r="F14" s="241"/>
      <c r="G14" s="241"/>
      <c r="H14" s="241"/>
      <c r="I14" s="242"/>
    </row>
    <row r="15" spans="1:9" ht="30" customHeight="1" x14ac:dyDescent="0.3">
      <c r="A15" s="75" t="s">
        <v>6412</v>
      </c>
      <c r="B15" s="79">
        <f>IF(B12="", "", IF(B11&lt;=5, CHOOSE(MAX(1,MIN(5,CEILING(B11,1))), INDEX($G$180:$G$216,B12), INDEX($H$180:$H$216,B12), INDEX($I$180:$I$216,B12), INDEX($J$180:$J$216,B12), INDEX($K$180:$K$216,B12)), IF(B11&lt;=10, INDEX($K$180:$K$216,B12), IF(B11&lt;=20, INDEX($K$180:$K$216,B12) + 5*INDEX($L$180:$L$216,B12), INDEX($K$180:$K$216,B12) + 5*INDEX($L$180:$L$216,B12) + 10*INDEX($M$180:$M$216,B12)))))</f>
        <v>11764.25</v>
      </c>
      <c r="C15" s="24" t="s">
        <v>6413</v>
      </c>
      <c r="D15" s="29" t="s">
        <v>6408</v>
      </c>
      <c r="E15" s="246" t="s">
        <v>6414</v>
      </c>
      <c r="F15" s="241"/>
      <c r="G15" s="241"/>
      <c r="H15" s="241"/>
      <c r="I15" s="242"/>
    </row>
    <row r="16" spans="1:9" ht="30" customHeight="1" x14ac:dyDescent="0.3">
      <c r="A16" s="75" t="s">
        <v>6415</v>
      </c>
      <c r="B16" s="80">
        <f>IF(B12="", "", IF(B11&lt;=5, 0, IF(B11&lt;=10, B11-5, IF(B11&lt;=20, B11-10, B11-20))))</f>
        <v>5</v>
      </c>
      <c r="C16" s="24" t="s">
        <v>6401</v>
      </c>
      <c r="D16" s="5" t="s">
        <v>6405</v>
      </c>
      <c r="E16" s="246" t="s">
        <v>6416</v>
      </c>
      <c r="F16" s="241"/>
      <c r="G16" s="241"/>
      <c r="H16" s="241"/>
      <c r="I16" s="242"/>
    </row>
    <row r="17" spans="1:9" ht="30" customHeight="1" x14ac:dyDescent="0.3">
      <c r="A17" s="75" t="s">
        <v>6417</v>
      </c>
      <c r="B17" s="79">
        <f>IF(B12="", "", IF(B11&lt;=5, 0, IF(B11&lt;=10, INDEX($L$180:$L$216,B12), IF(B11&lt;=20, INDEX($M$180:$M$216,B12), INDEX($N$180:$N$216,B12)))))</f>
        <v>886.17</v>
      </c>
      <c r="C17" s="24" t="s">
        <v>6418</v>
      </c>
      <c r="D17" s="29" t="s">
        <v>6408</v>
      </c>
      <c r="E17" s="246" t="s">
        <v>6419</v>
      </c>
      <c r="F17" s="241"/>
      <c r="G17" s="241"/>
      <c r="H17" s="241"/>
      <c r="I17" s="242"/>
    </row>
    <row r="18" spans="1:9" ht="30" customHeight="1" x14ac:dyDescent="0.3">
      <c r="A18" s="75" t="s">
        <v>6420</v>
      </c>
      <c r="B18" s="81">
        <f>IF(B12="", "", ROUND(B16 * B17, 2))</f>
        <v>4430.8500000000004</v>
      </c>
      <c r="C18" s="24" t="s">
        <v>6413</v>
      </c>
      <c r="D18" s="5" t="s">
        <v>6405</v>
      </c>
      <c r="E18" s="246" t="s">
        <v>6421</v>
      </c>
      <c r="F18" s="241"/>
      <c r="G18" s="241"/>
      <c r="H18" s="241"/>
      <c r="I18" s="242"/>
    </row>
    <row r="19" spans="1:9" ht="30" customHeight="1" x14ac:dyDescent="0.3">
      <c r="A19" s="75" t="s">
        <v>6422</v>
      </c>
      <c r="B19" s="82">
        <f>IF(B12="", "", ROUND(B15 + B18, 2))</f>
        <v>16195.1</v>
      </c>
      <c r="C19" s="24" t="s">
        <v>6413</v>
      </c>
      <c r="D19" s="46" t="s">
        <v>6423</v>
      </c>
      <c r="E19" s="246" t="s">
        <v>6424</v>
      </c>
      <c r="F19" s="241"/>
      <c r="G19" s="241"/>
      <c r="H19" s="241"/>
      <c r="I19" s="242"/>
    </row>
    <row r="20" spans="1:9" ht="31.95" customHeight="1" x14ac:dyDescent="0.35">
      <c r="A20" s="14" t="s">
        <v>6425</v>
      </c>
      <c r="B20" s="237" t="str">
        <f>IF(B12="", "Pick a material from the dropdown above to see the book rate.", "Carriage of " &amp; B10 &amp; " for a lead of " &amp; TEXT(B11,"0.00") &amp; " km = " &amp; IF(B11&lt;=5, "Rs " &amp; TEXT(B15,"#,##0.00") &amp; " read directly from the " &amp; TEXT(MAX(1,CEILING(B11,1)),"0") &amp; " km column of Table 1.1", "Rs " &amp; TEXT(B15,"#,##0.00") &amp; " (the " &amp; IF(B11&lt;=10,"5",IF(B11&lt;=20,"10","20")) &amp; " km rate) plus " &amp; TEXT(B16,"0.00") &amp; " km x Rs " &amp; TEXT(B17,"#,##0.00") &amp; " per km = Rs " &amp; TEXT(B18,"#,##0.00")) &amp; ", giving Rs " &amp; TEXT(B19,"#,##0.00") &amp; " per " &amp; B13 &amp; ".")</f>
        <v>Carriage of R.C.C. / C.I. / steel pipes 1000, 1100 &amp; 1200 mm dia for a lead of 10.00 km = Rs 11,764.25 (the 5 km rate) plus 5.00 km x Rs 886.17 per km = Rs 4,430.85, giving Rs 16,195.10 per 100 m.</v>
      </c>
      <c r="C20" s="241"/>
      <c r="D20" s="241"/>
      <c r="E20" s="241"/>
      <c r="F20" s="241"/>
      <c r="G20" s="241"/>
      <c r="H20" s="241"/>
      <c r="I20" s="242"/>
    </row>
    <row r="21" spans="1:9" ht="7.95" customHeight="1" x14ac:dyDescent="0.3"/>
    <row r="22" spans="1:9" ht="24" customHeight="1" x14ac:dyDescent="0.3">
      <c r="A22" s="239" t="s">
        <v>6426</v>
      </c>
      <c r="B22" s="228"/>
      <c r="C22" s="228"/>
      <c r="D22" s="228"/>
      <c r="E22" s="228"/>
      <c r="F22" s="228"/>
      <c r="G22" s="228"/>
      <c r="H22" s="228"/>
      <c r="I22" s="228"/>
    </row>
    <row r="23" spans="1:9" ht="25.95" customHeight="1" x14ac:dyDescent="0.3">
      <c r="A23" s="153" t="s">
        <v>6392</v>
      </c>
      <c r="B23" s="153" t="s">
        <v>6393</v>
      </c>
      <c r="C23" s="153" t="s">
        <v>6</v>
      </c>
      <c r="D23" s="153" t="s">
        <v>6394</v>
      </c>
      <c r="E23" s="247" t="s">
        <v>6395</v>
      </c>
      <c r="F23" s="248"/>
      <c r="G23" s="248"/>
      <c r="H23" s="248"/>
      <c r="I23" s="249"/>
    </row>
    <row r="24" spans="1:9" ht="30" customHeight="1" x14ac:dyDescent="0.3">
      <c r="A24" s="75" t="s">
        <v>6427</v>
      </c>
      <c r="B24" s="54" t="s">
        <v>6428</v>
      </c>
      <c r="C24" s="24" t="s">
        <v>6335</v>
      </c>
      <c r="D24" s="45" t="s">
        <v>6398</v>
      </c>
      <c r="E24" s="246" t="s">
        <v>6429</v>
      </c>
      <c r="F24" s="241"/>
      <c r="G24" s="241"/>
      <c r="H24" s="241"/>
      <c r="I24" s="242"/>
    </row>
    <row r="25" spans="1:9" ht="30" customHeight="1" x14ac:dyDescent="0.3">
      <c r="A25" s="75" t="s">
        <v>6430</v>
      </c>
      <c r="B25" s="76" t="s">
        <v>6397</v>
      </c>
      <c r="C25" s="24" t="s">
        <v>6335</v>
      </c>
      <c r="D25" s="45" t="s">
        <v>6398</v>
      </c>
      <c r="E25" s="246" t="s">
        <v>6431</v>
      </c>
      <c r="F25" s="241"/>
      <c r="G25" s="241"/>
      <c r="H25" s="241"/>
      <c r="I25" s="242"/>
    </row>
    <row r="26" spans="1:9" ht="30" customHeight="1" x14ac:dyDescent="0.3">
      <c r="A26" s="75" t="s">
        <v>6432</v>
      </c>
      <c r="B26" s="76" t="s">
        <v>6433</v>
      </c>
      <c r="C26" s="24" t="s">
        <v>6335</v>
      </c>
      <c r="D26" s="45" t="s">
        <v>6398</v>
      </c>
      <c r="E26" s="246" t="s">
        <v>6434</v>
      </c>
      <c r="F26" s="241"/>
      <c r="G26" s="241"/>
      <c r="H26" s="241"/>
      <c r="I26" s="242"/>
    </row>
    <row r="27" spans="1:9" ht="30" customHeight="1" x14ac:dyDescent="0.3">
      <c r="A27" s="75" t="s">
        <v>6435</v>
      </c>
      <c r="B27" s="54" t="s">
        <v>6436</v>
      </c>
      <c r="C27" s="24" t="s">
        <v>6335</v>
      </c>
      <c r="D27" s="45" t="s">
        <v>6398</v>
      </c>
      <c r="E27" s="246" t="s">
        <v>6437</v>
      </c>
      <c r="F27" s="241"/>
      <c r="G27" s="241"/>
      <c r="H27" s="241"/>
      <c r="I27" s="242"/>
    </row>
    <row r="28" spans="1:9" ht="30" customHeight="1" x14ac:dyDescent="0.3">
      <c r="A28" s="75" t="s">
        <v>6438</v>
      </c>
      <c r="B28" s="83">
        <v>0</v>
      </c>
      <c r="C28" s="24" t="s">
        <v>6439</v>
      </c>
      <c r="D28" s="45" t="s">
        <v>6398</v>
      </c>
      <c r="E28" s="246" t="s">
        <v>6440</v>
      </c>
      <c r="F28" s="241"/>
      <c r="G28" s="241"/>
      <c r="H28" s="241"/>
      <c r="I28" s="242"/>
    </row>
    <row r="29" spans="1:9" ht="30" customHeight="1" x14ac:dyDescent="0.3">
      <c r="A29" s="75" t="s">
        <v>6441</v>
      </c>
      <c r="B29" s="84"/>
      <c r="C29" s="24" t="s">
        <v>6335</v>
      </c>
      <c r="D29" s="74" t="s">
        <v>6442</v>
      </c>
      <c r="E29" s="246" t="s">
        <v>6443</v>
      </c>
      <c r="F29" s="241"/>
      <c r="G29" s="241"/>
      <c r="H29" s="241"/>
      <c r="I29" s="242"/>
    </row>
    <row r="30" spans="1:9" ht="40.049999999999997" customHeight="1" x14ac:dyDescent="0.35">
      <c r="A30" s="14" t="s">
        <v>6444</v>
      </c>
      <c r="B30" s="255" t="str">
        <f>IF(B29&lt;&gt;"", B29, "Carriage of " &amp; B25 &amp; " by mechanical transport " &amp; B26 &amp; " for lead upto " &amp; TEXT(B34, "0.00") &amp; " km " &amp; B27 &amp; IF(B28&gt;0, ", including municipal tipping / gate fee of Rs " &amp; TEXT(B28, "0.00") &amp; " per " &amp; B55, "") &amp; ", complete as per directions of Engineer-in-charge.")</f>
        <v>Carriage of R.C.C. / C.I. / steel pipes 1000, 1100 &amp; 1200 mm dia by mechanical transport including loading, transporting, unloading and stacking for lead upto 26.00 km for all lifts, complete as per directions of Engineer-in-charge.</v>
      </c>
      <c r="C30" s="241"/>
      <c r="D30" s="241"/>
      <c r="E30" s="241"/>
      <c r="F30" s="241"/>
      <c r="G30" s="241"/>
      <c r="H30" s="241"/>
      <c r="I30" s="242"/>
    </row>
    <row r="31" spans="1:9" ht="7.95" customHeight="1" x14ac:dyDescent="0.3"/>
    <row r="32" spans="1:9" ht="24" customHeight="1" x14ac:dyDescent="0.3">
      <c r="A32" s="239" t="s">
        <v>6445</v>
      </c>
      <c r="B32" s="228"/>
      <c r="C32" s="228"/>
      <c r="D32" s="228"/>
      <c r="E32" s="228"/>
      <c r="F32" s="228"/>
      <c r="G32" s="228"/>
      <c r="H32" s="228"/>
      <c r="I32" s="228"/>
    </row>
    <row r="33" spans="1:9" ht="25.95" customHeight="1" x14ac:dyDescent="0.3">
      <c r="A33" s="153" t="s">
        <v>6392</v>
      </c>
      <c r="B33" s="153" t="s">
        <v>6393</v>
      </c>
      <c r="C33" s="153" t="s">
        <v>6</v>
      </c>
      <c r="D33" s="153" t="s">
        <v>6394</v>
      </c>
      <c r="E33" s="247" t="s">
        <v>6395</v>
      </c>
      <c r="F33" s="248"/>
      <c r="G33" s="248"/>
      <c r="H33" s="248"/>
      <c r="I33" s="249"/>
    </row>
    <row r="34" spans="1:9" ht="30" customHeight="1" x14ac:dyDescent="0.3">
      <c r="A34" s="75" t="s">
        <v>6446</v>
      </c>
      <c r="B34" s="77">
        <v>26</v>
      </c>
      <c r="C34" s="24" t="s">
        <v>6401</v>
      </c>
      <c r="D34" s="45" t="s">
        <v>6398</v>
      </c>
      <c r="E34" s="246" t="s">
        <v>6447</v>
      </c>
      <c r="F34" s="241"/>
      <c r="G34" s="241"/>
      <c r="H34" s="241"/>
      <c r="I34" s="242"/>
    </row>
    <row r="35" spans="1:9" ht="30" customHeight="1" x14ac:dyDescent="0.3">
      <c r="A35" s="75" t="s">
        <v>6448</v>
      </c>
      <c r="B35" s="85">
        <f>IFERROR(INDEX($B$146:$B$175, MATCH(B34, $A$146:$A$175, 1)), 16)</f>
        <v>29</v>
      </c>
      <c r="C35" s="24" t="s">
        <v>6449</v>
      </c>
      <c r="D35" s="29" t="s">
        <v>6408</v>
      </c>
      <c r="E35" s="246" t="s">
        <v>6450</v>
      </c>
      <c r="F35" s="241"/>
      <c r="G35" s="241"/>
      <c r="H35" s="241"/>
      <c r="I35" s="242"/>
    </row>
    <row r="36" spans="1:9" ht="30" customHeight="1" x14ac:dyDescent="0.3">
      <c r="A36" s="75" t="s">
        <v>6451</v>
      </c>
      <c r="B36" s="86"/>
      <c r="C36" s="24" t="s">
        <v>6449</v>
      </c>
      <c r="D36" s="74" t="s">
        <v>6442</v>
      </c>
      <c r="E36" s="246" t="s">
        <v>6452</v>
      </c>
      <c r="F36" s="241"/>
      <c r="G36" s="241"/>
      <c r="H36" s="241"/>
      <c r="I36" s="242"/>
    </row>
    <row r="37" spans="1:9" ht="30" customHeight="1" x14ac:dyDescent="0.3">
      <c r="A37" s="75" t="s">
        <v>6453</v>
      </c>
      <c r="B37" s="87">
        <f>IF(B36&lt;&gt;"", B36, B35)</f>
        <v>29</v>
      </c>
      <c r="C37" s="24" t="s">
        <v>6449</v>
      </c>
      <c r="D37" s="5" t="s">
        <v>6405</v>
      </c>
      <c r="E37" s="246" t="s">
        <v>6454</v>
      </c>
      <c r="F37" s="241"/>
      <c r="G37" s="241"/>
      <c r="H37" s="241"/>
      <c r="I37" s="242"/>
    </row>
    <row r="38" spans="1:9" ht="30" customHeight="1" x14ac:dyDescent="0.3">
      <c r="A38" s="75" t="s">
        <v>6455</v>
      </c>
      <c r="B38" s="77">
        <v>1</v>
      </c>
      <c r="C38" s="24" t="s">
        <v>6456</v>
      </c>
      <c r="D38" s="45" t="s">
        <v>6398</v>
      </c>
      <c r="E38" s="246" t="s">
        <v>6457</v>
      </c>
      <c r="F38" s="241"/>
      <c r="G38" s="241"/>
      <c r="H38" s="241"/>
      <c r="I38" s="242"/>
    </row>
    <row r="39" spans="1:9" ht="30" customHeight="1" x14ac:dyDescent="0.3">
      <c r="A39" s="75" t="s">
        <v>6458</v>
      </c>
      <c r="B39" s="54" t="s">
        <v>6459</v>
      </c>
      <c r="C39" s="24" t="s">
        <v>6335</v>
      </c>
      <c r="D39" s="45" t="s">
        <v>6398</v>
      </c>
      <c r="E39" s="246" t="s">
        <v>6460</v>
      </c>
      <c r="F39" s="241"/>
      <c r="G39" s="241"/>
      <c r="H39" s="241"/>
      <c r="I39" s="242"/>
    </row>
    <row r="40" spans="1:9" ht="30" customHeight="1" x14ac:dyDescent="0.3">
      <c r="A40" s="75" t="s">
        <v>6461</v>
      </c>
      <c r="B40" s="76" t="s">
        <v>6462</v>
      </c>
      <c r="C40" s="24" t="s">
        <v>6335</v>
      </c>
      <c r="D40" s="45" t="s">
        <v>6398</v>
      </c>
      <c r="E40" s="246" t="s">
        <v>6463</v>
      </c>
      <c r="F40" s="241"/>
      <c r="G40" s="241"/>
      <c r="H40" s="241"/>
      <c r="I40" s="242"/>
    </row>
    <row r="41" spans="1:9" ht="30" customHeight="1" x14ac:dyDescent="0.3">
      <c r="A41" s="75" t="s">
        <v>6464</v>
      </c>
      <c r="B41" s="88"/>
      <c r="C41" s="24" t="s">
        <v>6465</v>
      </c>
      <c r="D41" s="74" t="s">
        <v>6442</v>
      </c>
      <c r="E41" s="246" t="s">
        <v>6466</v>
      </c>
      <c r="F41" s="241"/>
      <c r="G41" s="241"/>
      <c r="H41" s="241"/>
      <c r="I41" s="242"/>
    </row>
    <row r="42" spans="1:9" ht="30" customHeight="1" x14ac:dyDescent="0.3">
      <c r="A42" s="75" t="s">
        <v>6467</v>
      </c>
      <c r="B42" s="80">
        <f>IF(B41&lt;&gt;"", B41, IF(B40="WHOLE TRIPS (round down to integer)", IFERROR(INT(8 / ((2 * B34 / B37) + B38)), 0), IFERROR(ROUND(8 / ((2 * B34 / B37) + B38), 2), 0)))</f>
        <v>2.86</v>
      </c>
      <c r="C42" s="24" t="s">
        <v>6465</v>
      </c>
      <c r="D42" s="5" t="s">
        <v>6405</v>
      </c>
      <c r="E42" s="246" t="s">
        <v>6468</v>
      </c>
      <c r="F42" s="241"/>
      <c r="G42" s="241"/>
      <c r="H42" s="241"/>
      <c r="I42" s="242"/>
    </row>
    <row r="43" spans="1:9" ht="30" customHeight="1" x14ac:dyDescent="0.3">
      <c r="A43" s="75" t="s">
        <v>6469</v>
      </c>
      <c r="B43" s="54" t="s">
        <v>6470</v>
      </c>
      <c r="C43" s="24" t="s">
        <v>6335</v>
      </c>
      <c r="D43" s="45" t="s">
        <v>6398</v>
      </c>
      <c r="E43" s="246" t="s">
        <v>6471</v>
      </c>
      <c r="F43" s="241"/>
      <c r="G43" s="241"/>
      <c r="H43" s="241"/>
      <c r="I43" s="242"/>
    </row>
    <row r="44" spans="1:9" ht="30" customHeight="1" x14ac:dyDescent="0.3">
      <c r="A44" s="75" t="s">
        <v>6472</v>
      </c>
      <c r="B44" s="80">
        <f>IF(B43="CPWD PRO-RATA (Data Sheet 1)", IFERROR(ROUND(INDEX($D$146:$D$175, MATCH(B34, $A$146:$A$175, 1)) * (B42 / INDEX($C$146:$C$175, MATCH(B34, $A$146:$A$175, 1))), 2), 0), IFERROR(ROUND((2 * B42 * B34) + 6, 2), 0))</f>
        <v>154.72</v>
      </c>
      <c r="C44" s="24" t="s">
        <v>6401</v>
      </c>
      <c r="D44" s="5" t="s">
        <v>6405</v>
      </c>
      <c r="E44" s="246" t="s">
        <v>6473</v>
      </c>
      <c r="F44" s="241"/>
      <c r="G44" s="241"/>
      <c r="H44" s="241"/>
      <c r="I44" s="242"/>
    </row>
    <row r="45" spans="1:9" ht="30" customHeight="1" x14ac:dyDescent="0.3">
      <c r="A45" s="75" t="s">
        <v>6474</v>
      </c>
      <c r="B45" s="80">
        <f>ROUND(B44 / 5, 2)</f>
        <v>30.94</v>
      </c>
      <c r="C45" s="24" t="s">
        <v>6475</v>
      </c>
      <c r="D45" s="5" t="s">
        <v>6405</v>
      </c>
      <c r="E45" s="246" t="s">
        <v>6476</v>
      </c>
      <c r="F45" s="241"/>
      <c r="G45" s="241"/>
      <c r="H45" s="241"/>
      <c r="I45" s="242"/>
    </row>
    <row r="46" spans="1:9" ht="30" customHeight="1" x14ac:dyDescent="0.3">
      <c r="A46" s="75" t="s">
        <v>6477</v>
      </c>
      <c r="B46" s="89">
        <f>ROUND(B44 / 140, 3)</f>
        <v>1.105</v>
      </c>
      <c r="C46" s="24" t="s">
        <v>6475</v>
      </c>
      <c r="D46" s="5" t="s">
        <v>6405</v>
      </c>
      <c r="E46" s="246" t="s">
        <v>6478</v>
      </c>
      <c r="F46" s="241"/>
      <c r="G46" s="241"/>
      <c r="H46" s="241"/>
      <c r="I46" s="242"/>
    </row>
    <row r="47" spans="1:9" ht="7.95" customHeight="1" x14ac:dyDescent="0.3"/>
    <row r="48" spans="1:9" ht="24" customHeight="1" x14ac:dyDescent="0.3">
      <c r="A48" s="239" t="s">
        <v>6479</v>
      </c>
      <c r="B48" s="228"/>
      <c r="C48" s="228"/>
      <c r="D48" s="228"/>
      <c r="E48" s="228"/>
      <c r="F48" s="228"/>
      <c r="G48" s="228"/>
      <c r="H48" s="228"/>
      <c r="I48" s="228"/>
    </row>
    <row r="49" spans="1:9" ht="25.95" customHeight="1" x14ac:dyDescent="0.3">
      <c r="A49" s="153" t="s">
        <v>6392</v>
      </c>
      <c r="B49" s="153" t="s">
        <v>6393</v>
      </c>
      <c r="C49" s="153" t="s">
        <v>6</v>
      </c>
      <c r="D49" s="153" t="s">
        <v>6394</v>
      </c>
      <c r="E49" s="247" t="s">
        <v>6395</v>
      </c>
      <c r="F49" s="248"/>
      <c r="G49" s="248"/>
      <c r="H49" s="248"/>
      <c r="I49" s="249"/>
    </row>
    <row r="50" spans="1:9" ht="30" customHeight="1" x14ac:dyDescent="0.3">
      <c r="A50" s="75" t="s">
        <v>6480</v>
      </c>
      <c r="B50" s="78">
        <f>IFERROR(MATCH(B25, $B$180:$B$216, 0), "")</f>
        <v>37</v>
      </c>
      <c r="C50" s="24" t="s">
        <v>6481</v>
      </c>
      <c r="D50" s="5" t="s">
        <v>6405</v>
      </c>
      <c r="E50" s="246" t="s">
        <v>6482</v>
      </c>
      <c r="F50" s="241"/>
      <c r="G50" s="241"/>
      <c r="H50" s="241"/>
      <c r="I50" s="242"/>
    </row>
    <row r="51" spans="1:9" ht="30" customHeight="1" x14ac:dyDescent="0.3">
      <c r="A51" s="75" t="s">
        <v>6483</v>
      </c>
      <c r="B51" s="90">
        <f>IFERROR(INDEX($C$180:$C$216, B50), "")</f>
        <v>10.98</v>
      </c>
      <c r="C51" s="24" t="s">
        <v>6484</v>
      </c>
      <c r="D51" s="29" t="s">
        <v>6408</v>
      </c>
      <c r="E51" s="246" t="s">
        <v>6485</v>
      </c>
      <c r="F51" s="241"/>
      <c r="G51" s="241"/>
      <c r="H51" s="241"/>
      <c r="I51" s="242"/>
    </row>
    <row r="52" spans="1:9" ht="30" customHeight="1" x14ac:dyDescent="0.3">
      <c r="A52" s="75" t="s">
        <v>6486</v>
      </c>
      <c r="B52" s="90">
        <f>IFERROR(INDEX($D$180:$D$216, B50), "")</f>
        <v>10.98</v>
      </c>
      <c r="C52" s="24" t="s">
        <v>6484</v>
      </c>
      <c r="D52" s="29" t="s">
        <v>6408</v>
      </c>
      <c r="E52" s="246" t="s">
        <v>6487</v>
      </c>
      <c r="F52" s="241"/>
      <c r="G52" s="241"/>
      <c r="H52" s="241"/>
      <c r="I52" s="242"/>
    </row>
    <row r="53" spans="1:9" ht="30" customHeight="1" x14ac:dyDescent="0.3">
      <c r="A53" s="75" t="s">
        <v>6488</v>
      </c>
      <c r="B53" s="88"/>
      <c r="C53" s="24" t="s">
        <v>6484</v>
      </c>
      <c r="D53" s="74" t="s">
        <v>6442</v>
      </c>
      <c r="E53" s="246" t="s">
        <v>6489</v>
      </c>
      <c r="F53" s="241"/>
      <c r="G53" s="241"/>
      <c r="H53" s="241"/>
      <c r="I53" s="242"/>
    </row>
    <row r="54" spans="1:9" ht="30" customHeight="1" x14ac:dyDescent="0.3">
      <c r="A54" s="75" t="s">
        <v>6490</v>
      </c>
      <c r="B54" s="80">
        <f>IF(B53&lt;&gt;"", B53, IF(B52="", 0, B52))</f>
        <v>10.98</v>
      </c>
      <c r="C54" s="24" t="s">
        <v>6484</v>
      </c>
      <c r="D54" s="5" t="s">
        <v>6405</v>
      </c>
      <c r="E54" s="246" t="s">
        <v>6491</v>
      </c>
      <c r="F54" s="241"/>
      <c r="G54" s="241"/>
      <c r="H54" s="241"/>
      <c r="I54" s="242"/>
    </row>
    <row r="55" spans="1:9" ht="30" customHeight="1" x14ac:dyDescent="0.3">
      <c r="A55" s="75" t="s">
        <v>6492</v>
      </c>
      <c r="B55" s="29" t="str">
        <f>IFERROR(INDEX($E$180:$E$216, B50), "cum")</f>
        <v>100 m</v>
      </c>
      <c r="C55" s="24" t="s">
        <v>6335</v>
      </c>
      <c r="D55" s="29" t="s">
        <v>6408</v>
      </c>
      <c r="E55" s="246" t="s">
        <v>6493</v>
      </c>
      <c r="F55" s="241"/>
      <c r="G55" s="241"/>
      <c r="H55" s="241"/>
      <c r="I55" s="242"/>
    </row>
    <row r="56" spans="1:9" ht="30" customHeight="1" x14ac:dyDescent="0.3">
      <c r="A56" s="75" t="s">
        <v>6494</v>
      </c>
      <c r="B56" s="78">
        <f>IF(B55="1000 Nos", 1000, IF(B55="100 m", 100, 1))</f>
        <v>100</v>
      </c>
      <c r="C56" s="24" t="s">
        <v>6495</v>
      </c>
      <c r="D56" s="5" t="s">
        <v>6405</v>
      </c>
      <c r="E56" s="246" t="s">
        <v>6496</v>
      </c>
      <c r="F56" s="241"/>
      <c r="G56" s="241"/>
      <c r="H56" s="241"/>
      <c r="I56" s="242"/>
    </row>
    <row r="57" spans="1:9" ht="30" customHeight="1" x14ac:dyDescent="0.3">
      <c r="A57" s="75" t="s">
        <v>6497</v>
      </c>
      <c r="B57" s="91">
        <f>ROUND(B42 * B54, 4)</f>
        <v>31.402799999999999</v>
      </c>
      <c r="C57" s="24" t="s">
        <v>6484</v>
      </c>
      <c r="D57" s="26" t="s">
        <v>6498</v>
      </c>
      <c r="E57" s="246" t="s">
        <v>6499</v>
      </c>
      <c r="F57" s="241"/>
      <c r="G57" s="241"/>
      <c r="H57" s="241"/>
      <c r="I57" s="242"/>
    </row>
    <row r="58" spans="1:9" ht="7.95" customHeight="1" x14ac:dyDescent="0.3"/>
    <row r="59" spans="1:9" ht="22.05" customHeight="1" x14ac:dyDescent="0.3">
      <c r="A59" s="92" t="s">
        <v>6500</v>
      </c>
      <c r="B59" s="93" t="str">
        <f>IF(AND(D59="OK", F59="OK", H59="OK"), "[PASS] ALL CHECKS OK", "[ALERT] CHECKS FAILED")</f>
        <v>[PASS] ALL CHECKS OK</v>
      </c>
      <c r="C59" s="94" t="s">
        <v>6501</v>
      </c>
      <c r="D59" s="48" t="str">
        <f>IF(B42&gt;0, "OK", "ERR: N&lt;=0")</f>
        <v>OK</v>
      </c>
      <c r="E59" s="94" t="s">
        <v>6502</v>
      </c>
      <c r="F59" s="48" t="str">
        <f>IF(B57&gt;0, "OK", "ERR: no payable qty - pick a Table 1.1 material or set the override")</f>
        <v>OK</v>
      </c>
      <c r="G59" s="94" t="s">
        <v>6503</v>
      </c>
      <c r="H59" s="48" t="str">
        <f>IF(G71&gt;0, "OK", "ERR: W&lt;=0")</f>
        <v>OK</v>
      </c>
      <c r="I59" s="48" t="str">
        <f>IF(NOT(AND(ISNUMBER(G90), G90&gt;0)), "ERR: rate not resolved", IF(G89="", "n/a - custom material", IF(ABS(G89)&lt;0.05, "matches book exactly", IF(ABS(G89)/G88&lt;=0.02, "within book band tolerance", "CHECK: over 2% from book"))))</f>
        <v>within book band tolerance</v>
      </c>
    </row>
    <row r="60" spans="1:9" ht="7.95" customHeight="1" x14ac:dyDescent="0.3"/>
    <row r="61" spans="1:9" ht="24" customHeight="1" x14ac:dyDescent="0.3">
      <c r="A61" s="239" t="s">
        <v>6504</v>
      </c>
      <c r="B61" s="228"/>
      <c r="C61" s="228"/>
      <c r="D61" s="228"/>
      <c r="E61" s="228"/>
      <c r="F61" s="228"/>
      <c r="G61" s="228"/>
      <c r="H61" s="228"/>
      <c r="I61" s="228"/>
    </row>
    <row r="62" spans="1:9" ht="24" customHeight="1" x14ac:dyDescent="0.3">
      <c r="A62" s="153" t="s">
        <v>6313</v>
      </c>
      <c r="B62" s="153" t="s">
        <v>6314</v>
      </c>
      <c r="C62" s="153" t="s">
        <v>6505</v>
      </c>
      <c r="D62" s="153" t="s">
        <v>6</v>
      </c>
      <c r="E62" s="153" t="s">
        <v>6315</v>
      </c>
      <c r="F62" s="153" t="s">
        <v>7</v>
      </c>
      <c r="G62" s="153" t="s">
        <v>6316</v>
      </c>
      <c r="H62" s="153" t="s">
        <v>6506</v>
      </c>
      <c r="I62" s="153" t="s">
        <v>6394</v>
      </c>
    </row>
    <row r="63" spans="1:9" ht="25.95" customHeight="1" x14ac:dyDescent="0.3">
      <c r="A63" s="16">
        <v>1</v>
      </c>
      <c r="B63" s="54" t="s">
        <v>172</v>
      </c>
      <c r="C63" s="55" t="str">
        <f>IF(B63="","", IFERROR(INDEX(Rates_Master!$C:$C, MATCH(B63, Rates_Master!$A:$A, 0)), "Code not in Rates_Master"))</f>
        <v>Hire charges of diesel truck - 9 tonne (without POL)</v>
      </c>
      <c r="D63" s="56" t="str">
        <f>IF(B63="","", IFERROR(INDEX(Rates_Master!$D:$D, MATCH(B63, Rates_Master!$A:$A, 0)), ""))</f>
        <v>day</v>
      </c>
      <c r="E63" s="95">
        <v>1</v>
      </c>
      <c r="F63" s="58">
        <f>IF(B63="","", IFERROR(INDEX(Rates_Master!$E:$E, MATCH(B63, Rates_Master!$A:$A, 0)), 0))</f>
        <v>1500</v>
      </c>
      <c r="G63" s="51">
        <f t="shared" ref="G63:G70" si="0">IF(OR(B63="", E63=""), 0, ROUND(E63 * F63, 2))</f>
        <v>1500</v>
      </c>
      <c r="H63" s="152" t="s">
        <v>6507</v>
      </c>
      <c r="I63" s="96" t="s">
        <v>6398</v>
      </c>
    </row>
    <row r="64" spans="1:9" ht="25.95" customHeight="1" x14ac:dyDescent="0.3">
      <c r="A64" s="16">
        <v>2</v>
      </c>
      <c r="B64" s="54" t="s">
        <v>209</v>
      </c>
      <c r="C64" s="55" t="str">
        <f>IF(B64="","", IFERROR(INDEX(Rates_Master!$C:$C, MATCH(B64, Rates_Master!$A:$A, 0)), "Code not in Rates_Master"))</f>
        <v>Beldar</v>
      </c>
      <c r="D64" s="56" t="str">
        <f>IF(B64="","", IFERROR(INDEX(Rates_Master!$D:$D, MATCH(B64, Rates_Master!$A:$A, 0)), ""))</f>
        <v>day</v>
      </c>
      <c r="E64" s="97">
        <f>IF(ISNUMBER(SEARCH("transporting only", B26)), 0, IF(ISNUMBER(SEARCH("machine loaded", B26)), 3, IF(ISNUMBER(SEARCH("excluding loading", B26)), 3, IF(ISNUMBER(SEARCH("railway siding", B26)), 3.75, IF(ISNUMBER(SEARCH("excluding stacking", B26)), 5, 6)))))</f>
        <v>6</v>
      </c>
      <c r="F64" s="58">
        <f>IF(B64="","", IFERROR(INDEX(Rates_Master!$E:$E, MATCH(B64, Rates_Master!$A:$A, 0)), 0))</f>
        <v>558</v>
      </c>
      <c r="G64" s="51">
        <f t="shared" si="0"/>
        <v>3348</v>
      </c>
      <c r="H64" s="152" t="s">
        <v>6508</v>
      </c>
      <c r="I64" s="98" t="s">
        <v>6405</v>
      </c>
    </row>
    <row r="65" spans="1:9" ht="25.95" customHeight="1" x14ac:dyDescent="0.3">
      <c r="A65" s="16">
        <v>3</v>
      </c>
      <c r="B65" s="54" t="s">
        <v>1110</v>
      </c>
      <c r="C65" s="55" t="str">
        <f>IF(B65="","", IFERROR(INDEX(Rates_Master!$C:$C, MATCH(B65, Rates_Master!$A:$A, 0)), "Code not in Rates_Master"))</f>
        <v>Diesel</v>
      </c>
      <c r="D65" s="56" t="str">
        <f>IF(B65="","", IFERROR(INDEX(Rates_Master!$D:$D, MATCH(B65, Rates_Master!$A:$A, 0)), ""))</f>
        <v>litre</v>
      </c>
      <c r="E65" s="97">
        <f>B45</f>
        <v>30.94</v>
      </c>
      <c r="F65" s="58">
        <f>IF(B65="","", IFERROR(INDEX(Rates_Master!$E:$E, MATCH(B65, Rates_Master!$A:$A, 0)), 0))</f>
        <v>73.5</v>
      </c>
      <c r="G65" s="51">
        <f t="shared" si="0"/>
        <v>2274.09</v>
      </c>
      <c r="H65" s="152" t="s">
        <v>6509</v>
      </c>
      <c r="I65" s="98" t="s">
        <v>6405</v>
      </c>
    </row>
    <row r="66" spans="1:9" ht="25.95" customHeight="1" x14ac:dyDescent="0.3">
      <c r="A66" s="16">
        <v>4</v>
      </c>
      <c r="B66" s="54" t="s">
        <v>2191</v>
      </c>
      <c r="C66" s="55" t="str">
        <f>IF(B66="","", IFERROR(INDEX(Rates_Master!$C:$C, MATCH(B66, Rates_Master!$A:$A, 0)), "Code not in Rates_Master"))</f>
        <v>Mobil oil</v>
      </c>
      <c r="D66" s="56" t="str">
        <f>IF(B66="","", IFERROR(INDEX(Rates_Master!$D:$D, MATCH(B66, Rates_Master!$A:$A, 0)), ""))</f>
        <v>litre</v>
      </c>
      <c r="E66" s="97">
        <f>B46</f>
        <v>1.105</v>
      </c>
      <c r="F66" s="58">
        <f>IF(B66="","", IFERROR(INDEX(Rates_Master!$E:$E, MATCH(B66, Rates_Master!$A:$A, 0)), 0))</f>
        <v>315</v>
      </c>
      <c r="G66" s="51">
        <f t="shared" si="0"/>
        <v>348.08</v>
      </c>
      <c r="H66" s="152" t="s">
        <v>6510</v>
      </c>
      <c r="I66" s="98" t="s">
        <v>6405</v>
      </c>
    </row>
    <row r="67" spans="1:9" ht="25.95" customHeight="1" x14ac:dyDescent="0.3">
      <c r="A67" s="16">
        <v>5</v>
      </c>
      <c r="B67" s="54"/>
      <c r="C67" s="55" t="str">
        <f>IF(B67="","", IFERROR(INDEX(Rates_Master!$C:$C, MATCH(B67, Rates_Master!$A:$A, 0)), "Code not in Rates_Master"))</f>
        <v/>
      </c>
      <c r="D67" s="56" t="str">
        <f>IF(B67="","", IFERROR(INDEX(Rates_Master!$D:$D, MATCH(B67, Rates_Master!$A:$A, 0)), ""))</f>
        <v/>
      </c>
      <c r="E67" s="95"/>
      <c r="F67" s="58" t="str">
        <f>IF(B67="","", IFERROR(INDEX(Rates_Master!$E:$E, MATCH(B67, Rates_Master!$A:$A, 0)), 0))</f>
        <v/>
      </c>
      <c r="G67" s="51">
        <f t="shared" si="0"/>
        <v>0</v>
      </c>
      <c r="H67" s="152"/>
      <c r="I67" s="96" t="s">
        <v>6398</v>
      </c>
    </row>
    <row r="68" spans="1:9" ht="25.95" customHeight="1" x14ac:dyDescent="0.3">
      <c r="A68" s="16">
        <v>6</v>
      </c>
      <c r="B68" s="54"/>
      <c r="C68" s="55" t="str">
        <f>IF(B68="","", IFERROR(INDEX(Rates_Master!$C:$C, MATCH(B68, Rates_Master!$A:$A, 0)), "Code not in Rates_Master"))</f>
        <v/>
      </c>
      <c r="D68" s="56" t="str">
        <f>IF(B68="","", IFERROR(INDEX(Rates_Master!$D:$D, MATCH(B68, Rates_Master!$A:$A, 0)), ""))</f>
        <v/>
      </c>
      <c r="E68" s="95"/>
      <c r="F68" s="58" t="str">
        <f>IF(B68="","", IFERROR(INDEX(Rates_Master!$E:$E, MATCH(B68, Rates_Master!$A:$A, 0)), 0))</f>
        <v/>
      </c>
      <c r="G68" s="51">
        <f t="shared" si="0"/>
        <v>0</v>
      </c>
      <c r="H68" s="152"/>
      <c r="I68" s="96" t="s">
        <v>6398</v>
      </c>
    </row>
    <row r="69" spans="1:9" ht="25.95" customHeight="1" x14ac:dyDescent="0.3">
      <c r="A69" s="16">
        <v>7</v>
      </c>
      <c r="B69" s="54"/>
      <c r="C69" s="55" t="str">
        <f>IF(B69="","", IFERROR(INDEX(Rates_Master!$C:$C, MATCH(B69, Rates_Master!$A:$A, 0)), "Code not in Rates_Master"))</f>
        <v/>
      </c>
      <c r="D69" s="56" t="str">
        <f>IF(B69="","", IFERROR(INDEX(Rates_Master!$D:$D, MATCH(B69, Rates_Master!$A:$A, 0)), ""))</f>
        <v/>
      </c>
      <c r="E69" s="95"/>
      <c r="F69" s="58" t="str">
        <f>IF(B69="","", IFERROR(INDEX(Rates_Master!$E:$E, MATCH(B69, Rates_Master!$A:$A, 0)), 0))</f>
        <v/>
      </c>
      <c r="G69" s="51">
        <f t="shared" si="0"/>
        <v>0</v>
      </c>
      <c r="H69" s="152"/>
      <c r="I69" s="96" t="s">
        <v>6398</v>
      </c>
    </row>
    <row r="70" spans="1:9" ht="25.95" customHeight="1" x14ac:dyDescent="0.3">
      <c r="A70" s="16">
        <v>8</v>
      </c>
      <c r="B70" s="54"/>
      <c r="C70" s="55" t="str">
        <f>IF(B70="","", IFERROR(INDEX(Rates_Master!$C:$C, MATCH(B70, Rates_Master!$A:$A, 0)), "Code not in Rates_Master"))</f>
        <v/>
      </c>
      <c r="D70" s="56" t="str">
        <f>IF(B70="","", IFERROR(INDEX(Rates_Master!$D:$D, MATCH(B70, Rates_Master!$A:$A, 0)), ""))</f>
        <v/>
      </c>
      <c r="E70" s="95"/>
      <c r="F70" s="58" t="str">
        <f>IF(B70="","", IFERROR(INDEX(Rates_Master!$E:$E, MATCH(B70, Rates_Master!$A:$A, 0)), 0))</f>
        <v/>
      </c>
      <c r="G70" s="51">
        <f t="shared" si="0"/>
        <v>0</v>
      </c>
      <c r="H70" s="152"/>
      <c r="I70" s="96" t="s">
        <v>6398</v>
      </c>
    </row>
    <row r="71" spans="1:9" ht="24" customHeight="1" x14ac:dyDescent="0.3">
      <c r="A71" s="252" t="s">
        <v>6511</v>
      </c>
      <c r="B71" s="253"/>
      <c r="C71" s="253"/>
      <c r="D71" s="253"/>
      <c r="E71" s="253"/>
      <c r="F71" s="254"/>
      <c r="G71" s="100">
        <f>SUM(G63:G70)</f>
        <v>7470.17</v>
      </c>
      <c r="H71" s="101" t="s">
        <v>6512</v>
      </c>
      <c r="I71" s="99"/>
    </row>
    <row r="72" spans="1:9" ht="22.05" customHeight="1" x14ac:dyDescent="0.3">
      <c r="A72" s="250" t="s">
        <v>6513</v>
      </c>
      <c r="B72" s="241"/>
      <c r="C72" s="241"/>
      <c r="D72" s="241"/>
      <c r="E72" s="241"/>
      <c r="F72" s="242"/>
      <c r="G72" s="65">
        <f>IFERROR(ROUND(G71 / B42, 2), 0)</f>
        <v>2611.9499999999998</v>
      </c>
      <c r="H72" s="60" t="s">
        <v>6514</v>
      </c>
      <c r="I72" s="53"/>
    </row>
    <row r="73" spans="1:9" ht="7.95" customHeight="1" x14ac:dyDescent="0.3"/>
    <row r="74" spans="1:9" ht="24" customHeight="1" x14ac:dyDescent="0.3">
      <c r="A74" s="239" t="s">
        <v>6515</v>
      </c>
      <c r="B74" s="228"/>
      <c r="C74" s="228"/>
      <c r="D74" s="228"/>
      <c r="E74" s="228"/>
      <c r="F74" s="228"/>
      <c r="G74" s="228"/>
      <c r="H74" s="228"/>
      <c r="I74" s="228"/>
    </row>
    <row r="75" spans="1:9" ht="24" customHeight="1" x14ac:dyDescent="0.3">
      <c r="A75" s="153" t="s">
        <v>6516</v>
      </c>
      <c r="B75" s="153" t="s">
        <v>6517</v>
      </c>
      <c r="C75" s="153" t="s">
        <v>6518</v>
      </c>
      <c r="D75" s="153" t="s">
        <v>6519</v>
      </c>
      <c r="E75" s="153" t="s">
        <v>6520</v>
      </c>
      <c r="F75" s="153" t="s">
        <v>6521</v>
      </c>
      <c r="G75" s="153" t="s">
        <v>6316</v>
      </c>
      <c r="H75" s="153" t="s">
        <v>6522</v>
      </c>
      <c r="I75" s="153" t="s">
        <v>6394</v>
      </c>
    </row>
    <row r="76" spans="1:9" ht="25.95" customHeight="1" x14ac:dyDescent="0.3">
      <c r="A76" s="1" t="s">
        <v>6523</v>
      </c>
      <c r="B76" s="67" t="s">
        <v>6524</v>
      </c>
      <c r="C76" s="66" t="s">
        <v>6335</v>
      </c>
      <c r="D76" s="66" t="s">
        <v>6525</v>
      </c>
      <c r="E76" s="102" t="s">
        <v>6335</v>
      </c>
      <c r="F76" s="102" t="s">
        <v>6335</v>
      </c>
      <c r="G76" s="41">
        <f>G71</f>
        <v>7470.17</v>
      </c>
      <c r="H76" s="63" t="s">
        <v>6526</v>
      </c>
      <c r="I76" s="98" t="s">
        <v>6405</v>
      </c>
    </row>
    <row r="77" spans="1:9" ht="25.95" customHeight="1" x14ac:dyDescent="0.3">
      <c r="A77" s="48" t="s">
        <v>6331</v>
      </c>
      <c r="B77" s="17" t="s">
        <v>6527</v>
      </c>
      <c r="C77" s="54" t="s">
        <v>4317</v>
      </c>
      <c r="D77" s="16" t="s">
        <v>6528</v>
      </c>
      <c r="E77" s="51">
        <f>G76</f>
        <v>7470.17</v>
      </c>
      <c r="F77" s="64">
        <f>Factor_Water</f>
        <v>0.01</v>
      </c>
      <c r="G77" s="65">
        <f>IF(C77="YES", ROUND(E77 * F77, 2), 0)</f>
        <v>0</v>
      </c>
      <c r="H77" s="152" t="s">
        <v>6529</v>
      </c>
      <c r="I77" s="96" t="s">
        <v>6398</v>
      </c>
    </row>
    <row r="78" spans="1:9" ht="25.95" customHeight="1" x14ac:dyDescent="0.3">
      <c r="A78" s="1" t="s">
        <v>6334</v>
      </c>
      <c r="B78" s="67" t="s">
        <v>6530</v>
      </c>
      <c r="C78" s="66" t="s">
        <v>6335</v>
      </c>
      <c r="D78" s="66" t="s">
        <v>6531</v>
      </c>
      <c r="E78" s="102" t="s">
        <v>6335</v>
      </c>
      <c r="F78" s="102" t="s">
        <v>6335</v>
      </c>
      <c r="G78" s="41">
        <f>G76 + G77</f>
        <v>7470.17</v>
      </c>
      <c r="H78" s="63" t="s">
        <v>6532</v>
      </c>
      <c r="I78" s="98" t="s">
        <v>6405</v>
      </c>
    </row>
    <row r="79" spans="1:9" ht="25.95" customHeight="1" x14ac:dyDescent="0.3">
      <c r="A79" s="48" t="s">
        <v>6338</v>
      </c>
      <c r="B79" s="17" t="s">
        <v>6533</v>
      </c>
      <c r="C79" s="54" t="s">
        <v>4317</v>
      </c>
      <c r="D79" s="16" t="s">
        <v>6534</v>
      </c>
      <c r="E79" s="51">
        <f>G78</f>
        <v>7470.17</v>
      </c>
      <c r="F79" s="64">
        <f>Factor_GST</f>
        <v>0.14050000000000001</v>
      </c>
      <c r="G79" s="65">
        <f>IF(C79="YES", ROUND(E79 * F79, 2), 0)</f>
        <v>0</v>
      </c>
      <c r="H79" s="152" t="s">
        <v>6535</v>
      </c>
      <c r="I79" s="96" t="s">
        <v>6398</v>
      </c>
    </row>
    <row r="80" spans="1:9" ht="25.95" customHeight="1" x14ac:dyDescent="0.3">
      <c r="A80" s="1" t="s">
        <v>6341</v>
      </c>
      <c r="B80" s="67" t="s">
        <v>6536</v>
      </c>
      <c r="C80" s="66" t="s">
        <v>6335</v>
      </c>
      <c r="D80" s="66" t="s">
        <v>6537</v>
      </c>
      <c r="E80" s="102" t="s">
        <v>6335</v>
      </c>
      <c r="F80" s="102" t="s">
        <v>6335</v>
      </c>
      <c r="G80" s="41">
        <f>G78 + G79</f>
        <v>7470.17</v>
      </c>
      <c r="H80" s="63" t="s">
        <v>6538</v>
      </c>
      <c r="I80" s="98" t="s">
        <v>6405</v>
      </c>
    </row>
    <row r="81" spans="1:9" ht="25.95" customHeight="1" x14ac:dyDescent="0.3">
      <c r="A81" s="48" t="s">
        <v>6343</v>
      </c>
      <c r="B81" s="17" t="s">
        <v>6539</v>
      </c>
      <c r="C81" s="54" t="s">
        <v>4318</v>
      </c>
      <c r="D81" s="16" t="s">
        <v>6540</v>
      </c>
      <c r="E81" s="51">
        <f>G80</f>
        <v>7470.17</v>
      </c>
      <c r="F81" s="64">
        <f>Factor_CPOH</f>
        <v>0.15</v>
      </c>
      <c r="G81" s="65">
        <f>IF(C81="YES", ROUND(E81 * F81, 2), 0)</f>
        <v>1120.53</v>
      </c>
      <c r="H81" s="152" t="s">
        <v>6541</v>
      </c>
      <c r="I81" s="96" t="s">
        <v>6398</v>
      </c>
    </row>
    <row r="82" spans="1:9" ht="25.95" customHeight="1" x14ac:dyDescent="0.3">
      <c r="A82" s="1" t="s">
        <v>6346</v>
      </c>
      <c r="B82" s="67" t="s">
        <v>6542</v>
      </c>
      <c r="C82" s="66" t="s">
        <v>6335</v>
      </c>
      <c r="D82" s="66" t="s">
        <v>6543</v>
      </c>
      <c r="E82" s="102" t="s">
        <v>6335</v>
      </c>
      <c r="F82" s="102" t="s">
        <v>6335</v>
      </c>
      <c r="G82" s="41">
        <f>G80 + G81</f>
        <v>8590.7000000000007</v>
      </c>
      <c r="H82" s="63" t="s">
        <v>6544</v>
      </c>
      <c r="I82" s="98" t="s">
        <v>6405</v>
      </c>
    </row>
    <row r="83" spans="1:9" ht="25.95" customHeight="1" x14ac:dyDescent="0.3">
      <c r="A83" s="48" t="s">
        <v>6348</v>
      </c>
      <c r="B83" s="17" t="s">
        <v>6545</v>
      </c>
      <c r="C83" s="54" t="s">
        <v>4317</v>
      </c>
      <c r="D83" s="16" t="s">
        <v>6546</v>
      </c>
      <c r="E83" s="51">
        <f>G82</f>
        <v>8590.7000000000007</v>
      </c>
      <c r="F83" s="64">
        <f>Factor_Cess</f>
        <v>0.01</v>
      </c>
      <c r="G83" s="65">
        <f>IF(C83="YES", ROUND(E83 * F83, 2), 0)</f>
        <v>0</v>
      </c>
      <c r="H83" s="152" t="s">
        <v>6547</v>
      </c>
      <c r="I83" s="96" t="s">
        <v>6398</v>
      </c>
    </row>
    <row r="84" spans="1:9" ht="25.95" customHeight="1" x14ac:dyDescent="0.3">
      <c r="A84" s="26" t="s">
        <v>6548</v>
      </c>
      <c r="B84" s="103" t="s">
        <v>6549</v>
      </c>
      <c r="C84" s="104" t="s">
        <v>6335</v>
      </c>
      <c r="D84" s="104" t="s">
        <v>6550</v>
      </c>
      <c r="E84" s="105" t="s">
        <v>6335</v>
      </c>
      <c r="F84" s="105" t="s">
        <v>6335</v>
      </c>
      <c r="G84" s="69">
        <f>G82 + G83</f>
        <v>8590.7000000000007</v>
      </c>
      <c r="H84" s="106" t="s">
        <v>6551</v>
      </c>
      <c r="I84" s="107" t="s">
        <v>6498</v>
      </c>
    </row>
    <row r="85" spans="1:9" ht="25.95" customHeight="1" x14ac:dyDescent="0.3">
      <c r="A85" s="1" t="s">
        <v>6335</v>
      </c>
      <c r="B85" s="67" t="s">
        <v>6552</v>
      </c>
      <c r="C85" s="66" t="s">
        <v>6335</v>
      </c>
      <c r="D85" s="66" t="s">
        <v>6553</v>
      </c>
      <c r="E85" s="102">
        <f>G84</f>
        <v>8590.7000000000007</v>
      </c>
      <c r="F85" s="102">
        <f>B42</f>
        <v>2.86</v>
      </c>
      <c r="G85" s="41">
        <f>IFERROR(ROUND(G84 / B42, 2), 0)</f>
        <v>3003.74</v>
      </c>
      <c r="H85" s="63" t="s">
        <v>6554</v>
      </c>
      <c r="I85" s="98" t="s">
        <v>6405</v>
      </c>
    </row>
    <row r="86" spans="1:9" ht="25.95" customHeight="1" x14ac:dyDescent="0.3">
      <c r="A86" s="1" t="s">
        <v>6335</v>
      </c>
      <c r="B86" s="67" t="s">
        <v>6555</v>
      </c>
      <c r="C86" s="66" t="s">
        <v>6335</v>
      </c>
      <c r="D86" s="66" t="s">
        <v>6556</v>
      </c>
      <c r="E86" s="39">
        <f>G84</f>
        <v>8590.7000000000007</v>
      </c>
      <c r="F86" s="102">
        <f>B57</f>
        <v>31.402799999999999</v>
      </c>
      <c r="G86" s="41">
        <f>IFERROR(ROUND(G84 / B57, 2), 0) + B28</f>
        <v>273.56</v>
      </c>
      <c r="H86" s="63" t="s">
        <v>6557</v>
      </c>
      <c r="I86" s="98" t="s">
        <v>6405</v>
      </c>
    </row>
    <row r="87" spans="1:9" ht="25.95" customHeight="1" x14ac:dyDescent="0.3">
      <c r="A87" s="1" t="s">
        <v>6335</v>
      </c>
      <c r="B87" s="67" t="s">
        <v>6558</v>
      </c>
      <c r="C87" s="66" t="s">
        <v>6335</v>
      </c>
      <c r="D87" s="66" t="s">
        <v>6559</v>
      </c>
      <c r="E87" s="102">
        <f>B56</f>
        <v>100</v>
      </c>
      <c r="F87" s="102" t="s">
        <v>6335</v>
      </c>
      <c r="G87" s="41">
        <f>ROUND(G86 * B56, 2)</f>
        <v>27356</v>
      </c>
      <c r="H87" s="63" t="s">
        <v>6560</v>
      </c>
      <c r="I87" s="98" t="s">
        <v>6405</v>
      </c>
    </row>
    <row r="88" spans="1:9" ht="25.95" customHeight="1" x14ac:dyDescent="0.3">
      <c r="A88" s="1" t="s">
        <v>6335</v>
      </c>
      <c r="B88" s="67" t="s">
        <v>6561</v>
      </c>
      <c r="C88" s="66" t="s">
        <v>6335</v>
      </c>
      <c r="D88" s="66" t="s">
        <v>6562</v>
      </c>
      <c r="E88" s="102">
        <f>B34</f>
        <v>26</v>
      </c>
      <c r="F88" s="102">
        <f>B50</f>
        <v>37</v>
      </c>
      <c r="G88" s="41">
        <f>IFERROR(IF(B50="", "", IF(B34&lt;=5, CHOOSE(MAX(1,MIN(5,CEILING(B34,1))), INDEX($G$180:$G$216,B50), INDEX($H$180:$H$216,B50), INDEX($I$180:$I$216,B50), INDEX($J$180:$J$216,B50), INDEX($K$180:$K$216,B50)), IF(B34&lt;=10, INDEX($K$180:$K$216,B50) + (B34-5)*INDEX($L$180:$L$216,B50), IF(B34&lt;=20, INDEX($K$180:$K$216,B50) + 5*INDEX($L$180:$L$216,B50) + (B34-10)*INDEX($M$180:$M$216,B50), INDEX($K$180:$K$216,B50) + 5*INDEX($L$180:$L$216,B50) + 10*INDEX($M$180:$M$216,B50) + (B34-20)*INDEX($N$180:$N$216,B50))))), "")</f>
        <v>27208.959999999999</v>
      </c>
      <c r="H88" s="63" t="s">
        <v>6563</v>
      </c>
      <c r="I88" s="108" t="s">
        <v>6408</v>
      </c>
    </row>
    <row r="89" spans="1:9" ht="25.95" customHeight="1" x14ac:dyDescent="0.3">
      <c r="A89" s="1" t="s">
        <v>6335</v>
      </c>
      <c r="B89" s="67" t="s">
        <v>6564</v>
      </c>
      <c r="C89" s="66" t="s">
        <v>6335</v>
      </c>
      <c r="D89" s="66" t="s">
        <v>6565</v>
      </c>
      <c r="E89" s="102">
        <f>G87</f>
        <v>27356</v>
      </c>
      <c r="F89" s="102">
        <f>G88</f>
        <v>27208.959999999999</v>
      </c>
      <c r="G89" s="41">
        <f>IF(OR(G88="", G88=0), "", ROUND(G87-G88, 2))</f>
        <v>147.04</v>
      </c>
      <c r="H89" s="63" t="s">
        <v>6566</v>
      </c>
      <c r="I89" s="98" t="s">
        <v>6405</v>
      </c>
    </row>
    <row r="90" spans="1:9" ht="30" customHeight="1" x14ac:dyDescent="0.3">
      <c r="A90" s="46" t="s">
        <v>6423</v>
      </c>
      <c r="B90" s="109" t="s">
        <v>6567</v>
      </c>
      <c r="C90" s="110" t="s">
        <v>6335</v>
      </c>
      <c r="D90" s="110" t="s">
        <v>6568</v>
      </c>
      <c r="E90" s="111" t="s">
        <v>6335</v>
      </c>
      <c r="F90" s="111" t="s">
        <v>6335</v>
      </c>
      <c r="G90" s="52">
        <f>MROUND(G87, 0.05)</f>
        <v>27356</v>
      </c>
      <c r="H90" s="71" t="s">
        <v>6569</v>
      </c>
      <c r="I90" s="112" t="s">
        <v>6423</v>
      </c>
    </row>
    <row r="91" spans="1:9" ht="43.95" customHeight="1" x14ac:dyDescent="0.3">
      <c r="A91" s="237" t="s">
        <v>6570</v>
      </c>
      <c r="B91" s="241"/>
      <c r="C91" s="241"/>
      <c r="D91" s="241"/>
      <c r="E91" s="241"/>
      <c r="F91" s="241"/>
      <c r="G91" s="241"/>
      <c r="H91" s="241"/>
      <c r="I91" s="242"/>
    </row>
    <row r="92" spans="1:9" ht="7.95" customHeight="1" x14ac:dyDescent="0.3"/>
    <row r="93" spans="1:9" ht="24" customHeight="1" x14ac:dyDescent="0.3">
      <c r="A93" s="239" t="s">
        <v>6571</v>
      </c>
      <c r="B93" s="228"/>
      <c r="C93" s="228"/>
      <c r="D93" s="228"/>
      <c r="E93" s="228"/>
      <c r="F93" s="228"/>
      <c r="G93" s="228"/>
      <c r="H93" s="228"/>
      <c r="I93" s="228"/>
    </row>
    <row r="94" spans="1:9" ht="43.95" customHeight="1" x14ac:dyDescent="0.3">
      <c r="A94" s="237" t="s">
        <v>6572</v>
      </c>
      <c r="B94" s="241"/>
      <c r="C94" s="241"/>
      <c r="D94" s="241"/>
      <c r="E94" s="241"/>
      <c r="F94" s="241"/>
      <c r="G94" s="241"/>
      <c r="H94" s="241"/>
      <c r="I94" s="242"/>
    </row>
    <row r="95" spans="1:9" ht="25.95" customHeight="1" x14ac:dyDescent="0.3">
      <c r="A95" s="153" t="s">
        <v>6392</v>
      </c>
      <c r="B95" s="153" t="s">
        <v>6393</v>
      </c>
      <c r="C95" s="153" t="s">
        <v>6</v>
      </c>
      <c r="D95" s="153" t="s">
        <v>6394</v>
      </c>
      <c r="E95" s="247" t="s">
        <v>6395</v>
      </c>
      <c r="F95" s="248"/>
      <c r="G95" s="248"/>
      <c r="H95" s="248"/>
      <c r="I95" s="249"/>
    </row>
    <row r="96" spans="1:9" ht="30" customHeight="1" x14ac:dyDescent="0.3">
      <c r="A96" s="75" t="s">
        <v>6573</v>
      </c>
      <c r="B96" s="76" t="s">
        <v>6574</v>
      </c>
      <c r="C96" s="24" t="s">
        <v>6335</v>
      </c>
      <c r="D96" s="45" t="s">
        <v>6398</v>
      </c>
      <c r="E96" s="246" t="s">
        <v>6575</v>
      </c>
      <c r="F96" s="241"/>
      <c r="G96" s="241"/>
      <c r="H96" s="241"/>
      <c r="I96" s="242"/>
    </row>
    <row r="97" spans="1:9" ht="30" customHeight="1" x14ac:dyDescent="0.3">
      <c r="A97" s="75" t="s">
        <v>6576</v>
      </c>
      <c r="B97" s="54" t="s">
        <v>6577</v>
      </c>
      <c r="C97" s="24" t="s">
        <v>6335</v>
      </c>
      <c r="D97" s="45" t="s">
        <v>6398</v>
      </c>
      <c r="E97" s="246" t="s">
        <v>6578</v>
      </c>
      <c r="F97" s="241"/>
      <c r="G97" s="241"/>
      <c r="H97" s="241"/>
      <c r="I97" s="242"/>
    </row>
    <row r="98" spans="1:9" ht="30" customHeight="1" x14ac:dyDescent="0.3">
      <c r="A98" s="75" t="s">
        <v>6579</v>
      </c>
      <c r="B98" s="54" t="s">
        <v>6580</v>
      </c>
      <c r="C98" s="24" t="s">
        <v>6335</v>
      </c>
      <c r="D98" s="45" t="s">
        <v>6398</v>
      </c>
      <c r="E98" s="246" t="s">
        <v>6581</v>
      </c>
      <c r="F98" s="241"/>
      <c r="G98" s="241"/>
      <c r="H98" s="241"/>
      <c r="I98" s="242"/>
    </row>
    <row r="99" spans="1:9" ht="30" customHeight="1" x14ac:dyDescent="0.3">
      <c r="A99" s="75" t="s">
        <v>6400</v>
      </c>
      <c r="B99" s="54">
        <v>100</v>
      </c>
      <c r="C99" s="24" t="s">
        <v>6582</v>
      </c>
      <c r="D99" s="45" t="s">
        <v>6398</v>
      </c>
      <c r="E99" s="246" t="s">
        <v>6583</v>
      </c>
      <c r="F99" s="241"/>
      <c r="G99" s="241"/>
      <c r="H99" s="241"/>
      <c r="I99" s="242"/>
    </row>
    <row r="100" spans="1:9" ht="30" customHeight="1" x14ac:dyDescent="0.3">
      <c r="A100" s="75" t="s">
        <v>6584</v>
      </c>
      <c r="B100" s="80">
        <f>MAX(0, ROUNDUP((B99 - 50) / 50, 0))</f>
        <v>1</v>
      </c>
      <c r="C100" s="24" t="s">
        <v>6585</v>
      </c>
      <c r="D100" s="5" t="s">
        <v>6405</v>
      </c>
      <c r="E100" s="246" t="s">
        <v>6586</v>
      </c>
      <c r="F100" s="241"/>
      <c r="G100" s="241"/>
      <c r="H100" s="241"/>
      <c r="I100" s="242"/>
    </row>
    <row r="101" spans="1:9" ht="30" customHeight="1" x14ac:dyDescent="0.3">
      <c r="A101" s="75" t="s">
        <v>6587</v>
      </c>
      <c r="B101" s="90">
        <f>IF(ISNUMBER(SEARCH("Category A", B98)), 7.67, 9.2)</f>
        <v>9.1999999999999993</v>
      </c>
      <c r="C101" s="24" t="s">
        <v>6588</v>
      </c>
      <c r="D101" s="29" t="s">
        <v>6408</v>
      </c>
      <c r="E101" s="246" t="s">
        <v>6589</v>
      </c>
      <c r="F101" s="241"/>
      <c r="G101" s="241"/>
      <c r="H101" s="241"/>
      <c r="I101" s="242"/>
    </row>
    <row r="102" spans="1:9" ht="30" customHeight="1" x14ac:dyDescent="0.3">
      <c r="A102" s="75" t="s">
        <v>6590</v>
      </c>
      <c r="B102" s="90">
        <f>IF(ISNUMBER(SEARCH("Category A", B98)), 1.67, 1.35)</f>
        <v>1.35</v>
      </c>
      <c r="C102" s="24" t="s">
        <v>6588</v>
      </c>
      <c r="D102" s="29" t="s">
        <v>6408</v>
      </c>
      <c r="E102" s="246" t="s">
        <v>6589</v>
      </c>
      <c r="F102" s="241"/>
      <c r="G102" s="241"/>
      <c r="H102" s="241"/>
      <c r="I102" s="242"/>
    </row>
    <row r="103" spans="1:9" ht="30" customHeight="1" x14ac:dyDescent="0.3">
      <c r="A103" s="75" t="s">
        <v>6591</v>
      </c>
      <c r="B103" s="79">
        <f>IFERROR(INDEX(Rates_Master!$E:$E, MATCH("0114", Rates_Master!$A:$A, 0)), 0)</f>
        <v>558</v>
      </c>
      <c r="C103" s="24" t="s">
        <v>6592</v>
      </c>
      <c r="D103" s="29" t="s">
        <v>6408</v>
      </c>
      <c r="E103" s="246" t="s">
        <v>6593</v>
      </c>
      <c r="F103" s="241"/>
      <c r="G103" s="241"/>
      <c r="H103" s="241"/>
      <c r="I103" s="242"/>
    </row>
    <row r="104" spans="1:9" ht="30" customHeight="1" x14ac:dyDescent="0.3">
      <c r="A104" s="75" t="s">
        <v>6594</v>
      </c>
      <c r="B104" s="81">
        <f>ROUND(B101 * B103, 2)</f>
        <v>5133.6000000000004</v>
      </c>
      <c r="C104" s="24" t="s">
        <v>6413</v>
      </c>
      <c r="D104" s="5" t="s">
        <v>6405</v>
      </c>
      <c r="E104" s="246" t="s">
        <v>6595</v>
      </c>
      <c r="F104" s="241"/>
      <c r="G104" s="241"/>
      <c r="H104" s="241"/>
      <c r="I104" s="242"/>
    </row>
    <row r="105" spans="1:9" ht="30" customHeight="1" x14ac:dyDescent="0.3">
      <c r="A105" s="75" t="s">
        <v>6596</v>
      </c>
      <c r="B105" s="81">
        <f>ROUND(B100 * B102 * B103, 2)</f>
        <v>753.3</v>
      </c>
      <c r="C105" s="24" t="s">
        <v>6413</v>
      </c>
      <c r="D105" s="5" t="s">
        <v>6405</v>
      </c>
      <c r="E105" s="246" t="s">
        <v>6597</v>
      </c>
      <c r="F105" s="241"/>
      <c r="G105" s="241"/>
      <c r="H105" s="241"/>
      <c r="I105" s="242"/>
    </row>
    <row r="106" spans="1:9" ht="30" customHeight="1" x14ac:dyDescent="0.3">
      <c r="A106" s="75" t="s">
        <v>6598</v>
      </c>
      <c r="B106" s="81">
        <f>B104 + B105</f>
        <v>5886.9000000000005</v>
      </c>
      <c r="C106" s="24" t="s">
        <v>6413</v>
      </c>
      <c r="D106" s="5" t="s">
        <v>6405</v>
      </c>
      <c r="E106" s="246" t="s">
        <v>6599</v>
      </c>
      <c r="F106" s="241"/>
      <c r="G106" s="241"/>
      <c r="H106" s="241"/>
      <c r="I106" s="242"/>
    </row>
    <row r="107" spans="1:9" ht="30" customHeight="1" x14ac:dyDescent="0.3">
      <c r="A107" s="75" t="s">
        <v>6600</v>
      </c>
      <c r="B107" s="81">
        <f>ROUND(B106 * Factor_CPOH, 2)</f>
        <v>883.04</v>
      </c>
      <c r="C107" s="24" t="s">
        <v>6413</v>
      </c>
      <c r="D107" s="5" t="s">
        <v>6405</v>
      </c>
      <c r="E107" s="246" t="s">
        <v>6601</v>
      </c>
      <c r="F107" s="241"/>
      <c r="G107" s="241"/>
      <c r="H107" s="241"/>
      <c r="I107" s="242"/>
    </row>
    <row r="108" spans="1:9" ht="30" customHeight="1" x14ac:dyDescent="0.3">
      <c r="A108" s="75" t="s">
        <v>6602</v>
      </c>
      <c r="B108" s="113">
        <f>B106 + B107</f>
        <v>6769.9400000000005</v>
      </c>
      <c r="C108" s="24" t="s">
        <v>6413</v>
      </c>
      <c r="D108" s="26" t="s">
        <v>6498</v>
      </c>
      <c r="E108" s="246" t="s">
        <v>6603</v>
      </c>
      <c r="F108" s="241"/>
      <c r="G108" s="241"/>
      <c r="H108" s="241"/>
      <c r="I108" s="242"/>
    </row>
    <row r="109" spans="1:9" ht="30" customHeight="1" x14ac:dyDescent="0.3">
      <c r="A109" s="75" t="s">
        <v>6604</v>
      </c>
      <c r="B109" s="90">
        <f>IFERROR(IF(B96="", "", INDEX($D$221:$D$255, MATCH(B96, $B$221:$B$255, 0))), "")</f>
        <v>1702</v>
      </c>
      <c r="C109" s="24" t="s">
        <v>6605</v>
      </c>
      <c r="D109" s="29" t="s">
        <v>6408</v>
      </c>
      <c r="E109" s="246" t="s">
        <v>6606</v>
      </c>
      <c r="F109" s="241"/>
      <c r="G109" s="241"/>
      <c r="H109" s="241"/>
      <c r="I109" s="242"/>
    </row>
    <row r="110" spans="1:9" ht="30" customHeight="1" x14ac:dyDescent="0.3">
      <c r="A110" s="75" t="s">
        <v>6607</v>
      </c>
      <c r="B110" s="29" t="str">
        <f>IFERROR(IF(B96="", "cum", INDEX($E$221:$E$255, MATCH(B96, $B$221:$B$255, 0))), "cum")</f>
        <v>100 m</v>
      </c>
      <c r="C110" s="24" t="s">
        <v>6335</v>
      </c>
      <c r="D110" s="29" t="s">
        <v>6408</v>
      </c>
      <c r="E110" s="246" t="s">
        <v>6608</v>
      </c>
      <c r="F110" s="241"/>
      <c r="G110" s="241"/>
      <c r="H110" s="241"/>
      <c r="I110" s="242"/>
    </row>
    <row r="111" spans="1:9" ht="30" customHeight="1" x14ac:dyDescent="0.3">
      <c r="A111" s="75" t="s">
        <v>6494</v>
      </c>
      <c r="B111" s="78">
        <f>IF(B110="1000 Nos", 1000, IF(B110="100 m", 100, 1))</f>
        <v>100</v>
      </c>
      <c r="C111" s="24" t="s">
        <v>6495</v>
      </c>
      <c r="D111" s="5" t="s">
        <v>6405</v>
      </c>
      <c r="E111" s="246" t="s">
        <v>6609</v>
      </c>
      <c r="F111" s="241"/>
      <c r="G111" s="241"/>
      <c r="H111" s="241"/>
      <c r="I111" s="242"/>
    </row>
    <row r="112" spans="1:9" ht="30" customHeight="1" x14ac:dyDescent="0.3">
      <c r="A112" s="75" t="s">
        <v>6558</v>
      </c>
      <c r="B112" s="81">
        <f>IFERROR(ROUND(B108 / B109 * B111, 2), 0)</f>
        <v>397.76</v>
      </c>
      <c r="C112" s="24" t="s">
        <v>6413</v>
      </c>
      <c r="D112" s="5" t="s">
        <v>6405</v>
      </c>
      <c r="E112" s="246" t="s">
        <v>6610</v>
      </c>
      <c r="F112" s="241"/>
      <c r="G112" s="241"/>
      <c r="H112" s="241"/>
      <c r="I112" s="242"/>
    </row>
    <row r="113" spans="1:9" ht="30" customHeight="1" x14ac:dyDescent="0.3">
      <c r="A113" s="75" t="s">
        <v>6611</v>
      </c>
      <c r="B113" s="82">
        <f>IFERROR(MROUND(B112, 0.05), 0)</f>
        <v>397.75</v>
      </c>
      <c r="C113" s="24" t="s">
        <v>6413</v>
      </c>
      <c r="D113" s="46" t="s">
        <v>6423</v>
      </c>
      <c r="E113" s="246" t="s">
        <v>6612</v>
      </c>
      <c r="F113" s="241"/>
      <c r="G113" s="241"/>
      <c r="H113" s="241"/>
      <c r="I113" s="242"/>
    </row>
    <row r="114" spans="1:9" ht="7.95" customHeight="1" x14ac:dyDescent="0.3"/>
    <row r="115" spans="1:9" ht="24" customHeight="1" x14ac:dyDescent="0.3">
      <c r="A115" s="239" t="s">
        <v>6613</v>
      </c>
      <c r="B115" s="228"/>
      <c r="C115" s="228"/>
      <c r="D115" s="228"/>
      <c r="E115" s="228"/>
      <c r="F115" s="228"/>
      <c r="G115" s="228"/>
      <c r="H115" s="228"/>
      <c r="I115" s="228"/>
    </row>
    <row r="116" spans="1:9" ht="36" customHeight="1" x14ac:dyDescent="0.3">
      <c r="A116" s="237" t="s">
        <v>6614</v>
      </c>
      <c r="B116" s="241"/>
      <c r="C116" s="241"/>
      <c r="D116" s="241"/>
      <c r="E116" s="241"/>
      <c r="F116" s="241"/>
      <c r="G116" s="241"/>
      <c r="H116" s="241"/>
      <c r="I116" s="242"/>
    </row>
    <row r="117" spans="1:9" ht="25.95" customHeight="1" x14ac:dyDescent="0.3">
      <c r="A117" s="153" t="s">
        <v>6392</v>
      </c>
      <c r="B117" s="153" t="s">
        <v>6393</v>
      </c>
      <c r="C117" s="153" t="s">
        <v>6</v>
      </c>
      <c r="D117" s="153" t="s">
        <v>6394</v>
      </c>
      <c r="E117" s="247" t="s">
        <v>6395</v>
      </c>
      <c r="F117" s="248"/>
      <c r="G117" s="248"/>
      <c r="H117" s="248"/>
      <c r="I117" s="249"/>
    </row>
    <row r="118" spans="1:9" ht="30" customHeight="1" x14ac:dyDescent="0.3">
      <c r="A118" s="75" t="s">
        <v>6615</v>
      </c>
      <c r="B118" s="76" t="s">
        <v>6616</v>
      </c>
      <c r="C118" s="24" t="s">
        <v>6335</v>
      </c>
      <c r="D118" s="45" t="s">
        <v>6398</v>
      </c>
      <c r="E118" s="246" t="s">
        <v>6617</v>
      </c>
      <c r="F118" s="241"/>
      <c r="G118" s="241"/>
      <c r="H118" s="241"/>
      <c r="I118" s="242"/>
    </row>
    <row r="119" spans="1:9" ht="30" customHeight="1" x14ac:dyDescent="0.3">
      <c r="A119" s="75" t="s">
        <v>6618</v>
      </c>
      <c r="B119" s="5" t="str">
        <f>IFERROR(LEFT(B118, FIND(" ", B118) - 1), "1.3")</f>
        <v>1.3</v>
      </c>
      <c r="C119" s="24" t="s">
        <v>6335</v>
      </c>
      <c r="D119" s="5" t="s">
        <v>6405</v>
      </c>
      <c r="E119" s="246" t="s">
        <v>6619</v>
      </c>
      <c r="F119" s="241"/>
      <c r="G119" s="241"/>
      <c r="H119" s="241"/>
      <c r="I119" s="242"/>
    </row>
    <row r="120" spans="1:9" ht="30" customHeight="1" x14ac:dyDescent="0.3">
      <c r="A120" s="75" t="s">
        <v>6620</v>
      </c>
      <c r="B120" s="29" t="str">
        <f>IFERROR(INDEX($B$269:$B$272, MATCH(B119, $A$269:$A$272, 0)), "")</f>
        <v>Loading in or unloading cement from the railway wagons at siding and carrying into godowns adjacent to siding, including stacking in rows upto any height, sweeping wagons, screening and bagging</v>
      </c>
      <c r="C120" s="24" t="s">
        <v>6335</v>
      </c>
      <c r="D120" s="29" t="s">
        <v>6408</v>
      </c>
      <c r="E120" s="246" t="s">
        <v>6621</v>
      </c>
      <c r="F120" s="241"/>
      <c r="G120" s="241"/>
      <c r="H120" s="241"/>
      <c r="I120" s="242"/>
    </row>
    <row r="121" spans="1:9" ht="30" customHeight="1" x14ac:dyDescent="0.3">
      <c r="A121" s="75" t="s">
        <v>6622</v>
      </c>
      <c r="B121" s="29" t="str">
        <f>IFERROR(INDEX($C$269:$C$272, MATCH(B119, $A$269:$A$272, 0)), "")</f>
        <v>4-wheeler Covered Wagon (CRT)</v>
      </c>
      <c r="C121" s="24" t="s">
        <v>6335</v>
      </c>
      <c r="D121" s="29" t="s">
        <v>6408</v>
      </c>
      <c r="E121" s="246" t="s">
        <v>6623</v>
      </c>
      <c r="F121" s="241"/>
      <c r="G121" s="241"/>
      <c r="H121" s="241"/>
      <c r="I121" s="242"/>
    </row>
    <row r="122" spans="1:9" ht="30" customHeight="1" x14ac:dyDescent="0.3">
      <c r="A122" s="75" t="s">
        <v>6624</v>
      </c>
      <c r="B122" s="90">
        <f>IFERROR(INDEX($D$269:$D$272, MATCH(B119, $A$269:$A$272, 0)), 23)</f>
        <v>23</v>
      </c>
      <c r="C122" s="24" t="s">
        <v>357</v>
      </c>
      <c r="D122" s="29" t="s">
        <v>6408</v>
      </c>
      <c r="E122" s="246" t="s">
        <v>6625</v>
      </c>
      <c r="F122" s="241"/>
      <c r="G122" s="241"/>
      <c r="H122" s="241"/>
      <c r="I122" s="242"/>
    </row>
    <row r="123" spans="1:9" ht="30" customHeight="1" x14ac:dyDescent="0.3">
      <c r="A123" s="75" t="s">
        <v>6626</v>
      </c>
      <c r="B123" s="88"/>
      <c r="C123" s="24" t="s">
        <v>357</v>
      </c>
      <c r="D123" s="74" t="s">
        <v>6442</v>
      </c>
      <c r="E123" s="246" t="s">
        <v>6627</v>
      </c>
      <c r="F123" s="241"/>
      <c r="G123" s="241"/>
      <c r="H123" s="241"/>
      <c r="I123" s="242"/>
    </row>
    <row r="124" spans="1:9" ht="30" customHeight="1" x14ac:dyDescent="0.3">
      <c r="A124" s="75" t="s">
        <v>6628</v>
      </c>
      <c r="B124" s="80">
        <f>IF(OR(B123="", ISBLANK(B123)), B122, B123)</f>
        <v>23</v>
      </c>
      <c r="C124" s="24" t="s">
        <v>357</v>
      </c>
      <c r="D124" s="5" t="s">
        <v>6405</v>
      </c>
      <c r="E124" s="246" t="s">
        <v>6629</v>
      </c>
      <c r="F124" s="241"/>
      <c r="G124" s="241"/>
      <c r="H124" s="241"/>
      <c r="I124" s="242"/>
    </row>
    <row r="125" spans="1:9" ht="30" customHeight="1" x14ac:dyDescent="0.3">
      <c r="A125" s="75" t="s">
        <v>6630</v>
      </c>
      <c r="B125" s="114">
        <f>IFERROR(INDEX($F$269:$F$272, MATCH(B119, $A$269:$A$272, 0)), 6)</f>
        <v>6</v>
      </c>
      <c r="C125" s="24" t="s">
        <v>6631</v>
      </c>
      <c r="D125" s="29" t="s">
        <v>6408</v>
      </c>
      <c r="E125" s="246" t="s">
        <v>6632</v>
      </c>
      <c r="F125" s="241"/>
      <c r="G125" s="241"/>
      <c r="H125" s="241"/>
      <c r="I125" s="242"/>
    </row>
    <row r="126" spans="1:9" ht="30" customHeight="1" x14ac:dyDescent="0.3">
      <c r="A126" s="75" t="s">
        <v>6633</v>
      </c>
      <c r="B126" s="90">
        <f>IFERROR(INDEX($G$269:$G$272, MATCH(B119, $A$269:$A$272, 0)), 5)</f>
        <v>5</v>
      </c>
      <c r="C126" s="24" t="s">
        <v>6634</v>
      </c>
      <c r="D126" s="29" t="s">
        <v>6408</v>
      </c>
      <c r="E126" s="246" t="s">
        <v>6635</v>
      </c>
      <c r="F126" s="241"/>
      <c r="G126" s="241"/>
      <c r="H126" s="241"/>
      <c r="I126" s="242"/>
    </row>
    <row r="127" spans="1:9" ht="30" customHeight="1" x14ac:dyDescent="0.3">
      <c r="A127" s="75" t="s">
        <v>6636</v>
      </c>
      <c r="B127" s="80">
        <f>IFERROR(ROUND((B125 * B126) / 8, 2), 0)</f>
        <v>3.75</v>
      </c>
      <c r="C127" s="24" t="s">
        <v>6637</v>
      </c>
      <c r="D127" s="5" t="s">
        <v>6405</v>
      </c>
      <c r="E127" s="246" t="s">
        <v>6638</v>
      </c>
      <c r="F127" s="241"/>
      <c r="G127" s="241"/>
      <c r="H127" s="241"/>
      <c r="I127" s="242"/>
    </row>
    <row r="128" spans="1:9" ht="30" customHeight="1" x14ac:dyDescent="0.3">
      <c r="A128" s="75" t="s">
        <v>6639</v>
      </c>
      <c r="B128" s="80">
        <f>IFERROR(ROUND(B124 / B127, 2), 0)</f>
        <v>6.13</v>
      </c>
      <c r="C128" s="24" t="s">
        <v>6640</v>
      </c>
      <c r="D128" s="5" t="s">
        <v>6405</v>
      </c>
      <c r="E128" s="246" t="s">
        <v>6641</v>
      </c>
      <c r="F128" s="241"/>
      <c r="G128" s="241"/>
      <c r="H128" s="241"/>
      <c r="I128" s="242"/>
    </row>
    <row r="129" spans="1:14" ht="30" customHeight="1" x14ac:dyDescent="0.3">
      <c r="A129" s="75" t="s">
        <v>6642</v>
      </c>
      <c r="B129" s="79">
        <f>IFERROR(INDEX(Rates_Master!$E:$E, MATCH("0114", Rates_Master!$A:$A, 0)), 558)</f>
        <v>558</v>
      </c>
      <c r="C129" s="24" t="s">
        <v>6592</v>
      </c>
      <c r="D129" s="29" t="s">
        <v>6408</v>
      </c>
      <c r="E129" s="246" t="s">
        <v>6643</v>
      </c>
      <c r="F129" s="241"/>
      <c r="G129" s="241"/>
      <c r="H129" s="241"/>
      <c r="I129" s="242"/>
    </row>
    <row r="130" spans="1:14" ht="30" customHeight="1" x14ac:dyDescent="0.3">
      <c r="A130" s="75" t="s">
        <v>6644</v>
      </c>
      <c r="B130" s="81">
        <f>ROUND(B127 * B129, 2)</f>
        <v>2092.5</v>
      </c>
      <c r="C130" s="24" t="s">
        <v>6413</v>
      </c>
      <c r="D130" s="5" t="s">
        <v>6405</v>
      </c>
      <c r="E130" s="246" t="s">
        <v>6645</v>
      </c>
      <c r="F130" s="241"/>
      <c r="G130" s="241"/>
      <c r="H130" s="241"/>
      <c r="I130" s="242"/>
    </row>
    <row r="131" spans="1:14" ht="30" customHeight="1" x14ac:dyDescent="0.3">
      <c r="A131" s="75" t="s">
        <v>6646</v>
      </c>
      <c r="B131" s="90">
        <f>IFERROR(INDEX($J$269:$J$272, MATCH(B119, $A$269:$A$272, 0)), 0)</f>
        <v>0</v>
      </c>
      <c r="C131" s="24" t="s">
        <v>4266</v>
      </c>
      <c r="D131" s="29" t="s">
        <v>6408</v>
      </c>
      <c r="E131" s="246" t="s">
        <v>6647</v>
      </c>
      <c r="F131" s="241"/>
      <c r="G131" s="241"/>
      <c r="H131" s="241"/>
      <c r="I131" s="242"/>
    </row>
    <row r="132" spans="1:14" ht="30" customHeight="1" x14ac:dyDescent="0.3">
      <c r="A132" s="75" t="s">
        <v>6648</v>
      </c>
      <c r="B132" s="90">
        <f>IFERROR(INDEX($K$269:$K$272, MATCH(B119, $A$269:$A$272, 0)), 0)</f>
        <v>2.62</v>
      </c>
      <c r="C132" s="24" t="s">
        <v>4266</v>
      </c>
      <c r="D132" s="29" t="s">
        <v>6408</v>
      </c>
      <c r="E132" s="246" t="s">
        <v>6649</v>
      </c>
      <c r="F132" s="241"/>
      <c r="G132" s="241"/>
      <c r="H132" s="241"/>
      <c r="I132" s="242"/>
    </row>
    <row r="133" spans="1:14" ht="30" customHeight="1" x14ac:dyDescent="0.3">
      <c r="A133" s="75" t="s">
        <v>6650</v>
      </c>
      <c r="B133" s="79">
        <f>IFERROR(INDEX(Rates_Master!$E:$E, MATCH("9999", Rates_Master!$A:$A, 0)), 2)</f>
        <v>2</v>
      </c>
      <c r="C133" s="24" t="s">
        <v>6651</v>
      </c>
      <c r="D133" s="29" t="s">
        <v>6408</v>
      </c>
      <c r="E133" s="246" t="s">
        <v>6652</v>
      </c>
      <c r="F133" s="241"/>
      <c r="G133" s="241"/>
      <c r="H133" s="241"/>
      <c r="I133" s="242"/>
    </row>
    <row r="134" spans="1:14" ht="30" customHeight="1" x14ac:dyDescent="0.3">
      <c r="A134" s="75" t="s">
        <v>6653</v>
      </c>
      <c r="B134" s="81">
        <f>ROUND((B131 + B132) * B133, 2)</f>
        <v>5.24</v>
      </c>
      <c r="C134" s="24" t="s">
        <v>6413</v>
      </c>
      <c r="D134" s="5" t="s">
        <v>6405</v>
      </c>
      <c r="E134" s="246" t="s">
        <v>6654</v>
      </c>
      <c r="F134" s="241"/>
      <c r="G134" s="241"/>
      <c r="H134" s="241"/>
      <c r="I134" s="242"/>
    </row>
    <row r="135" spans="1:14" ht="30" customHeight="1" x14ac:dyDescent="0.3">
      <c r="A135" s="75" t="s">
        <v>6655</v>
      </c>
      <c r="B135" s="113">
        <f>B130 + B134</f>
        <v>2097.7399999999998</v>
      </c>
      <c r="C135" s="24" t="s">
        <v>6413</v>
      </c>
      <c r="D135" s="26" t="s">
        <v>6498</v>
      </c>
      <c r="E135" s="246" t="s">
        <v>6656</v>
      </c>
      <c r="F135" s="241"/>
      <c r="G135" s="241"/>
      <c r="H135" s="241"/>
      <c r="I135" s="242"/>
    </row>
    <row r="136" spans="1:14" ht="30" customHeight="1" x14ac:dyDescent="0.3">
      <c r="A136" s="75" t="s">
        <v>6657</v>
      </c>
      <c r="B136" s="81">
        <f>ROUND(B135 * Factor_CPOH, 2)</f>
        <v>314.66000000000003</v>
      </c>
      <c r="C136" s="24" t="s">
        <v>6413</v>
      </c>
      <c r="D136" s="5" t="s">
        <v>6405</v>
      </c>
      <c r="E136" s="246" t="s">
        <v>6658</v>
      </c>
      <c r="F136" s="241"/>
      <c r="G136" s="241"/>
      <c r="H136" s="241"/>
      <c r="I136" s="242"/>
    </row>
    <row r="137" spans="1:14" ht="30" customHeight="1" x14ac:dyDescent="0.3">
      <c r="A137" s="75" t="s">
        <v>6659</v>
      </c>
      <c r="B137" s="113">
        <f>B135 + B136</f>
        <v>2412.3999999999996</v>
      </c>
      <c r="C137" s="24" t="s">
        <v>6413</v>
      </c>
      <c r="D137" s="26" t="s">
        <v>6498</v>
      </c>
      <c r="E137" s="246" t="s">
        <v>6660</v>
      </c>
      <c r="F137" s="241"/>
      <c r="G137" s="241"/>
      <c r="H137" s="241"/>
      <c r="I137" s="242"/>
    </row>
    <row r="138" spans="1:14" ht="30" customHeight="1" x14ac:dyDescent="0.3">
      <c r="A138" s="75" t="s">
        <v>6661</v>
      </c>
      <c r="B138" s="81">
        <f>IFERROR(ROUND(B137 / B124, 4), 0)</f>
        <v>104.887</v>
      </c>
      <c r="C138" s="24" t="s">
        <v>6662</v>
      </c>
      <c r="D138" s="5" t="s">
        <v>6405</v>
      </c>
      <c r="E138" s="246" t="s">
        <v>6663</v>
      </c>
      <c r="F138" s="241"/>
      <c r="G138" s="241"/>
      <c r="H138" s="241"/>
      <c r="I138" s="242"/>
    </row>
    <row r="139" spans="1:14" ht="30" customHeight="1" x14ac:dyDescent="0.3">
      <c r="A139" s="75" t="s">
        <v>6664</v>
      </c>
      <c r="B139" s="82">
        <f>IFERROR(MROUND(B138, 0.05), 0)</f>
        <v>104.9</v>
      </c>
      <c r="C139" s="24" t="s">
        <v>6662</v>
      </c>
      <c r="D139" s="46" t="s">
        <v>6423</v>
      </c>
      <c r="E139" s="246" t="s">
        <v>6665</v>
      </c>
      <c r="F139" s="241"/>
      <c r="G139" s="241"/>
      <c r="H139" s="241"/>
      <c r="I139" s="242"/>
    </row>
    <row r="140" spans="1:14" ht="30" customHeight="1" x14ac:dyDescent="0.3">
      <c r="A140" s="75" t="s">
        <v>6666</v>
      </c>
      <c r="B140" s="79">
        <f>IFERROR(INDEX($L$269:$L$272, MATCH(B119, $A$269:$A$272, 0)), 0)</f>
        <v>104.9</v>
      </c>
      <c r="C140" s="24" t="s">
        <v>6662</v>
      </c>
      <c r="D140" s="29" t="s">
        <v>6408</v>
      </c>
      <c r="E140" s="246" t="s">
        <v>6667</v>
      </c>
      <c r="F140" s="241"/>
      <c r="G140" s="241"/>
      <c r="H140" s="241"/>
      <c r="I140" s="242"/>
    </row>
    <row r="141" spans="1:14" ht="30" customHeight="1" x14ac:dyDescent="0.3">
      <c r="A141" s="75" t="s">
        <v>6668</v>
      </c>
      <c r="B141" s="113">
        <f>ROUND(B139 - B140, 2)</f>
        <v>0</v>
      </c>
      <c r="C141" s="24" t="s">
        <v>6662</v>
      </c>
      <c r="D141" s="26" t="s">
        <v>6498</v>
      </c>
      <c r="E141" s="246" t="s">
        <v>6669</v>
      </c>
      <c r="F141" s="241"/>
      <c r="G141" s="241"/>
      <c r="H141" s="241"/>
      <c r="I141" s="242"/>
    </row>
    <row r="142" spans="1:14" ht="7.95" customHeight="1" x14ac:dyDescent="0.3"/>
    <row r="143" spans="1:14" ht="24" customHeight="1" x14ac:dyDescent="0.3">
      <c r="A143" s="239" t="s">
        <v>6670</v>
      </c>
      <c r="B143" s="228"/>
      <c r="C143" s="228"/>
      <c r="D143" s="228"/>
      <c r="E143" s="228"/>
      <c r="F143" s="228"/>
      <c r="G143" s="228"/>
      <c r="H143" s="228"/>
      <c r="I143" s="228"/>
      <c r="J143" s="228"/>
      <c r="K143" s="228"/>
      <c r="L143" s="228"/>
      <c r="M143" s="228"/>
      <c r="N143" s="228"/>
    </row>
    <row r="144" spans="1:14" ht="22.05" customHeight="1" x14ac:dyDescent="0.3">
      <c r="A144" s="239" t="s">
        <v>6671</v>
      </c>
      <c r="B144" s="228"/>
      <c r="C144" s="228"/>
      <c r="D144" s="228"/>
      <c r="E144" s="228"/>
      <c r="F144" s="228"/>
      <c r="G144" s="228"/>
      <c r="H144" s="228"/>
      <c r="I144" s="228"/>
      <c r="J144" s="228"/>
      <c r="K144" s="228"/>
      <c r="L144" s="228"/>
      <c r="M144" s="228"/>
      <c r="N144" s="228"/>
    </row>
    <row r="145" spans="1:14" ht="24" customHeight="1" x14ac:dyDescent="0.3">
      <c r="A145" s="153" t="s">
        <v>6672</v>
      </c>
      <c r="B145" s="153" t="s">
        <v>6673</v>
      </c>
      <c r="C145" s="153" t="s">
        <v>6674</v>
      </c>
      <c r="D145" s="153" t="s">
        <v>6675</v>
      </c>
      <c r="E145" s="153" t="s">
        <v>6676</v>
      </c>
      <c r="F145" s="153" t="s">
        <v>6677</v>
      </c>
      <c r="G145" s="153" t="s">
        <v>6678</v>
      </c>
      <c r="H145" s="153" t="s">
        <v>6679</v>
      </c>
      <c r="I145" s="153" t="s">
        <v>6680</v>
      </c>
      <c r="J145" s="153" t="s">
        <v>6681</v>
      </c>
      <c r="K145" s="153" t="s">
        <v>6682</v>
      </c>
      <c r="L145" s="153" t="s">
        <v>6683</v>
      </c>
      <c r="M145" s="153" t="s">
        <v>6684</v>
      </c>
      <c r="N145" s="153" t="s">
        <v>6685</v>
      </c>
    </row>
    <row r="146" spans="1:14" ht="18" customHeight="1" x14ac:dyDescent="0.3">
      <c r="A146" s="115">
        <v>1</v>
      </c>
      <c r="B146" s="115">
        <v>16</v>
      </c>
      <c r="C146" s="116">
        <v>7.11</v>
      </c>
      <c r="D146" s="116">
        <v>20.22</v>
      </c>
      <c r="E146" s="40">
        <v>4.04</v>
      </c>
      <c r="F146" s="117">
        <v>296.94</v>
      </c>
      <c r="G146" s="118">
        <v>0.14399999999999999</v>
      </c>
      <c r="H146" s="117">
        <v>45.36</v>
      </c>
      <c r="I146" s="117">
        <v>3348</v>
      </c>
      <c r="J146" s="117">
        <v>1500</v>
      </c>
      <c r="K146" s="117">
        <v>5190.3</v>
      </c>
      <c r="L146" s="117">
        <v>730</v>
      </c>
      <c r="M146" s="117"/>
      <c r="N146" s="117" t="str">
        <f t="shared" ref="N146:N175" si="1">IF(A146&lt;=5, "", IF(A146&lt;=10, ROUND((L146-INDEX($L$146:$L$175,5))/5, 2), IF(A146&lt;=20, ROUND((L146-INDEX($L$146:$L$175,10))/10, 2), ROUND((L146-INDEX($L$146:$L$175,20))/10, 2))))</f>
        <v/>
      </c>
    </row>
    <row r="147" spans="1:14" ht="18" customHeight="1" x14ac:dyDescent="0.3">
      <c r="A147" s="119">
        <v>2</v>
      </c>
      <c r="B147" s="119">
        <v>17</v>
      </c>
      <c r="C147" s="120">
        <v>6.48</v>
      </c>
      <c r="D147" s="120">
        <v>31.92</v>
      </c>
      <c r="E147" s="42">
        <v>6.38</v>
      </c>
      <c r="F147" s="35">
        <v>468.93</v>
      </c>
      <c r="G147" s="121">
        <v>0.22800000000000001</v>
      </c>
      <c r="H147" s="35">
        <v>71.819999999999993</v>
      </c>
      <c r="I147" s="35">
        <v>3348</v>
      </c>
      <c r="J147" s="35">
        <v>1500</v>
      </c>
      <c r="K147" s="35">
        <v>5388.75</v>
      </c>
      <c r="L147" s="35">
        <v>831.6</v>
      </c>
      <c r="M147" s="35">
        <v>198.45</v>
      </c>
      <c r="N147" s="35" t="str">
        <f t="shared" si="1"/>
        <v/>
      </c>
    </row>
    <row r="148" spans="1:14" ht="18" customHeight="1" x14ac:dyDescent="0.3">
      <c r="A148" s="115">
        <v>3</v>
      </c>
      <c r="B148" s="115">
        <v>17.5</v>
      </c>
      <c r="C148" s="116">
        <v>5.96</v>
      </c>
      <c r="D148" s="116">
        <v>41.76</v>
      </c>
      <c r="E148" s="40">
        <v>8.35</v>
      </c>
      <c r="F148" s="117">
        <v>613.73</v>
      </c>
      <c r="G148" s="118">
        <v>0.29799999999999999</v>
      </c>
      <c r="H148" s="117">
        <v>93.87</v>
      </c>
      <c r="I148" s="117">
        <v>3348</v>
      </c>
      <c r="J148" s="117">
        <v>1500</v>
      </c>
      <c r="K148" s="117">
        <v>5555.6</v>
      </c>
      <c r="L148" s="117">
        <v>932.15</v>
      </c>
      <c r="M148" s="117">
        <v>166.85</v>
      </c>
      <c r="N148" s="117" t="str">
        <f t="shared" si="1"/>
        <v/>
      </c>
    </row>
    <row r="149" spans="1:14" ht="18" customHeight="1" x14ac:dyDescent="0.3">
      <c r="A149" s="119">
        <v>4</v>
      </c>
      <c r="B149" s="119">
        <v>18</v>
      </c>
      <c r="C149" s="120">
        <v>5.54</v>
      </c>
      <c r="D149" s="120">
        <v>50.32</v>
      </c>
      <c r="E149" s="42">
        <v>10.06</v>
      </c>
      <c r="F149" s="35">
        <v>739.41</v>
      </c>
      <c r="G149" s="121">
        <v>0.35899999999999999</v>
      </c>
      <c r="H149" s="35">
        <v>113.08</v>
      </c>
      <c r="I149" s="35">
        <v>3348</v>
      </c>
      <c r="J149" s="35">
        <v>1500</v>
      </c>
      <c r="K149" s="35">
        <v>5700.5</v>
      </c>
      <c r="L149" s="35">
        <v>1028.97</v>
      </c>
      <c r="M149" s="35">
        <v>144.9</v>
      </c>
      <c r="N149" s="35" t="str">
        <f t="shared" si="1"/>
        <v/>
      </c>
    </row>
    <row r="150" spans="1:14" ht="18" customHeight="1" x14ac:dyDescent="0.3">
      <c r="A150" s="115">
        <v>5</v>
      </c>
      <c r="B150" s="115">
        <v>18.5</v>
      </c>
      <c r="C150" s="116">
        <v>5.19</v>
      </c>
      <c r="D150" s="116">
        <v>57.9</v>
      </c>
      <c r="E150" s="40">
        <v>11.58</v>
      </c>
      <c r="F150" s="117">
        <v>851.13</v>
      </c>
      <c r="G150" s="118">
        <v>0.41399999999999998</v>
      </c>
      <c r="H150" s="117">
        <v>130.41</v>
      </c>
      <c r="I150" s="117">
        <v>3348</v>
      </c>
      <c r="J150" s="117">
        <v>1500</v>
      </c>
      <c r="K150" s="117">
        <v>5829.54</v>
      </c>
      <c r="L150" s="117">
        <v>1123.23</v>
      </c>
      <c r="M150" s="117">
        <v>129.04</v>
      </c>
      <c r="N150" s="117" t="str">
        <f t="shared" si="1"/>
        <v/>
      </c>
    </row>
    <row r="151" spans="1:14" ht="18" customHeight="1" x14ac:dyDescent="0.3">
      <c r="A151" s="119">
        <v>6</v>
      </c>
      <c r="B151" s="119">
        <v>19</v>
      </c>
      <c r="C151" s="120">
        <v>4.9000000000000004</v>
      </c>
      <c r="D151" s="120">
        <v>64.8</v>
      </c>
      <c r="E151" s="42">
        <v>12.96</v>
      </c>
      <c r="F151" s="35">
        <v>952.56</v>
      </c>
      <c r="G151" s="121">
        <v>0.46300000000000002</v>
      </c>
      <c r="H151" s="35">
        <v>145.84</v>
      </c>
      <c r="I151" s="35">
        <v>3348</v>
      </c>
      <c r="J151" s="35">
        <v>1500</v>
      </c>
      <c r="K151" s="35">
        <v>5946.41</v>
      </c>
      <c r="L151" s="35">
        <v>1213.55</v>
      </c>
      <c r="M151" s="35">
        <v>116.87</v>
      </c>
      <c r="N151" s="35">
        <f t="shared" si="1"/>
        <v>18.059999999999999</v>
      </c>
    </row>
    <row r="152" spans="1:14" ht="18" customHeight="1" x14ac:dyDescent="0.3">
      <c r="A152" s="115">
        <v>7</v>
      </c>
      <c r="B152" s="115">
        <v>19.5</v>
      </c>
      <c r="C152" s="116">
        <v>4.66</v>
      </c>
      <c r="D152" s="116">
        <v>71.239999999999995</v>
      </c>
      <c r="E152" s="40">
        <v>14.25</v>
      </c>
      <c r="F152" s="117">
        <v>1047.3800000000001</v>
      </c>
      <c r="G152" s="118">
        <v>0.50900000000000001</v>
      </c>
      <c r="H152" s="117">
        <v>160.34</v>
      </c>
      <c r="I152" s="117">
        <v>3348</v>
      </c>
      <c r="J152" s="117">
        <v>1500</v>
      </c>
      <c r="K152" s="117">
        <v>6055.72</v>
      </c>
      <c r="L152" s="117">
        <v>1299.51</v>
      </c>
      <c r="M152" s="117">
        <v>109.31</v>
      </c>
      <c r="N152" s="117">
        <f t="shared" si="1"/>
        <v>35.26</v>
      </c>
    </row>
    <row r="153" spans="1:14" ht="18" customHeight="1" x14ac:dyDescent="0.3">
      <c r="A153" s="119">
        <v>8</v>
      </c>
      <c r="B153" s="119">
        <v>20</v>
      </c>
      <c r="C153" s="120">
        <v>4.4400000000000004</v>
      </c>
      <c r="D153" s="120">
        <v>77.040000000000006</v>
      </c>
      <c r="E153" s="42">
        <v>15.41</v>
      </c>
      <c r="F153" s="35">
        <v>1132.6300000000001</v>
      </c>
      <c r="G153" s="121">
        <v>0.55000000000000004</v>
      </c>
      <c r="H153" s="35">
        <v>173.25</v>
      </c>
      <c r="I153" s="35">
        <v>3348</v>
      </c>
      <c r="J153" s="35">
        <v>1500</v>
      </c>
      <c r="K153" s="35">
        <v>6153.89</v>
      </c>
      <c r="L153" s="35">
        <v>1386.01</v>
      </c>
      <c r="M153" s="35">
        <v>98.17</v>
      </c>
      <c r="N153" s="35">
        <f t="shared" si="1"/>
        <v>52.56</v>
      </c>
    </row>
    <row r="154" spans="1:14" ht="18" customHeight="1" x14ac:dyDescent="0.3">
      <c r="A154" s="115">
        <v>9</v>
      </c>
      <c r="B154" s="115">
        <v>20.5</v>
      </c>
      <c r="C154" s="116">
        <v>4.26</v>
      </c>
      <c r="D154" s="116">
        <v>82.68</v>
      </c>
      <c r="E154" s="40">
        <v>16.54</v>
      </c>
      <c r="F154" s="117">
        <v>1215.69</v>
      </c>
      <c r="G154" s="118">
        <v>0.59099999999999997</v>
      </c>
      <c r="H154" s="117">
        <v>186.16</v>
      </c>
      <c r="I154" s="117">
        <v>3348</v>
      </c>
      <c r="J154" s="117">
        <v>1500</v>
      </c>
      <c r="K154" s="117">
        <v>6249.86</v>
      </c>
      <c r="L154" s="117">
        <v>1467.1</v>
      </c>
      <c r="M154" s="117">
        <v>95.97</v>
      </c>
      <c r="N154" s="117">
        <f t="shared" si="1"/>
        <v>68.77</v>
      </c>
    </row>
    <row r="155" spans="1:14" ht="18" customHeight="1" x14ac:dyDescent="0.3">
      <c r="A155" s="119">
        <v>10</v>
      </c>
      <c r="B155" s="119">
        <v>21</v>
      </c>
      <c r="C155" s="120">
        <v>4.0999999999999996</v>
      </c>
      <c r="D155" s="120">
        <v>88</v>
      </c>
      <c r="E155" s="42">
        <v>17.600000000000001</v>
      </c>
      <c r="F155" s="35">
        <v>1293.5999999999999</v>
      </c>
      <c r="G155" s="121">
        <v>0.629</v>
      </c>
      <c r="H155" s="35">
        <v>198.13</v>
      </c>
      <c r="I155" s="35">
        <v>3348</v>
      </c>
      <c r="J155" s="35">
        <v>1500</v>
      </c>
      <c r="K155" s="35">
        <v>6339.74</v>
      </c>
      <c r="L155" s="35">
        <v>1546.28</v>
      </c>
      <c r="M155" s="35">
        <v>89.88</v>
      </c>
      <c r="N155" s="35">
        <f t="shared" si="1"/>
        <v>84.61</v>
      </c>
    </row>
    <row r="156" spans="1:14" ht="18" customHeight="1" x14ac:dyDescent="0.3">
      <c r="A156" s="115">
        <v>11</v>
      </c>
      <c r="B156" s="115">
        <v>21.5</v>
      </c>
      <c r="C156" s="116">
        <v>3.95</v>
      </c>
      <c r="D156" s="116">
        <v>92.9</v>
      </c>
      <c r="E156" s="40">
        <v>18.579999999999998</v>
      </c>
      <c r="F156" s="117">
        <v>1365.63</v>
      </c>
      <c r="G156" s="118">
        <v>0.66400000000000003</v>
      </c>
      <c r="H156" s="117">
        <v>209.16</v>
      </c>
      <c r="I156" s="117">
        <v>3348</v>
      </c>
      <c r="J156" s="117">
        <v>1500</v>
      </c>
      <c r="K156" s="117">
        <v>6422.79</v>
      </c>
      <c r="L156" s="117">
        <v>1626.02</v>
      </c>
      <c r="M156" s="117">
        <v>83.05</v>
      </c>
      <c r="N156" s="117">
        <f t="shared" si="1"/>
        <v>7.97</v>
      </c>
    </row>
    <row r="157" spans="1:14" ht="18" customHeight="1" x14ac:dyDescent="0.3">
      <c r="A157" s="119">
        <v>12</v>
      </c>
      <c r="B157" s="119">
        <v>22</v>
      </c>
      <c r="C157" s="120">
        <v>3.83</v>
      </c>
      <c r="D157" s="120">
        <v>97.92</v>
      </c>
      <c r="E157" s="42">
        <v>19.579999999999998</v>
      </c>
      <c r="F157" s="35">
        <v>1439.13</v>
      </c>
      <c r="G157" s="121">
        <v>0.69899999999999995</v>
      </c>
      <c r="H157" s="35">
        <v>220.18</v>
      </c>
      <c r="I157" s="35">
        <v>3348</v>
      </c>
      <c r="J157" s="35">
        <v>1500</v>
      </c>
      <c r="K157" s="35">
        <v>6507.32</v>
      </c>
      <c r="L157" s="35">
        <v>1699.04</v>
      </c>
      <c r="M157" s="35">
        <v>84.53</v>
      </c>
      <c r="N157" s="35">
        <f t="shared" si="1"/>
        <v>15.28</v>
      </c>
    </row>
    <row r="158" spans="1:14" ht="18" customHeight="1" x14ac:dyDescent="0.3">
      <c r="A158" s="115">
        <v>13</v>
      </c>
      <c r="B158" s="115">
        <v>22.5</v>
      </c>
      <c r="C158" s="116">
        <v>3.71</v>
      </c>
      <c r="D158" s="116">
        <v>102.46</v>
      </c>
      <c r="E158" s="40">
        <v>20.49</v>
      </c>
      <c r="F158" s="117">
        <v>1506.01</v>
      </c>
      <c r="G158" s="118">
        <v>0.73199999999999998</v>
      </c>
      <c r="H158" s="117">
        <v>230.58</v>
      </c>
      <c r="I158" s="117">
        <v>3348</v>
      </c>
      <c r="J158" s="117">
        <v>1500</v>
      </c>
      <c r="K158" s="117">
        <v>6584.6</v>
      </c>
      <c r="L158" s="117">
        <v>1774.82</v>
      </c>
      <c r="M158" s="117">
        <v>77.28</v>
      </c>
      <c r="N158" s="117">
        <f t="shared" si="1"/>
        <v>22.85</v>
      </c>
    </row>
    <row r="159" spans="1:14" ht="18" customHeight="1" x14ac:dyDescent="0.3">
      <c r="A159" s="119">
        <v>14</v>
      </c>
      <c r="B159" s="119">
        <v>23</v>
      </c>
      <c r="C159" s="120">
        <v>3.61</v>
      </c>
      <c r="D159" s="120">
        <v>107.08</v>
      </c>
      <c r="E159" s="42">
        <v>21.42</v>
      </c>
      <c r="F159" s="35">
        <v>1574.37</v>
      </c>
      <c r="G159" s="121">
        <v>0.76500000000000001</v>
      </c>
      <c r="H159" s="35">
        <v>240.97</v>
      </c>
      <c r="I159" s="35">
        <v>3348</v>
      </c>
      <c r="J159" s="35">
        <v>1500</v>
      </c>
      <c r="K159" s="35">
        <v>6663.35</v>
      </c>
      <c r="L159" s="35">
        <v>1845.8</v>
      </c>
      <c r="M159" s="35">
        <v>78.75</v>
      </c>
      <c r="N159" s="35">
        <f t="shared" si="1"/>
        <v>29.95</v>
      </c>
    </row>
    <row r="160" spans="1:14" ht="18" customHeight="1" x14ac:dyDescent="0.3">
      <c r="A160" s="115">
        <v>15</v>
      </c>
      <c r="B160" s="115">
        <v>23.5</v>
      </c>
      <c r="C160" s="116">
        <v>3.51</v>
      </c>
      <c r="D160" s="116">
        <v>111.3</v>
      </c>
      <c r="E160" s="40">
        <v>22.26</v>
      </c>
      <c r="F160" s="117">
        <v>1636.11</v>
      </c>
      <c r="G160" s="118">
        <v>0.79500000000000004</v>
      </c>
      <c r="H160" s="117">
        <v>250.43</v>
      </c>
      <c r="I160" s="117">
        <v>3348</v>
      </c>
      <c r="J160" s="117">
        <v>1500</v>
      </c>
      <c r="K160" s="117">
        <v>6734.54</v>
      </c>
      <c r="L160" s="117">
        <v>1918.67</v>
      </c>
      <c r="M160" s="117">
        <v>71.19</v>
      </c>
      <c r="N160" s="117">
        <f t="shared" si="1"/>
        <v>37.24</v>
      </c>
    </row>
    <row r="161" spans="1:14" ht="18" customHeight="1" x14ac:dyDescent="0.3">
      <c r="A161" s="119">
        <v>16</v>
      </c>
      <c r="B161" s="119">
        <v>24</v>
      </c>
      <c r="C161" s="120">
        <v>3.43</v>
      </c>
      <c r="D161" s="120">
        <v>115.76</v>
      </c>
      <c r="E161" s="42">
        <v>23.15</v>
      </c>
      <c r="F161" s="35">
        <v>1701.52</v>
      </c>
      <c r="G161" s="121">
        <v>0.82699999999999996</v>
      </c>
      <c r="H161" s="35">
        <v>260.5</v>
      </c>
      <c r="I161" s="35">
        <v>3348</v>
      </c>
      <c r="J161" s="35">
        <v>1500</v>
      </c>
      <c r="K161" s="35">
        <v>6810.04</v>
      </c>
      <c r="L161" s="35">
        <v>1985.43</v>
      </c>
      <c r="M161" s="35">
        <v>75.5</v>
      </c>
      <c r="N161" s="35">
        <f t="shared" si="1"/>
        <v>43.92</v>
      </c>
    </row>
    <row r="162" spans="1:14" ht="18" customHeight="1" x14ac:dyDescent="0.3">
      <c r="A162" s="115">
        <v>17</v>
      </c>
      <c r="B162" s="115">
        <v>24.5</v>
      </c>
      <c r="C162" s="116">
        <v>3.35</v>
      </c>
      <c r="D162" s="116">
        <v>119.9</v>
      </c>
      <c r="E162" s="40">
        <v>23.98</v>
      </c>
      <c r="F162" s="117">
        <v>1762.53</v>
      </c>
      <c r="G162" s="118">
        <v>0.85599999999999998</v>
      </c>
      <c r="H162" s="117">
        <v>269.64</v>
      </c>
      <c r="I162" s="117">
        <v>3348</v>
      </c>
      <c r="J162" s="117">
        <v>1500</v>
      </c>
      <c r="K162" s="117">
        <v>6880.17</v>
      </c>
      <c r="L162" s="117">
        <v>2053.7800000000002</v>
      </c>
      <c r="M162" s="117">
        <v>70.13</v>
      </c>
      <c r="N162" s="117">
        <f t="shared" si="1"/>
        <v>50.75</v>
      </c>
    </row>
    <row r="163" spans="1:14" ht="18" customHeight="1" x14ac:dyDescent="0.3">
      <c r="A163" s="119">
        <v>18</v>
      </c>
      <c r="B163" s="119">
        <v>25</v>
      </c>
      <c r="C163" s="120">
        <v>3.28</v>
      </c>
      <c r="D163" s="120">
        <v>124.08</v>
      </c>
      <c r="E163" s="42">
        <v>24.82</v>
      </c>
      <c r="F163" s="35">
        <v>1824.27</v>
      </c>
      <c r="G163" s="121">
        <v>0.88600000000000001</v>
      </c>
      <c r="H163" s="35">
        <v>279.08999999999997</v>
      </c>
      <c r="I163" s="35">
        <v>3348</v>
      </c>
      <c r="J163" s="35">
        <v>1500</v>
      </c>
      <c r="K163" s="35">
        <v>6951.36</v>
      </c>
      <c r="L163" s="35">
        <v>2119.3200000000002</v>
      </c>
      <c r="M163" s="35">
        <v>71.19</v>
      </c>
      <c r="N163" s="35">
        <f t="shared" si="1"/>
        <v>57.3</v>
      </c>
    </row>
    <row r="164" spans="1:14" ht="18" customHeight="1" x14ac:dyDescent="0.3">
      <c r="A164" s="115">
        <v>19</v>
      </c>
      <c r="B164" s="115">
        <v>25.5</v>
      </c>
      <c r="C164" s="116">
        <v>3.21</v>
      </c>
      <c r="D164" s="116">
        <v>127.98</v>
      </c>
      <c r="E164" s="40">
        <v>25.6</v>
      </c>
      <c r="F164" s="117">
        <v>1881.6</v>
      </c>
      <c r="G164" s="118">
        <v>0.91400000000000003</v>
      </c>
      <c r="H164" s="117">
        <v>287.91000000000003</v>
      </c>
      <c r="I164" s="117">
        <v>3348</v>
      </c>
      <c r="J164" s="117">
        <v>1500</v>
      </c>
      <c r="K164" s="117">
        <v>7017.51</v>
      </c>
      <c r="L164" s="117">
        <v>2186.14</v>
      </c>
      <c r="M164" s="117">
        <v>66.150000000000006</v>
      </c>
      <c r="N164" s="117">
        <f t="shared" si="1"/>
        <v>63.99</v>
      </c>
    </row>
    <row r="165" spans="1:14" ht="18" customHeight="1" x14ac:dyDescent="0.3">
      <c r="A165" s="119">
        <v>20</v>
      </c>
      <c r="B165" s="119">
        <v>26</v>
      </c>
      <c r="C165" s="120">
        <v>3.15</v>
      </c>
      <c r="D165" s="120">
        <v>132</v>
      </c>
      <c r="E165" s="42">
        <v>26.4</v>
      </c>
      <c r="F165" s="35">
        <v>1940.4</v>
      </c>
      <c r="G165" s="121">
        <v>0.94299999999999995</v>
      </c>
      <c r="H165" s="35">
        <v>297.04000000000002</v>
      </c>
      <c r="I165" s="35">
        <v>3348</v>
      </c>
      <c r="J165" s="35">
        <v>1500</v>
      </c>
      <c r="K165" s="35">
        <v>7085.45</v>
      </c>
      <c r="L165" s="35">
        <v>2249.35</v>
      </c>
      <c r="M165" s="35">
        <v>67.94</v>
      </c>
      <c r="N165" s="35">
        <f t="shared" si="1"/>
        <v>70.31</v>
      </c>
    </row>
    <row r="166" spans="1:14" ht="18" customHeight="1" x14ac:dyDescent="0.3">
      <c r="A166" s="115">
        <v>21</v>
      </c>
      <c r="B166" s="115">
        <v>26.5</v>
      </c>
      <c r="C166" s="116">
        <v>3.09</v>
      </c>
      <c r="D166" s="116">
        <v>135.78</v>
      </c>
      <c r="E166" s="40">
        <v>27.16</v>
      </c>
      <c r="F166" s="117">
        <v>1996.26</v>
      </c>
      <c r="G166" s="118">
        <v>0.97</v>
      </c>
      <c r="H166" s="117">
        <v>305.55</v>
      </c>
      <c r="I166" s="117">
        <v>3348</v>
      </c>
      <c r="J166" s="117">
        <v>1500</v>
      </c>
      <c r="K166" s="117">
        <v>7149.81</v>
      </c>
      <c r="L166" s="117">
        <v>2313.85</v>
      </c>
      <c r="M166" s="117">
        <v>64.36</v>
      </c>
      <c r="N166" s="117">
        <f t="shared" si="1"/>
        <v>6.45</v>
      </c>
    </row>
    <row r="167" spans="1:14" ht="18" customHeight="1" x14ac:dyDescent="0.3">
      <c r="A167" s="119">
        <v>22</v>
      </c>
      <c r="B167" s="119">
        <v>27</v>
      </c>
      <c r="C167" s="120">
        <v>3.04</v>
      </c>
      <c r="D167" s="120">
        <v>139.76</v>
      </c>
      <c r="E167" s="42">
        <v>27.95</v>
      </c>
      <c r="F167" s="35">
        <v>2054.3200000000002</v>
      </c>
      <c r="G167" s="121">
        <v>0.998</v>
      </c>
      <c r="H167" s="35">
        <v>314.37</v>
      </c>
      <c r="I167" s="35">
        <v>3348</v>
      </c>
      <c r="J167" s="35">
        <v>1500</v>
      </c>
      <c r="K167" s="35">
        <v>7216.7</v>
      </c>
      <c r="L167" s="35">
        <v>2373.91</v>
      </c>
      <c r="M167" s="35">
        <v>66.89</v>
      </c>
      <c r="N167" s="35">
        <f t="shared" si="1"/>
        <v>12.46</v>
      </c>
    </row>
    <row r="168" spans="1:14" ht="18" customHeight="1" x14ac:dyDescent="0.3">
      <c r="A168" s="115">
        <v>23</v>
      </c>
      <c r="B168" s="115">
        <v>27.5</v>
      </c>
      <c r="C168" s="116">
        <v>2.99</v>
      </c>
      <c r="D168" s="116">
        <v>143.54</v>
      </c>
      <c r="E168" s="40">
        <v>28.71</v>
      </c>
      <c r="F168" s="117">
        <v>2110.1799999999998</v>
      </c>
      <c r="G168" s="118">
        <v>1.0249999999999999</v>
      </c>
      <c r="H168" s="117">
        <v>322.88</v>
      </c>
      <c r="I168" s="117">
        <v>3348</v>
      </c>
      <c r="J168" s="117">
        <v>1500</v>
      </c>
      <c r="K168" s="117">
        <v>7281.07</v>
      </c>
      <c r="L168" s="117">
        <v>2435.14</v>
      </c>
      <c r="M168" s="117">
        <v>64.37</v>
      </c>
      <c r="N168" s="117">
        <f t="shared" si="1"/>
        <v>18.579999999999998</v>
      </c>
    </row>
    <row r="169" spans="1:14" ht="18" customHeight="1" x14ac:dyDescent="0.3">
      <c r="A169" s="119">
        <v>24</v>
      </c>
      <c r="B169" s="119">
        <v>28</v>
      </c>
      <c r="C169" s="120">
        <v>2.95</v>
      </c>
      <c r="D169" s="120">
        <v>147.6</v>
      </c>
      <c r="E169" s="42">
        <v>29.52</v>
      </c>
      <c r="F169" s="35">
        <v>2169.7199999999998</v>
      </c>
      <c r="G169" s="121">
        <v>1.054</v>
      </c>
      <c r="H169" s="35">
        <v>332.01</v>
      </c>
      <c r="I169" s="35">
        <v>3348</v>
      </c>
      <c r="J169" s="35">
        <v>1500</v>
      </c>
      <c r="K169" s="35">
        <v>7349.73</v>
      </c>
      <c r="L169" s="35">
        <v>2491.4299999999998</v>
      </c>
      <c r="M169" s="35">
        <v>68.66</v>
      </c>
      <c r="N169" s="35">
        <f t="shared" si="1"/>
        <v>24.21</v>
      </c>
    </row>
    <row r="170" spans="1:14" ht="18" customHeight="1" x14ac:dyDescent="0.3">
      <c r="A170" s="115">
        <v>25</v>
      </c>
      <c r="B170" s="115">
        <v>28.5</v>
      </c>
      <c r="C170" s="116">
        <v>2.9</v>
      </c>
      <c r="D170" s="116">
        <v>151</v>
      </c>
      <c r="E170" s="40">
        <v>30.2</v>
      </c>
      <c r="F170" s="117">
        <v>2219.6999999999998</v>
      </c>
      <c r="G170" s="118">
        <v>1.079</v>
      </c>
      <c r="H170" s="117">
        <v>339.88</v>
      </c>
      <c r="I170" s="117">
        <v>3348</v>
      </c>
      <c r="J170" s="117">
        <v>1500</v>
      </c>
      <c r="K170" s="117">
        <v>7407.59</v>
      </c>
      <c r="L170" s="117">
        <v>2554.34</v>
      </c>
      <c r="M170" s="117">
        <v>57.86</v>
      </c>
      <c r="N170" s="117">
        <f t="shared" si="1"/>
        <v>30.5</v>
      </c>
    </row>
    <row r="171" spans="1:14" ht="18" customHeight="1" x14ac:dyDescent="0.3">
      <c r="A171" s="119">
        <v>26</v>
      </c>
      <c r="B171" s="119">
        <v>29</v>
      </c>
      <c r="C171" s="120">
        <v>2.86</v>
      </c>
      <c r="D171" s="120">
        <v>154.72</v>
      </c>
      <c r="E171" s="42">
        <v>30.94</v>
      </c>
      <c r="F171" s="35">
        <v>2274.09</v>
      </c>
      <c r="G171" s="121">
        <v>1.105</v>
      </c>
      <c r="H171" s="35">
        <v>348.07</v>
      </c>
      <c r="I171" s="35">
        <v>3348</v>
      </c>
      <c r="J171" s="35">
        <v>1500</v>
      </c>
      <c r="K171" s="35">
        <v>7470.17</v>
      </c>
      <c r="L171" s="35">
        <v>2611.9499999999998</v>
      </c>
      <c r="M171" s="35">
        <v>62.58</v>
      </c>
      <c r="N171" s="35">
        <f t="shared" si="1"/>
        <v>36.26</v>
      </c>
    </row>
    <row r="172" spans="1:14" ht="18" customHeight="1" x14ac:dyDescent="0.3">
      <c r="A172" s="115">
        <v>27</v>
      </c>
      <c r="B172" s="115">
        <v>29.5</v>
      </c>
      <c r="C172" s="116">
        <v>2.83</v>
      </c>
      <c r="D172" s="116">
        <v>158.82</v>
      </c>
      <c r="E172" s="40">
        <v>31.76</v>
      </c>
      <c r="F172" s="117">
        <v>2334.36</v>
      </c>
      <c r="G172" s="118">
        <v>1.1339999999999999</v>
      </c>
      <c r="H172" s="117">
        <v>357.21</v>
      </c>
      <c r="I172" s="117">
        <v>3348</v>
      </c>
      <c r="J172" s="117">
        <v>1500</v>
      </c>
      <c r="K172" s="117">
        <v>7539.57</v>
      </c>
      <c r="L172" s="117">
        <v>2664.16</v>
      </c>
      <c r="M172" s="117">
        <v>69.400000000000006</v>
      </c>
      <c r="N172" s="117">
        <f t="shared" si="1"/>
        <v>41.48</v>
      </c>
    </row>
    <row r="173" spans="1:14" ht="18" customHeight="1" x14ac:dyDescent="0.3">
      <c r="A173" s="119">
        <v>28</v>
      </c>
      <c r="B173" s="119">
        <v>30</v>
      </c>
      <c r="C173" s="120">
        <v>2.79</v>
      </c>
      <c r="D173" s="120">
        <v>162.24</v>
      </c>
      <c r="E173" s="42">
        <v>32.450000000000003</v>
      </c>
      <c r="F173" s="35">
        <v>2385.08</v>
      </c>
      <c r="G173" s="121">
        <v>1.159</v>
      </c>
      <c r="H173" s="35">
        <v>365.09</v>
      </c>
      <c r="I173" s="35">
        <v>3348</v>
      </c>
      <c r="J173" s="35">
        <v>1500</v>
      </c>
      <c r="K173" s="35">
        <v>7598.17</v>
      </c>
      <c r="L173" s="35">
        <v>2723.36</v>
      </c>
      <c r="M173" s="35">
        <v>58.6</v>
      </c>
      <c r="N173" s="35">
        <f t="shared" si="1"/>
        <v>47.4</v>
      </c>
    </row>
    <row r="174" spans="1:14" ht="18" customHeight="1" x14ac:dyDescent="0.3">
      <c r="A174" s="115">
        <v>29</v>
      </c>
      <c r="B174" s="115">
        <v>30.5</v>
      </c>
      <c r="C174" s="116">
        <v>2.76</v>
      </c>
      <c r="D174" s="116">
        <v>166.08</v>
      </c>
      <c r="E174" s="40">
        <v>33.22</v>
      </c>
      <c r="F174" s="117">
        <v>2441.67</v>
      </c>
      <c r="G174" s="118">
        <v>1.1859999999999999</v>
      </c>
      <c r="H174" s="117">
        <v>373.59</v>
      </c>
      <c r="I174" s="117">
        <v>3348</v>
      </c>
      <c r="J174" s="117">
        <v>1500</v>
      </c>
      <c r="K174" s="117">
        <v>7663.26</v>
      </c>
      <c r="L174" s="117">
        <v>2776.54</v>
      </c>
      <c r="M174" s="117">
        <v>65.09</v>
      </c>
      <c r="N174" s="117">
        <f t="shared" si="1"/>
        <v>52.72</v>
      </c>
    </row>
    <row r="175" spans="1:14" ht="18" customHeight="1" x14ac:dyDescent="0.3">
      <c r="A175" s="119">
        <v>30</v>
      </c>
      <c r="B175" s="119">
        <v>31</v>
      </c>
      <c r="C175" s="120">
        <v>2.73</v>
      </c>
      <c r="D175" s="120">
        <v>169.8</v>
      </c>
      <c r="E175" s="42">
        <v>33.96</v>
      </c>
      <c r="F175" s="35">
        <v>2496.06</v>
      </c>
      <c r="G175" s="121">
        <v>1.2130000000000001</v>
      </c>
      <c r="H175" s="35">
        <v>382.1</v>
      </c>
      <c r="I175" s="35">
        <v>3348</v>
      </c>
      <c r="J175" s="35">
        <v>1500</v>
      </c>
      <c r="K175" s="35">
        <v>7726.16</v>
      </c>
      <c r="L175" s="35">
        <v>2830.1</v>
      </c>
      <c r="M175" s="35">
        <v>62.9</v>
      </c>
      <c r="N175" s="35">
        <f t="shared" si="1"/>
        <v>58.08</v>
      </c>
    </row>
    <row r="176" spans="1:14" ht="40.049999999999997" customHeight="1" x14ac:dyDescent="0.3">
      <c r="A176" s="237" t="s">
        <v>6686</v>
      </c>
      <c r="B176" s="241"/>
      <c r="C176" s="241"/>
      <c r="D176" s="241"/>
      <c r="E176" s="241"/>
      <c r="F176" s="241"/>
      <c r="G176" s="241"/>
      <c r="H176" s="241"/>
      <c r="I176" s="242"/>
    </row>
    <row r="177" spans="1:14" ht="7.95" customHeight="1" x14ac:dyDescent="0.3"/>
    <row r="178" spans="1:14" ht="30" customHeight="1" x14ac:dyDescent="0.3">
      <c r="A178" s="239" t="s">
        <v>6687</v>
      </c>
      <c r="B178" s="228"/>
      <c r="C178" s="228"/>
      <c r="D178" s="228"/>
      <c r="E178" s="228"/>
      <c r="F178" s="228"/>
      <c r="G178" s="228"/>
      <c r="H178" s="228"/>
      <c r="I178" s="228"/>
      <c r="J178" s="228"/>
      <c r="K178" s="228"/>
      <c r="L178" s="228"/>
      <c r="M178" s="228"/>
      <c r="N178" s="228"/>
    </row>
    <row r="179" spans="1:14" ht="30" customHeight="1" x14ac:dyDescent="0.3">
      <c r="A179" s="153" t="s">
        <v>6688</v>
      </c>
      <c r="B179" s="153" t="s">
        <v>6689</v>
      </c>
      <c r="C179" s="153" t="s">
        <v>6690</v>
      </c>
      <c r="D179" s="153" t="s">
        <v>6691</v>
      </c>
      <c r="E179" s="153" t="s">
        <v>6692</v>
      </c>
      <c r="F179" s="153" t="s">
        <v>6693</v>
      </c>
      <c r="G179" s="153" t="s">
        <v>6694</v>
      </c>
      <c r="H179" s="153" t="s">
        <v>6695</v>
      </c>
      <c r="I179" s="153" t="s">
        <v>6696</v>
      </c>
      <c r="J179" s="153" t="s">
        <v>6697</v>
      </c>
      <c r="K179" s="153" t="s">
        <v>6698</v>
      </c>
      <c r="L179" s="153" t="s">
        <v>6699</v>
      </c>
      <c r="M179" s="153" t="s">
        <v>6700</v>
      </c>
      <c r="N179" s="153" t="s">
        <v>6701</v>
      </c>
    </row>
    <row r="180" spans="1:14" ht="18" customHeight="1" x14ac:dyDescent="0.3">
      <c r="A180" s="3" t="s">
        <v>6702</v>
      </c>
      <c r="B180" s="2" t="s">
        <v>6703</v>
      </c>
      <c r="C180" s="3">
        <v>8</v>
      </c>
      <c r="D180" s="29">
        <v>8</v>
      </c>
      <c r="E180" s="3" t="s">
        <v>18</v>
      </c>
      <c r="F180" s="2" t="s">
        <v>6704</v>
      </c>
      <c r="G180" s="117">
        <v>104.94</v>
      </c>
      <c r="H180" s="117">
        <v>119.54</v>
      </c>
      <c r="I180" s="117">
        <v>134</v>
      </c>
      <c r="J180" s="117">
        <v>147.91</v>
      </c>
      <c r="K180" s="117">
        <v>161.46</v>
      </c>
      <c r="L180" s="117">
        <v>12.16</v>
      </c>
      <c r="M180" s="117">
        <v>10.11</v>
      </c>
      <c r="N180" s="117">
        <v>8.35</v>
      </c>
    </row>
    <row r="181" spans="1:14" ht="18" customHeight="1" x14ac:dyDescent="0.3">
      <c r="A181" s="7" t="s">
        <v>6705</v>
      </c>
      <c r="B181" s="6" t="s">
        <v>6706</v>
      </c>
      <c r="C181" s="7">
        <v>8</v>
      </c>
      <c r="D181" s="29">
        <v>6.4</v>
      </c>
      <c r="E181" s="7" t="s">
        <v>18</v>
      </c>
      <c r="F181" s="6" t="s">
        <v>6707</v>
      </c>
      <c r="G181" s="35">
        <v>131.16999999999999</v>
      </c>
      <c r="H181" s="35">
        <v>149.43</v>
      </c>
      <c r="I181" s="35">
        <v>167.5</v>
      </c>
      <c r="J181" s="35">
        <v>184.89</v>
      </c>
      <c r="K181" s="35">
        <v>201.83</v>
      </c>
      <c r="L181" s="35">
        <v>15.2</v>
      </c>
      <c r="M181" s="35">
        <v>12.63</v>
      </c>
      <c r="N181" s="35">
        <v>10.44</v>
      </c>
    </row>
    <row r="182" spans="1:14" ht="18" customHeight="1" x14ac:dyDescent="0.3">
      <c r="A182" s="3" t="s">
        <v>6708</v>
      </c>
      <c r="B182" s="2" t="s">
        <v>6709</v>
      </c>
      <c r="C182" s="3">
        <v>8</v>
      </c>
      <c r="D182" s="29">
        <v>7.36</v>
      </c>
      <c r="E182" s="3" t="s">
        <v>18</v>
      </c>
      <c r="F182" s="2" t="s">
        <v>6710</v>
      </c>
      <c r="G182" s="117">
        <v>114.06</v>
      </c>
      <c r="H182" s="117">
        <v>129.94</v>
      </c>
      <c r="I182" s="117">
        <v>145.65</v>
      </c>
      <c r="J182" s="117">
        <v>160.78</v>
      </c>
      <c r="K182" s="117">
        <v>175.5</v>
      </c>
      <c r="L182" s="117">
        <v>13.22</v>
      </c>
      <c r="M182" s="117">
        <v>10.99</v>
      </c>
      <c r="N182" s="117">
        <v>9.08</v>
      </c>
    </row>
    <row r="183" spans="1:14" ht="18" customHeight="1" x14ac:dyDescent="0.3">
      <c r="A183" s="7" t="s">
        <v>6711</v>
      </c>
      <c r="B183" s="6" t="s">
        <v>6712</v>
      </c>
      <c r="C183" s="7">
        <v>8</v>
      </c>
      <c r="D183" s="29">
        <v>4</v>
      </c>
      <c r="E183" s="7" t="s">
        <v>18</v>
      </c>
      <c r="F183" s="6" t="s">
        <v>6713</v>
      </c>
      <c r="G183" s="35">
        <v>209.88</v>
      </c>
      <c r="H183" s="35">
        <v>239.09</v>
      </c>
      <c r="I183" s="35">
        <v>267.99</v>
      </c>
      <c r="J183" s="35">
        <v>295.83</v>
      </c>
      <c r="K183" s="35">
        <v>322.93</v>
      </c>
      <c r="L183" s="35">
        <v>24.33</v>
      </c>
      <c r="M183" s="35">
        <v>20.21</v>
      </c>
      <c r="N183" s="35">
        <v>16.7</v>
      </c>
    </row>
    <row r="184" spans="1:14" ht="18" customHeight="1" x14ac:dyDescent="0.3">
      <c r="A184" s="3" t="s">
        <v>6714</v>
      </c>
      <c r="B184" s="2" t="s">
        <v>6715</v>
      </c>
      <c r="C184" s="3">
        <v>8</v>
      </c>
      <c r="D184" s="29">
        <v>8</v>
      </c>
      <c r="E184" s="3" t="s">
        <v>18</v>
      </c>
      <c r="F184" s="2" t="s">
        <v>6704</v>
      </c>
      <c r="G184" s="117">
        <v>104.94</v>
      </c>
      <c r="H184" s="117">
        <v>119.54</v>
      </c>
      <c r="I184" s="117">
        <v>134</v>
      </c>
      <c r="J184" s="117">
        <v>147.91</v>
      </c>
      <c r="K184" s="117">
        <v>161.46</v>
      </c>
      <c r="L184" s="117">
        <v>12.16</v>
      </c>
      <c r="M184" s="117">
        <v>10.11</v>
      </c>
      <c r="N184" s="117">
        <v>8.35</v>
      </c>
    </row>
    <row r="185" spans="1:14" ht="18" customHeight="1" x14ac:dyDescent="0.3">
      <c r="A185" s="7" t="s">
        <v>6716</v>
      </c>
      <c r="B185" s="6" t="s">
        <v>6717</v>
      </c>
      <c r="C185" s="7">
        <v>8</v>
      </c>
      <c r="D185" s="29">
        <v>7.36</v>
      </c>
      <c r="E185" s="7" t="s">
        <v>18</v>
      </c>
      <c r="F185" s="6" t="s">
        <v>6718</v>
      </c>
      <c r="G185" s="35">
        <v>114.06</v>
      </c>
      <c r="H185" s="35">
        <v>129.94</v>
      </c>
      <c r="I185" s="35">
        <v>145.65</v>
      </c>
      <c r="J185" s="35">
        <v>160.78</v>
      </c>
      <c r="K185" s="35">
        <v>175.5</v>
      </c>
      <c r="L185" s="35">
        <v>13.22</v>
      </c>
      <c r="M185" s="35">
        <v>10.99</v>
      </c>
      <c r="N185" s="35">
        <v>9.08</v>
      </c>
    </row>
    <row r="186" spans="1:14" ht="18" customHeight="1" x14ac:dyDescent="0.3">
      <c r="A186" s="3" t="s">
        <v>6719</v>
      </c>
      <c r="B186" s="2" t="s">
        <v>6720</v>
      </c>
      <c r="C186" s="3">
        <v>8</v>
      </c>
      <c r="D186" s="29">
        <v>6.8</v>
      </c>
      <c r="E186" s="3" t="s">
        <v>18</v>
      </c>
      <c r="F186" s="2" t="s">
        <v>6721</v>
      </c>
      <c r="G186" s="117">
        <v>123.46</v>
      </c>
      <c r="H186" s="117">
        <v>140.63999999999999</v>
      </c>
      <c r="I186" s="117">
        <v>157.63999999999999</v>
      </c>
      <c r="J186" s="117">
        <v>174.02</v>
      </c>
      <c r="K186" s="117">
        <v>189.96</v>
      </c>
      <c r="L186" s="117">
        <v>14.31</v>
      </c>
      <c r="M186" s="117">
        <v>11.89</v>
      </c>
      <c r="N186" s="117">
        <v>9.82</v>
      </c>
    </row>
    <row r="187" spans="1:14" ht="18" customHeight="1" x14ac:dyDescent="0.3">
      <c r="A187" s="7" t="s">
        <v>6722</v>
      </c>
      <c r="B187" s="6" t="s">
        <v>6723</v>
      </c>
      <c r="C187" s="7">
        <v>3000</v>
      </c>
      <c r="D187" s="29">
        <v>3000</v>
      </c>
      <c r="E187" s="7" t="s">
        <v>1620</v>
      </c>
      <c r="F187" s="6" t="s">
        <v>6704</v>
      </c>
      <c r="G187" s="35">
        <v>279.83</v>
      </c>
      <c r="H187" s="35">
        <v>318.77999999999997</v>
      </c>
      <c r="I187" s="35">
        <v>357.32</v>
      </c>
      <c r="J187" s="35">
        <v>394.44</v>
      </c>
      <c r="K187" s="35">
        <v>430.57</v>
      </c>
      <c r="L187" s="35">
        <v>32.43</v>
      </c>
      <c r="M187" s="35">
        <v>26.95</v>
      </c>
      <c r="N187" s="35">
        <v>22.26</v>
      </c>
    </row>
    <row r="188" spans="1:14" ht="18" customHeight="1" x14ac:dyDescent="0.3">
      <c r="A188" s="3" t="s">
        <v>6724</v>
      </c>
      <c r="B188" s="2" t="s">
        <v>6725</v>
      </c>
      <c r="C188" s="3">
        <v>5000</v>
      </c>
      <c r="D188" s="29">
        <v>5000</v>
      </c>
      <c r="E188" s="3" t="s">
        <v>1620</v>
      </c>
      <c r="F188" s="2" t="s">
        <v>6704</v>
      </c>
      <c r="G188" s="117">
        <v>167.9</v>
      </c>
      <c r="H188" s="117">
        <v>191.27</v>
      </c>
      <c r="I188" s="117">
        <v>214.39</v>
      </c>
      <c r="J188" s="117">
        <v>236.66</v>
      </c>
      <c r="K188" s="117">
        <v>258.33999999999997</v>
      </c>
      <c r="L188" s="117">
        <v>19.46</v>
      </c>
      <c r="M188" s="117">
        <v>16.170000000000002</v>
      </c>
      <c r="N188" s="117">
        <v>13.36</v>
      </c>
    </row>
    <row r="189" spans="1:14" ht="18" customHeight="1" x14ac:dyDescent="0.3">
      <c r="A189" s="7" t="s">
        <v>6726</v>
      </c>
      <c r="B189" s="6" t="s">
        <v>6727</v>
      </c>
      <c r="C189" s="7">
        <v>9</v>
      </c>
      <c r="D189" s="29">
        <v>9</v>
      </c>
      <c r="E189" s="7" t="s">
        <v>357</v>
      </c>
      <c r="F189" s="6" t="s">
        <v>6704</v>
      </c>
      <c r="G189" s="35">
        <v>93.28</v>
      </c>
      <c r="H189" s="35">
        <v>106.26</v>
      </c>
      <c r="I189" s="35">
        <v>119.11</v>
      </c>
      <c r="J189" s="35">
        <v>131.47999999999999</v>
      </c>
      <c r="K189" s="35">
        <v>143.52000000000001</v>
      </c>
      <c r="L189" s="35">
        <v>10.81</v>
      </c>
      <c r="M189" s="35">
        <v>8.98</v>
      </c>
      <c r="N189" s="35">
        <v>7.42</v>
      </c>
    </row>
    <row r="190" spans="1:14" ht="18" customHeight="1" x14ac:dyDescent="0.3">
      <c r="A190" s="3" t="s">
        <v>6728</v>
      </c>
      <c r="B190" s="2" t="s">
        <v>4428</v>
      </c>
      <c r="C190" s="3">
        <v>9</v>
      </c>
      <c r="D190" s="29">
        <v>9</v>
      </c>
      <c r="E190" s="3" t="s">
        <v>357</v>
      </c>
      <c r="F190" s="2" t="s">
        <v>6704</v>
      </c>
      <c r="G190" s="117">
        <v>93.28</v>
      </c>
      <c r="H190" s="117">
        <v>106.26</v>
      </c>
      <c r="I190" s="117">
        <v>119.11</v>
      </c>
      <c r="J190" s="117">
        <v>131.47999999999999</v>
      </c>
      <c r="K190" s="117">
        <v>143.52000000000001</v>
      </c>
      <c r="L190" s="117">
        <v>10.81</v>
      </c>
      <c r="M190" s="117">
        <v>8.98</v>
      </c>
      <c r="N190" s="117">
        <v>7.42</v>
      </c>
    </row>
    <row r="191" spans="1:14" ht="18" customHeight="1" x14ac:dyDescent="0.3">
      <c r="A191" s="7" t="s">
        <v>6729</v>
      </c>
      <c r="B191" s="6" t="s">
        <v>6730</v>
      </c>
      <c r="C191" s="7">
        <v>7</v>
      </c>
      <c r="D191" s="29">
        <v>7</v>
      </c>
      <c r="E191" s="7" t="s">
        <v>18</v>
      </c>
      <c r="F191" s="6" t="s">
        <v>6704</v>
      </c>
      <c r="G191" s="35">
        <v>119.93</v>
      </c>
      <c r="H191" s="35">
        <v>136.62</v>
      </c>
      <c r="I191" s="35">
        <v>153.13999999999999</v>
      </c>
      <c r="J191" s="35">
        <v>169.05</v>
      </c>
      <c r="K191" s="35">
        <v>184.53</v>
      </c>
      <c r="L191" s="35">
        <v>13.9</v>
      </c>
      <c r="M191" s="35">
        <v>11.55</v>
      </c>
      <c r="N191" s="35">
        <v>9.5399999999999991</v>
      </c>
    </row>
    <row r="192" spans="1:14" ht="18" customHeight="1" x14ac:dyDescent="0.3">
      <c r="A192" s="3" t="s">
        <v>6731</v>
      </c>
      <c r="B192" s="2" t="s">
        <v>6732</v>
      </c>
      <c r="C192" s="3">
        <v>8</v>
      </c>
      <c r="D192" s="29">
        <v>8</v>
      </c>
      <c r="E192" s="3" t="s">
        <v>357</v>
      </c>
      <c r="F192" s="2" t="s">
        <v>6704</v>
      </c>
      <c r="G192" s="117">
        <v>104.94</v>
      </c>
      <c r="H192" s="117">
        <v>119.54</v>
      </c>
      <c r="I192" s="117">
        <v>134</v>
      </c>
      <c r="J192" s="117">
        <v>147.91</v>
      </c>
      <c r="K192" s="117">
        <v>161.46</v>
      </c>
      <c r="L192" s="117">
        <v>12.16</v>
      </c>
      <c r="M192" s="117">
        <v>10.11</v>
      </c>
      <c r="N192" s="117">
        <v>8.35</v>
      </c>
    </row>
    <row r="193" spans="1:14" ht="18" customHeight="1" x14ac:dyDescent="0.3">
      <c r="A193" s="7" t="s">
        <v>6733</v>
      </c>
      <c r="B193" s="6" t="s">
        <v>6734</v>
      </c>
      <c r="C193" s="7">
        <v>80</v>
      </c>
      <c r="D193" s="29">
        <v>80</v>
      </c>
      <c r="E193" s="7" t="s">
        <v>6735</v>
      </c>
      <c r="F193" s="6" t="s">
        <v>6704</v>
      </c>
      <c r="G193" s="35">
        <v>10.49</v>
      </c>
      <c r="H193" s="35">
        <v>11.95</v>
      </c>
      <c r="I193" s="35">
        <v>13.4</v>
      </c>
      <c r="J193" s="35">
        <v>14.79</v>
      </c>
      <c r="K193" s="35">
        <v>16.149999999999999</v>
      </c>
      <c r="L193" s="35">
        <v>1.22</v>
      </c>
      <c r="M193" s="35">
        <v>1.01</v>
      </c>
      <c r="N193" s="35">
        <v>0.83</v>
      </c>
    </row>
    <row r="194" spans="1:14" ht="18" customHeight="1" x14ac:dyDescent="0.3">
      <c r="A194" s="3" t="s">
        <v>6736</v>
      </c>
      <c r="B194" s="2" t="s">
        <v>6737</v>
      </c>
      <c r="C194" s="3">
        <v>7</v>
      </c>
      <c r="D194" s="29">
        <v>7</v>
      </c>
      <c r="E194" s="3" t="s">
        <v>357</v>
      </c>
      <c r="F194" s="2" t="s">
        <v>6704</v>
      </c>
      <c r="G194" s="117">
        <v>119.93</v>
      </c>
      <c r="H194" s="117">
        <v>136.62</v>
      </c>
      <c r="I194" s="117">
        <v>153.13999999999999</v>
      </c>
      <c r="J194" s="117">
        <v>169.05</v>
      </c>
      <c r="K194" s="117">
        <v>184.53</v>
      </c>
      <c r="L194" s="117">
        <v>13.9</v>
      </c>
      <c r="M194" s="117">
        <v>11.55</v>
      </c>
      <c r="N194" s="117">
        <v>9.5399999999999991</v>
      </c>
    </row>
    <row r="195" spans="1:14" ht="18" customHeight="1" x14ac:dyDescent="0.3">
      <c r="A195" s="7" t="s">
        <v>6738</v>
      </c>
      <c r="B195" s="6" t="s">
        <v>6739</v>
      </c>
      <c r="C195" s="7">
        <v>600</v>
      </c>
      <c r="D195" s="29">
        <v>600</v>
      </c>
      <c r="E195" s="7" t="s">
        <v>6740</v>
      </c>
      <c r="F195" s="6" t="s">
        <v>6704</v>
      </c>
      <c r="G195" s="35">
        <v>139.91999999999999</v>
      </c>
      <c r="H195" s="35">
        <v>159.38999999999999</v>
      </c>
      <c r="I195" s="35">
        <v>178.66</v>
      </c>
      <c r="J195" s="35">
        <v>197.22</v>
      </c>
      <c r="K195" s="35">
        <v>215.29</v>
      </c>
      <c r="L195" s="35">
        <v>16.22</v>
      </c>
      <c r="M195" s="35">
        <v>13.48</v>
      </c>
      <c r="N195" s="35">
        <v>11.13</v>
      </c>
    </row>
    <row r="196" spans="1:14" ht="18" customHeight="1" x14ac:dyDescent="0.3">
      <c r="A196" s="3" t="s">
        <v>6741</v>
      </c>
      <c r="B196" s="2" t="s">
        <v>6742</v>
      </c>
      <c r="C196" s="3">
        <v>300</v>
      </c>
      <c r="D196" s="29">
        <v>300</v>
      </c>
      <c r="E196" s="3" t="s">
        <v>6740</v>
      </c>
      <c r="F196" s="2" t="s">
        <v>6704</v>
      </c>
      <c r="G196" s="117">
        <v>279.83</v>
      </c>
      <c r="H196" s="117">
        <v>318.77999999999997</v>
      </c>
      <c r="I196" s="117">
        <v>357.32</v>
      </c>
      <c r="J196" s="117">
        <v>394.44</v>
      </c>
      <c r="K196" s="117">
        <v>430.57</v>
      </c>
      <c r="L196" s="117">
        <v>32.43</v>
      </c>
      <c r="M196" s="117">
        <v>26.95</v>
      </c>
      <c r="N196" s="117">
        <v>22.26</v>
      </c>
    </row>
    <row r="197" spans="1:14" ht="18" customHeight="1" x14ac:dyDescent="0.3">
      <c r="A197" s="7" t="s">
        <v>6743</v>
      </c>
      <c r="B197" s="6" t="s">
        <v>6744</v>
      </c>
      <c r="C197" s="7">
        <v>180</v>
      </c>
      <c r="D197" s="29">
        <v>180</v>
      </c>
      <c r="E197" s="7" t="s">
        <v>6740</v>
      </c>
      <c r="F197" s="6" t="s">
        <v>6704</v>
      </c>
      <c r="G197" s="35">
        <v>466.39</v>
      </c>
      <c r="H197" s="35">
        <v>531.29999999999995</v>
      </c>
      <c r="I197" s="35">
        <v>595.54</v>
      </c>
      <c r="J197" s="35">
        <v>657.4</v>
      </c>
      <c r="K197" s="35">
        <v>717.62</v>
      </c>
      <c r="L197" s="35">
        <v>54.06</v>
      </c>
      <c r="M197" s="35">
        <v>44.92</v>
      </c>
      <c r="N197" s="35">
        <v>37.11</v>
      </c>
    </row>
    <row r="198" spans="1:14" ht="18" customHeight="1" x14ac:dyDescent="0.3">
      <c r="A198" s="3" t="s">
        <v>6745</v>
      </c>
      <c r="B198" s="2" t="s">
        <v>6746</v>
      </c>
      <c r="C198" s="3">
        <v>105</v>
      </c>
      <c r="D198" s="29">
        <v>105</v>
      </c>
      <c r="E198" s="3" t="s">
        <v>6740</v>
      </c>
      <c r="F198" s="2" t="s">
        <v>6704</v>
      </c>
      <c r="G198" s="117">
        <v>799.52</v>
      </c>
      <c r="H198" s="117">
        <v>910.8</v>
      </c>
      <c r="I198" s="117">
        <v>1020.93</v>
      </c>
      <c r="J198" s="117">
        <v>1126.97</v>
      </c>
      <c r="K198" s="117">
        <v>1230.2</v>
      </c>
      <c r="L198" s="117">
        <v>92.67</v>
      </c>
      <c r="M198" s="117">
        <v>77.010000000000005</v>
      </c>
      <c r="N198" s="117">
        <v>63.61</v>
      </c>
    </row>
    <row r="199" spans="1:14" ht="18" customHeight="1" x14ac:dyDescent="0.3">
      <c r="A199" s="7" t="s">
        <v>6747</v>
      </c>
      <c r="B199" s="6" t="s">
        <v>6748</v>
      </c>
      <c r="C199" s="7">
        <v>84</v>
      </c>
      <c r="D199" s="29">
        <v>84</v>
      </c>
      <c r="E199" s="7" t="s">
        <v>6740</v>
      </c>
      <c r="F199" s="6" t="s">
        <v>6704</v>
      </c>
      <c r="G199" s="35">
        <v>999.4</v>
      </c>
      <c r="H199" s="35">
        <v>1138.5</v>
      </c>
      <c r="I199" s="35">
        <v>1276.1600000000001</v>
      </c>
      <c r="J199" s="35">
        <v>1408.71</v>
      </c>
      <c r="K199" s="35">
        <v>1537.76</v>
      </c>
      <c r="L199" s="35">
        <v>115.84</v>
      </c>
      <c r="M199" s="35">
        <v>96.26</v>
      </c>
      <c r="N199" s="35">
        <v>79.510000000000005</v>
      </c>
    </row>
    <row r="200" spans="1:14" ht="18" customHeight="1" x14ac:dyDescent="0.3">
      <c r="A200" s="3" t="s">
        <v>6749</v>
      </c>
      <c r="B200" s="2" t="s">
        <v>6750</v>
      </c>
      <c r="C200" s="3">
        <v>60</v>
      </c>
      <c r="D200" s="29">
        <v>60</v>
      </c>
      <c r="E200" s="3" t="s">
        <v>6740</v>
      </c>
      <c r="F200" s="2" t="s">
        <v>6704</v>
      </c>
      <c r="G200" s="117">
        <v>1399.17</v>
      </c>
      <c r="H200" s="117">
        <v>1593.9</v>
      </c>
      <c r="I200" s="117">
        <v>1786.62</v>
      </c>
      <c r="J200" s="117">
        <v>1972.19</v>
      </c>
      <c r="K200" s="117">
        <v>2152.86</v>
      </c>
      <c r="L200" s="117">
        <v>162.16999999999999</v>
      </c>
      <c r="M200" s="117">
        <v>134.76</v>
      </c>
      <c r="N200" s="117">
        <v>111.32</v>
      </c>
    </row>
    <row r="201" spans="1:14" ht="18" customHeight="1" x14ac:dyDescent="0.3">
      <c r="A201" s="7" t="s">
        <v>6751</v>
      </c>
      <c r="B201" s="6" t="s">
        <v>6752</v>
      </c>
      <c r="C201" s="7">
        <v>42</v>
      </c>
      <c r="D201" s="29">
        <v>42</v>
      </c>
      <c r="E201" s="7" t="s">
        <v>6740</v>
      </c>
      <c r="F201" s="6" t="s">
        <v>6704</v>
      </c>
      <c r="G201" s="35">
        <v>1998.81</v>
      </c>
      <c r="H201" s="35">
        <v>2277</v>
      </c>
      <c r="I201" s="35">
        <v>2552.3200000000002</v>
      </c>
      <c r="J201" s="35">
        <v>2817.42</v>
      </c>
      <c r="K201" s="35">
        <v>3075.51</v>
      </c>
      <c r="L201" s="35">
        <v>231.67</v>
      </c>
      <c r="M201" s="35">
        <v>192.52</v>
      </c>
      <c r="N201" s="35">
        <v>159.03</v>
      </c>
    </row>
    <row r="202" spans="1:14" ht="18" customHeight="1" x14ac:dyDescent="0.3">
      <c r="A202" s="3" t="s">
        <v>6753</v>
      </c>
      <c r="B202" s="2" t="s">
        <v>6754</v>
      </c>
      <c r="C202" s="3">
        <v>33</v>
      </c>
      <c r="D202" s="29">
        <v>33</v>
      </c>
      <c r="E202" s="3" t="s">
        <v>6740</v>
      </c>
      <c r="F202" s="2" t="s">
        <v>6704</v>
      </c>
      <c r="G202" s="117">
        <v>2543.94</v>
      </c>
      <c r="H202" s="117">
        <v>2898</v>
      </c>
      <c r="I202" s="117">
        <v>3248.4</v>
      </c>
      <c r="J202" s="117">
        <v>3585.8</v>
      </c>
      <c r="K202" s="117">
        <v>3914.29</v>
      </c>
      <c r="L202" s="117">
        <v>294.85000000000002</v>
      </c>
      <c r="M202" s="117">
        <v>245.02</v>
      </c>
      <c r="N202" s="117">
        <v>202.4</v>
      </c>
    </row>
    <row r="203" spans="1:14" ht="18" customHeight="1" x14ac:dyDescent="0.3">
      <c r="A203" s="7" t="s">
        <v>6755</v>
      </c>
      <c r="B203" s="6" t="s">
        <v>6756</v>
      </c>
      <c r="C203" s="7">
        <v>30</v>
      </c>
      <c r="D203" s="29">
        <v>30</v>
      </c>
      <c r="E203" s="7" t="s">
        <v>6740</v>
      </c>
      <c r="F203" s="6" t="s">
        <v>6704</v>
      </c>
      <c r="G203" s="35">
        <v>2798.33</v>
      </c>
      <c r="H203" s="35">
        <v>3187.8</v>
      </c>
      <c r="I203" s="35">
        <v>3573.24</v>
      </c>
      <c r="J203" s="35">
        <v>3944.39</v>
      </c>
      <c r="K203" s="35">
        <v>4305.72</v>
      </c>
      <c r="L203" s="35">
        <v>324.33999999999997</v>
      </c>
      <c r="M203" s="35">
        <v>269.52</v>
      </c>
      <c r="N203" s="35">
        <v>222.64</v>
      </c>
    </row>
    <row r="204" spans="1:14" ht="18" customHeight="1" x14ac:dyDescent="0.3">
      <c r="A204" s="3" t="s">
        <v>6757</v>
      </c>
      <c r="B204" s="2" t="s">
        <v>6758</v>
      </c>
      <c r="C204" s="3">
        <v>24</v>
      </c>
      <c r="D204" s="29">
        <v>24</v>
      </c>
      <c r="E204" s="3" t="s">
        <v>6740</v>
      </c>
      <c r="F204" s="2" t="s">
        <v>6704</v>
      </c>
      <c r="G204" s="117">
        <v>3497.92</v>
      </c>
      <c r="H204" s="117">
        <v>3984.75</v>
      </c>
      <c r="I204" s="117">
        <v>4466.55</v>
      </c>
      <c r="J204" s="117">
        <v>4930.4799999999996</v>
      </c>
      <c r="K204" s="117">
        <v>5382.14</v>
      </c>
      <c r="L204" s="117">
        <v>405.42</v>
      </c>
      <c r="M204" s="117">
        <v>336.9</v>
      </c>
      <c r="N204" s="117">
        <v>278.3</v>
      </c>
    </row>
    <row r="205" spans="1:14" ht="18" customHeight="1" x14ac:dyDescent="0.3">
      <c r="A205" s="7" t="s">
        <v>6759</v>
      </c>
      <c r="B205" s="6" t="s">
        <v>6760</v>
      </c>
      <c r="C205" s="7">
        <v>366</v>
      </c>
      <c r="D205" s="29">
        <v>366</v>
      </c>
      <c r="E205" s="7" t="s">
        <v>6740</v>
      </c>
      <c r="F205" s="6" t="s">
        <v>6704</v>
      </c>
      <c r="G205" s="35">
        <v>229.37</v>
      </c>
      <c r="H205" s="35">
        <v>261.3</v>
      </c>
      <c r="I205" s="35">
        <v>292.89</v>
      </c>
      <c r="J205" s="35">
        <v>323.31</v>
      </c>
      <c r="K205" s="35">
        <v>352.93</v>
      </c>
      <c r="L205" s="35">
        <v>26.59</v>
      </c>
      <c r="M205" s="35">
        <v>22.09</v>
      </c>
      <c r="N205" s="35">
        <v>18.25</v>
      </c>
    </row>
    <row r="206" spans="1:14" ht="18" customHeight="1" x14ac:dyDescent="0.3">
      <c r="A206" s="3" t="s">
        <v>6761</v>
      </c>
      <c r="B206" s="2" t="s">
        <v>6762</v>
      </c>
      <c r="C206" s="3">
        <v>274</v>
      </c>
      <c r="D206" s="29">
        <v>274</v>
      </c>
      <c r="E206" s="3" t="s">
        <v>6740</v>
      </c>
      <c r="F206" s="2" t="s">
        <v>6704</v>
      </c>
      <c r="G206" s="117">
        <v>306.39</v>
      </c>
      <c r="H206" s="117">
        <v>349.03</v>
      </c>
      <c r="I206" s="117">
        <v>391.23</v>
      </c>
      <c r="J206" s="117">
        <v>431.87</v>
      </c>
      <c r="K206" s="117">
        <v>471.43</v>
      </c>
      <c r="L206" s="117">
        <v>35.51</v>
      </c>
      <c r="M206" s="117">
        <v>29.51</v>
      </c>
      <c r="N206" s="117">
        <v>24.38</v>
      </c>
    </row>
    <row r="207" spans="1:14" ht="18" customHeight="1" x14ac:dyDescent="0.3">
      <c r="A207" s="7" t="s">
        <v>6763</v>
      </c>
      <c r="B207" s="6" t="s">
        <v>6764</v>
      </c>
      <c r="C207" s="7">
        <v>219.6</v>
      </c>
      <c r="D207" s="29">
        <v>219.6</v>
      </c>
      <c r="E207" s="7" t="s">
        <v>6740</v>
      </c>
      <c r="F207" s="6" t="s">
        <v>6704</v>
      </c>
      <c r="G207" s="35">
        <v>382.29</v>
      </c>
      <c r="H207" s="35">
        <v>435.49</v>
      </c>
      <c r="I207" s="35">
        <v>488.15</v>
      </c>
      <c r="J207" s="35">
        <v>538.85</v>
      </c>
      <c r="K207" s="35">
        <v>588.21</v>
      </c>
      <c r="L207" s="35">
        <v>44.31</v>
      </c>
      <c r="M207" s="35">
        <v>36.82</v>
      </c>
      <c r="N207" s="35">
        <v>30.42</v>
      </c>
    </row>
    <row r="208" spans="1:14" ht="18" customHeight="1" x14ac:dyDescent="0.3">
      <c r="A208" s="3" t="s">
        <v>6765</v>
      </c>
      <c r="B208" s="2" t="s">
        <v>6766</v>
      </c>
      <c r="C208" s="3">
        <v>135</v>
      </c>
      <c r="D208" s="29">
        <v>135</v>
      </c>
      <c r="E208" s="3" t="s">
        <v>6740</v>
      </c>
      <c r="F208" s="2" t="s">
        <v>6704</v>
      </c>
      <c r="G208" s="117">
        <v>621.85</v>
      </c>
      <c r="H208" s="117">
        <v>708.4</v>
      </c>
      <c r="I208" s="117">
        <v>794.05</v>
      </c>
      <c r="J208" s="117">
        <v>876.53</v>
      </c>
      <c r="K208" s="117">
        <v>956.83</v>
      </c>
      <c r="L208" s="117">
        <v>72.08</v>
      </c>
      <c r="M208" s="117">
        <v>59.89</v>
      </c>
      <c r="N208" s="117">
        <v>49.48</v>
      </c>
    </row>
    <row r="209" spans="1:14" ht="18" customHeight="1" x14ac:dyDescent="0.3">
      <c r="A209" s="7" t="s">
        <v>6767</v>
      </c>
      <c r="B209" s="6" t="s">
        <v>6768</v>
      </c>
      <c r="C209" s="7">
        <v>95</v>
      </c>
      <c r="D209" s="29">
        <v>95</v>
      </c>
      <c r="E209" s="7" t="s">
        <v>6740</v>
      </c>
      <c r="F209" s="6" t="s">
        <v>6704</v>
      </c>
      <c r="G209" s="35">
        <v>883.68</v>
      </c>
      <c r="H209" s="35">
        <v>1006.67</v>
      </c>
      <c r="I209" s="35">
        <v>1128.3900000000001</v>
      </c>
      <c r="J209" s="35">
        <v>1245.5999999999999</v>
      </c>
      <c r="K209" s="35">
        <v>1359.7</v>
      </c>
      <c r="L209" s="35">
        <v>102.42</v>
      </c>
      <c r="M209" s="35">
        <v>85.11</v>
      </c>
      <c r="N209" s="35">
        <v>70.31</v>
      </c>
    </row>
    <row r="210" spans="1:14" ht="18" customHeight="1" x14ac:dyDescent="0.3">
      <c r="A210" s="3" t="s">
        <v>6769</v>
      </c>
      <c r="B210" s="2" t="s">
        <v>6770</v>
      </c>
      <c r="C210" s="3">
        <v>76.86</v>
      </c>
      <c r="D210" s="29">
        <v>76.86</v>
      </c>
      <c r="E210" s="3" t="s">
        <v>6740</v>
      </c>
      <c r="F210" s="2" t="s">
        <v>6704</v>
      </c>
      <c r="G210" s="117">
        <v>1092.25</v>
      </c>
      <c r="H210" s="117">
        <v>1244.26</v>
      </c>
      <c r="I210" s="117">
        <v>1394.71</v>
      </c>
      <c r="J210" s="117">
        <v>1539.57</v>
      </c>
      <c r="K210" s="117">
        <v>1680.61</v>
      </c>
      <c r="L210" s="117">
        <v>126.6</v>
      </c>
      <c r="M210" s="117">
        <v>105.2</v>
      </c>
      <c r="N210" s="117">
        <v>86.9</v>
      </c>
    </row>
    <row r="211" spans="1:14" ht="18" customHeight="1" x14ac:dyDescent="0.3">
      <c r="A211" s="7" t="s">
        <v>6771</v>
      </c>
      <c r="B211" s="6" t="s">
        <v>6772</v>
      </c>
      <c r="C211" s="7">
        <v>54.9</v>
      </c>
      <c r="D211" s="29">
        <v>54.9</v>
      </c>
      <c r="E211" s="7" t="s">
        <v>6740</v>
      </c>
      <c r="F211" s="6" t="s">
        <v>6704</v>
      </c>
      <c r="G211" s="35">
        <v>1529.14</v>
      </c>
      <c r="H211" s="35">
        <v>1741.97</v>
      </c>
      <c r="I211" s="35">
        <v>1952.59</v>
      </c>
      <c r="J211" s="35">
        <v>2155.4</v>
      </c>
      <c r="K211" s="35">
        <v>2352.85</v>
      </c>
      <c r="L211" s="35">
        <v>177.23</v>
      </c>
      <c r="M211" s="35">
        <v>147.28</v>
      </c>
      <c r="N211" s="35">
        <v>121.66</v>
      </c>
    </row>
    <row r="212" spans="1:14" ht="18" customHeight="1" x14ac:dyDescent="0.3">
      <c r="A212" s="3" t="s">
        <v>6773</v>
      </c>
      <c r="B212" s="2" t="s">
        <v>6774</v>
      </c>
      <c r="C212" s="3">
        <v>40.26</v>
      </c>
      <c r="D212" s="29">
        <v>40.26</v>
      </c>
      <c r="E212" s="3" t="s">
        <v>6740</v>
      </c>
      <c r="F212" s="2" t="s">
        <v>6704</v>
      </c>
      <c r="G212" s="117">
        <v>2085.1999999999998</v>
      </c>
      <c r="H212" s="117">
        <v>2375.41</v>
      </c>
      <c r="I212" s="117">
        <v>2662.62</v>
      </c>
      <c r="J212" s="117">
        <v>2939.18</v>
      </c>
      <c r="K212" s="117">
        <v>3208.43</v>
      </c>
      <c r="L212" s="117">
        <v>241.68</v>
      </c>
      <c r="M212" s="117">
        <v>200.84</v>
      </c>
      <c r="N212" s="117">
        <v>165.9</v>
      </c>
    </row>
    <row r="213" spans="1:14" ht="18" customHeight="1" x14ac:dyDescent="0.3">
      <c r="A213" s="7" t="s">
        <v>6775</v>
      </c>
      <c r="B213" s="6" t="s">
        <v>6776</v>
      </c>
      <c r="C213" s="7">
        <v>32.94</v>
      </c>
      <c r="D213" s="29">
        <v>32.94</v>
      </c>
      <c r="E213" s="7" t="s">
        <v>6740</v>
      </c>
      <c r="F213" s="6" t="s">
        <v>6704</v>
      </c>
      <c r="G213" s="35">
        <v>2548.5700000000002</v>
      </c>
      <c r="H213" s="35">
        <v>2903.28</v>
      </c>
      <c r="I213" s="35">
        <v>3254.32</v>
      </c>
      <c r="J213" s="35">
        <v>3592.34</v>
      </c>
      <c r="K213" s="35">
        <v>3921.42</v>
      </c>
      <c r="L213" s="35">
        <v>295.39</v>
      </c>
      <c r="M213" s="35">
        <v>245.47</v>
      </c>
      <c r="N213" s="35">
        <v>202.77</v>
      </c>
    </row>
    <row r="214" spans="1:14" ht="18" customHeight="1" x14ac:dyDescent="0.3">
      <c r="A214" s="3" t="s">
        <v>6777</v>
      </c>
      <c r="B214" s="2" t="s">
        <v>6778</v>
      </c>
      <c r="C214" s="3">
        <v>21.96</v>
      </c>
      <c r="D214" s="29">
        <v>21.96</v>
      </c>
      <c r="E214" s="3" t="s">
        <v>6740</v>
      </c>
      <c r="F214" s="2" t="s">
        <v>6704</v>
      </c>
      <c r="G214" s="117">
        <v>3822.86</v>
      </c>
      <c r="H214" s="117">
        <v>4354.92</v>
      </c>
      <c r="I214" s="117">
        <v>4881.4799999999996</v>
      </c>
      <c r="J214" s="117">
        <v>5388.5</v>
      </c>
      <c r="K214" s="117">
        <v>5882.12</v>
      </c>
      <c r="L214" s="117">
        <v>443.09</v>
      </c>
      <c r="M214" s="117">
        <v>368.2</v>
      </c>
      <c r="N214" s="117">
        <v>304.14999999999998</v>
      </c>
    </row>
    <row r="215" spans="1:14" ht="18" customHeight="1" x14ac:dyDescent="0.3">
      <c r="A215" s="7" t="s">
        <v>6779</v>
      </c>
      <c r="B215" s="6" t="s">
        <v>6780</v>
      </c>
      <c r="C215" s="7">
        <v>14.64</v>
      </c>
      <c r="D215" s="29">
        <v>14.64</v>
      </c>
      <c r="E215" s="7" t="s">
        <v>6740</v>
      </c>
      <c r="F215" s="6" t="s">
        <v>6704</v>
      </c>
      <c r="G215" s="35">
        <v>5734.29</v>
      </c>
      <c r="H215" s="35">
        <v>6532.38</v>
      </c>
      <c r="I215" s="35">
        <v>7322.22</v>
      </c>
      <c r="J215" s="35">
        <v>8082.76</v>
      </c>
      <c r="K215" s="35">
        <v>8823.19</v>
      </c>
      <c r="L215" s="35">
        <v>664.63</v>
      </c>
      <c r="M215" s="35">
        <v>552.29999999999995</v>
      </c>
      <c r="N215" s="35">
        <v>456.23</v>
      </c>
    </row>
    <row r="216" spans="1:14" ht="18" customHeight="1" x14ac:dyDescent="0.3">
      <c r="A216" s="3" t="s">
        <v>6781</v>
      </c>
      <c r="B216" s="2" t="s">
        <v>6397</v>
      </c>
      <c r="C216" s="3">
        <v>10.98</v>
      </c>
      <c r="D216" s="29">
        <v>10.98</v>
      </c>
      <c r="E216" s="3" t="s">
        <v>6740</v>
      </c>
      <c r="F216" s="2" t="s">
        <v>6704</v>
      </c>
      <c r="G216" s="117">
        <v>7645.72</v>
      </c>
      <c r="H216" s="117">
        <v>8709.84</v>
      </c>
      <c r="I216" s="117">
        <v>9762.9599999999991</v>
      </c>
      <c r="J216" s="117">
        <v>10777.01</v>
      </c>
      <c r="K216" s="117">
        <v>11764.25</v>
      </c>
      <c r="L216" s="117">
        <v>886.17</v>
      </c>
      <c r="M216" s="117">
        <v>736.4</v>
      </c>
      <c r="N216" s="117">
        <v>608.30999999999995</v>
      </c>
    </row>
    <row r="217" spans="1:14" ht="76.05" customHeight="1" x14ac:dyDescent="0.3">
      <c r="A217" s="237" t="s">
        <v>6782</v>
      </c>
      <c r="B217" s="241"/>
      <c r="C217" s="241"/>
      <c r="D217" s="241"/>
      <c r="E217" s="241"/>
      <c r="F217" s="241"/>
      <c r="G217" s="241"/>
      <c r="H217" s="241"/>
      <c r="I217" s="241"/>
      <c r="J217" s="241"/>
      <c r="K217" s="241"/>
      <c r="L217" s="241"/>
      <c r="M217" s="241"/>
      <c r="N217" s="242"/>
    </row>
    <row r="218" spans="1:14" ht="7.95" customHeight="1" x14ac:dyDescent="0.3"/>
    <row r="219" spans="1:14" ht="30" customHeight="1" x14ac:dyDescent="0.3">
      <c r="A219" s="239" t="s">
        <v>6783</v>
      </c>
      <c r="B219" s="228"/>
      <c r="C219" s="228"/>
      <c r="D219" s="228"/>
      <c r="E219" s="228"/>
      <c r="F219" s="228"/>
      <c r="G219" s="228"/>
      <c r="H219" s="228"/>
      <c r="I219" s="228"/>
      <c r="J219" s="228"/>
      <c r="K219" s="228"/>
      <c r="L219" s="228"/>
      <c r="M219" s="228"/>
      <c r="N219" s="228"/>
    </row>
    <row r="220" spans="1:14" ht="30" customHeight="1" x14ac:dyDescent="0.3">
      <c r="A220" s="153" t="s">
        <v>6688</v>
      </c>
      <c r="B220" s="153" t="s">
        <v>6689</v>
      </c>
      <c r="C220" s="153" t="s">
        <v>6784</v>
      </c>
      <c r="D220" s="153" t="s">
        <v>6691</v>
      </c>
      <c r="E220" s="153" t="s">
        <v>6692</v>
      </c>
      <c r="F220" s="153" t="s">
        <v>6785</v>
      </c>
      <c r="G220" s="153" t="s">
        <v>6786</v>
      </c>
      <c r="H220" s="153" t="s">
        <v>6787</v>
      </c>
      <c r="I220" s="153" t="s">
        <v>6788</v>
      </c>
      <c r="J220" s="153"/>
      <c r="K220" s="153"/>
      <c r="L220" s="153"/>
      <c r="M220" s="153"/>
      <c r="N220" s="153"/>
    </row>
    <row r="221" spans="1:14" ht="18" customHeight="1" x14ac:dyDescent="0.3">
      <c r="A221" s="7" t="s">
        <v>6789</v>
      </c>
      <c r="B221" s="6" t="s">
        <v>6703</v>
      </c>
      <c r="C221" s="7">
        <v>35</v>
      </c>
      <c r="D221" s="29">
        <v>35</v>
      </c>
      <c r="E221" s="7" t="s">
        <v>18</v>
      </c>
      <c r="F221" s="7" t="s">
        <v>6790</v>
      </c>
      <c r="G221" s="35">
        <v>4921.84</v>
      </c>
      <c r="H221" s="35">
        <v>140.62</v>
      </c>
      <c r="I221" s="35">
        <v>30.62</v>
      </c>
      <c r="J221" s="122"/>
      <c r="K221" s="122"/>
      <c r="L221" s="122"/>
      <c r="M221" s="122"/>
      <c r="N221" s="122"/>
    </row>
    <row r="222" spans="1:14" ht="18" customHeight="1" x14ac:dyDescent="0.3">
      <c r="A222" s="3" t="s">
        <v>4465</v>
      </c>
      <c r="B222" s="2" t="s">
        <v>6706</v>
      </c>
      <c r="C222" s="3">
        <v>35</v>
      </c>
      <c r="D222" s="29">
        <v>28</v>
      </c>
      <c r="E222" s="3" t="s">
        <v>18</v>
      </c>
      <c r="F222" s="3" t="s">
        <v>6790</v>
      </c>
      <c r="G222" s="117">
        <v>4921.84</v>
      </c>
      <c r="H222" s="117">
        <v>175.78</v>
      </c>
      <c r="I222" s="117">
        <v>38.270000000000003</v>
      </c>
      <c r="J222" s="61"/>
      <c r="K222" s="61"/>
      <c r="L222" s="61"/>
      <c r="M222" s="61"/>
      <c r="N222" s="61"/>
    </row>
    <row r="223" spans="1:14" ht="18" customHeight="1" x14ac:dyDescent="0.3">
      <c r="A223" s="7" t="s">
        <v>6791</v>
      </c>
      <c r="B223" s="6" t="s">
        <v>6709</v>
      </c>
      <c r="C223" s="7">
        <v>35</v>
      </c>
      <c r="D223" s="29">
        <v>32.200000000000003</v>
      </c>
      <c r="E223" s="7" t="s">
        <v>18</v>
      </c>
      <c r="F223" s="7" t="s">
        <v>6790</v>
      </c>
      <c r="G223" s="35">
        <v>4921.84</v>
      </c>
      <c r="H223" s="35">
        <v>152.85</v>
      </c>
      <c r="I223" s="35">
        <v>33.28</v>
      </c>
      <c r="J223" s="122"/>
      <c r="K223" s="122"/>
      <c r="L223" s="122"/>
      <c r="M223" s="122"/>
      <c r="N223" s="122"/>
    </row>
    <row r="224" spans="1:14" ht="18" customHeight="1" x14ac:dyDescent="0.3">
      <c r="A224" s="3" t="s">
        <v>6792</v>
      </c>
      <c r="B224" s="2" t="s">
        <v>6712</v>
      </c>
      <c r="C224" s="3">
        <v>35</v>
      </c>
      <c r="D224" s="29">
        <v>17.5</v>
      </c>
      <c r="E224" s="3" t="s">
        <v>18</v>
      </c>
      <c r="F224" s="3" t="s">
        <v>6790</v>
      </c>
      <c r="G224" s="117">
        <v>4921.84</v>
      </c>
      <c r="H224" s="117">
        <v>281.25</v>
      </c>
      <c r="I224" s="117">
        <v>61.24</v>
      </c>
      <c r="J224" s="61"/>
      <c r="K224" s="61"/>
      <c r="L224" s="61"/>
      <c r="M224" s="61"/>
      <c r="N224" s="61"/>
    </row>
    <row r="225" spans="1:14" ht="18" customHeight="1" x14ac:dyDescent="0.3">
      <c r="A225" s="7" t="s">
        <v>6793</v>
      </c>
      <c r="B225" s="6" t="s">
        <v>6715</v>
      </c>
      <c r="C225" s="7">
        <v>28</v>
      </c>
      <c r="D225" s="29">
        <v>28</v>
      </c>
      <c r="E225" s="7" t="s">
        <v>18</v>
      </c>
      <c r="F225" s="7" t="s">
        <v>6790</v>
      </c>
      <c r="G225" s="35">
        <v>4921.84</v>
      </c>
      <c r="H225" s="35">
        <v>175.78</v>
      </c>
      <c r="I225" s="35">
        <v>38.270000000000003</v>
      </c>
      <c r="J225" s="122"/>
      <c r="K225" s="122"/>
      <c r="L225" s="122"/>
      <c r="M225" s="122"/>
      <c r="N225" s="122"/>
    </row>
    <row r="226" spans="1:14" ht="18" customHeight="1" x14ac:dyDescent="0.3">
      <c r="A226" s="3" t="s">
        <v>6794</v>
      </c>
      <c r="B226" s="2" t="s">
        <v>6717</v>
      </c>
      <c r="C226" s="3">
        <v>28</v>
      </c>
      <c r="D226" s="29">
        <v>25.9</v>
      </c>
      <c r="E226" s="3" t="s">
        <v>18</v>
      </c>
      <c r="F226" s="3" t="s">
        <v>6790</v>
      </c>
      <c r="G226" s="117">
        <v>4921.84</v>
      </c>
      <c r="H226" s="117">
        <v>190.03</v>
      </c>
      <c r="I226" s="117">
        <v>41.38</v>
      </c>
      <c r="J226" s="61"/>
      <c r="K226" s="61"/>
      <c r="L226" s="61"/>
      <c r="M226" s="61"/>
      <c r="N226" s="61"/>
    </row>
    <row r="227" spans="1:14" ht="18" customHeight="1" x14ac:dyDescent="0.3">
      <c r="A227" s="7" t="s">
        <v>6795</v>
      </c>
      <c r="B227" s="6" t="s">
        <v>6720</v>
      </c>
      <c r="C227" s="7">
        <v>28</v>
      </c>
      <c r="D227" s="29">
        <v>23.8</v>
      </c>
      <c r="E227" s="7" t="s">
        <v>18</v>
      </c>
      <c r="F227" s="7" t="s">
        <v>6790</v>
      </c>
      <c r="G227" s="35">
        <v>4921.84</v>
      </c>
      <c r="H227" s="35">
        <v>206.8</v>
      </c>
      <c r="I227" s="35">
        <v>45.03</v>
      </c>
      <c r="J227" s="122"/>
      <c r="K227" s="122"/>
      <c r="L227" s="122"/>
      <c r="M227" s="122"/>
      <c r="N227" s="122"/>
    </row>
    <row r="228" spans="1:14" ht="18" customHeight="1" x14ac:dyDescent="0.3">
      <c r="A228" s="3" t="s">
        <v>6796</v>
      </c>
      <c r="B228" s="2" t="s">
        <v>6723</v>
      </c>
      <c r="C228" s="3">
        <v>15000</v>
      </c>
      <c r="D228" s="29">
        <v>15000</v>
      </c>
      <c r="E228" s="3" t="s">
        <v>1620</v>
      </c>
      <c r="F228" s="3" t="s">
        <v>6790</v>
      </c>
      <c r="G228" s="117">
        <v>4921.84</v>
      </c>
      <c r="H228" s="117">
        <v>328.12</v>
      </c>
      <c r="I228" s="117">
        <v>71.44</v>
      </c>
      <c r="J228" s="61"/>
      <c r="K228" s="61"/>
      <c r="L228" s="61"/>
      <c r="M228" s="61"/>
      <c r="N228" s="61"/>
    </row>
    <row r="229" spans="1:14" ht="18" customHeight="1" x14ac:dyDescent="0.3">
      <c r="A229" s="7" t="s">
        <v>6797</v>
      </c>
      <c r="B229" s="6" t="s">
        <v>6725</v>
      </c>
      <c r="C229" s="7">
        <v>24000</v>
      </c>
      <c r="D229" s="29">
        <v>24000</v>
      </c>
      <c r="E229" s="7" t="s">
        <v>1620</v>
      </c>
      <c r="F229" s="7" t="s">
        <v>6790</v>
      </c>
      <c r="G229" s="35">
        <v>4921.84</v>
      </c>
      <c r="H229" s="35">
        <v>205.08</v>
      </c>
      <c r="I229" s="35">
        <v>44.65</v>
      </c>
      <c r="J229" s="122"/>
      <c r="K229" s="122"/>
      <c r="L229" s="122"/>
      <c r="M229" s="122"/>
      <c r="N229" s="122"/>
    </row>
    <row r="230" spans="1:14" ht="18" customHeight="1" x14ac:dyDescent="0.3">
      <c r="A230" s="3" t="s">
        <v>4455</v>
      </c>
      <c r="B230" s="2" t="s">
        <v>4456</v>
      </c>
      <c r="C230" s="3">
        <v>30</v>
      </c>
      <c r="D230" s="29">
        <v>30</v>
      </c>
      <c r="E230" s="3" t="s">
        <v>357</v>
      </c>
      <c r="F230" s="3" t="s">
        <v>6790</v>
      </c>
      <c r="G230" s="117">
        <v>4921.84</v>
      </c>
      <c r="H230" s="117">
        <v>164.06</v>
      </c>
      <c r="I230" s="117">
        <v>35.72</v>
      </c>
      <c r="J230" s="61"/>
      <c r="K230" s="61"/>
      <c r="L230" s="61"/>
      <c r="M230" s="61"/>
      <c r="N230" s="61"/>
    </row>
    <row r="231" spans="1:14" ht="18" customHeight="1" x14ac:dyDescent="0.3">
      <c r="A231" s="7" t="s">
        <v>6798</v>
      </c>
      <c r="B231" s="6" t="s">
        <v>6799</v>
      </c>
      <c r="C231" s="7">
        <v>46</v>
      </c>
      <c r="D231" s="29">
        <v>46</v>
      </c>
      <c r="E231" s="7" t="s">
        <v>357</v>
      </c>
      <c r="F231" s="7" t="s">
        <v>6800</v>
      </c>
      <c r="G231" s="35">
        <v>5903.64</v>
      </c>
      <c r="H231" s="35">
        <v>128.34</v>
      </c>
      <c r="I231" s="35">
        <v>18.829999999999998</v>
      </c>
      <c r="J231" s="122"/>
      <c r="K231" s="122"/>
      <c r="L231" s="122"/>
      <c r="M231" s="122"/>
      <c r="N231" s="122"/>
    </row>
    <row r="232" spans="1:14" ht="18" customHeight="1" x14ac:dyDescent="0.3">
      <c r="A232" s="3" t="s">
        <v>6801</v>
      </c>
      <c r="B232" s="2" t="s">
        <v>6262</v>
      </c>
      <c r="C232" s="3">
        <v>57.99</v>
      </c>
      <c r="D232" s="29">
        <v>57.99</v>
      </c>
      <c r="E232" s="3" t="s">
        <v>357</v>
      </c>
      <c r="F232" s="3" t="s">
        <v>6800</v>
      </c>
      <c r="G232" s="117">
        <v>5903.64</v>
      </c>
      <c r="H232" s="117">
        <v>101.8</v>
      </c>
      <c r="I232" s="117">
        <v>14.94</v>
      </c>
      <c r="J232" s="61"/>
      <c r="K232" s="61"/>
      <c r="L232" s="61"/>
      <c r="M232" s="61"/>
      <c r="N232" s="61"/>
    </row>
    <row r="233" spans="1:14" ht="18" customHeight="1" x14ac:dyDescent="0.3">
      <c r="A233" s="7" t="s">
        <v>6802</v>
      </c>
      <c r="B233" s="6" t="s">
        <v>4428</v>
      </c>
      <c r="C233" s="7">
        <v>27</v>
      </c>
      <c r="D233" s="29">
        <v>27</v>
      </c>
      <c r="E233" s="7" t="s">
        <v>357</v>
      </c>
      <c r="F233" s="7" t="s">
        <v>6800</v>
      </c>
      <c r="G233" s="35">
        <v>5903.64</v>
      </c>
      <c r="H233" s="35">
        <v>218.65</v>
      </c>
      <c r="I233" s="35">
        <v>32.08</v>
      </c>
      <c r="J233" s="122"/>
      <c r="K233" s="122"/>
      <c r="L233" s="122"/>
      <c r="M233" s="122"/>
      <c r="N233" s="122"/>
    </row>
    <row r="234" spans="1:14" ht="18" customHeight="1" x14ac:dyDescent="0.3">
      <c r="A234" s="3" t="s">
        <v>6803</v>
      </c>
      <c r="B234" s="2" t="s">
        <v>6730</v>
      </c>
      <c r="C234" s="3">
        <v>42</v>
      </c>
      <c r="D234" s="29">
        <v>42</v>
      </c>
      <c r="E234" s="3" t="s">
        <v>18</v>
      </c>
      <c r="F234" s="3" t="s">
        <v>6800</v>
      </c>
      <c r="G234" s="117">
        <v>5903.64</v>
      </c>
      <c r="H234" s="117">
        <v>140.56</v>
      </c>
      <c r="I234" s="117">
        <v>20.63</v>
      </c>
      <c r="J234" s="61"/>
      <c r="K234" s="61"/>
      <c r="L234" s="61"/>
      <c r="M234" s="61"/>
      <c r="N234" s="61"/>
    </row>
    <row r="235" spans="1:14" ht="18" customHeight="1" x14ac:dyDescent="0.3">
      <c r="A235" s="7" t="s">
        <v>6804</v>
      </c>
      <c r="B235" s="6" t="s">
        <v>6805</v>
      </c>
      <c r="C235" s="7">
        <v>46</v>
      </c>
      <c r="D235" s="29">
        <v>46</v>
      </c>
      <c r="E235" s="7" t="s">
        <v>357</v>
      </c>
      <c r="F235" s="7" t="s">
        <v>6800</v>
      </c>
      <c r="G235" s="35">
        <v>5903.64</v>
      </c>
      <c r="H235" s="35">
        <v>128.34</v>
      </c>
      <c r="I235" s="35">
        <v>18.829999999999998</v>
      </c>
      <c r="J235" s="122"/>
      <c r="K235" s="122"/>
      <c r="L235" s="122"/>
      <c r="M235" s="122"/>
      <c r="N235" s="122"/>
    </row>
    <row r="236" spans="1:14" ht="18" customHeight="1" x14ac:dyDescent="0.3">
      <c r="A236" s="3" t="s">
        <v>6806</v>
      </c>
      <c r="B236" s="2" t="s">
        <v>6739</v>
      </c>
      <c r="C236" s="3">
        <v>2298</v>
      </c>
      <c r="D236" s="29">
        <v>2298</v>
      </c>
      <c r="E236" s="3" t="s">
        <v>6740</v>
      </c>
      <c r="F236" s="3" t="s">
        <v>6800</v>
      </c>
      <c r="G236" s="117">
        <v>5903.64</v>
      </c>
      <c r="H236" s="117">
        <v>256.89999999999998</v>
      </c>
      <c r="I236" s="117">
        <v>37.700000000000003</v>
      </c>
      <c r="J236" s="61"/>
      <c r="K236" s="61"/>
      <c r="L236" s="61"/>
      <c r="M236" s="61"/>
      <c r="N236" s="61"/>
    </row>
    <row r="237" spans="1:14" ht="18" customHeight="1" x14ac:dyDescent="0.3">
      <c r="A237" s="7" t="s">
        <v>6807</v>
      </c>
      <c r="B237" s="6" t="s">
        <v>6742</v>
      </c>
      <c r="C237" s="7">
        <v>1398</v>
      </c>
      <c r="D237" s="29">
        <v>1398</v>
      </c>
      <c r="E237" s="7" t="s">
        <v>6740</v>
      </c>
      <c r="F237" s="7" t="s">
        <v>6800</v>
      </c>
      <c r="G237" s="35">
        <v>5903.64</v>
      </c>
      <c r="H237" s="35">
        <v>422.29</v>
      </c>
      <c r="I237" s="35">
        <v>61.97</v>
      </c>
      <c r="J237" s="122"/>
      <c r="K237" s="122"/>
      <c r="L237" s="122"/>
      <c r="M237" s="122"/>
      <c r="N237" s="122"/>
    </row>
    <row r="238" spans="1:14" ht="18" customHeight="1" x14ac:dyDescent="0.3">
      <c r="A238" s="3" t="s">
        <v>6808</v>
      </c>
      <c r="B238" s="2" t="s">
        <v>6744</v>
      </c>
      <c r="C238" s="3">
        <v>999</v>
      </c>
      <c r="D238" s="29">
        <v>999</v>
      </c>
      <c r="E238" s="3" t="s">
        <v>6740</v>
      </c>
      <c r="F238" s="3" t="s">
        <v>6800</v>
      </c>
      <c r="G238" s="117">
        <v>5903.64</v>
      </c>
      <c r="H238" s="117">
        <v>590.95000000000005</v>
      </c>
      <c r="I238" s="117">
        <v>86.72</v>
      </c>
      <c r="J238" s="61"/>
      <c r="K238" s="61"/>
      <c r="L238" s="61"/>
      <c r="M238" s="61"/>
      <c r="N238" s="61"/>
    </row>
    <row r="239" spans="1:14" ht="18" customHeight="1" x14ac:dyDescent="0.3">
      <c r="A239" s="7" t="s">
        <v>6809</v>
      </c>
      <c r="B239" s="6" t="s">
        <v>6746</v>
      </c>
      <c r="C239" s="7">
        <v>600</v>
      </c>
      <c r="D239" s="29">
        <v>600</v>
      </c>
      <c r="E239" s="7" t="s">
        <v>6740</v>
      </c>
      <c r="F239" s="7" t="s">
        <v>6800</v>
      </c>
      <c r="G239" s="35">
        <v>5903.64</v>
      </c>
      <c r="H239" s="35">
        <v>983.94</v>
      </c>
      <c r="I239" s="35">
        <v>144.38</v>
      </c>
      <c r="J239" s="122"/>
      <c r="K239" s="122"/>
      <c r="L239" s="122"/>
      <c r="M239" s="122"/>
      <c r="N239" s="122"/>
    </row>
    <row r="240" spans="1:14" ht="18" customHeight="1" x14ac:dyDescent="0.3">
      <c r="A240" s="3" t="s">
        <v>6810</v>
      </c>
      <c r="B240" s="2" t="s">
        <v>6748</v>
      </c>
      <c r="C240" s="3">
        <v>420</v>
      </c>
      <c r="D240" s="29">
        <v>420</v>
      </c>
      <c r="E240" s="3" t="s">
        <v>6740</v>
      </c>
      <c r="F240" s="3" t="s">
        <v>6800</v>
      </c>
      <c r="G240" s="117">
        <v>5903.64</v>
      </c>
      <c r="H240" s="117">
        <v>1405.63</v>
      </c>
      <c r="I240" s="117">
        <v>206.26</v>
      </c>
      <c r="J240" s="61"/>
      <c r="K240" s="61"/>
      <c r="L240" s="61"/>
      <c r="M240" s="61"/>
      <c r="N240" s="61"/>
    </row>
    <row r="241" spans="1:14" ht="18" customHeight="1" x14ac:dyDescent="0.3">
      <c r="A241" s="7" t="s">
        <v>6811</v>
      </c>
      <c r="B241" s="6" t="s">
        <v>6750</v>
      </c>
      <c r="C241" s="7">
        <v>300</v>
      </c>
      <c r="D241" s="29">
        <v>300</v>
      </c>
      <c r="E241" s="7" t="s">
        <v>6740</v>
      </c>
      <c r="F241" s="7" t="s">
        <v>6800</v>
      </c>
      <c r="G241" s="35">
        <v>5903.64</v>
      </c>
      <c r="H241" s="35">
        <v>1967.88</v>
      </c>
      <c r="I241" s="35">
        <v>288.76</v>
      </c>
      <c r="J241" s="122"/>
      <c r="K241" s="122"/>
      <c r="L241" s="122"/>
      <c r="M241" s="122"/>
      <c r="N241" s="122"/>
    </row>
    <row r="242" spans="1:14" ht="18" customHeight="1" x14ac:dyDescent="0.3">
      <c r="A242" s="3" t="s">
        <v>6812</v>
      </c>
      <c r="B242" s="2" t="s">
        <v>6752</v>
      </c>
      <c r="C242" s="3">
        <v>240</v>
      </c>
      <c r="D242" s="29">
        <v>240</v>
      </c>
      <c r="E242" s="3" t="s">
        <v>6740</v>
      </c>
      <c r="F242" s="3" t="s">
        <v>6800</v>
      </c>
      <c r="G242" s="117">
        <v>5903.64</v>
      </c>
      <c r="H242" s="117">
        <v>2459.85</v>
      </c>
      <c r="I242" s="117">
        <v>360.95</v>
      </c>
      <c r="J242" s="61"/>
      <c r="K242" s="61"/>
      <c r="L242" s="61"/>
      <c r="M242" s="61"/>
      <c r="N242" s="61"/>
    </row>
    <row r="243" spans="1:14" ht="18" customHeight="1" x14ac:dyDescent="0.3">
      <c r="A243" s="7" t="s">
        <v>6813</v>
      </c>
      <c r="B243" s="6" t="s">
        <v>6754</v>
      </c>
      <c r="C243" s="7">
        <v>198</v>
      </c>
      <c r="D243" s="29">
        <v>198</v>
      </c>
      <c r="E243" s="7" t="s">
        <v>6740</v>
      </c>
      <c r="F243" s="7" t="s">
        <v>6800</v>
      </c>
      <c r="G243" s="35">
        <v>5903.64</v>
      </c>
      <c r="H243" s="35">
        <v>2981.64</v>
      </c>
      <c r="I243" s="35">
        <v>437.52</v>
      </c>
      <c r="J243" s="122"/>
      <c r="K243" s="122"/>
      <c r="L243" s="122"/>
      <c r="M243" s="122"/>
      <c r="N243" s="122"/>
    </row>
    <row r="244" spans="1:14" ht="18" customHeight="1" x14ac:dyDescent="0.3">
      <c r="A244" s="3" t="s">
        <v>6814</v>
      </c>
      <c r="B244" s="2" t="s">
        <v>6756</v>
      </c>
      <c r="C244" s="3">
        <v>162</v>
      </c>
      <c r="D244" s="29">
        <v>162</v>
      </c>
      <c r="E244" s="3" t="s">
        <v>6740</v>
      </c>
      <c r="F244" s="3" t="s">
        <v>6800</v>
      </c>
      <c r="G244" s="117">
        <v>5903.64</v>
      </c>
      <c r="H244" s="117">
        <v>3644.22</v>
      </c>
      <c r="I244" s="117">
        <v>534.75</v>
      </c>
      <c r="J244" s="61"/>
      <c r="K244" s="61"/>
      <c r="L244" s="61"/>
      <c r="M244" s="61"/>
      <c r="N244" s="61"/>
    </row>
    <row r="245" spans="1:14" ht="18" customHeight="1" x14ac:dyDescent="0.3">
      <c r="A245" s="7" t="s">
        <v>6815</v>
      </c>
      <c r="B245" s="6" t="s">
        <v>6758</v>
      </c>
      <c r="C245" s="7">
        <v>132</v>
      </c>
      <c r="D245" s="29">
        <v>132</v>
      </c>
      <c r="E245" s="7" t="s">
        <v>6740</v>
      </c>
      <c r="F245" s="7" t="s">
        <v>6800</v>
      </c>
      <c r="G245" s="35">
        <v>5903.64</v>
      </c>
      <c r="H245" s="35">
        <v>4472.45</v>
      </c>
      <c r="I245" s="35">
        <v>656.28</v>
      </c>
      <c r="J245" s="122"/>
      <c r="K245" s="122"/>
      <c r="L245" s="122"/>
      <c r="M245" s="122"/>
      <c r="N245" s="122"/>
    </row>
    <row r="246" spans="1:14" ht="18" customHeight="1" x14ac:dyDescent="0.3">
      <c r="A246" s="3" t="s">
        <v>6816</v>
      </c>
      <c r="B246" s="2" t="s">
        <v>6574</v>
      </c>
      <c r="C246" s="3">
        <v>1702</v>
      </c>
      <c r="D246" s="29">
        <v>1702</v>
      </c>
      <c r="E246" s="3" t="s">
        <v>6740</v>
      </c>
      <c r="F246" s="3" t="s">
        <v>6800</v>
      </c>
      <c r="G246" s="117">
        <v>5903.64</v>
      </c>
      <c r="H246" s="117">
        <v>346.86</v>
      </c>
      <c r="I246" s="117">
        <v>50.9</v>
      </c>
      <c r="J246" s="61"/>
      <c r="K246" s="61"/>
      <c r="L246" s="61"/>
      <c r="M246" s="61"/>
      <c r="N246" s="61"/>
    </row>
    <row r="247" spans="1:14" ht="18" customHeight="1" x14ac:dyDescent="0.3">
      <c r="A247" s="7" t="s">
        <v>6817</v>
      </c>
      <c r="B247" s="6" t="s">
        <v>6762</v>
      </c>
      <c r="C247" s="7">
        <v>1391</v>
      </c>
      <c r="D247" s="29">
        <v>1391</v>
      </c>
      <c r="E247" s="7" t="s">
        <v>6740</v>
      </c>
      <c r="F247" s="7" t="s">
        <v>6800</v>
      </c>
      <c r="G247" s="35">
        <v>5903.64</v>
      </c>
      <c r="H247" s="35">
        <v>424.42</v>
      </c>
      <c r="I247" s="35">
        <v>62.28</v>
      </c>
      <c r="J247" s="122"/>
      <c r="K247" s="122"/>
      <c r="L247" s="122"/>
      <c r="M247" s="122"/>
      <c r="N247" s="122"/>
    </row>
    <row r="248" spans="1:14" ht="18" customHeight="1" x14ac:dyDescent="0.3">
      <c r="A248" s="3" t="s">
        <v>6818</v>
      </c>
      <c r="B248" s="2" t="s">
        <v>6764</v>
      </c>
      <c r="C248" s="3">
        <v>1208</v>
      </c>
      <c r="D248" s="29">
        <v>1208</v>
      </c>
      <c r="E248" s="3" t="s">
        <v>6740</v>
      </c>
      <c r="F248" s="3" t="s">
        <v>6800</v>
      </c>
      <c r="G248" s="117">
        <v>5903.64</v>
      </c>
      <c r="H248" s="117">
        <v>488.71</v>
      </c>
      <c r="I248" s="117">
        <v>71.709999999999994</v>
      </c>
      <c r="J248" s="61"/>
      <c r="K248" s="61"/>
      <c r="L248" s="61"/>
      <c r="M248" s="61"/>
      <c r="N248" s="61"/>
    </row>
    <row r="249" spans="1:14" ht="18" customHeight="1" x14ac:dyDescent="0.3">
      <c r="A249" s="7" t="s">
        <v>6819</v>
      </c>
      <c r="B249" s="6" t="s">
        <v>6766</v>
      </c>
      <c r="C249" s="7">
        <v>805</v>
      </c>
      <c r="D249" s="29">
        <v>805</v>
      </c>
      <c r="E249" s="7" t="s">
        <v>6740</v>
      </c>
      <c r="F249" s="7" t="s">
        <v>6800</v>
      </c>
      <c r="G249" s="35">
        <v>5903.64</v>
      </c>
      <c r="H249" s="35">
        <v>733.37</v>
      </c>
      <c r="I249" s="35">
        <v>107.61</v>
      </c>
      <c r="J249" s="122"/>
      <c r="K249" s="122"/>
      <c r="L249" s="122"/>
      <c r="M249" s="122"/>
      <c r="N249" s="122"/>
    </row>
    <row r="250" spans="1:14" ht="18" customHeight="1" x14ac:dyDescent="0.3">
      <c r="A250" s="3" t="s">
        <v>6820</v>
      </c>
      <c r="B250" s="2" t="s">
        <v>6768</v>
      </c>
      <c r="C250" s="3">
        <v>458</v>
      </c>
      <c r="D250" s="29">
        <v>458</v>
      </c>
      <c r="E250" s="3" t="s">
        <v>6740</v>
      </c>
      <c r="F250" s="3" t="s">
        <v>6800</v>
      </c>
      <c r="G250" s="117">
        <v>5903.64</v>
      </c>
      <c r="H250" s="117">
        <v>1289</v>
      </c>
      <c r="I250" s="117">
        <v>189.15</v>
      </c>
      <c r="J250" s="61"/>
      <c r="K250" s="61"/>
      <c r="L250" s="61"/>
      <c r="M250" s="61"/>
      <c r="N250" s="61"/>
    </row>
    <row r="251" spans="1:14" ht="18" customHeight="1" x14ac:dyDescent="0.3">
      <c r="A251" s="7" t="s">
        <v>6821</v>
      </c>
      <c r="B251" s="6" t="s">
        <v>6770</v>
      </c>
      <c r="C251" s="7">
        <v>366</v>
      </c>
      <c r="D251" s="29">
        <v>366</v>
      </c>
      <c r="E251" s="7" t="s">
        <v>6740</v>
      </c>
      <c r="F251" s="7" t="s">
        <v>6800</v>
      </c>
      <c r="G251" s="35">
        <v>5903.64</v>
      </c>
      <c r="H251" s="35">
        <v>1613.02</v>
      </c>
      <c r="I251" s="35">
        <v>236.69</v>
      </c>
      <c r="J251" s="122"/>
      <c r="K251" s="122"/>
      <c r="L251" s="122"/>
      <c r="M251" s="122"/>
      <c r="N251" s="122"/>
    </row>
    <row r="252" spans="1:14" ht="18" customHeight="1" x14ac:dyDescent="0.3">
      <c r="A252" s="3" t="s">
        <v>6822</v>
      </c>
      <c r="B252" s="2" t="s">
        <v>6772</v>
      </c>
      <c r="C252" s="3">
        <v>256</v>
      </c>
      <c r="D252" s="29">
        <v>256</v>
      </c>
      <c r="E252" s="3" t="s">
        <v>6740</v>
      </c>
      <c r="F252" s="3" t="s">
        <v>6800</v>
      </c>
      <c r="G252" s="117">
        <v>5903.64</v>
      </c>
      <c r="H252" s="117">
        <v>2306.11</v>
      </c>
      <c r="I252" s="117">
        <v>338.39</v>
      </c>
      <c r="J252" s="61"/>
      <c r="K252" s="61"/>
      <c r="L252" s="61"/>
      <c r="M252" s="61"/>
      <c r="N252" s="61"/>
    </row>
    <row r="253" spans="1:14" ht="18" customHeight="1" x14ac:dyDescent="0.3">
      <c r="A253" s="7" t="s">
        <v>6823</v>
      </c>
      <c r="B253" s="6" t="s">
        <v>6774</v>
      </c>
      <c r="C253" s="7">
        <v>220</v>
      </c>
      <c r="D253" s="29">
        <v>220</v>
      </c>
      <c r="E253" s="7" t="s">
        <v>6740</v>
      </c>
      <c r="F253" s="7" t="s">
        <v>6800</v>
      </c>
      <c r="G253" s="35">
        <v>5903.64</v>
      </c>
      <c r="H253" s="35">
        <v>2683.47</v>
      </c>
      <c r="I253" s="35">
        <v>393.77</v>
      </c>
      <c r="J253" s="122"/>
      <c r="K253" s="122"/>
      <c r="L253" s="122"/>
      <c r="M253" s="122"/>
      <c r="N253" s="122"/>
    </row>
    <row r="254" spans="1:14" ht="18" customHeight="1" x14ac:dyDescent="0.3">
      <c r="A254" s="3" t="s">
        <v>6824</v>
      </c>
      <c r="B254" s="2" t="s">
        <v>6776</v>
      </c>
      <c r="C254" s="3">
        <v>165</v>
      </c>
      <c r="D254" s="29">
        <v>165</v>
      </c>
      <c r="E254" s="3" t="s">
        <v>6740</v>
      </c>
      <c r="F254" s="3" t="s">
        <v>6800</v>
      </c>
      <c r="G254" s="117">
        <v>5903.64</v>
      </c>
      <c r="H254" s="117">
        <v>3577.96</v>
      </c>
      <c r="I254" s="117">
        <v>525.02</v>
      </c>
      <c r="J254" s="61"/>
      <c r="K254" s="61"/>
      <c r="L254" s="61"/>
      <c r="M254" s="61"/>
      <c r="N254" s="61"/>
    </row>
    <row r="255" spans="1:14" ht="18" customHeight="1" x14ac:dyDescent="0.3">
      <c r="A255" s="7" t="s">
        <v>6825</v>
      </c>
      <c r="B255" s="6" t="s">
        <v>6778</v>
      </c>
      <c r="C255" s="7">
        <v>150</v>
      </c>
      <c r="D255" s="29">
        <v>150</v>
      </c>
      <c r="E255" s="7" t="s">
        <v>6740</v>
      </c>
      <c r="F255" s="7" t="s">
        <v>6800</v>
      </c>
      <c r="G255" s="35">
        <v>5903.64</v>
      </c>
      <c r="H255" s="35">
        <v>3935.76</v>
      </c>
      <c r="I255" s="35">
        <v>577.53</v>
      </c>
      <c r="J255" s="122"/>
      <c r="K255" s="122"/>
      <c r="L255" s="122"/>
      <c r="M255" s="122"/>
      <c r="N255" s="122"/>
    </row>
    <row r="256" spans="1:14" ht="61.95" customHeight="1" x14ac:dyDescent="0.3">
      <c r="A256" s="237" t="s">
        <v>6826</v>
      </c>
      <c r="B256" s="241"/>
      <c r="C256" s="241"/>
      <c r="D256" s="241"/>
      <c r="E256" s="241"/>
      <c r="F256" s="241"/>
      <c r="G256" s="241"/>
      <c r="H256" s="241"/>
      <c r="I256" s="241"/>
      <c r="J256" s="241"/>
      <c r="K256" s="241"/>
      <c r="L256" s="241"/>
      <c r="M256" s="241"/>
      <c r="N256" s="242"/>
    </row>
    <row r="257" spans="1:14" ht="7.95" customHeight="1" x14ac:dyDescent="0.3"/>
    <row r="258" spans="1:14" ht="22.05" customHeight="1" x14ac:dyDescent="0.3">
      <c r="A258" s="239" t="s">
        <v>6827</v>
      </c>
      <c r="B258" s="228"/>
      <c r="C258" s="228"/>
      <c r="D258" s="228"/>
      <c r="E258" s="228"/>
      <c r="F258" s="228"/>
      <c r="G258" s="228"/>
      <c r="H258" s="228"/>
      <c r="I258" s="228"/>
      <c r="J258" s="228"/>
      <c r="K258" s="228"/>
      <c r="L258" s="228"/>
      <c r="M258" s="228"/>
      <c r="N258" s="228"/>
    </row>
    <row r="259" spans="1:14" ht="24" customHeight="1" x14ac:dyDescent="0.3">
      <c r="A259" s="153" t="s">
        <v>6828</v>
      </c>
      <c r="B259" s="153" t="s">
        <v>6829</v>
      </c>
      <c r="C259" s="153" t="s">
        <v>6830</v>
      </c>
      <c r="D259" s="153" t="s">
        <v>6831</v>
      </c>
      <c r="E259" s="153" t="s">
        <v>6832</v>
      </c>
      <c r="F259" s="153" t="s">
        <v>6833</v>
      </c>
      <c r="G259" s="153" t="s">
        <v>6834</v>
      </c>
      <c r="H259" s="153" t="s">
        <v>6835</v>
      </c>
      <c r="I259" s="153" t="s">
        <v>6836</v>
      </c>
    </row>
    <row r="260" spans="1:14" ht="30" customHeight="1" x14ac:dyDescent="0.3">
      <c r="A260" s="123" t="s">
        <v>6433</v>
      </c>
      <c r="B260" s="3">
        <v>6</v>
      </c>
      <c r="C260" s="3" t="s">
        <v>6837</v>
      </c>
      <c r="D260" s="3" t="s">
        <v>6838</v>
      </c>
      <c r="E260" s="3" t="s">
        <v>6839</v>
      </c>
      <c r="F260" s="117">
        <v>3348</v>
      </c>
      <c r="G260" s="117">
        <v>5939.58</v>
      </c>
      <c r="H260" s="123" t="s">
        <v>6840</v>
      </c>
      <c r="I260" s="62" t="s">
        <v>6841</v>
      </c>
    </row>
    <row r="261" spans="1:14" ht="30" customHeight="1" x14ac:dyDescent="0.3">
      <c r="A261" s="124" t="s">
        <v>6842</v>
      </c>
      <c r="B261" s="7">
        <v>6</v>
      </c>
      <c r="C261" s="7" t="s">
        <v>6837</v>
      </c>
      <c r="D261" s="7" t="s">
        <v>6838</v>
      </c>
      <c r="E261" s="7" t="s">
        <v>6839</v>
      </c>
      <c r="F261" s="35">
        <v>3348</v>
      </c>
      <c r="G261" s="35">
        <v>5939.58</v>
      </c>
      <c r="H261" s="124" t="s">
        <v>6843</v>
      </c>
      <c r="I261" s="125" t="s">
        <v>6841</v>
      </c>
    </row>
    <row r="262" spans="1:14" ht="30" customHeight="1" x14ac:dyDescent="0.3">
      <c r="A262" s="123" t="s">
        <v>6844</v>
      </c>
      <c r="B262" s="3">
        <v>5</v>
      </c>
      <c r="C262" s="3" t="s">
        <v>6837</v>
      </c>
      <c r="D262" s="3" t="s">
        <v>6838</v>
      </c>
      <c r="E262" s="3" t="s">
        <v>6845</v>
      </c>
      <c r="F262" s="117">
        <v>2790</v>
      </c>
      <c r="G262" s="117">
        <v>5381.58</v>
      </c>
      <c r="H262" s="123" t="s">
        <v>6846</v>
      </c>
      <c r="I262" s="62" t="s">
        <v>6841</v>
      </c>
    </row>
    <row r="263" spans="1:14" ht="30" customHeight="1" x14ac:dyDescent="0.3">
      <c r="A263" s="124" t="s">
        <v>6847</v>
      </c>
      <c r="B263" s="7">
        <v>3</v>
      </c>
      <c r="C263" s="7" t="s">
        <v>6845</v>
      </c>
      <c r="D263" s="7" t="s">
        <v>6838</v>
      </c>
      <c r="E263" s="7" t="s">
        <v>6839</v>
      </c>
      <c r="F263" s="35">
        <v>1674</v>
      </c>
      <c r="G263" s="35">
        <v>4265.58</v>
      </c>
      <c r="H263" s="124" t="s">
        <v>6848</v>
      </c>
      <c r="I263" s="125" t="s">
        <v>6841</v>
      </c>
    </row>
    <row r="264" spans="1:14" ht="30" customHeight="1" x14ac:dyDescent="0.3">
      <c r="A264" s="123" t="s">
        <v>6849</v>
      </c>
      <c r="B264" s="3">
        <v>0</v>
      </c>
      <c r="C264" s="3" t="s">
        <v>6845</v>
      </c>
      <c r="D264" s="3" t="s">
        <v>6845</v>
      </c>
      <c r="E264" s="3" t="s">
        <v>6845</v>
      </c>
      <c r="F264" s="117">
        <v>0</v>
      </c>
      <c r="G264" s="117">
        <v>2591.58</v>
      </c>
      <c r="H264" s="123" t="s">
        <v>6850</v>
      </c>
      <c r="I264" s="62" t="s">
        <v>6841</v>
      </c>
    </row>
    <row r="265" spans="1:14" ht="30" customHeight="1" x14ac:dyDescent="0.3">
      <c r="A265" s="124" t="s">
        <v>6851</v>
      </c>
      <c r="B265" s="7">
        <v>3.75</v>
      </c>
      <c r="C265" s="7" t="s">
        <v>6845</v>
      </c>
      <c r="D265" s="7" t="s">
        <v>6852</v>
      </c>
      <c r="E265" s="7" t="s">
        <v>6853</v>
      </c>
      <c r="F265" s="35">
        <v>2092.5</v>
      </c>
      <c r="G265" s="35">
        <v>4684.08</v>
      </c>
      <c r="H265" s="124" t="s">
        <v>6854</v>
      </c>
      <c r="I265" s="125" t="s">
        <v>6841</v>
      </c>
    </row>
    <row r="266" spans="1:14" ht="7.95" customHeight="1" x14ac:dyDescent="0.3"/>
    <row r="267" spans="1:14" ht="22.05" customHeight="1" x14ac:dyDescent="0.3">
      <c r="A267" s="239" t="s">
        <v>6855</v>
      </c>
      <c r="B267" s="228"/>
      <c r="C267" s="228"/>
      <c r="D267" s="228"/>
      <c r="E267" s="228"/>
      <c r="F267" s="228"/>
      <c r="G267" s="228"/>
      <c r="H267" s="228"/>
      <c r="I267" s="228"/>
      <c r="J267" s="228"/>
      <c r="K267" s="228"/>
      <c r="L267" s="228"/>
      <c r="M267" s="228"/>
      <c r="N267" s="228"/>
    </row>
    <row r="268" spans="1:14" ht="24" customHeight="1" x14ac:dyDescent="0.3">
      <c r="A268" s="153" t="s">
        <v>6856</v>
      </c>
      <c r="B268" s="153" t="s">
        <v>6857</v>
      </c>
      <c r="C268" s="153" t="s">
        <v>6858</v>
      </c>
      <c r="D268" s="153" t="s">
        <v>6859</v>
      </c>
      <c r="E268" s="153" t="s">
        <v>6860</v>
      </c>
      <c r="F268" s="153" t="s">
        <v>6861</v>
      </c>
      <c r="G268" s="153" t="s">
        <v>6862</v>
      </c>
      <c r="H268" s="153" t="s">
        <v>6863</v>
      </c>
      <c r="I268" s="153" t="s">
        <v>6864</v>
      </c>
      <c r="J268" s="153" t="s">
        <v>6865</v>
      </c>
      <c r="K268" s="153" t="s">
        <v>6866</v>
      </c>
      <c r="L268" s="153" t="s">
        <v>6867</v>
      </c>
      <c r="M268" s="153" t="s">
        <v>6868</v>
      </c>
      <c r="N268" s="153" t="s">
        <v>6869</v>
      </c>
    </row>
    <row r="269" spans="1:14" ht="28.05" customHeight="1" x14ac:dyDescent="0.3">
      <c r="A269" s="126" t="s">
        <v>4462</v>
      </c>
      <c r="B269" s="127" t="s">
        <v>6870</v>
      </c>
      <c r="C269" s="148" t="s">
        <v>6871</v>
      </c>
      <c r="D269" s="120">
        <v>23</v>
      </c>
      <c r="E269" s="127" t="s">
        <v>6872</v>
      </c>
      <c r="F269" s="128">
        <v>6</v>
      </c>
      <c r="G269" s="120">
        <v>5</v>
      </c>
      <c r="H269" s="120">
        <v>3.75</v>
      </c>
      <c r="I269" s="120">
        <v>6.133</v>
      </c>
      <c r="J269" s="120">
        <v>0</v>
      </c>
      <c r="K269" s="120">
        <v>2.62</v>
      </c>
      <c r="L269" s="35">
        <v>104.9</v>
      </c>
      <c r="M269" s="126" t="s">
        <v>357</v>
      </c>
      <c r="N269" s="127" t="s">
        <v>6873</v>
      </c>
    </row>
    <row r="270" spans="1:14" ht="28.05" customHeight="1" x14ac:dyDescent="0.3">
      <c r="A270" s="129" t="s">
        <v>4458</v>
      </c>
      <c r="B270" s="130" t="s">
        <v>6874</v>
      </c>
      <c r="C270" s="149" t="s">
        <v>6875</v>
      </c>
      <c r="D270" s="116">
        <v>44</v>
      </c>
      <c r="E270" s="130" t="s">
        <v>6876</v>
      </c>
      <c r="F270" s="131">
        <v>16</v>
      </c>
      <c r="G270" s="116">
        <v>5.33</v>
      </c>
      <c r="H270" s="116">
        <v>10.66</v>
      </c>
      <c r="I270" s="116">
        <v>4.1280000000000001</v>
      </c>
      <c r="J270" s="116">
        <v>0</v>
      </c>
      <c r="K270" s="116">
        <v>0</v>
      </c>
      <c r="L270" s="117">
        <v>155.44999999999999</v>
      </c>
      <c r="M270" s="129" t="s">
        <v>357</v>
      </c>
      <c r="N270" s="130" t="s">
        <v>6873</v>
      </c>
    </row>
    <row r="271" spans="1:14" ht="28.05" customHeight="1" x14ac:dyDescent="0.3">
      <c r="A271" s="126" t="s">
        <v>4460</v>
      </c>
      <c r="B271" s="127" t="s">
        <v>6877</v>
      </c>
      <c r="C271" s="148" t="s">
        <v>6878</v>
      </c>
      <c r="D271" s="120">
        <v>14</v>
      </c>
      <c r="E271" s="127" t="s">
        <v>6879</v>
      </c>
      <c r="F271" s="128">
        <v>2</v>
      </c>
      <c r="G271" s="120">
        <v>8</v>
      </c>
      <c r="H271" s="120">
        <v>2</v>
      </c>
      <c r="I271" s="120">
        <v>7</v>
      </c>
      <c r="J271" s="120">
        <v>0</v>
      </c>
      <c r="K271" s="120">
        <v>3.1</v>
      </c>
      <c r="L271" s="35">
        <v>92.2</v>
      </c>
      <c r="M271" s="126" t="s">
        <v>357</v>
      </c>
      <c r="N271" s="127" t="s">
        <v>6873</v>
      </c>
    </row>
    <row r="272" spans="1:14" ht="28.05" customHeight="1" x14ac:dyDescent="0.3">
      <c r="A272" s="129" t="s">
        <v>6880</v>
      </c>
      <c r="B272" s="130" t="s">
        <v>6881</v>
      </c>
      <c r="C272" s="149" t="s">
        <v>6882</v>
      </c>
      <c r="D272" s="116">
        <v>14</v>
      </c>
      <c r="E272" s="130" t="s">
        <v>6883</v>
      </c>
      <c r="F272" s="131">
        <v>4</v>
      </c>
      <c r="G272" s="116">
        <v>6.5</v>
      </c>
      <c r="H272" s="116">
        <v>3.25</v>
      </c>
      <c r="I272" s="116">
        <v>4.3079999999999998</v>
      </c>
      <c r="J272" s="116">
        <v>91.15</v>
      </c>
      <c r="K272" s="116">
        <v>7.4</v>
      </c>
      <c r="L272" s="117">
        <v>165.15</v>
      </c>
      <c r="M272" s="129" t="s">
        <v>357</v>
      </c>
      <c r="N272" s="130" t="s">
        <v>6873</v>
      </c>
    </row>
    <row r="273" spans="1:14" ht="40.049999999999997" customHeight="1" x14ac:dyDescent="0.3">
      <c r="A273" s="237" t="s">
        <v>6884</v>
      </c>
      <c r="B273" s="241"/>
      <c r="C273" s="241"/>
      <c r="D273" s="241"/>
      <c r="E273" s="241"/>
      <c r="F273" s="241"/>
      <c r="G273" s="241"/>
      <c r="H273" s="241"/>
      <c r="I273" s="242"/>
      <c r="J273" s="53"/>
      <c r="K273" s="53"/>
      <c r="L273" s="53"/>
      <c r="M273" s="53"/>
      <c r="N273" s="53"/>
    </row>
    <row r="274" spans="1:14" ht="64.8" customHeight="1" x14ac:dyDescent="0.3">
      <c r="A274" s="251" t="s">
        <v>6885</v>
      </c>
      <c r="B274" s="230"/>
      <c r="C274" s="230"/>
      <c r="D274" s="230"/>
      <c r="E274" s="230"/>
      <c r="F274" s="230"/>
      <c r="G274" s="230"/>
      <c r="H274" s="230"/>
    </row>
    <row r="275" spans="1:14" x14ac:dyDescent="0.3">
      <c r="A275" s="150" t="s">
        <v>6886</v>
      </c>
    </row>
    <row r="276" spans="1:14" x14ac:dyDescent="0.3">
      <c r="A276" s="150" t="s">
        <v>6887</v>
      </c>
    </row>
    <row r="277" spans="1:14" x14ac:dyDescent="0.3">
      <c r="A277" s="150" t="s">
        <v>6888</v>
      </c>
    </row>
    <row r="278" spans="1:14" x14ac:dyDescent="0.3">
      <c r="A278" s="150" t="s">
        <v>6889</v>
      </c>
    </row>
    <row r="279" spans="1:14" x14ac:dyDescent="0.3">
      <c r="A279" s="150" t="s">
        <v>6890</v>
      </c>
    </row>
    <row r="280" spans="1:14" x14ac:dyDescent="0.3">
      <c r="A280" s="150" t="s">
        <v>6891</v>
      </c>
    </row>
    <row r="281" spans="1:14" x14ac:dyDescent="0.3">
      <c r="A281" s="150" t="s">
        <v>6892</v>
      </c>
    </row>
    <row r="282" spans="1:14" x14ac:dyDescent="0.3">
      <c r="A282" s="150" t="s">
        <v>6893</v>
      </c>
    </row>
    <row r="283" spans="1:14" x14ac:dyDescent="0.3">
      <c r="A283" s="150" t="s">
        <v>6894</v>
      </c>
    </row>
    <row r="284" spans="1:14" x14ac:dyDescent="0.3">
      <c r="A284" s="150" t="s">
        <v>6895</v>
      </c>
    </row>
    <row r="285" spans="1:14" x14ac:dyDescent="0.3">
      <c r="A285" s="150" t="s">
        <v>6896</v>
      </c>
    </row>
    <row r="286" spans="1:14" x14ac:dyDescent="0.3">
      <c r="A286" s="150" t="s">
        <v>6897</v>
      </c>
    </row>
    <row r="287" spans="1:14" x14ac:dyDescent="0.3">
      <c r="A287" s="150" t="s">
        <v>6898</v>
      </c>
    </row>
    <row r="288" spans="1:14" x14ac:dyDescent="0.3">
      <c r="A288" s="150" t="s">
        <v>6899</v>
      </c>
    </row>
    <row r="289" spans="1:1" x14ac:dyDescent="0.3">
      <c r="A289" s="150" t="s">
        <v>6900</v>
      </c>
    </row>
    <row r="290" spans="1:1" x14ac:dyDescent="0.3">
      <c r="A290" s="150" t="s">
        <v>6901</v>
      </c>
    </row>
    <row r="291" spans="1:1" x14ac:dyDescent="0.3">
      <c r="A291" s="150" t="s">
        <v>6902</v>
      </c>
    </row>
    <row r="292" spans="1:1" x14ac:dyDescent="0.3">
      <c r="A292" s="150" t="s">
        <v>6903</v>
      </c>
    </row>
    <row r="293" spans="1:1" x14ac:dyDescent="0.3">
      <c r="A293" s="150" t="s">
        <v>6904</v>
      </c>
    </row>
    <row r="294" spans="1:1" x14ac:dyDescent="0.3">
      <c r="A294" s="150" t="s">
        <v>6905</v>
      </c>
    </row>
    <row r="295" spans="1:1" x14ac:dyDescent="0.3">
      <c r="A295" s="150" t="s">
        <v>6906</v>
      </c>
    </row>
    <row r="296" spans="1:1" x14ac:dyDescent="0.3">
      <c r="A296" s="150" t="s">
        <v>6907</v>
      </c>
    </row>
    <row r="297" spans="1:1" x14ac:dyDescent="0.3">
      <c r="A297" s="150" t="s">
        <v>6908</v>
      </c>
    </row>
    <row r="298" spans="1:1" x14ac:dyDescent="0.3">
      <c r="A298" s="150" t="s">
        <v>6909</v>
      </c>
    </row>
    <row r="299" spans="1:1" x14ac:dyDescent="0.3">
      <c r="A299" s="150" t="s">
        <v>6910</v>
      </c>
    </row>
  </sheetData>
  <mergeCells count="116">
    <mergeCell ref="A4:I4"/>
    <mergeCell ref="E9:I9"/>
    <mergeCell ref="E11:I11"/>
    <mergeCell ref="E45:I45"/>
    <mergeCell ref="E100:I100"/>
    <mergeCell ref="A144:N144"/>
    <mergeCell ref="A6:I6"/>
    <mergeCell ref="E102:I102"/>
    <mergeCell ref="E37:I37"/>
    <mergeCell ref="E127:I127"/>
    <mergeCell ref="E23:I23"/>
    <mergeCell ref="E51:I51"/>
    <mergeCell ref="E128:I128"/>
    <mergeCell ref="E137:I137"/>
    <mergeCell ref="E34:I34"/>
    <mergeCell ref="E105:I105"/>
    <mergeCell ref="E99:I99"/>
    <mergeCell ref="E49:I49"/>
    <mergeCell ref="E27:I27"/>
    <mergeCell ref="E110:I110"/>
    <mergeCell ref="E36:I36"/>
    <mergeCell ref="E119:I119"/>
    <mergeCell ref="E101:I101"/>
    <mergeCell ref="B30:I30"/>
    <mergeCell ref="A1:I1"/>
    <mergeCell ref="E41:I41"/>
    <mergeCell ref="A94:I94"/>
    <mergeCell ref="E97:I97"/>
    <mergeCell ref="E112:I112"/>
    <mergeCell ref="E134:I134"/>
    <mergeCell ref="E109:I109"/>
    <mergeCell ref="A258:N258"/>
    <mergeCell ref="E96:I96"/>
    <mergeCell ref="E56:I56"/>
    <mergeCell ref="E139:I139"/>
    <mergeCell ref="E43:I43"/>
    <mergeCell ref="E129:I129"/>
    <mergeCell ref="E111:I111"/>
    <mergeCell ref="E24:I24"/>
    <mergeCell ref="E33:I33"/>
    <mergeCell ref="E98:I98"/>
    <mergeCell ref="A3:I3"/>
    <mergeCell ref="E17:I17"/>
    <mergeCell ref="E131:I131"/>
    <mergeCell ref="A71:F71"/>
    <mergeCell ref="E140:I140"/>
    <mergeCell ref="E35:I35"/>
    <mergeCell ref="A5:I5"/>
    <mergeCell ref="A8:I8"/>
    <mergeCell ref="A91:I91"/>
    <mergeCell ref="A115:I115"/>
    <mergeCell ref="A93:I93"/>
    <mergeCell ref="E46:I46"/>
    <mergeCell ref="E133:I133"/>
    <mergeCell ref="A219:N219"/>
    <mergeCell ref="E57:I57"/>
    <mergeCell ref="E54:I54"/>
    <mergeCell ref="E125:I125"/>
    <mergeCell ref="A32:I32"/>
    <mergeCell ref="E10:I10"/>
    <mergeCell ref="E138:I138"/>
    <mergeCell ref="E19:I19"/>
    <mergeCell ref="A178:N178"/>
    <mergeCell ref="A176:I176"/>
    <mergeCell ref="E113:I113"/>
    <mergeCell ref="B20:I20"/>
    <mergeCell ref="E136:I136"/>
    <mergeCell ref="E53:I53"/>
    <mergeCell ref="A274:H274"/>
    <mergeCell ref="A61:I61"/>
    <mergeCell ref="E18:I18"/>
    <mergeCell ref="E50:I50"/>
    <mergeCell ref="E106:I106"/>
    <mergeCell ref="E121:I121"/>
    <mergeCell ref="A143:N143"/>
    <mergeCell ref="E42:I42"/>
    <mergeCell ref="A74:I74"/>
    <mergeCell ref="E126:I126"/>
    <mergeCell ref="E141:I141"/>
    <mergeCell ref="E123:I123"/>
    <mergeCell ref="E135:I135"/>
    <mergeCell ref="E44:I44"/>
    <mergeCell ref="E107:I107"/>
    <mergeCell ref="A256:N256"/>
    <mergeCell ref="E28:I28"/>
    <mergeCell ref="A116:I116"/>
    <mergeCell ref="A273:I273"/>
    <mergeCell ref="A267:N267"/>
    <mergeCell ref="A217:N217"/>
    <mergeCell ref="E40:I40"/>
    <mergeCell ref="E15:I15"/>
    <mergeCell ref="E108:I108"/>
    <mergeCell ref="E95:I95"/>
    <mergeCell ref="E104:I104"/>
    <mergeCell ref="A48:I48"/>
    <mergeCell ref="E26:I26"/>
    <mergeCell ref="E124:I124"/>
    <mergeCell ref="E120:I120"/>
    <mergeCell ref="E16:I16"/>
    <mergeCell ref="E25:I25"/>
    <mergeCell ref="E130:I130"/>
    <mergeCell ref="E12:I12"/>
    <mergeCell ref="E117:I117"/>
    <mergeCell ref="E55:I55"/>
    <mergeCell ref="E122:I122"/>
    <mergeCell ref="E52:I52"/>
    <mergeCell ref="E132:I132"/>
    <mergeCell ref="E39:I39"/>
    <mergeCell ref="E14:I14"/>
    <mergeCell ref="E29:I29"/>
    <mergeCell ref="E38:I38"/>
    <mergeCell ref="E103:I103"/>
    <mergeCell ref="E13:I13"/>
    <mergeCell ref="A22:I22"/>
    <mergeCell ref="E118:I118"/>
    <mergeCell ref="A72:F72"/>
  </mergeCells>
  <dataValidations count="13">
    <dataValidation type="list" sqref="C77 C79 C81 C83">
      <formula1>"YES,NO"</formula1>
    </dataValidation>
    <dataValidation type="list" sqref="B39">
      <formula1>"STANDARD (DAYTIME),URBAN RESTRICTED HOURS"</formula1>
    </dataValidation>
    <dataValidation type="list" sqref="B43">
      <formula1>"DIRECT ROUTE (2NL + 6),CPWD PRO-RATA (Data Sheet 1)"</formula1>
    </dataValidation>
    <dataValidation type="list" sqref="B40">
      <formula1>"CPWD FRACTIONAL (Data Sheet 1 basis),WHOLE TRIPS (round down to integer)"</formula1>
    </dataValidation>
    <dataValidation type="list" sqref="B110">
      <formula1>"cum,tonne,metre,100 m,1000 Nos"</formula1>
    </dataValidation>
    <dataValidation type="list" sqref="B98">
      <formula1>"Category A (Bulk / Earth / Bricks),Category B (Heavy / Pipes / Steel)"</formula1>
    </dataValidation>
    <dataValidation type="list" sqref="B99">
      <formula1>"50,100,150,200,250,300,350,400,450,500"</formula1>
    </dataValidation>
    <dataValidation type="list" sqref="B24">
      <formula1>CPWD_Carriage_Item_Codes</formula1>
    </dataValidation>
    <dataValidation type="list" sqref="B10 B25">
      <formula1>CPWD_Carriage_Materials</formula1>
    </dataValidation>
    <dataValidation type="list" sqref="B96">
      <formula1>CPWD_Carriage12_Materials</formula1>
    </dataValidation>
    <dataValidation type="list" sqref="B26">
      <formula1>CPWD_Carriage_Scope</formula1>
    </dataValidation>
    <dataValidation type="list" sqref="B27">
      <formula1>"for all lifts,for lift upto 1.5 m,with mechanical lift,for all lifts and leads"</formula1>
    </dataValidation>
    <dataValidation type="list" sqref="B118">
      <formula1>"1.3 Cement (bags) incl sweeping &amp; godown stacking,1.4.1 Steel bars/rods (flat wagon),1.4.2 Pipes &lt;= 500 mm dia (flat wagon),1.4.3 Heavy materials &gt; 1 t / pipes &gt; 500 mm (crane-assisted)"</formula1>
    </dataValidation>
  </dataValidations>
  <pageMargins left="0.75" right="0.75" top="1" bottom="1" header="0.5" footer="0.5"/>
  <pageSetup paperSize="9" orientation="portrait" verticalDpi="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282"/>
  <sheetViews>
    <sheetView tabSelected="1" topLeftCell="C28" workbookViewId="0">
      <selection activeCell="E106" sqref="E106"/>
    </sheetView>
  </sheetViews>
  <sheetFormatPr defaultRowHeight="14.4" x14ac:dyDescent="0.3"/>
  <cols>
    <col min="1" max="1" width="10" style="151" customWidth="1"/>
    <col min="2" max="2" width="26" style="151" customWidth="1"/>
    <col min="3" max="4" width="34" style="151" customWidth="1"/>
    <col min="5" max="5" width="14" style="151" customWidth="1"/>
    <col min="6" max="7" width="16" style="151" customWidth="1"/>
    <col min="8" max="8" width="18" style="151" customWidth="1"/>
    <col min="9" max="9" width="14" style="151" customWidth="1"/>
    <col min="10" max="10" width="16" style="151" customWidth="1"/>
    <col min="11" max="11" width="18" style="151" customWidth="1"/>
    <col min="12" max="12" width="16" style="151" customWidth="1"/>
    <col min="13" max="13" width="20" style="151" customWidth="1"/>
    <col min="14" max="14" width="44" style="151" customWidth="1"/>
    <col min="15" max="15" width="56" style="151" customWidth="1"/>
    <col min="16" max="17" width="28" style="151" customWidth="1"/>
    <col min="18" max="18" width="24" style="151" customWidth="1"/>
    <col min="19" max="19" width="36" style="151" customWidth="1"/>
    <col min="20" max="20" width="55" style="151" customWidth="1"/>
    <col min="21" max="23" width="52" style="151" customWidth="1"/>
    <col min="27" max="27" width="45" style="151" customWidth="1"/>
    <col min="28" max="28" width="35" style="151" customWidth="1"/>
    <col min="29" max="30" width="12" style="151" customWidth="1"/>
    <col min="31" max="31" width="14" style="151" customWidth="1"/>
    <col min="32" max="32" width="60" style="151" customWidth="1"/>
    <col min="33" max="37" width="30" style="151" customWidth="1"/>
    <col min="38" max="38" width="45" style="151" customWidth="1"/>
  </cols>
  <sheetData>
    <row r="1" spans="1:15" ht="30" customHeight="1" x14ac:dyDescent="0.3">
      <c r="A1" s="280" t="s">
        <v>6911</v>
      </c>
      <c r="B1" s="228"/>
      <c r="C1" s="228"/>
      <c r="D1" s="228"/>
      <c r="E1" s="228"/>
      <c r="F1" s="228"/>
      <c r="G1" s="228"/>
      <c r="H1" s="228"/>
      <c r="I1" s="228"/>
    </row>
    <row r="2" spans="1:15" ht="19.95" customHeight="1" x14ac:dyDescent="0.3">
      <c r="A2" s="154" t="s">
        <v>4272</v>
      </c>
      <c r="B2" s="155" t="s">
        <v>6379</v>
      </c>
      <c r="C2" s="156" t="s">
        <v>6380</v>
      </c>
      <c r="D2" s="157" t="s">
        <v>6381</v>
      </c>
      <c r="E2" s="158" t="s">
        <v>6382</v>
      </c>
      <c r="F2" s="159" t="s">
        <v>6383</v>
      </c>
      <c r="G2" s="160" t="s">
        <v>6384</v>
      </c>
      <c r="H2" s="161" t="s">
        <v>6385</v>
      </c>
      <c r="I2" s="162" t="s">
        <v>6386</v>
      </c>
    </row>
    <row r="3" spans="1:15" ht="30" customHeight="1" x14ac:dyDescent="0.3">
      <c r="A3" s="264" t="s">
        <v>6912</v>
      </c>
      <c r="B3" s="228"/>
      <c r="C3" s="228"/>
      <c r="D3" s="228"/>
      <c r="E3" s="228"/>
      <c r="F3" s="228"/>
      <c r="G3" s="228"/>
      <c r="H3" s="228"/>
      <c r="I3" s="228"/>
    </row>
    <row r="4" spans="1:15" ht="25.95" customHeight="1" x14ac:dyDescent="0.3">
      <c r="A4" s="258" t="s">
        <v>6913</v>
      </c>
      <c r="B4" s="228"/>
      <c r="C4" s="228"/>
      <c r="D4" s="228"/>
      <c r="E4" s="228"/>
      <c r="F4" s="228"/>
      <c r="G4" s="228"/>
      <c r="H4" s="228"/>
      <c r="I4" s="228"/>
      <c r="J4" s="228"/>
      <c r="K4" s="228"/>
      <c r="L4" s="228"/>
      <c r="M4" s="228"/>
      <c r="N4" s="228"/>
      <c r="O4" s="228"/>
    </row>
    <row r="5" spans="1:15" ht="24" customHeight="1" x14ac:dyDescent="0.3">
      <c r="A5" s="259" t="s">
        <v>6392</v>
      </c>
      <c r="B5" s="260"/>
      <c r="C5" s="261"/>
      <c r="D5" s="163" t="s">
        <v>6914</v>
      </c>
      <c r="E5" s="163" t="s">
        <v>6</v>
      </c>
      <c r="F5" s="163" t="s">
        <v>6394</v>
      </c>
      <c r="G5" s="259" t="s">
        <v>6915</v>
      </c>
      <c r="H5" s="260"/>
      <c r="I5" s="260"/>
      <c r="J5" s="260"/>
      <c r="K5" s="260"/>
      <c r="L5" s="260"/>
      <c r="M5" s="260"/>
      <c r="N5" s="260"/>
      <c r="O5" s="261"/>
    </row>
    <row r="6" spans="1:15" ht="24" customHeight="1" x14ac:dyDescent="0.3">
      <c r="A6" s="266" t="s">
        <v>6916</v>
      </c>
      <c r="B6" s="257"/>
      <c r="C6" s="257"/>
      <c r="D6" s="155" t="s">
        <v>6917</v>
      </c>
      <c r="E6" s="165" t="s">
        <v>6918</v>
      </c>
      <c r="F6" s="155" t="s">
        <v>6398</v>
      </c>
      <c r="G6" s="256" t="s">
        <v>6919</v>
      </c>
      <c r="H6" s="257"/>
      <c r="I6" s="257"/>
      <c r="J6" s="257"/>
      <c r="K6" s="257"/>
      <c r="L6" s="257"/>
      <c r="M6" s="257"/>
      <c r="N6" s="257"/>
      <c r="O6" s="257"/>
    </row>
    <row r="7" spans="1:15" ht="24" customHeight="1" x14ac:dyDescent="0.3">
      <c r="A7" s="266" t="s">
        <v>6920</v>
      </c>
      <c r="B7" s="257"/>
      <c r="C7" s="257"/>
      <c r="D7" s="155" t="s">
        <v>6921</v>
      </c>
      <c r="E7" s="165" t="s">
        <v>6918</v>
      </c>
      <c r="F7" s="155" t="s">
        <v>6398</v>
      </c>
      <c r="G7" s="256" t="s">
        <v>6922</v>
      </c>
      <c r="H7" s="257"/>
      <c r="I7" s="257"/>
      <c r="J7" s="257"/>
      <c r="K7" s="257"/>
      <c r="L7" s="257"/>
      <c r="M7" s="257"/>
      <c r="N7" s="257"/>
      <c r="O7" s="257"/>
    </row>
    <row r="8" spans="1:15" ht="24" customHeight="1" x14ac:dyDescent="0.3">
      <c r="A8" s="266" t="s">
        <v>6923</v>
      </c>
      <c r="B8" s="257"/>
      <c r="C8" s="257"/>
      <c r="D8" s="155" t="s">
        <v>6924</v>
      </c>
      <c r="E8" s="165" t="s">
        <v>6918</v>
      </c>
      <c r="F8" s="155" t="s">
        <v>6398</v>
      </c>
      <c r="G8" s="256" t="s">
        <v>6925</v>
      </c>
      <c r="H8" s="257"/>
      <c r="I8" s="257"/>
      <c r="J8" s="257"/>
      <c r="K8" s="257"/>
      <c r="L8" s="257"/>
      <c r="M8" s="257"/>
      <c r="N8" s="257"/>
      <c r="O8" s="257"/>
    </row>
    <row r="9" spans="1:15" ht="24" customHeight="1" x14ac:dyDescent="0.3">
      <c r="A9" s="266" t="s">
        <v>6926</v>
      </c>
      <c r="B9" s="257"/>
      <c r="C9" s="257"/>
      <c r="D9" s="155" t="s">
        <v>6927</v>
      </c>
      <c r="E9" s="165" t="s">
        <v>6918</v>
      </c>
      <c r="F9" s="155" t="s">
        <v>6398</v>
      </c>
      <c r="G9" s="256" t="s">
        <v>6928</v>
      </c>
      <c r="H9" s="257"/>
      <c r="I9" s="257"/>
      <c r="J9" s="257"/>
      <c r="K9" s="257"/>
      <c r="L9" s="257"/>
      <c r="M9" s="257"/>
      <c r="N9" s="257"/>
      <c r="O9" s="257"/>
    </row>
    <row r="10" spans="1:15" ht="24" customHeight="1" x14ac:dyDescent="0.3">
      <c r="A10" s="266" t="s">
        <v>6929</v>
      </c>
      <c r="B10" s="257"/>
      <c r="C10" s="257"/>
      <c r="D10" s="168">
        <f>IFERROR(INDEX($AC$105:$AC$153, MATCH(IF($D$9="", $D$6&amp;"|"&amp;$D$7&amp;"|"&amp;$D$8, $D$6&amp;"|"&amp;$D$7&amp;"|"&amp;$D$8&amp;"|"&amp;$D$9), $AA$105:$AA$153, 0)), IFERROR(INDEX($AC$105:$AC$153, MATCH($D$6&amp;"|"&amp;$D$7&amp;"|"&amp;$D$8, $AB$105:$AB$153, 0)), 100))</f>
        <v>100</v>
      </c>
      <c r="E10" s="165" t="s">
        <v>6930</v>
      </c>
      <c r="F10" s="167" t="s">
        <v>6408</v>
      </c>
      <c r="G10" s="256" t="s">
        <v>6931</v>
      </c>
      <c r="H10" s="257"/>
      <c r="I10" s="257"/>
      <c r="J10" s="257"/>
      <c r="K10" s="257"/>
      <c r="L10" s="257"/>
      <c r="M10" s="257"/>
      <c r="N10" s="257"/>
      <c r="O10" s="257"/>
    </row>
    <row r="11" spans="1:15" ht="24" customHeight="1" x14ac:dyDescent="0.3">
      <c r="A11" s="266" t="s">
        <v>6932</v>
      </c>
      <c r="B11" s="257"/>
      <c r="C11" s="257"/>
      <c r="D11" s="167" t="str">
        <f>IFERROR(INDEX($AD$105:$AD$153, MATCH(IF($D$9="", $D$6&amp;"|"&amp;$D$7&amp;"|"&amp;$D$8, $D$6&amp;"|"&amp;$D$7&amp;"|"&amp;$D$8&amp;"|"&amp;$D$9), $AA$105:$AA$153, 0)), IFERROR(INDEX($AD$105:$AD$153, MATCH($D$6&amp;"|"&amp;$D$7&amp;"|"&amp;$D$8, $AB$105:$AB$153, 0)), "sqm"))</f>
        <v>sqm</v>
      </c>
      <c r="E11" s="165" t="s">
        <v>6918</v>
      </c>
      <c r="F11" s="167" t="s">
        <v>6408</v>
      </c>
      <c r="G11" s="256" t="s">
        <v>6933</v>
      </c>
      <c r="H11" s="257"/>
      <c r="I11" s="257"/>
      <c r="J11" s="257"/>
      <c r="K11" s="257"/>
      <c r="L11" s="257"/>
      <c r="M11" s="257"/>
      <c r="N11" s="257"/>
      <c r="O11" s="257"/>
    </row>
    <row r="12" spans="1:15" ht="24" customHeight="1" x14ac:dyDescent="0.3">
      <c r="A12" s="266" t="s">
        <v>6934</v>
      </c>
      <c r="B12" s="257"/>
      <c r="C12" s="257"/>
      <c r="D12" s="155" t="s">
        <v>6935</v>
      </c>
      <c r="E12" s="165" t="s">
        <v>6918</v>
      </c>
      <c r="F12" s="155" t="s">
        <v>6398</v>
      </c>
      <c r="G12" s="256" t="s">
        <v>6936</v>
      </c>
      <c r="H12" s="257"/>
      <c r="I12" s="257"/>
      <c r="J12" s="257"/>
      <c r="K12" s="257"/>
      <c r="L12" s="257"/>
      <c r="M12" s="257"/>
      <c r="N12" s="257"/>
      <c r="O12" s="257"/>
    </row>
    <row r="13" spans="1:15" ht="40.049999999999997" customHeight="1" x14ac:dyDescent="0.35">
      <c r="A13" s="265" t="s">
        <v>6937</v>
      </c>
      <c r="B13" s="257"/>
      <c r="C13" s="257"/>
      <c r="D13" s="262" t="str">
        <f>IFERROR(INDEX($AF$105:$AF$153, MATCH(IF($D$9="", $D$6&amp;"|"&amp;$D$7&amp;"|"&amp;$D$8, $D$6&amp;"|"&amp;$D$7&amp;"|"&amp;$D$8&amp;"|"&amp;$D$9), $AA$105:$AA$153, 0)), IFERROR(INDEX($AF$105:$AF$153, MATCH($D$6&amp;"|"&amp;$D$7&amp;"|"&amp;$D$8, $AB$105:$AB$153, 0)), "Earth Work Operation"))</f>
        <v>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v>
      </c>
      <c r="E13" s="257"/>
      <c r="F13" s="257"/>
      <c r="G13" s="257"/>
      <c r="H13" s="257"/>
      <c r="I13" s="257"/>
      <c r="J13" s="257"/>
      <c r="K13" s="257"/>
      <c r="L13" s="257"/>
      <c r="M13" s="257"/>
      <c r="N13" s="257"/>
      <c r="O13" s="257"/>
    </row>
    <row r="14" spans="1:15" ht="24" customHeight="1" x14ac:dyDescent="0.3">
      <c r="A14" s="266" t="s">
        <v>6938</v>
      </c>
      <c r="B14" s="257"/>
      <c r="C14" s="257"/>
      <c r="D14" s="207">
        <f>IFERROR(INDEX($AE$105:$AE$153, MATCH(IF($D$9="", $D$6&amp;"|"&amp;$D$7&amp;"|"&amp;$D$8, $D$6&amp;"|"&amp;$D$7&amp;"|"&amp;$D$8&amp;"|"&amp;$D$9), $AA$105:$AA$153, 0)), IFERROR(INDEX($AE$105:$AE$153, MATCH($D$6&amp;"|"&amp;$D$7&amp;"|"&amp;$D$8, $AB$105:$AB$153, 0)), 92.55))</f>
        <v>92.55</v>
      </c>
      <c r="E14" s="165" t="str">
        <f>D11</f>
        <v>sqm</v>
      </c>
      <c r="F14" s="167" t="s">
        <v>6408</v>
      </c>
      <c r="G14" s="256" t="s">
        <v>6939</v>
      </c>
      <c r="H14" s="257"/>
      <c r="I14" s="257"/>
      <c r="J14" s="257"/>
      <c r="K14" s="257"/>
      <c r="L14" s="257"/>
      <c r="M14" s="257"/>
      <c r="N14" s="257"/>
      <c r="O14" s="257"/>
    </row>
    <row r="15" spans="1:15" ht="24" customHeight="1" x14ac:dyDescent="0.3">
      <c r="A15" s="278" t="s">
        <v>6940</v>
      </c>
      <c r="B15" s="257"/>
      <c r="C15" s="257"/>
      <c r="D15" s="169" t="str">
        <f>IF(AND(H58&lt;=0.05, H58&gt;=-0.05), "[PASS] 100% DAR MATCH", "[ALERT] VARIANCE DETECTED")</f>
        <v>[PASS] 100% DAR MATCH</v>
      </c>
      <c r="E15" s="170" t="s">
        <v>6941</v>
      </c>
      <c r="F15" s="171" t="str">
        <f>IF(H41&gt;0, "OK", "ERR: W&lt;=0")</f>
        <v>OK</v>
      </c>
      <c r="G15" s="270" t="s">
        <v>6942</v>
      </c>
      <c r="H15" s="257"/>
      <c r="I15" s="257"/>
      <c r="J15" s="257"/>
      <c r="K15" s="257"/>
      <c r="L15" s="257"/>
      <c r="M15" s="257"/>
      <c r="N15" s="257"/>
      <c r="O15" s="257"/>
    </row>
    <row r="17" spans="1:23" ht="24" customHeight="1" x14ac:dyDescent="0.3">
      <c r="A17" s="258" t="s">
        <v>6943</v>
      </c>
      <c r="B17" s="228"/>
      <c r="C17" s="228"/>
      <c r="D17" s="228"/>
      <c r="E17" s="228"/>
      <c r="F17" s="228"/>
      <c r="G17" s="228"/>
      <c r="H17" s="228"/>
      <c r="I17" s="228"/>
      <c r="J17" s="228"/>
      <c r="K17" s="228"/>
      <c r="L17" s="228"/>
      <c r="M17" s="228"/>
      <c r="N17" s="228"/>
      <c r="O17" s="228"/>
      <c r="P17" s="258" t="s">
        <v>6944</v>
      </c>
      <c r="Q17" s="228"/>
      <c r="R17" s="228"/>
      <c r="S17" s="228"/>
    </row>
    <row r="18" spans="1:23" ht="24" customHeight="1" x14ac:dyDescent="0.3">
      <c r="A18" s="259" t="s">
        <v>6945</v>
      </c>
      <c r="B18" s="260"/>
      <c r="C18" s="261"/>
      <c r="D18" s="163" t="s">
        <v>6946</v>
      </c>
      <c r="E18" s="259" t="s">
        <v>6947</v>
      </c>
      <c r="F18" s="260"/>
      <c r="G18" s="260"/>
      <c r="H18" s="260"/>
      <c r="I18" s="260"/>
      <c r="J18" s="260"/>
      <c r="K18" s="260"/>
      <c r="L18" s="260"/>
      <c r="M18" s="260"/>
      <c r="N18" s="260"/>
      <c r="O18" s="261"/>
      <c r="P18" s="163" t="s">
        <v>6948</v>
      </c>
      <c r="Q18" s="163" t="s">
        <v>6949</v>
      </c>
      <c r="R18" s="163" t="s">
        <v>6950</v>
      </c>
      <c r="S18" s="163" t="s">
        <v>6951</v>
      </c>
    </row>
    <row r="19" spans="1:23" ht="22.05" customHeight="1" x14ac:dyDescent="0.35">
      <c r="A19" s="265" t="s">
        <v>6952</v>
      </c>
      <c r="B19" s="257"/>
      <c r="C19" s="257"/>
      <c r="D19" s="217" t="str">
        <f>IFERROR(INDEX($AG$105:$AG$153, MATCH(IF($D$9="", $D$6&amp;"|"&amp;$D$7&amp;"|"&amp;$D$8, $D$6&amp;"|"&amp;$D$7&amp;"|"&amp;$D$8&amp;"|"&amp;$D$9), $AA$105:$AA$153, 0)), IFERROR(INDEX($AG$105:$AG$153, MATCH($D$6&amp;"|"&amp;$D$7&amp;"|"&amp;$D$8, $AB$105:$AB$153, 0)), "Standard Digging"))</f>
        <v>Manual Pickaxe / Beldar</v>
      </c>
      <c r="E19" s="256" t="s">
        <v>6953</v>
      </c>
      <c r="F19" s="257"/>
      <c r="G19" s="257"/>
      <c r="H19" s="257"/>
      <c r="I19" s="257"/>
      <c r="J19" s="257"/>
      <c r="K19" s="257"/>
      <c r="L19" s="257"/>
      <c r="M19" s="257"/>
      <c r="N19" s="257"/>
      <c r="O19" s="257"/>
      <c r="P19" s="167" t="s">
        <v>197</v>
      </c>
      <c r="Q19" s="180" t="s">
        <v>6954</v>
      </c>
      <c r="R19" s="206" t="s">
        <v>6955</v>
      </c>
      <c r="S19" s="222">
        <f>IF($D$22="NO", 0, 1)</f>
        <v>1</v>
      </c>
    </row>
    <row r="20" spans="1:23" ht="22.05" customHeight="1" x14ac:dyDescent="0.35">
      <c r="A20" s="265" t="s">
        <v>6956</v>
      </c>
      <c r="B20" s="257"/>
      <c r="C20" s="257"/>
      <c r="D20" s="217" t="str">
        <f>IFERROR(INDEX($AH$105:$AH$153, MATCH(IF($D$9="", $D$6&amp;"|"&amp;$D$7&amp;"|"&amp;$D$8, $D$6&amp;"|"&amp;$D$7&amp;"|"&amp;$D$8&amp;"|"&amp;$D$9), $AA$105:$AA$153, 0)), IFERROR(INDEX($AH$105:$AH$153, MATCH($D$6&amp;"|"&amp;$D$7&amp;"|"&amp;$D$8, $AB$105:$AB$153, 0)), "Standard Haulage"))</f>
        <v>Manual Basket (≤50m lead, ≤1.5m lift)</v>
      </c>
      <c r="E20" s="256" t="s">
        <v>6957</v>
      </c>
      <c r="F20" s="257"/>
      <c r="G20" s="257"/>
      <c r="H20" s="257"/>
      <c r="I20" s="257"/>
      <c r="J20" s="257"/>
      <c r="K20" s="257"/>
      <c r="L20" s="257"/>
      <c r="M20" s="257"/>
      <c r="N20" s="257"/>
      <c r="O20" s="257"/>
      <c r="P20" s="167" t="s">
        <v>14</v>
      </c>
      <c r="Q20" s="180" t="s">
        <v>6958</v>
      </c>
      <c r="R20" s="206" t="s">
        <v>6959</v>
      </c>
      <c r="S20" s="222">
        <f>IF($D$23="NO", 0, 1)</f>
        <v>1</v>
      </c>
    </row>
    <row r="21" spans="1:23" ht="22.05" customHeight="1" x14ac:dyDescent="0.35">
      <c r="A21" s="265" t="s">
        <v>6960</v>
      </c>
      <c r="B21" s="257"/>
      <c r="C21" s="257"/>
      <c r="D21" s="217" t="str">
        <f>IFERROR(INDEX($AI$105:$AI$153, MATCH(IF($D$9="", $D$6&amp;"|"&amp;$D$7&amp;"|"&amp;$D$8, $D$6&amp;"|"&amp;$D$7&amp;"|"&amp;$D$8&amp;"|"&amp;$D$9), $AA$105:$AA$153, 0)), IFERROR(INDEX($AI$105:$AI$153, MATCH($D$6&amp;"|"&amp;$D$7&amp;"|"&amp;$D$8, $AB$105:$AB$153, 0)), "Standard Spreading"))</f>
        <v>Dressing &amp; grading surface</v>
      </c>
      <c r="E21" s="256" t="s">
        <v>6961</v>
      </c>
      <c r="F21" s="257"/>
      <c r="G21" s="257"/>
      <c r="H21" s="257"/>
      <c r="I21" s="257"/>
      <c r="J21" s="257"/>
      <c r="K21" s="257"/>
      <c r="L21" s="257"/>
      <c r="M21" s="257"/>
      <c r="N21" s="257"/>
      <c r="O21" s="257"/>
      <c r="P21" s="167" t="s">
        <v>31</v>
      </c>
      <c r="Q21" s="180" t="s">
        <v>6962</v>
      </c>
      <c r="R21" s="206" t="s">
        <v>6959</v>
      </c>
      <c r="S21" s="222">
        <f>IF($D$23="NO", 0, 1)</f>
        <v>1</v>
      </c>
    </row>
    <row r="22" spans="1:23" ht="25.95" customHeight="1" x14ac:dyDescent="0.35">
      <c r="A22" s="265" t="s">
        <v>6963</v>
      </c>
      <c r="B22" s="257"/>
      <c r="C22" s="257"/>
      <c r="D22" s="155" t="s">
        <v>4318</v>
      </c>
      <c r="E22" s="256" t="str">
        <f>IF(ISNUMBER(SEARCH("Embankment", $D$6)), IF($D$22="YES", "Watering included in item specification (0.40 Bhishti-day / 10 cum to achieve OMC). Full rate applies.", "DEDUCTION APPLIED (DAR Item 2.5): 0.40 Bhishti-day @ Rs 617 = Rs 246.80 direct. With GST 14.05% (Rs 34.68) + CPOH 15% (Rs 42.22) + Cess 1% (Rs 3.24) = Total Rs 326.94/10 cum -&gt; Rate reduced by Rs 33.00/cum (-Rs 32.70 exact)."), "Surface Excavation, Foundation Trenches, Jungle Clearance, Timbering Item specification does not include watering/compaction. (No deduction applicable).")</f>
        <v>Surface Excavation, Foundation Trenches, Jungle Clearance, Timbering Item specification does not include watering/compaction. (No deduction applicable).</v>
      </c>
      <c r="F22" s="257"/>
      <c r="G22" s="257"/>
      <c r="H22" s="257"/>
      <c r="I22" s="257"/>
      <c r="J22" s="257"/>
      <c r="K22" s="257"/>
      <c r="L22" s="257"/>
      <c r="M22" s="257"/>
      <c r="N22" s="257"/>
      <c r="O22" s="257"/>
      <c r="P22" s="167" t="s">
        <v>207</v>
      </c>
      <c r="Q22" s="180" t="s">
        <v>6964</v>
      </c>
      <c r="R22" s="206" t="s">
        <v>6959</v>
      </c>
      <c r="S22" s="222">
        <f>IF($D$23="NO", 0, 1)</f>
        <v>1</v>
      </c>
    </row>
    <row r="23" spans="1:23" ht="25.95" customHeight="1" x14ac:dyDescent="0.35">
      <c r="A23" s="265" t="s">
        <v>6965</v>
      </c>
      <c r="B23" s="257"/>
      <c r="C23" s="257"/>
      <c r="D23" s="155" t="s">
        <v>4318</v>
      </c>
      <c r="E23" s="256" t="str">
        <f>IF(ISNUMBER(SEARCH("Embankment", $D$6)), IF($D$23="YES", "Power rolling included in item specification (0.008 roller-day / 10 cum). Full rate applies.", "DEDUCTION APPLIED (DAR Item 2.4): 0.008 Roller @ Rs 3000 (Rs 24.00) + 0.008 Chowkidar (Rs 4.46) + Sundries (Rs 3.64) = Rs 32.10 direct. Compounded total = Rs 42.95/10 cum -&gt; Rate reduced by Rs 4.30/cum (-Rs 4.30 exact)."), "Surface Excavation, Foundation Trenches, Jungle Clearance, Timbering Item specification does not include watering/compaction. (No deduction applicable).")</f>
        <v>Surface Excavation, Foundation Trenches, Jungle Clearance, Timbering Item specification does not include watering/compaction. (No deduction applicable).</v>
      </c>
      <c r="F23" s="257"/>
      <c r="G23" s="257"/>
      <c r="H23" s="257"/>
      <c r="I23" s="257"/>
      <c r="J23" s="257"/>
      <c r="K23" s="257"/>
      <c r="L23" s="257"/>
      <c r="M23" s="257"/>
      <c r="N23" s="257"/>
      <c r="O23" s="257"/>
    </row>
    <row r="25" spans="1:23" ht="24" customHeight="1" x14ac:dyDescent="0.3">
      <c r="A25" s="258" t="s">
        <v>6966</v>
      </c>
      <c r="B25" s="228"/>
      <c r="C25" s="228"/>
      <c r="D25" s="228"/>
      <c r="E25" s="228"/>
      <c r="F25" s="228"/>
      <c r="G25" s="228"/>
      <c r="H25" s="228"/>
      <c r="I25" s="228"/>
      <c r="J25" s="228"/>
      <c r="K25" s="228"/>
      <c r="L25" s="228"/>
      <c r="M25" s="228"/>
      <c r="N25" s="228"/>
      <c r="O25" s="228"/>
      <c r="P25" s="258" t="s">
        <v>6967</v>
      </c>
      <c r="Q25" s="228"/>
      <c r="R25" s="228"/>
      <c r="S25" s="258" t="s">
        <v>6968</v>
      </c>
      <c r="T25" s="228"/>
      <c r="U25" s="228"/>
      <c r="V25" s="228"/>
      <c r="W25" s="228"/>
    </row>
    <row r="26" spans="1:23" ht="24" customHeight="1" x14ac:dyDescent="0.3">
      <c r="A26" s="163" t="s">
        <v>6313</v>
      </c>
      <c r="B26" s="163" t="s">
        <v>6948</v>
      </c>
      <c r="C26" s="163" t="s">
        <v>6969</v>
      </c>
      <c r="D26" s="163" t="s">
        <v>6970</v>
      </c>
      <c r="E26" s="163" t="s">
        <v>6</v>
      </c>
      <c r="F26" s="163" t="s">
        <v>6971</v>
      </c>
      <c r="G26" s="163" t="s">
        <v>6972</v>
      </c>
      <c r="H26" s="163" t="s">
        <v>6973</v>
      </c>
      <c r="I26" s="163" t="s">
        <v>6974</v>
      </c>
      <c r="J26" s="163" t="s">
        <v>6975</v>
      </c>
      <c r="K26" s="163" t="s">
        <v>6976</v>
      </c>
      <c r="L26" s="163" t="s">
        <v>6977</v>
      </c>
      <c r="M26" s="163" t="s">
        <v>6978</v>
      </c>
      <c r="N26" s="163" t="s">
        <v>6979</v>
      </c>
      <c r="O26" s="163" t="s">
        <v>6980</v>
      </c>
      <c r="P26" s="163" t="s">
        <v>6981</v>
      </c>
      <c r="Q26" s="163" t="s">
        <v>6982</v>
      </c>
      <c r="R26" s="163" t="s">
        <v>6983</v>
      </c>
      <c r="S26" s="163" t="s">
        <v>6984</v>
      </c>
      <c r="T26" s="163" t="s">
        <v>6985</v>
      </c>
      <c r="U26" s="163" t="s">
        <v>6986</v>
      </c>
      <c r="V26" s="163" t="s">
        <v>6987</v>
      </c>
      <c r="W26" s="163" t="s">
        <v>6988</v>
      </c>
    </row>
    <row r="27" spans="1:23" ht="22.05" customHeight="1" x14ac:dyDescent="0.3">
      <c r="A27" s="171">
        <v>1</v>
      </c>
      <c r="B27" s="167" t="str">
        <f>IFERROR(INDEX($F$105:$F$282, MATCH($D$6&amp;"|"&amp;$D$7&amp;"|"&amp;$D$8&amp;"|"&amp;$D$9&amp;"|"&amp;1, $J$105:$J$282, 0)), "")</f>
        <v>0114</v>
      </c>
      <c r="C27" s="180" t="str">
        <f>IF(B27="","", IFERROR(INDEX(Rates_Master!$C:$C, MATCH(B27, Rates_Master!$A:$A, 0)), "Custom Resource"))</f>
        <v>Beldar</v>
      </c>
      <c r="D27" s="208" t="str">
        <f>IF(B27="","", IFERROR(INDEX(Rates_Master!$B:$B, MATCH(B27, Rates_Master!$A:$A, 0)), "Labour"))</f>
        <v>Labour Wages</v>
      </c>
      <c r="E27" s="165" t="str">
        <f>IF(B27="","", IFERROR(INDEX(Rates_Master!$D:$D, MATCH(B27, Rates_Master!$A:$A, 0)), "day"))</f>
        <v>day</v>
      </c>
      <c r="F27" s="209">
        <f t="shared" ref="F27:F40" si="0">IF(B27="","", R27)</f>
        <v>6.8</v>
      </c>
      <c r="G27" s="210">
        <f>IF(B27="","", IFERROR(INDEX(Rates_Master!$E:$E, MATCH(B27, Rates_Master!$A:$A, 0)), 0))</f>
        <v>558</v>
      </c>
      <c r="H27" s="211">
        <f t="shared" ref="H27:H40" si="1">IF(OR(B27="", F27=""), 0, ROUND(F27 * G27, 2))</f>
        <v>3794.4</v>
      </c>
      <c r="I27" s="167" t="str">
        <f t="shared" ref="I27:I40" si="2">IF(B27="","", IF(ISNUMBER(SEARCH("2.10", B27)), "A", "W"))</f>
        <v>W</v>
      </c>
      <c r="J27" s="212">
        <f t="shared" ref="J27:J40" si="3">IF(H$41&gt;0, ROUND(H27 / H$41 * 100, 1), 0)</f>
        <v>54.8</v>
      </c>
      <c r="K27" s="214">
        <f>IFERROR(INDEX($G$105:$G$282, MATCH($D$6&amp;"|"&amp;$D$7&amp;"|"&amp;$D$8&amp;"|"&amp;$D$9&amp;"|"&amp;1, $J$105:$J$282, 0)), "")</f>
        <v>14.705882352941179</v>
      </c>
      <c r="L27" s="213">
        <f t="shared" ref="L27:L40" si="4">IF(AND(ISNUMBER(F27), F27&gt;0, D$10&gt;0), ROUND(F27 * 8 / D$10, 4), "")</f>
        <v>0.54400000000000004</v>
      </c>
      <c r="M27" s="214">
        <f t="shared" ref="M27:M40" si="5">IF(AND(ISNUMBER(F27), F27&gt;0, D$10&gt;0), ROUND(D$10 / (F27 * 8), 2), "")</f>
        <v>1.84</v>
      </c>
      <c r="N27" s="206" t="str">
        <f t="shared" ref="N27:N40" si="6">IF(B27="","", "CPWD Standard Earthwork Production Resource")</f>
        <v>CPWD Standard Earthwork Production Resource</v>
      </c>
      <c r="O27" s="206" t="str">
        <f t="shared" ref="O27:O40" si="7">IF(B27="","", V27)</f>
        <v>Gang: 4 Beldars × 13.60 h = 54.40 man-hrs ÷ 8.00 h = 6.800 Beldar-days per 100 sqm. Daily productivity norm P = 14.71 sqm/8-hr shift (SE = 0.544 hr/sqm, pace = 32.6 min/sqm).</v>
      </c>
      <c r="P27" s="223">
        <f>IF(B27="","", IF(AND(ISNUMBER(K27), K27&gt;0), ROUND(D$10/K27, 5), IFERROR(INDEX($K$105:$K$282, MATCH($D$6&amp;"|"&amp;$D$7&amp;"|"&amp;$D$8&amp;"|"&amp;$D$9&amp;"|"&amp;1, $J$105:$J$282, 0)), 0)))</f>
        <v>6.8</v>
      </c>
      <c r="Q27" s="224">
        <f t="shared" ref="Q27:Q40" si="8">IF(B27="","", IFERROR(VLOOKUP(B27, $P$19:$S$22, 4, FALSE), 1))</f>
        <v>1</v>
      </c>
      <c r="R27" s="225">
        <f t="shared" ref="R27:R40" si="9">IF(B27="","", ROUND(P27 * Q27, 5))</f>
        <v>6.8</v>
      </c>
      <c r="S27" s="206" t="str">
        <f t="shared" ref="S27:S40" si="10">IF(B27="","", IF(B27="0101", "Lever 4: Compaction Watering ($D$22 = " &amp; $D$22 &amp; ")", IF(OR(B27="0003", B27="0011", B27="0113"), "Lever 5: Power Rolling ($D$23 = " &amp; $D$23 &amp; ")", "Core Scope Baseline (Mandatory Execution)")))</f>
        <v>Core Scope Baseline (Mandatory Execution)</v>
      </c>
      <c r="T27" s="206" t="str">
        <f t="shared" ref="T27:T40" si="11">IF(B27="","", "Batch Q=" &amp; TEXT(D$10, "0.00") &amp; " " &amp; $D$11 &amp; " | Norm K=" &amp; TEXT(K27, "0.00") &amp; " | Factor=" &amp; TEXT(Q27, "0.00") &amp; " | Qty F=" &amp; TEXT(F27, "0.000") &amp; " " &amp; E27 &amp; " | Rate G=Rs " &amp; TEXT(G27, "0.00") &amp; " | Amt H=Rs " &amp; TEXT(H27, "0.00"))</f>
        <v>Batch Q=100.00 sqm | Norm K=14.71 | Factor=1.00 | Qty F=6.800 day | Rate G=Rs 558.00 | Amt H=Rs 3794.40</v>
      </c>
      <c r="U27" s="166" t="str">
        <f>IF(B27="","", IFERROR(INDEX($H$105:$H$282, MATCH($D$6&amp;"|"&amp;$D$7&amp;"|"&amp;$D$8&amp;"|"&amp;$D$9&amp;"|"&amp;1, $J$105:$J$282, 0)), ""))</f>
        <v>Manual pickaxe and phowrah loosening of hard dry soil crust up to 30 cm depth, spade trimming to formation level, and clod pulverization.</v>
      </c>
      <c r="V27" s="166" t="str">
        <f>IF(B27="","", IFERROR(INDEX($I$105:$I$282, MATCH($D$6&amp;"|"&amp;$D$7&amp;"|"&amp;$D$8&amp;"|"&amp;$D$9&amp;"|"&amp;1, $J$105:$J$282, 0)), ""))</f>
        <v>Gang: 4 Beldars × 13.60 h = 54.40 man-hrs ÷ 8.00 h = 6.800 Beldar-days per 100 sqm. Daily productivity norm P = 14.71 sqm/8-hr shift (SE = 0.544 hr/sqm, pace = 32.6 min/sqm).</v>
      </c>
      <c r="W27" s="166" t="str">
        <f t="shared" ref="W27:W40" si="12">IF(B27="","", IF(B27="0101", IF($D$22="NO", "OMITTED DEDUCTION (DAR Item 2.5): 0.40 Bhishti @ Rs 617 = Rs 246.80 direct. Compounded total = Rs 326.94/10 cum -&gt; Rate deduction Rs 33.00/cum.", "ACTIVE: Compaction watering included in standard item scope."), IF(OR(B27="0003", B27="0011", B27="0113"), IF($D$23="NO", "OMITTED DEDUCTION (DAR Item 2.4): 0.008 Roller + Chowkidar + Sundries = Rs 32.10 direct. Compounded total = Rs 42.95/10 cum -&gt; Rate deduction Rs 4.30/cum.", "ACTIVE: Power rolling included in standard item scope."), "MANDATORY: Not subject to omission or separate deduction.")))</f>
        <v>MANDATORY: Not subject to omission or separate deduction.</v>
      </c>
    </row>
    <row r="28" spans="1:23" ht="22.05" customHeight="1" x14ac:dyDescent="0.3">
      <c r="A28" s="171">
        <v>2</v>
      </c>
      <c r="B28" s="167" t="str">
        <f>IFERROR(INDEX($F$105:$F$282, MATCH($D$6&amp;"|"&amp;$D$7&amp;"|"&amp;$D$8&amp;"|"&amp;$D$9&amp;"|"&amp;2, $J$105:$J$282, 0)), "")</f>
        <v>0115</v>
      </c>
      <c r="C28" s="180" t="str">
        <f>IF(B28="","", IFERROR(INDEX(Rates_Master!$C:$C, MATCH(B28, Rates_Master!$A:$A, 0)), "Custom Resource"))</f>
        <v>Coolie</v>
      </c>
      <c r="D28" s="208" t="str">
        <f>IF(B28="","", IFERROR(INDEX(Rates_Master!$B:$B, MATCH(B28, Rates_Master!$A:$A, 0)), "Labour"))</f>
        <v>Labour Wages</v>
      </c>
      <c r="E28" s="165" t="str">
        <f>IF(B28="","", IFERROR(INDEX(Rates_Master!$D:$D, MATCH(B28, Rates_Master!$A:$A, 0)), "day"))</f>
        <v>day</v>
      </c>
      <c r="F28" s="209">
        <f t="shared" si="0"/>
        <v>5.6</v>
      </c>
      <c r="G28" s="210">
        <f>IF(B28="","", IFERROR(INDEX(Rates_Master!$E:$E, MATCH(B28, Rates_Master!$A:$A, 0)), 0))</f>
        <v>558</v>
      </c>
      <c r="H28" s="211">
        <f t="shared" si="1"/>
        <v>3124.8</v>
      </c>
      <c r="I28" s="167" t="str">
        <f t="shared" si="2"/>
        <v>W</v>
      </c>
      <c r="J28" s="212">
        <f t="shared" si="3"/>
        <v>45.2</v>
      </c>
      <c r="K28" s="214">
        <f>IFERROR(INDEX($G$105:$G$282, MATCH($D$6&amp;"|"&amp;$D$7&amp;"|"&amp;$D$8&amp;"|"&amp;$D$9&amp;"|"&amp;2, $J$105:$J$282, 0)), "")</f>
        <v>17.857142857142861</v>
      </c>
      <c r="L28" s="213">
        <f t="shared" si="4"/>
        <v>0.44800000000000001</v>
      </c>
      <c r="M28" s="214">
        <f t="shared" si="5"/>
        <v>2.23</v>
      </c>
      <c r="N28" s="206" t="str">
        <f t="shared" si="6"/>
        <v>CPWD Standard Earthwork Production Resource</v>
      </c>
      <c r="O28" s="206" t="str">
        <f t="shared" si="7"/>
        <v>Gang: 4 Coolies × 11.20 h = 44.80 man-hrs ÷ 8.00 h = 5.600 Coolie-days per 100 sqm. Daily productivity norm P = 17.86 sqm/8-hr shift (SE = 0.448 hr/sqm, pace = 26.9 min/sqm).</v>
      </c>
      <c r="P28" s="223">
        <f>IF(B28="","", IF(AND(ISNUMBER(K28), K28&gt;0), ROUND(D$10/K28, 5), IFERROR(INDEX($K$105:$K$282, MATCH($D$6&amp;"|"&amp;$D$7&amp;"|"&amp;$D$8&amp;"|"&amp;$D$9&amp;"|"&amp;2, $J$105:$J$282, 0)), 0)))</f>
        <v>5.6</v>
      </c>
      <c r="Q28" s="224">
        <f t="shared" si="8"/>
        <v>1</v>
      </c>
      <c r="R28" s="225">
        <f t="shared" si="9"/>
        <v>5.6</v>
      </c>
      <c r="S28" s="206" t="str">
        <f t="shared" si="10"/>
        <v>Core Scope Baseline (Mandatory Execution)</v>
      </c>
      <c r="T28" s="206" t="str">
        <f t="shared" si="11"/>
        <v>Batch Q=100.00 sqm | Norm K=17.86 | Factor=1.00 | Qty F=5.600 day | Rate G=Rs 558.00 | Amt H=Rs 3124.80</v>
      </c>
      <c r="U28" s="166" t="str">
        <f>IF(B28="","", IFERROR(INDEX($H$105:$H$282, MATCH($D$6&amp;"|"&amp;$D$7&amp;"|"&amp;$D$8&amp;"|"&amp;$D$9&amp;"|"&amp;2, $J$105:$J$282, 0)), ""))</f>
        <v>Manual tagari/basket loading with shovel, haulage within 50 m lead, and tipping onto spoil banks (lift ≤1.5 m).</v>
      </c>
      <c r="V28" s="166" t="str">
        <f>IF(B28="","", IFERROR(INDEX($I$105:$I$282, MATCH($D$6&amp;"|"&amp;$D$7&amp;"|"&amp;$D$8&amp;"|"&amp;$D$9&amp;"|"&amp;2, $J$105:$J$282, 0)), ""))</f>
        <v>Gang: 4 Coolies × 11.20 h = 44.80 man-hrs ÷ 8.00 h = 5.600 Coolie-days per 100 sqm. Daily productivity norm P = 17.86 sqm/8-hr shift (SE = 0.448 hr/sqm, pace = 26.9 min/sqm).</v>
      </c>
      <c r="W28" s="166" t="str">
        <f t="shared" si="12"/>
        <v>MANDATORY: Not subject to omission or separate deduction.</v>
      </c>
    </row>
    <row r="29" spans="1:23" ht="22.05" customHeight="1" x14ac:dyDescent="0.3">
      <c r="A29" s="171">
        <v>3</v>
      </c>
      <c r="B29" s="167" t="str">
        <f>IFERROR(INDEX($F$105:$F$282, MATCH($D$6&amp;"|"&amp;$D$7&amp;"|"&amp;$D$8&amp;"|"&amp;$D$9&amp;"|"&amp;3, $J$105:$J$282, 0)), "")</f>
        <v/>
      </c>
      <c r="C29" s="180" t="str">
        <f>IF(B29="","", IFERROR(INDEX(Rates_Master!$C:$C, MATCH(B29, Rates_Master!$A:$A, 0)), "Custom Resource"))</f>
        <v/>
      </c>
      <c r="D29" s="208" t="str">
        <f>IF(B29="","", IFERROR(INDEX(Rates_Master!$B:$B, MATCH(B29, Rates_Master!$A:$A, 0)), "Labour"))</f>
        <v/>
      </c>
      <c r="E29" s="165" t="str">
        <f>IF(B29="","", IFERROR(INDEX(Rates_Master!$D:$D, MATCH(B29, Rates_Master!$A:$A, 0)), "day"))</f>
        <v/>
      </c>
      <c r="F29" s="209" t="str">
        <f t="shared" si="0"/>
        <v/>
      </c>
      <c r="G29" s="210" t="str">
        <f>IF(B29="","", IFERROR(INDEX(Rates_Master!$E:$E, MATCH(B29, Rates_Master!$A:$A, 0)), 0))</f>
        <v/>
      </c>
      <c r="H29" s="211">
        <f t="shared" si="1"/>
        <v>0</v>
      </c>
      <c r="I29" s="167" t="str">
        <f t="shared" si="2"/>
        <v/>
      </c>
      <c r="J29" s="212">
        <f t="shared" si="3"/>
        <v>0</v>
      </c>
      <c r="K29" s="214" t="str">
        <f>IFERROR(INDEX($G$105:$G$282, MATCH($D$6&amp;"|"&amp;$D$7&amp;"|"&amp;$D$8&amp;"|"&amp;$D$9&amp;"|"&amp;3, $J$105:$J$282, 0)), "")</f>
        <v/>
      </c>
      <c r="L29" s="213" t="str">
        <f t="shared" si="4"/>
        <v/>
      </c>
      <c r="M29" s="214" t="str">
        <f t="shared" si="5"/>
        <v/>
      </c>
      <c r="N29" s="206" t="str">
        <f t="shared" si="6"/>
        <v/>
      </c>
      <c r="O29" s="206" t="str">
        <f t="shared" si="7"/>
        <v/>
      </c>
      <c r="P29" s="223" t="str">
        <f>IF(B29="","", IF(AND(ISNUMBER(K29), K29&gt;0), ROUND(D$10/K29, 5), IFERROR(INDEX($K$105:$K$282, MATCH($D$6&amp;"|"&amp;$D$7&amp;"|"&amp;$D$8&amp;"|"&amp;$D$9&amp;"|"&amp;3, $J$105:$J$282, 0)), 0)))</f>
        <v/>
      </c>
      <c r="Q29" s="224" t="str">
        <f t="shared" si="8"/>
        <v/>
      </c>
      <c r="R29" s="225" t="str">
        <f t="shared" si="9"/>
        <v/>
      </c>
      <c r="S29" s="206" t="str">
        <f t="shared" si="10"/>
        <v/>
      </c>
      <c r="T29" s="206" t="str">
        <f t="shared" si="11"/>
        <v/>
      </c>
      <c r="U29" s="166" t="str">
        <f>IF(B29="","", IFERROR(INDEX($H$105:$H$282, MATCH($D$6&amp;"|"&amp;$D$7&amp;"|"&amp;$D$8&amp;"|"&amp;$D$9&amp;"|"&amp;3, $J$105:$J$282, 0)), ""))</f>
        <v/>
      </c>
      <c r="V29" s="166" t="str">
        <f>IF(B29="","", IFERROR(INDEX($I$105:$I$282, MATCH($D$6&amp;"|"&amp;$D$7&amp;"|"&amp;$D$8&amp;"|"&amp;$D$9&amp;"|"&amp;3, $J$105:$J$282, 0)), ""))</f>
        <v/>
      </c>
      <c r="W29" s="166" t="str">
        <f t="shared" si="12"/>
        <v/>
      </c>
    </row>
    <row r="30" spans="1:23" ht="22.05" customHeight="1" x14ac:dyDescent="0.3">
      <c r="A30" s="171">
        <v>4</v>
      </c>
      <c r="B30" s="167" t="str">
        <f>IFERROR(INDEX($F$105:$F$282, MATCH($D$6&amp;"|"&amp;$D$7&amp;"|"&amp;$D$8&amp;"|"&amp;$D$9&amp;"|"&amp;4, $J$105:$J$282, 0)), "")</f>
        <v/>
      </c>
      <c r="C30" s="180" t="str">
        <f>IF(B30="","", IFERROR(INDEX(Rates_Master!$C:$C, MATCH(B30, Rates_Master!$A:$A, 0)), "Custom Resource"))</f>
        <v/>
      </c>
      <c r="D30" s="208" t="str">
        <f>IF(B30="","", IFERROR(INDEX(Rates_Master!$B:$B, MATCH(B30, Rates_Master!$A:$A, 0)), "Labour"))</f>
        <v/>
      </c>
      <c r="E30" s="165" t="str">
        <f>IF(B30="","", IFERROR(INDEX(Rates_Master!$D:$D, MATCH(B30, Rates_Master!$A:$A, 0)), "day"))</f>
        <v/>
      </c>
      <c r="F30" s="209" t="str">
        <f t="shared" si="0"/>
        <v/>
      </c>
      <c r="G30" s="210" t="str">
        <f>IF(B30="","", IFERROR(INDEX(Rates_Master!$E:$E, MATCH(B30, Rates_Master!$A:$A, 0)), 0))</f>
        <v/>
      </c>
      <c r="H30" s="211">
        <f t="shared" si="1"/>
        <v>0</v>
      </c>
      <c r="I30" s="167" t="str">
        <f t="shared" si="2"/>
        <v/>
      </c>
      <c r="J30" s="212">
        <f t="shared" si="3"/>
        <v>0</v>
      </c>
      <c r="K30" s="214" t="str">
        <f>IFERROR(INDEX($G$105:$G$282, MATCH($D$6&amp;"|"&amp;$D$7&amp;"|"&amp;$D$8&amp;"|"&amp;$D$9&amp;"|"&amp;4, $J$105:$J$282, 0)), "")</f>
        <v/>
      </c>
      <c r="L30" s="213" t="str">
        <f t="shared" si="4"/>
        <v/>
      </c>
      <c r="M30" s="214" t="str">
        <f t="shared" si="5"/>
        <v/>
      </c>
      <c r="N30" s="206" t="str">
        <f t="shared" si="6"/>
        <v/>
      </c>
      <c r="O30" s="206" t="str">
        <f t="shared" si="7"/>
        <v/>
      </c>
      <c r="P30" s="223" t="str">
        <f>IF(B30="","", IF(AND(ISNUMBER(K30), K30&gt;0), ROUND(D$10/K30, 5), IFERROR(INDEX($K$105:$K$282, MATCH($D$6&amp;"|"&amp;$D$7&amp;"|"&amp;$D$8&amp;"|"&amp;$D$9&amp;"|"&amp;4, $J$105:$J$282, 0)), 0)))</f>
        <v/>
      </c>
      <c r="Q30" s="224" t="str">
        <f t="shared" si="8"/>
        <v/>
      </c>
      <c r="R30" s="225" t="str">
        <f t="shared" si="9"/>
        <v/>
      </c>
      <c r="S30" s="206" t="str">
        <f t="shared" si="10"/>
        <v/>
      </c>
      <c r="T30" s="206" t="str">
        <f t="shared" si="11"/>
        <v/>
      </c>
      <c r="U30" s="166" t="str">
        <f>IF(B30="","", IFERROR(INDEX($H$105:$H$282, MATCH($D$6&amp;"|"&amp;$D$7&amp;"|"&amp;$D$8&amp;"|"&amp;$D$9&amp;"|"&amp;4, $J$105:$J$282, 0)), ""))</f>
        <v/>
      </c>
      <c r="V30" s="166" t="str">
        <f>IF(B30="","", IFERROR(INDEX($I$105:$I$282, MATCH($D$6&amp;"|"&amp;$D$7&amp;"|"&amp;$D$8&amp;"|"&amp;$D$9&amp;"|"&amp;4, $J$105:$J$282, 0)), ""))</f>
        <v/>
      </c>
      <c r="W30" s="166" t="str">
        <f t="shared" si="12"/>
        <v/>
      </c>
    </row>
    <row r="31" spans="1:23" ht="22.05" customHeight="1" x14ac:dyDescent="0.3">
      <c r="A31" s="171">
        <v>5</v>
      </c>
      <c r="B31" s="167" t="str">
        <f>IFERROR(INDEX($F$105:$F$282, MATCH($D$6&amp;"|"&amp;$D$7&amp;"|"&amp;$D$8&amp;"|"&amp;$D$9&amp;"|"&amp;5, $J$105:$J$282, 0)), "")</f>
        <v/>
      </c>
      <c r="C31" s="180" t="str">
        <f>IF(B31="","", IFERROR(INDEX(Rates_Master!$C:$C, MATCH(B31, Rates_Master!$A:$A, 0)), "Custom Resource"))</f>
        <v/>
      </c>
      <c r="D31" s="208" t="str">
        <f>IF(B31="","", IFERROR(INDEX(Rates_Master!$B:$B, MATCH(B31, Rates_Master!$A:$A, 0)), "Labour"))</f>
        <v/>
      </c>
      <c r="E31" s="165" t="str">
        <f>IF(B31="","", IFERROR(INDEX(Rates_Master!$D:$D, MATCH(B31, Rates_Master!$A:$A, 0)), "day"))</f>
        <v/>
      </c>
      <c r="F31" s="209" t="str">
        <f t="shared" si="0"/>
        <v/>
      </c>
      <c r="G31" s="210" t="str">
        <f>IF(B31="","", IFERROR(INDEX(Rates_Master!$E:$E, MATCH(B31, Rates_Master!$A:$A, 0)), 0))</f>
        <v/>
      </c>
      <c r="H31" s="211">
        <f t="shared" si="1"/>
        <v>0</v>
      </c>
      <c r="I31" s="167" t="str">
        <f t="shared" si="2"/>
        <v/>
      </c>
      <c r="J31" s="212">
        <f t="shared" si="3"/>
        <v>0</v>
      </c>
      <c r="K31" s="214" t="str">
        <f>IFERROR(INDEX($G$105:$G$282, MATCH($D$6&amp;"|"&amp;$D$7&amp;"|"&amp;$D$8&amp;"|"&amp;$D$9&amp;"|"&amp;5, $J$105:$J$282, 0)), "")</f>
        <v/>
      </c>
      <c r="L31" s="213" t="str">
        <f t="shared" si="4"/>
        <v/>
      </c>
      <c r="M31" s="214" t="str">
        <f t="shared" si="5"/>
        <v/>
      </c>
      <c r="N31" s="206" t="str">
        <f t="shared" si="6"/>
        <v/>
      </c>
      <c r="O31" s="206" t="str">
        <f t="shared" si="7"/>
        <v/>
      </c>
      <c r="P31" s="223" t="str">
        <f>IF(B31="","", IF(AND(ISNUMBER(K31), K31&gt;0), ROUND(D$10/K31, 5), IFERROR(INDEX($K$105:$K$282, MATCH($D$6&amp;"|"&amp;$D$7&amp;"|"&amp;$D$8&amp;"|"&amp;$D$9&amp;"|"&amp;5, $J$105:$J$282, 0)), 0)))</f>
        <v/>
      </c>
      <c r="Q31" s="224" t="str">
        <f t="shared" si="8"/>
        <v/>
      </c>
      <c r="R31" s="225" t="str">
        <f t="shared" si="9"/>
        <v/>
      </c>
      <c r="S31" s="206" t="str">
        <f t="shared" si="10"/>
        <v/>
      </c>
      <c r="T31" s="206" t="str">
        <f t="shared" si="11"/>
        <v/>
      </c>
      <c r="U31" s="166" t="str">
        <f>IF(B31="","", IFERROR(INDEX($H$105:$H$282, MATCH($D$6&amp;"|"&amp;$D$7&amp;"|"&amp;$D$8&amp;"|"&amp;$D$9&amp;"|"&amp;5, $J$105:$J$282, 0)), ""))</f>
        <v/>
      </c>
      <c r="V31" s="166" t="str">
        <f>IF(B31="","", IFERROR(INDEX($I$105:$I$282, MATCH($D$6&amp;"|"&amp;$D$7&amp;"|"&amp;$D$8&amp;"|"&amp;$D$9&amp;"|"&amp;5, $J$105:$J$282, 0)), ""))</f>
        <v/>
      </c>
      <c r="W31" s="166" t="str">
        <f t="shared" si="12"/>
        <v/>
      </c>
    </row>
    <row r="32" spans="1:23" ht="22.05" customHeight="1" x14ac:dyDescent="0.3">
      <c r="A32" s="171">
        <v>6</v>
      </c>
      <c r="B32" s="167" t="str">
        <f>IFERROR(INDEX($F$105:$F$282, MATCH($D$6&amp;"|"&amp;$D$7&amp;"|"&amp;$D$8&amp;"|"&amp;$D$9&amp;"|"&amp;6, $J$105:$J$282, 0)), "")</f>
        <v/>
      </c>
      <c r="C32" s="180" t="str">
        <f>IF(B32="","", IFERROR(INDEX(Rates_Master!$C:$C, MATCH(B32, Rates_Master!$A:$A, 0)), "Custom Resource"))</f>
        <v/>
      </c>
      <c r="D32" s="208" t="str">
        <f>IF(B32="","", IFERROR(INDEX(Rates_Master!$B:$B, MATCH(B32, Rates_Master!$A:$A, 0)), "Labour"))</f>
        <v/>
      </c>
      <c r="E32" s="165" t="str">
        <f>IF(B32="","", IFERROR(INDEX(Rates_Master!$D:$D, MATCH(B32, Rates_Master!$A:$A, 0)), "day"))</f>
        <v/>
      </c>
      <c r="F32" s="209" t="str">
        <f t="shared" si="0"/>
        <v/>
      </c>
      <c r="G32" s="210" t="str">
        <f>IF(B32="","", IFERROR(INDEX(Rates_Master!$E:$E, MATCH(B32, Rates_Master!$A:$A, 0)), 0))</f>
        <v/>
      </c>
      <c r="H32" s="211">
        <f t="shared" si="1"/>
        <v>0</v>
      </c>
      <c r="I32" s="167" t="str">
        <f t="shared" si="2"/>
        <v/>
      </c>
      <c r="J32" s="212">
        <f t="shared" si="3"/>
        <v>0</v>
      </c>
      <c r="K32" s="214" t="str">
        <f>IFERROR(INDEX($G$105:$G$282, MATCH($D$6&amp;"|"&amp;$D$7&amp;"|"&amp;$D$8&amp;"|"&amp;$D$9&amp;"|"&amp;6, $J$105:$J$282, 0)), "")</f>
        <v/>
      </c>
      <c r="L32" s="213" t="str">
        <f t="shared" si="4"/>
        <v/>
      </c>
      <c r="M32" s="214" t="str">
        <f t="shared" si="5"/>
        <v/>
      </c>
      <c r="N32" s="206" t="str">
        <f t="shared" si="6"/>
        <v/>
      </c>
      <c r="O32" s="206" t="str">
        <f t="shared" si="7"/>
        <v/>
      </c>
      <c r="P32" s="223" t="str">
        <f>IF(B32="","", IF(AND(ISNUMBER(K32), K32&gt;0), ROUND(D$10/K32, 5), IFERROR(INDEX($K$105:$K$282, MATCH($D$6&amp;"|"&amp;$D$7&amp;"|"&amp;$D$8&amp;"|"&amp;$D$9&amp;"|"&amp;6, $J$105:$J$282, 0)), 0)))</f>
        <v/>
      </c>
      <c r="Q32" s="224" t="str">
        <f t="shared" si="8"/>
        <v/>
      </c>
      <c r="R32" s="225" t="str">
        <f t="shared" si="9"/>
        <v/>
      </c>
      <c r="S32" s="206" t="str">
        <f t="shared" si="10"/>
        <v/>
      </c>
      <c r="T32" s="206" t="str">
        <f t="shared" si="11"/>
        <v/>
      </c>
      <c r="U32" s="166" t="str">
        <f>IF(B32="","", IFERROR(INDEX($H$105:$H$282, MATCH($D$6&amp;"|"&amp;$D$7&amp;"|"&amp;$D$8&amp;"|"&amp;$D$9&amp;"|"&amp;6, $J$105:$J$282, 0)), ""))</f>
        <v/>
      </c>
      <c r="V32" s="166" t="str">
        <f>IF(B32="","", IFERROR(INDEX($I$105:$I$282, MATCH($D$6&amp;"|"&amp;$D$7&amp;"|"&amp;$D$8&amp;"|"&amp;$D$9&amp;"|"&amp;6, $J$105:$J$282, 0)), ""))</f>
        <v/>
      </c>
      <c r="W32" s="166" t="str">
        <f t="shared" si="12"/>
        <v/>
      </c>
    </row>
    <row r="33" spans="1:23" ht="22.05" customHeight="1" x14ac:dyDescent="0.3">
      <c r="A33" s="171">
        <v>7</v>
      </c>
      <c r="B33" s="167" t="str">
        <f>IFERROR(INDEX($F$105:$F$282, MATCH($D$6&amp;"|"&amp;$D$7&amp;"|"&amp;$D$8&amp;"|"&amp;$D$9&amp;"|"&amp;7, $J$105:$J$282, 0)), "")</f>
        <v/>
      </c>
      <c r="C33" s="180" t="str">
        <f>IF(B33="","", IFERROR(INDEX(Rates_Master!$C:$C, MATCH(B33, Rates_Master!$A:$A, 0)), "Custom Resource"))</f>
        <v/>
      </c>
      <c r="D33" s="208" t="str">
        <f>IF(B33="","", IFERROR(INDEX(Rates_Master!$B:$B, MATCH(B33, Rates_Master!$A:$A, 0)), "Labour"))</f>
        <v/>
      </c>
      <c r="E33" s="165" t="str">
        <f>IF(B33="","", IFERROR(INDEX(Rates_Master!$D:$D, MATCH(B33, Rates_Master!$A:$A, 0)), "day"))</f>
        <v/>
      </c>
      <c r="F33" s="209" t="str">
        <f t="shared" si="0"/>
        <v/>
      </c>
      <c r="G33" s="210" t="str">
        <f>IF(B33="","", IFERROR(INDEX(Rates_Master!$E:$E, MATCH(B33, Rates_Master!$A:$A, 0)), 0))</f>
        <v/>
      </c>
      <c r="H33" s="211">
        <f t="shared" si="1"/>
        <v>0</v>
      </c>
      <c r="I33" s="167" t="str">
        <f t="shared" si="2"/>
        <v/>
      </c>
      <c r="J33" s="212">
        <f t="shared" si="3"/>
        <v>0</v>
      </c>
      <c r="K33" s="214" t="str">
        <f>IFERROR(INDEX($G$105:$G$282, MATCH($D$6&amp;"|"&amp;$D$7&amp;"|"&amp;$D$8&amp;"|"&amp;$D$9&amp;"|"&amp;7, $J$105:$J$282, 0)), "")</f>
        <v/>
      </c>
      <c r="L33" s="213" t="str">
        <f t="shared" si="4"/>
        <v/>
      </c>
      <c r="M33" s="214" t="str">
        <f t="shared" si="5"/>
        <v/>
      </c>
      <c r="N33" s="206" t="str">
        <f t="shared" si="6"/>
        <v/>
      </c>
      <c r="O33" s="206" t="str">
        <f t="shared" si="7"/>
        <v/>
      </c>
      <c r="P33" s="223" t="str">
        <f>IF(B33="","", IF(AND(ISNUMBER(K33), K33&gt;0), ROUND(D$10/K33, 5), IFERROR(INDEX($K$105:$K$282, MATCH($D$6&amp;"|"&amp;$D$7&amp;"|"&amp;$D$8&amp;"|"&amp;$D$9&amp;"|"&amp;7, $J$105:$J$282, 0)), 0)))</f>
        <v/>
      </c>
      <c r="Q33" s="224" t="str">
        <f t="shared" si="8"/>
        <v/>
      </c>
      <c r="R33" s="225" t="str">
        <f t="shared" si="9"/>
        <v/>
      </c>
      <c r="S33" s="206" t="str">
        <f t="shared" si="10"/>
        <v/>
      </c>
      <c r="T33" s="206" t="str">
        <f t="shared" si="11"/>
        <v/>
      </c>
      <c r="U33" s="166" t="str">
        <f>IF(B33="","", IFERROR(INDEX($H$105:$H$282, MATCH($D$6&amp;"|"&amp;$D$7&amp;"|"&amp;$D$8&amp;"|"&amp;$D$9&amp;"|"&amp;7, $J$105:$J$282, 0)), ""))</f>
        <v/>
      </c>
      <c r="V33" s="166" t="str">
        <f>IF(B33="","", IFERROR(INDEX($I$105:$I$282, MATCH($D$6&amp;"|"&amp;$D$7&amp;"|"&amp;$D$8&amp;"|"&amp;$D$9&amp;"|"&amp;7, $J$105:$J$282, 0)), ""))</f>
        <v/>
      </c>
      <c r="W33" s="166" t="str">
        <f t="shared" si="12"/>
        <v/>
      </c>
    </row>
    <row r="34" spans="1:23" ht="22.05" customHeight="1" x14ac:dyDescent="0.3">
      <c r="A34" s="171">
        <v>8</v>
      </c>
      <c r="B34" s="167" t="str">
        <f>IFERROR(INDEX($F$105:$F$282, MATCH($D$6&amp;"|"&amp;$D$7&amp;"|"&amp;$D$8&amp;"|"&amp;$D$9&amp;"|"&amp;8, $J$105:$J$282, 0)), "")</f>
        <v/>
      </c>
      <c r="C34" s="180" t="str">
        <f>IF(B34="","", IFERROR(INDEX(Rates_Master!$C:$C, MATCH(B34, Rates_Master!$A:$A, 0)), "Custom Resource"))</f>
        <v/>
      </c>
      <c r="D34" s="208" t="str">
        <f>IF(B34="","", IFERROR(INDEX(Rates_Master!$B:$B, MATCH(B34, Rates_Master!$A:$A, 0)), "Labour"))</f>
        <v/>
      </c>
      <c r="E34" s="165" t="str">
        <f>IF(B34="","", IFERROR(INDEX(Rates_Master!$D:$D, MATCH(B34, Rates_Master!$A:$A, 0)), "day"))</f>
        <v/>
      </c>
      <c r="F34" s="209" t="str">
        <f t="shared" si="0"/>
        <v/>
      </c>
      <c r="G34" s="210" t="str">
        <f>IF(B34="","", IFERROR(INDEX(Rates_Master!$E:$E, MATCH(B34, Rates_Master!$A:$A, 0)), 0))</f>
        <v/>
      </c>
      <c r="H34" s="211">
        <f t="shared" si="1"/>
        <v>0</v>
      </c>
      <c r="I34" s="167" t="str">
        <f t="shared" si="2"/>
        <v/>
      </c>
      <c r="J34" s="212">
        <f t="shared" si="3"/>
        <v>0</v>
      </c>
      <c r="K34" s="214" t="str">
        <f>IFERROR(INDEX($G$105:$G$282, MATCH($D$6&amp;"|"&amp;$D$7&amp;"|"&amp;$D$8&amp;"|"&amp;$D$9&amp;"|"&amp;8, $J$105:$J$282, 0)), "")</f>
        <v/>
      </c>
      <c r="L34" s="213" t="str">
        <f t="shared" si="4"/>
        <v/>
      </c>
      <c r="M34" s="214" t="str">
        <f t="shared" si="5"/>
        <v/>
      </c>
      <c r="N34" s="206" t="str">
        <f t="shared" si="6"/>
        <v/>
      </c>
      <c r="O34" s="206" t="str">
        <f t="shared" si="7"/>
        <v/>
      </c>
      <c r="P34" s="223" t="str">
        <f>IF(B34="","", IF(AND(ISNUMBER(K34), K34&gt;0), ROUND(D$10/K34, 5), IFERROR(INDEX($K$105:$K$282, MATCH($D$6&amp;"|"&amp;$D$7&amp;"|"&amp;$D$8&amp;"|"&amp;$D$9&amp;"|"&amp;8, $J$105:$J$282, 0)), 0)))</f>
        <v/>
      </c>
      <c r="Q34" s="224" t="str">
        <f t="shared" si="8"/>
        <v/>
      </c>
      <c r="R34" s="225" t="str">
        <f t="shared" si="9"/>
        <v/>
      </c>
      <c r="S34" s="206" t="str">
        <f t="shared" si="10"/>
        <v/>
      </c>
      <c r="T34" s="206" t="str">
        <f t="shared" si="11"/>
        <v/>
      </c>
      <c r="U34" s="166" t="str">
        <f>IF(B34="","", IFERROR(INDEX($H$105:$H$282, MATCH($D$6&amp;"|"&amp;$D$7&amp;"|"&amp;$D$8&amp;"|"&amp;$D$9&amp;"|"&amp;8, $J$105:$J$282, 0)), ""))</f>
        <v/>
      </c>
      <c r="V34" s="166" t="str">
        <f>IF(B34="","", IFERROR(INDEX($I$105:$I$282, MATCH($D$6&amp;"|"&amp;$D$7&amp;"|"&amp;$D$8&amp;"|"&amp;$D$9&amp;"|"&amp;8, $J$105:$J$282, 0)), ""))</f>
        <v/>
      </c>
      <c r="W34" s="166" t="str">
        <f t="shared" si="12"/>
        <v/>
      </c>
    </row>
    <row r="35" spans="1:23" ht="22.05" customHeight="1" x14ac:dyDescent="0.3">
      <c r="A35" s="171">
        <v>9</v>
      </c>
      <c r="B35" s="167" t="str">
        <f>IFERROR(INDEX($F$105:$F$282, MATCH($D$6&amp;"|"&amp;$D$7&amp;"|"&amp;$D$8&amp;"|"&amp;$D$9&amp;"|"&amp;9, $J$105:$J$282, 0)), "")</f>
        <v/>
      </c>
      <c r="C35" s="180" t="str">
        <f>IF(B35="","", IFERROR(INDEX(Rates_Master!$C:$C, MATCH(B35, Rates_Master!$A:$A, 0)), "Custom Resource"))</f>
        <v/>
      </c>
      <c r="D35" s="208" t="str">
        <f>IF(B35="","", IFERROR(INDEX(Rates_Master!$B:$B, MATCH(B35, Rates_Master!$A:$A, 0)), "Labour"))</f>
        <v/>
      </c>
      <c r="E35" s="165" t="str">
        <f>IF(B35="","", IFERROR(INDEX(Rates_Master!$D:$D, MATCH(B35, Rates_Master!$A:$A, 0)), "day"))</f>
        <v/>
      </c>
      <c r="F35" s="209" t="str">
        <f t="shared" si="0"/>
        <v/>
      </c>
      <c r="G35" s="210" t="str">
        <f>IF(B35="","", IFERROR(INDEX(Rates_Master!$E:$E, MATCH(B35, Rates_Master!$A:$A, 0)), 0))</f>
        <v/>
      </c>
      <c r="H35" s="211">
        <f t="shared" si="1"/>
        <v>0</v>
      </c>
      <c r="I35" s="167" t="str">
        <f t="shared" si="2"/>
        <v/>
      </c>
      <c r="J35" s="212">
        <f t="shared" si="3"/>
        <v>0</v>
      </c>
      <c r="K35" s="214" t="str">
        <f>IFERROR(INDEX($G$105:$G$282, MATCH($D$6&amp;"|"&amp;$D$7&amp;"|"&amp;$D$8&amp;"|"&amp;$D$9&amp;"|"&amp;9, $J$105:$J$282, 0)), "")</f>
        <v/>
      </c>
      <c r="L35" s="213" t="str">
        <f t="shared" si="4"/>
        <v/>
      </c>
      <c r="M35" s="214" t="str">
        <f t="shared" si="5"/>
        <v/>
      </c>
      <c r="N35" s="206" t="str">
        <f t="shared" si="6"/>
        <v/>
      </c>
      <c r="O35" s="206" t="str">
        <f t="shared" si="7"/>
        <v/>
      </c>
      <c r="P35" s="223" t="str">
        <f>IF(B35="","", IF(AND(ISNUMBER(K35), K35&gt;0), ROUND(D$10/K35, 5), IFERROR(INDEX($K$105:$K$282, MATCH($D$6&amp;"|"&amp;$D$7&amp;"|"&amp;$D$8&amp;"|"&amp;$D$9&amp;"|"&amp;9, $J$105:$J$282, 0)), 0)))</f>
        <v/>
      </c>
      <c r="Q35" s="224" t="str">
        <f t="shared" si="8"/>
        <v/>
      </c>
      <c r="R35" s="225" t="str">
        <f t="shared" si="9"/>
        <v/>
      </c>
      <c r="S35" s="206" t="str">
        <f t="shared" si="10"/>
        <v/>
      </c>
      <c r="T35" s="206" t="str">
        <f t="shared" si="11"/>
        <v/>
      </c>
      <c r="U35" s="166" t="str">
        <f>IF(B35="","", IFERROR(INDEX($H$105:$H$282, MATCH($D$6&amp;"|"&amp;$D$7&amp;"|"&amp;$D$8&amp;"|"&amp;$D$9&amp;"|"&amp;9, $J$105:$J$282, 0)), ""))</f>
        <v/>
      </c>
      <c r="V35" s="166" t="str">
        <f>IF(B35="","", IFERROR(INDEX($I$105:$I$282, MATCH($D$6&amp;"|"&amp;$D$7&amp;"|"&amp;$D$8&amp;"|"&amp;$D$9&amp;"|"&amp;9, $J$105:$J$282, 0)), ""))</f>
        <v/>
      </c>
      <c r="W35" s="166" t="str">
        <f t="shared" si="12"/>
        <v/>
      </c>
    </row>
    <row r="36" spans="1:23" ht="22.05" customHeight="1" x14ac:dyDescent="0.3">
      <c r="A36" s="171">
        <v>10</v>
      </c>
      <c r="B36" s="167" t="str">
        <f>IFERROR(INDEX($F$105:$F$282, MATCH($D$6&amp;"|"&amp;$D$7&amp;"|"&amp;$D$8&amp;"|"&amp;$D$9&amp;"|"&amp;10, $J$105:$J$282, 0)), "")</f>
        <v/>
      </c>
      <c r="C36" s="180" t="str">
        <f>IF(B36="","", IFERROR(INDEX(Rates_Master!$C:$C, MATCH(B36, Rates_Master!$A:$A, 0)), "Custom Resource"))</f>
        <v/>
      </c>
      <c r="D36" s="208" t="str">
        <f>IF(B36="","", IFERROR(INDEX(Rates_Master!$B:$B, MATCH(B36, Rates_Master!$A:$A, 0)), "Labour"))</f>
        <v/>
      </c>
      <c r="E36" s="165" t="str">
        <f>IF(B36="","", IFERROR(INDEX(Rates_Master!$D:$D, MATCH(B36, Rates_Master!$A:$A, 0)), "day"))</f>
        <v/>
      </c>
      <c r="F36" s="209" t="str">
        <f t="shared" si="0"/>
        <v/>
      </c>
      <c r="G36" s="210" t="str">
        <f>IF(B36="","", IFERROR(INDEX(Rates_Master!$E:$E, MATCH(B36, Rates_Master!$A:$A, 0)), 0))</f>
        <v/>
      </c>
      <c r="H36" s="211">
        <f t="shared" si="1"/>
        <v>0</v>
      </c>
      <c r="I36" s="167" t="str">
        <f t="shared" si="2"/>
        <v/>
      </c>
      <c r="J36" s="212">
        <f t="shared" si="3"/>
        <v>0</v>
      </c>
      <c r="K36" s="214" t="str">
        <f>IFERROR(INDEX($G$105:$G$282, MATCH($D$6&amp;"|"&amp;$D$7&amp;"|"&amp;$D$8&amp;"|"&amp;$D$9&amp;"|"&amp;10, $J$105:$J$282, 0)), "")</f>
        <v/>
      </c>
      <c r="L36" s="213" t="str">
        <f t="shared" si="4"/>
        <v/>
      </c>
      <c r="M36" s="214" t="str">
        <f t="shared" si="5"/>
        <v/>
      </c>
      <c r="N36" s="206" t="str">
        <f t="shared" si="6"/>
        <v/>
      </c>
      <c r="O36" s="206" t="str">
        <f t="shared" si="7"/>
        <v/>
      </c>
      <c r="P36" s="223" t="str">
        <f>IF(B36="","", IF(AND(ISNUMBER(K36), K36&gt;0), ROUND(D$10/K36, 5), IFERROR(INDEX($K$105:$K$282, MATCH($D$6&amp;"|"&amp;$D$7&amp;"|"&amp;$D$8&amp;"|"&amp;$D$9&amp;"|"&amp;10, $J$105:$J$282, 0)), 0)))</f>
        <v/>
      </c>
      <c r="Q36" s="224" t="str">
        <f t="shared" si="8"/>
        <v/>
      </c>
      <c r="R36" s="225" t="str">
        <f t="shared" si="9"/>
        <v/>
      </c>
      <c r="S36" s="206" t="str">
        <f t="shared" si="10"/>
        <v/>
      </c>
      <c r="T36" s="206" t="str">
        <f t="shared" si="11"/>
        <v/>
      </c>
      <c r="U36" s="166" t="str">
        <f>IF(B36="","", IFERROR(INDEX($H$105:$H$282, MATCH($D$6&amp;"|"&amp;$D$7&amp;"|"&amp;$D$8&amp;"|"&amp;$D$9&amp;"|"&amp;10, $J$105:$J$282, 0)), ""))</f>
        <v/>
      </c>
      <c r="V36" s="166" t="str">
        <f>IF(B36="","", IFERROR(INDEX($I$105:$I$282, MATCH($D$6&amp;"|"&amp;$D$7&amp;"|"&amp;$D$8&amp;"|"&amp;$D$9&amp;"|"&amp;10, $J$105:$J$282, 0)), ""))</f>
        <v/>
      </c>
      <c r="W36" s="166" t="str">
        <f t="shared" si="12"/>
        <v/>
      </c>
    </row>
    <row r="37" spans="1:23" ht="22.05" customHeight="1" x14ac:dyDescent="0.3">
      <c r="A37" s="171">
        <v>11</v>
      </c>
      <c r="B37" s="167" t="str">
        <f>IFERROR(INDEX($F$105:$F$282, MATCH($D$6&amp;"|"&amp;$D$7&amp;"|"&amp;$D$8&amp;"|"&amp;$D$9&amp;"|"&amp;11, $J$105:$J$282, 0)), "")</f>
        <v/>
      </c>
      <c r="C37" s="180" t="str">
        <f>IF(B37="","", IFERROR(INDEX(Rates_Master!$C:$C, MATCH(B37, Rates_Master!$A:$A, 0)), "Custom Resource"))</f>
        <v/>
      </c>
      <c r="D37" s="208" t="str">
        <f>IF(B37="","", IFERROR(INDEX(Rates_Master!$B:$B, MATCH(B37, Rates_Master!$A:$A, 0)), "Labour"))</f>
        <v/>
      </c>
      <c r="E37" s="165" t="str">
        <f>IF(B37="","", IFERROR(INDEX(Rates_Master!$D:$D, MATCH(B37, Rates_Master!$A:$A, 0)), "day"))</f>
        <v/>
      </c>
      <c r="F37" s="209" t="str">
        <f t="shared" si="0"/>
        <v/>
      </c>
      <c r="G37" s="210" t="str">
        <f>IF(B37="","", IFERROR(INDEX(Rates_Master!$E:$E, MATCH(B37, Rates_Master!$A:$A, 0)), 0))</f>
        <v/>
      </c>
      <c r="H37" s="211">
        <f t="shared" si="1"/>
        <v>0</v>
      </c>
      <c r="I37" s="167" t="str">
        <f t="shared" si="2"/>
        <v/>
      </c>
      <c r="J37" s="212">
        <f t="shared" si="3"/>
        <v>0</v>
      </c>
      <c r="K37" s="214" t="str">
        <f>IFERROR(INDEX($G$105:$G$282, MATCH($D$6&amp;"|"&amp;$D$7&amp;"|"&amp;$D$8&amp;"|"&amp;$D$9&amp;"|"&amp;11, $J$105:$J$282, 0)), "")</f>
        <v/>
      </c>
      <c r="L37" s="213" t="str">
        <f t="shared" si="4"/>
        <v/>
      </c>
      <c r="M37" s="214" t="str">
        <f t="shared" si="5"/>
        <v/>
      </c>
      <c r="N37" s="206" t="str">
        <f t="shared" si="6"/>
        <v/>
      </c>
      <c r="O37" s="206" t="str">
        <f t="shared" si="7"/>
        <v/>
      </c>
      <c r="P37" s="223" t="str">
        <f>IF(B37="","", IF(AND(ISNUMBER(K37), K37&gt;0), ROUND(D$10/K37, 5), IFERROR(INDEX($K$105:$K$282, MATCH($D$6&amp;"|"&amp;$D$7&amp;"|"&amp;$D$8&amp;"|"&amp;$D$9&amp;"|"&amp;11, $J$105:$J$282, 0)), 0)))</f>
        <v/>
      </c>
      <c r="Q37" s="224" t="str">
        <f t="shared" si="8"/>
        <v/>
      </c>
      <c r="R37" s="225" t="str">
        <f t="shared" si="9"/>
        <v/>
      </c>
      <c r="S37" s="206" t="str">
        <f t="shared" si="10"/>
        <v/>
      </c>
      <c r="T37" s="206" t="str">
        <f t="shared" si="11"/>
        <v/>
      </c>
      <c r="U37" s="166" t="str">
        <f>IF(B37="","", IFERROR(INDEX($H$105:$H$282, MATCH($D$6&amp;"|"&amp;$D$7&amp;"|"&amp;$D$8&amp;"|"&amp;$D$9&amp;"|"&amp;11, $J$105:$J$282, 0)), ""))</f>
        <v/>
      </c>
      <c r="V37" s="166" t="str">
        <f>IF(B37="","", IFERROR(INDEX($I$105:$I$282, MATCH($D$6&amp;"|"&amp;$D$7&amp;"|"&amp;$D$8&amp;"|"&amp;$D$9&amp;"|"&amp;11, $J$105:$J$282, 0)), ""))</f>
        <v/>
      </c>
      <c r="W37" s="166" t="str">
        <f t="shared" si="12"/>
        <v/>
      </c>
    </row>
    <row r="38" spans="1:23" ht="22.05" customHeight="1" x14ac:dyDescent="0.3">
      <c r="A38" s="171">
        <v>12</v>
      </c>
      <c r="B38" s="167" t="str">
        <f>IFERROR(INDEX($F$105:$F$282, MATCH($D$6&amp;"|"&amp;$D$7&amp;"|"&amp;$D$8&amp;"|"&amp;$D$9&amp;"|"&amp;12, $J$105:$J$282, 0)), "")</f>
        <v/>
      </c>
      <c r="C38" s="180" t="str">
        <f>IF(B38="","", IFERROR(INDEX(Rates_Master!$C:$C, MATCH(B38, Rates_Master!$A:$A, 0)), "Custom Resource"))</f>
        <v/>
      </c>
      <c r="D38" s="208" t="str">
        <f>IF(B38="","", IFERROR(INDEX(Rates_Master!$B:$B, MATCH(B38, Rates_Master!$A:$A, 0)), "Labour"))</f>
        <v/>
      </c>
      <c r="E38" s="165" t="str">
        <f>IF(B38="","", IFERROR(INDEX(Rates_Master!$D:$D, MATCH(B38, Rates_Master!$A:$A, 0)), "day"))</f>
        <v/>
      </c>
      <c r="F38" s="209" t="str">
        <f t="shared" si="0"/>
        <v/>
      </c>
      <c r="G38" s="210" t="str">
        <f>IF(B38="","", IFERROR(INDEX(Rates_Master!$E:$E, MATCH(B38, Rates_Master!$A:$A, 0)), 0))</f>
        <v/>
      </c>
      <c r="H38" s="211">
        <f t="shared" si="1"/>
        <v>0</v>
      </c>
      <c r="I38" s="167" t="str">
        <f t="shared" si="2"/>
        <v/>
      </c>
      <c r="J38" s="212">
        <f t="shared" si="3"/>
        <v>0</v>
      </c>
      <c r="K38" s="214" t="str">
        <f>IFERROR(INDEX($G$105:$G$282, MATCH($D$6&amp;"|"&amp;$D$7&amp;"|"&amp;$D$8&amp;"|"&amp;$D$9&amp;"|"&amp;12, $J$105:$J$282, 0)), "")</f>
        <v/>
      </c>
      <c r="L38" s="213" t="str">
        <f t="shared" si="4"/>
        <v/>
      </c>
      <c r="M38" s="214" t="str">
        <f t="shared" si="5"/>
        <v/>
      </c>
      <c r="N38" s="206" t="str">
        <f t="shared" si="6"/>
        <v/>
      </c>
      <c r="O38" s="206" t="str">
        <f t="shared" si="7"/>
        <v/>
      </c>
      <c r="P38" s="223" t="str">
        <f>IF(B38="","", IF(AND(ISNUMBER(K38), K38&gt;0), ROUND(D$10/K38, 5), IFERROR(INDEX($K$105:$K$282, MATCH($D$6&amp;"|"&amp;$D$7&amp;"|"&amp;$D$8&amp;"|"&amp;$D$9&amp;"|"&amp;12, $J$105:$J$282, 0)), 0)))</f>
        <v/>
      </c>
      <c r="Q38" s="224" t="str">
        <f t="shared" si="8"/>
        <v/>
      </c>
      <c r="R38" s="225" t="str">
        <f t="shared" si="9"/>
        <v/>
      </c>
      <c r="S38" s="206" t="str">
        <f t="shared" si="10"/>
        <v/>
      </c>
      <c r="T38" s="206" t="str">
        <f t="shared" si="11"/>
        <v/>
      </c>
      <c r="U38" s="166" t="str">
        <f>IF(B38="","", IFERROR(INDEX($H$105:$H$282, MATCH($D$6&amp;"|"&amp;$D$7&amp;"|"&amp;$D$8&amp;"|"&amp;$D$9&amp;"|"&amp;12, $J$105:$J$282, 0)), ""))</f>
        <v/>
      </c>
      <c r="V38" s="166" t="str">
        <f>IF(B38="","", IFERROR(INDEX($I$105:$I$282, MATCH($D$6&amp;"|"&amp;$D$7&amp;"|"&amp;$D$8&amp;"|"&amp;$D$9&amp;"|"&amp;12, $J$105:$J$282, 0)), ""))</f>
        <v/>
      </c>
      <c r="W38" s="166" t="str">
        <f t="shared" si="12"/>
        <v/>
      </c>
    </row>
    <row r="39" spans="1:23" ht="22.05" customHeight="1" x14ac:dyDescent="0.3">
      <c r="A39" s="171">
        <v>13</v>
      </c>
      <c r="B39" s="167" t="str">
        <f>IFERROR(INDEX($F$105:$F$282, MATCH($D$6&amp;"|"&amp;$D$7&amp;"|"&amp;$D$8&amp;"|"&amp;$D$9&amp;"|"&amp;13, $J$105:$J$282, 0)), "")</f>
        <v/>
      </c>
      <c r="C39" s="180" t="str">
        <f>IF(B39="","", IFERROR(INDEX(Rates_Master!$C:$C, MATCH(B39, Rates_Master!$A:$A, 0)), "Custom Resource"))</f>
        <v/>
      </c>
      <c r="D39" s="208" t="str">
        <f>IF(B39="","", IFERROR(INDEX(Rates_Master!$B:$B, MATCH(B39, Rates_Master!$A:$A, 0)), "Labour"))</f>
        <v/>
      </c>
      <c r="E39" s="165" t="str">
        <f>IF(B39="","", IFERROR(INDEX(Rates_Master!$D:$D, MATCH(B39, Rates_Master!$A:$A, 0)), "day"))</f>
        <v/>
      </c>
      <c r="F39" s="209" t="str">
        <f t="shared" si="0"/>
        <v/>
      </c>
      <c r="G39" s="210" t="str">
        <f>IF(B39="","", IFERROR(INDEX(Rates_Master!$E:$E, MATCH(B39, Rates_Master!$A:$A, 0)), 0))</f>
        <v/>
      </c>
      <c r="H39" s="211">
        <f t="shared" si="1"/>
        <v>0</v>
      </c>
      <c r="I39" s="167" t="str">
        <f t="shared" si="2"/>
        <v/>
      </c>
      <c r="J39" s="212">
        <f t="shared" si="3"/>
        <v>0</v>
      </c>
      <c r="K39" s="214" t="str">
        <f>IFERROR(INDEX($G$105:$G$282, MATCH($D$6&amp;"|"&amp;$D$7&amp;"|"&amp;$D$8&amp;"|"&amp;$D$9&amp;"|"&amp;13, $J$105:$J$282, 0)), "")</f>
        <v/>
      </c>
      <c r="L39" s="213" t="str">
        <f t="shared" si="4"/>
        <v/>
      </c>
      <c r="M39" s="214" t="str">
        <f t="shared" si="5"/>
        <v/>
      </c>
      <c r="N39" s="206" t="str">
        <f t="shared" si="6"/>
        <v/>
      </c>
      <c r="O39" s="206" t="str">
        <f t="shared" si="7"/>
        <v/>
      </c>
      <c r="P39" s="223" t="str">
        <f>IF(B39="","", IF(AND(ISNUMBER(K39), K39&gt;0), ROUND(D$10/K39, 5), IFERROR(INDEX($K$105:$K$282, MATCH($D$6&amp;"|"&amp;$D$7&amp;"|"&amp;$D$8&amp;"|"&amp;$D$9&amp;"|"&amp;13, $J$105:$J$282, 0)), 0)))</f>
        <v/>
      </c>
      <c r="Q39" s="224" t="str">
        <f t="shared" si="8"/>
        <v/>
      </c>
      <c r="R39" s="225" t="str">
        <f t="shared" si="9"/>
        <v/>
      </c>
      <c r="S39" s="206" t="str">
        <f t="shared" si="10"/>
        <v/>
      </c>
      <c r="T39" s="206" t="str">
        <f t="shared" si="11"/>
        <v/>
      </c>
      <c r="U39" s="166" t="str">
        <f>IF(B39="","", IFERROR(INDEX($H$105:$H$282, MATCH($D$6&amp;"|"&amp;$D$7&amp;"|"&amp;$D$8&amp;"|"&amp;$D$9&amp;"|"&amp;13, $J$105:$J$282, 0)), ""))</f>
        <v/>
      </c>
      <c r="V39" s="166" t="str">
        <f>IF(B39="","", IFERROR(INDEX($I$105:$I$282, MATCH($D$6&amp;"|"&amp;$D$7&amp;"|"&amp;$D$8&amp;"|"&amp;$D$9&amp;"|"&amp;13, $J$105:$J$282, 0)), ""))</f>
        <v/>
      </c>
      <c r="W39" s="166" t="str">
        <f t="shared" si="12"/>
        <v/>
      </c>
    </row>
    <row r="40" spans="1:23" ht="22.05" customHeight="1" x14ac:dyDescent="0.3">
      <c r="A40" s="171">
        <v>14</v>
      </c>
      <c r="B40" s="167" t="str">
        <f>IFERROR(INDEX($F$105:$F$282, MATCH($D$6&amp;"|"&amp;$D$7&amp;"|"&amp;$D$8&amp;"|"&amp;$D$9&amp;"|"&amp;14, $J$105:$J$282, 0)), "")</f>
        <v/>
      </c>
      <c r="C40" s="180" t="str">
        <f>IF(B40="","", IFERROR(INDEX(Rates_Master!$C:$C, MATCH(B40, Rates_Master!$A:$A, 0)), "Custom Resource"))</f>
        <v/>
      </c>
      <c r="D40" s="208" t="str">
        <f>IF(B40="","", IFERROR(INDEX(Rates_Master!$B:$B, MATCH(B40, Rates_Master!$A:$A, 0)), "Labour"))</f>
        <v/>
      </c>
      <c r="E40" s="165" t="str">
        <f>IF(B40="","", IFERROR(INDEX(Rates_Master!$D:$D, MATCH(B40, Rates_Master!$A:$A, 0)), "day"))</f>
        <v/>
      </c>
      <c r="F40" s="209" t="str">
        <f t="shared" si="0"/>
        <v/>
      </c>
      <c r="G40" s="210" t="str">
        <f>IF(B40="","", IFERROR(INDEX(Rates_Master!$E:$E, MATCH(B40, Rates_Master!$A:$A, 0)), 0))</f>
        <v/>
      </c>
      <c r="H40" s="211">
        <f t="shared" si="1"/>
        <v>0</v>
      </c>
      <c r="I40" s="167" t="str">
        <f t="shared" si="2"/>
        <v/>
      </c>
      <c r="J40" s="212">
        <f t="shared" si="3"/>
        <v>0</v>
      </c>
      <c r="K40" s="214" t="str">
        <f>IFERROR(INDEX($G$105:$G$282, MATCH($D$6&amp;"|"&amp;$D$7&amp;"|"&amp;$D$8&amp;"|"&amp;$D$9&amp;"|"&amp;14, $J$105:$J$282, 0)), "")</f>
        <v/>
      </c>
      <c r="L40" s="213" t="str">
        <f t="shared" si="4"/>
        <v/>
      </c>
      <c r="M40" s="214" t="str">
        <f t="shared" si="5"/>
        <v/>
      </c>
      <c r="N40" s="206" t="str">
        <f t="shared" si="6"/>
        <v/>
      </c>
      <c r="O40" s="206" t="str">
        <f t="shared" si="7"/>
        <v/>
      </c>
      <c r="P40" s="223" t="str">
        <f>IF(B40="","", IF(AND(ISNUMBER(K40), K40&gt;0), ROUND(D$10/K40, 5), IFERROR(INDEX($K$105:$K$282, MATCH($D$6&amp;"|"&amp;$D$7&amp;"|"&amp;$D$8&amp;"|"&amp;$D$9&amp;"|"&amp;14, $J$105:$J$282, 0)), 0)))</f>
        <v/>
      </c>
      <c r="Q40" s="224" t="str">
        <f t="shared" si="8"/>
        <v/>
      </c>
      <c r="R40" s="225" t="str">
        <f t="shared" si="9"/>
        <v/>
      </c>
      <c r="S40" s="206" t="str">
        <f t="shared" si="10"/>
        <v/>
      </c>
      <c r="T40" s="206" t="str">
        <f t="shared" si="11"/>
        <v/>
      </c>
      <c r="U40" s="166" t="str">
        <f>IF(B40="","", IFERROR(INDEX($H$105:$H$282, MATCH($D$6&amp;"|"&amp;$D$7&amp;"|"&amp;$D$8&amp;"|"&amp;$D$9&amp;"|"&amp;14, $J$105:$J$282, 0)), ""))</f>
        <v/>
      </c>
      <c r="V40" s="166" t="str">
        <f>IF(B40="","", IFERROR(INDEX($I$105:$I$282, MATCH($D$6&amp;"|"&amp;$D$7&amp;"|"&amp;$D$8&amp;"|"&amp;$D$9&amp;"|"&amp;14, $J$105:$J$282, 0)), ""))</f>
        <v/>
      </c>
      <c r="W40" s="166" t="str">
        <f t="shared" si="12"/>
        <v/>
      </c>
    </row>
    <row r="41" spans="1:23" ht="24" customHeight="1" x14ac:dyDescent="0.3">
      <c r="A41" s="279" t="s">
        <v>6989</v>
      </c>
      <c r="B41" s="272"/>
      <c r="C41" s="272"/>
      <c r="D41" s="272"/>
      <c r="E41" s="272"/>
      <c r="F41" s="272"/>
      <c r="G41" s="272"/>
      <c r="H41" s="176">
        <f>ROUND(SUM(H27:H40), 2)</f>
        <v>6919.2</v>
      </c>
      <c r="I41" s="177" t="s">
        <v>6523</v>
      </c>
      <c r="J41" s="271" t="s">
        <v>6990</v>
      </c>
      <c r="K41" s="272"/>
      <c r="L41" s="272"/>
      <c r="M41" s="272"/>
      <c r="N41" s="272"/>
      <c r="O41" s="272"/>
    </row>
    <row r="42" spans="1:23" ht="24" customHeight="1" x14ac:dyDescent="0.3">
      <c r="A42" s="281" t="s">
        <v>6991</v>
      </c>
      <c r="B42" s="277"/>
      <c r="C42" s="277"/>
      <c r="D42" s="277"/>
      <c r="E42" s="277"/>
      <c r="F42" s="277"/>
      <c r="G42" s="277"/>
      <c r="H42" s="178">
        <f>ROUND(SUMIF(I27:I40, "A", H27:H40), 2)</f>
        <v>0</v>
      </c>
      <c r="I42" s="179" t="s">
        <v>6373</v>
      </c>
      <c r="J42" s="276" t="s">
        <v>6992</v>
      </c>
      <c r="K42" s="277"/>
      <c r="L42" s="277"/>
      <c r="M42" s="277"/>
      <c r="N42" s="277"/>
      <c r="O42" s="277"/>
    </row>
    <row r="44" spans="1:23" ht="24" customHeight="1" x14ac:dyDescent="0.3">
      <c r="A44" s="258" t="s">
        <v>6993</v>
      </c>
      <c r="B44" s="228"/>
      <c r="C44" s="228"/>
      <c r="D44" s="228"/>
      <c r="E44" s="228"/>
      <c r="F44" s="228"/>
      <c r="G44" s="228"/>
      <c r="H44" s="228"/>
      <c r="I44" s="228"/>
      <c r="J44" s="228"/>
      <c r="K44" s="228"/>
      <c r="L44" s="228"/>
      <c r="M44" s="228"/>
      <c r="N44" s="228"/>
      <c r="O44" s="228"/>
    </row>
    <row r="45" spans="1:23" ht="24" customHeight="1" x14ac:dyDescent="0.3">
      <c r="A45" s="163" t="s">
        <v>6516</v>
      </c>
      <c r="B45" s="163" t="s">
        <v>6994</v>
      </c>
      <c r="C45" s="163" t="s">
        <v>6995</v>
      </c>
      <c r="D45" s="163" t="s">
        <v>6519</v>
      </c>
      <c r="E45" s="163" t="s">
        <v>6996</v>
      </c>
      <c r="F45" s="163" t="s">
        <v>6521</v>
      </c>
      <c r="G45" s="163" t="s">
        <v>6997</v>
      </c>
      <c r="H45" s="163" t="s">
        <v>6998</v>
      </c>
      <c r="I45" s="163" t="s">
        <v>6394</v>
      </c>
      <c r="J45" s="259" t="s">
        <v>6999</v>
      </c>
      <c r="K45" s="260"/>
      <c r="L45" s="260"/>
      <c r="M45" s="260"/>
      <c r="N45" s="260"/>
      <c r="O45" s="261"/>
    </row>
    <row r="46" spans="1:23" ht="22.05" customHeight="1" x14ac:dyDescent="0.3">
      <c r="A46" s="171" t="s">
        <v>6523</v>
      </c>
      <c r="B46" s="180" t="s">
        <v>7000</v>
      </c>
      <c r="C46" s="172" t="s">
        <v>6918</v>
      </c>
      <c r="D46" s="172" t="s">
        <v>7001</v>
      </c>
      <c r="E46" s="181">
        <f>H41</f>
        <v>6919.2</v>
      </c>
      <c r="F46" s="182" t="s">
        <v>6918</v>
      </c>
      <c r="G46" s="181">
        <f>0</f>
        <v>0</v>
      </c>
      <c r="H46" s="183">
        <f>H41</f>
        <v>6919.2</v>
      </c>
      <c r="I46" s="171" t="s">
        <v>6405</v>
      </c>
      <c r="J46" s="256" t="s">
        <v>7002</v>
      </c>
      <c r="K46" s="257"/>
      <c r="L46" s="257"/>
      <c r="M46" s="257"/>
      <c r="N46" s="257"/>
      <c r="O46" s="257"/>
    </row>
    <row r="47" spans="1:23" ht="22.05" customHeight="1" x14ac:dyDescent="0.3">
      <c r="A47" s="171" t="s">
        <v>6331</v>
      </c>
      <c r="B47" s="180" t="s">
        <v>7003</v>
      </c>
      <c r="C47" s="155" t="s">
        <v>4318</v>
      </c>
      <c r="D47" s="172" t="s">
        <v>7004</v>
      </c>
      <c r="E47" s="181">
        <f>H46 - H42</f>
        <v>6919.2</v>
      </c>
      <c r="F47" s="184">
        <f>Factor_Water</f>
        <v>0.01</v>
      </c>
      <c r="G47" s="181">
        <f>IF(C47="YES", ROUND(E47 * F47, 2), 0)</f>
        <v>69.19</v>
      </c>
      <c r="H47" s="183">
        <f>H46 + G47</f>
        <v>6988.3899999999994</v>
      </c>
      <c r="I47" s="171" t="s">
        <v>6398</v>
      </c>
      <c r="J47" s="256" t="s">
        <v>7005</v>
      </c>
      <c r="K47" s="257"/>
      <c r="L47" s="257"/>
      <c r="M47" s="257"/>
      <c r="N47" s="257"/>
      <c r="O47" s="257"/>
    </row>
    <row r="48" spans="1:23" ht="22.05" customHeight="1" x14ac:dyDescent="0.3">
      <c r="A48" s="185" t="s">
        <v>6334</v>
      </c>
      <c r="B48" s="186" t="s">
        <v>7006</v>
      </c>
      <c r="C48" s="177" t="s">
        <v>6918</v>
      </c>
      <c r="D48" s="177" t="s">
        <v>6531</v>
      </c>
      <c r="E48" s="187">
        <f>H47</f>
        <v>6988.3899999999994</v>
      </c>
      <c r="F48" s="188" t="s">
        <v>6918</v>
      </c>
      <c r="G48" s="187">
        <f>0</f>
        <v>0</v>
      </c>
      <c r="H48" s="189">
        <f>H47</f>
        <v>6988.3899999999994</v>
      </c>
      <c r="I48" s="185" t="s">
        <v>6405</v>
      </c>
      <c r="J48" s="275" t="s">
        <v>7007</v>
      </c>
      <c r="K48" s="272"/>
      <c r="L48" s="272"/>
      <c r="M48" s="272"/>
      <c r="N48" s="272"/>
      <c r="O48" s="272"/>
    </row>
    <row r="49" spans="1:15" ht="22.05" customHeight="1" x14ac:dyDescent="0.3">
      <c r="A49" s="171" t="s">
        <v>6338</v>
      </c>
      <c r="B49" s="180" t="s">
        <v>7008</v>
      </c>
      <c r="C49" s="155" t="s">
        <v>4318</v>
      </c>
      <c r="D49" s="172" t="s">
        <v>7009</v>
      </c>
      <c r="E49" s="181">
        <f>H48 - H42</f>
        <v>6988.3899999999994</v>
      </c>
      <c r="F49" s="184">
        <f>Factor_GST</f>
        <v>0.14050000000000001</v>
      </c>
      <c r="G49" s="181">
        <f>IF(C49="YES", ROUND(E49 * F49, 2), 0)</f>
        <v>981.87</v>
      </c>
      <c r="H49" s="183">
        <f>H48 + G49</f>
        <v>7970.2599999999993</v>
      </c>
      <c r="I49" s="171" t="s">
        <v>6398</v>
      </c>
      <c r="J49" s="256" t="s">
        <v>7010</v>
      </c>
      <c r="K49" s="257"/>
      <c r="L49" s="257"/>
      <c r="M49" s="257"/>
      <c r="N49" s="257"/>
      <c r="O49" s="257"/>
    </row>
    <row r="50" spans="1:15" ht="22.05" customHeight="1" x14ac:dyDescent="0.3">
      <c r="A50" s="185" t="s">
        <v>6341</v>
      </c>
      <c r="B50" s="186" t="s">
        <v>6536</v>
      </c>
      <c r="C50" s="177" t="s">
        <v>6918</v>
      </c>
      <c r="D50" s="177" t="s">
        <v>6537</v>
      </c>
      <c r="E50" s="187">
        <f>H49</f>
        <v>7970.2599999999993</v>
      </c>
      <c r="F50" s="188" t="s">
        <v>6918</v>
      </c>
      <c r="G50" s="187">
        <f>0</f>
        <v>0</v>
      </c>
      <c r="H50" s="189">
        <f>H49</f>
        <v>7970.2599999999993</v>
      </c>
      <c r="I50" s="185" t="s">
        <v>6405</v>
      </c>
      <c r="J50" s="275" t="s">
        <v>7011</v>
      </c>
      <c r="K50" s="272"/>
      <c r="L50" s="272"/>
      <c r="M50" s="272"/>
      <c r="N50" s="272"/>
      <c r="O50" s="272"/>
    </row>
    <row r="51" spans="1:15" ht="22.05" customHeight="1" x14ac:dyDescent="0.3">
      <c r="A51" s="171" t="s">
        <v>6343</v>
      </c>
      <c r="B51" s="180" t="s">
        <v>7012</v>
      </c>
      <c r="C51" s="155" t="s">
        <v>4318</v>
      </c>
      <c r="D51" s="172" t="s">
        <v>7013</v>
      </c>
      <c r="E51" s="181">
        <f>H50 - H42</f>
        <v>7970.2599999999993</v>
      </c>
      <c r="F51" s="184">
        <f>Factor_CPOH</f>
        <v>0.15</v>
      </c>
      <c r="G51" s="181">
        <f>IF(C51="YES", ROUND(E51 * F51, 2), 0)</f>
        <v>1195.54</v>
      </c>
      <c r="H51" s="183">
        <f>H50 + G51</f>
        <v>9165.7999999999993</v>
      </c>
      <c r="I51" s="171" t="s">
        <v>6398</v>
      </c>
      <c r="J51" s="256" t="s">
        <v>7014</v>
      </c>
      <c r="K51" s="257"/>
      <c r="L51" s="257"/>
      <c r="M51" s="257"/>
      <c r="N51" s="257"/>
      <c r="O51" s="257"/>
    </row>
    <row r="52" spans="1:15" ht="22.05" customHeight="1" x14ac:dyDescent="0.3">
      <c r="A52" s="185" t="s">
        <v>6346</v>
      </c>
      <c r="B52" s="186" t="s">
        <v>6542</v>
      </c>
      <c r="C52" s="177" t="s">
        <v>6918</v>
      </c>
      <c r="D52" s="177" t="s">
        <v>6543</v>
      </c>
      <c r="E52" s="187">
        <f>H51</f>
        <v>9165.7999999999993</v>
      </c>
      <c r="F52" s="188" t="s">
        <v>6918</v>
      </c>
      <c r="G52" s="187">
        <f>0</f>
        <v>0</v>
      </c>
      <c r="H52" s="189">
        <f>H51</f>
        <v>9165.7999999999993</v>
      </c>
      <c r="I52" s="185" t="s">
        <v>6405</v>
      </c>
      <c r="J52" s="275" t="s">
        <v>7015</v>
      </c>
      <c r="K52" s="272"/>
      <c r="L52" s="272"/>
      <c r="M52" s="272"/>
      <c r="N52" s="272"/>
      <c r="O52" s="272"/>
    </row>
    <row r="53" spans="1:15" ht="22.05" customHeight="1" x14ac:dyDescent="0.3">
      <c r="A53" s="171" t="s">
        <v>6348</v>
      </c>
      <c r="B53" s="180" t="s">
        <v>7016</v>
      </c>
      <c r="C53" s="155" t="s">
        <v>4318</v>
      </c>
      <c r="D53" s="172" t="s">
        <v>6546</v>
      </c>
      <c r="E53" s="181">
        <f>H52</f>
        <v>9165.7999999999993</v>
      </c>
      <c r="F53" s="184">
        <f>Factor_Cess</f>
        <v>0.01</v>
      </c>
      <c r="G53" s="181">
        <f>IF(C53="YES", ROUND(E53 * F53, 2), 0)</f>
        <v>91.66</v>
      </c>
      <c r="H53" s="183">
        <f>H52 + G53</f>
        <v>9257.4599999999991</v>
      </c>
      <c r="I53" s="171" t="s">
        <v>6398</v>
      </c>
      <c r="J53" s="256" t="s">
        <v>7017</v>
      </c>
      <c r="K53" s="257"/>
      <c r="L53" s="257"/>
      <c r="M53" s="257"/>
      <c r="N53" s="257"/>
      <c r="O53" s="257"/>
    </row>
    <row r="54" spans="1:15" ht="24" customHeight="1" x14ac:dyDescent="0.3">
      <c r="A54" s="159" t="s">
        <v>7018</v>
      </c>
      <c r="B54" s="190" t="str">
        <f>"Cost for " &amp; D10 &amp; " " &amp; D11</f>
        <v>Cost for 100 sqm</v>
      </c>
      <c r="C54" s="191" t="s">
        <v>6918</v>
      </c>
      <c r="D54" s="191" t="s">
        <v>7019</v>
      </c>
      <c r="E54" s="192">
        <f>H53</f>
        <v>9257.4599999999991</v>
      </c>
      <c r="F54" s="193" t="s">
        <v>6918</v>
      </c>
      <c r="G54" s="192">
        <f>0</f>
        <v>0</v>
      </c>
      <c r="H54" s="194">
        <f>H53</f>
        <v>9257.4599999999991</v>
      </c>
      <c r="I54" s="159" t="s">
        <v>6498</v>
      </c>
      <c r="J54" s="268" t="s">
        <v>7020</v>
      </c>
      <c r="K54" s="269"/>
      <c r="L54" s="269"/>
      <c r="M54" s="269"/>
      <c r="N54" s="269"/>
      <c r="O54" s="269"/>
    </row>
    <row r="55" spans="1:15" ht="22.05" customHeight="1" x14ac:dyDescent="0.3">
      <c r="A55" s="171" t="s">
        <v>7021</v>
      </c>
      <c r="B55" s="180" t="str">
        <f>"Rate per " &amp; D11 &amp; " (unrounded)"</f>
        <v>Rate per sqm (unrounded)</v>
      </c>
      <c r="C55" s="172" t="s">
        <v>6918</v>
      </c>
      <c r="D55" s="172" t="str">
        <f>D11</f>
        <v>sqm</v>
      </c>
      <c r="E55" s="181">
        <f>H54 / D10</f>
        <v>92.57459999999999</v>
      </c>
      <c r="F55" s="182" t="s">
        <v>6918</v>
      </c>
      <c r="G55" s="181">
        <f>0</f>
        <v>0</v>
      </c>
      <c r="H55" s="183">
        <f>H54 / D10</f>
        <v>92.57459999999999</v>
      </c>
      <c r="I55" s="171" t="s">
        <v>6405</v>
      </c>
      <c r="J55" s="256" t="s">
        <v>7022</v>
      </c>
      <c r="K55" s="257"/>
      <c r="L55" s="257"/>
      <c r="M55" s="257"/>
      <c r="N55" s="257"/>
      <c r="O55" s="257"/>
    </row>
    <row r="56" spans="1:15" ht="30" customHeight="1" x14ac:dyDescent="0.3">
      <c r="A56" s="160" t="s">
        <v>6423</v>
      </c>
      <c r="B56" s="195" t="str">
        <f>"FINAL ANALYSED SAY RATE (Rs per " &amp; D11 &amp; ")"</f>
        <v>FINAL ANALYSED SAY RATE (Rs per sqm)</v>
      </c>
      <c r="C56" s="196" t="s">
        <v>6918</v>
      </c>
      <c r="D56" s="196" t="s">
        <v>7023</v>
      </c>
      <c r="E56" s="197">
        <f>H55</f>
        <v>92.57459999999999</v>
      </c>
      <c r="F56" s="198" t="s">
        <v>6918</v>
      </c>
      <c r="G56" s="197">
        <f>0</f>
        <v>0</v>
      </c>
      <c r="H56" s="199">
        <f>MROUND(H55, 0.05)</f>
        <v>92.550000000000011</v>
      </c>
      <c r="I56" s="160" t="s">
        <v>6423</v>
      </c>
      <c r="J56" s="273" t="s">
        <v>7024</v>
      </c>
      <c r="K56" s="274"/>
      <c r="L56" s="274"/>
      <c r="M56" s="274"/>
      <c r="N56" s="274"/>
      <c r="O56" s="274"/>
    </row>
    <row r="57" spans="1:15" ht="22.05" customHeight="1" x14ac:dyDescent="0.3">
      <c r="A57" s="171" t="s">
        <v>7025</v>
      </c>
      <c r="B57" s="180" t="str">
        <f>"Published Benchmark Say Rate (Rs per " &amp; D11 &amp; "):"</f>
        <v>Published Benchmark Say Rate (Rs per sqm):</v>
      </c>
      <c r="C57" s="172" t="s">
        <v>6918</v>
      </c>
      <c r="D57" s="172" t="s">
        <v>7026</v>
      </c>
      <c r="E57" s="181">
        <f>D14</f>
        <v>92.55</v>
      </c>
      <c r="F57" s="182" t="s">
        <v>6918</v>
      </c>
      <c r="G57" s="181">
        <f>0</f>
        <v>0</v>
      </c>
      <c r="H57" s="183">
        <f>D14</f>
        <v>92.55</v>
      </c>
      <c r="I57" s="171" t="s">
        <v>6408</v>
      </c>
      <c r="J57" s="256" t="s">
        <v>7027</v>
      </c>
      <c r="K57" s="257"/>
      <c r="L57" s="257"/>
      <c r="M57" s="257"/>
      <c r="N57" s="257"/>
      <c r="O57" s="257"/>
    </row>
    <row r="58" spans="1:15" ht="24" customHeight="1" x14ac:dyDescent="0.3">
      <c r="A58" s="159" t="s">
        <v>7028</v>
      </c>
      <c r="B58" s="190" t="s">
        <v>7029</v>
      </c>
      <c r="C58" s="191" t="s">
        <v>6918</v>
      </c>
      <c r="D58" s="191" t="s">
        <v>7030</v>
      </c>
      <c r="E58" s="192">
        <f>H56 - H57</f>
        <v>0</v>
      </c>
      <c r="F58" s="193" t="s">
        <v>6918</v>
      </c>
      <c r="G58" s="192">
        <f>0</f>
        <v>0</v>
      </c>
      <c r="H58" s="194">
        <f>ROUND(H56 - H57, 2)</f>
        <v>0</v>
      </c>
      <c r="I58" s="159" t="s">
        <v>6498</v>
      </c>
      <c r="J58" s="268" t="s">
        <v>7031</v>
      </c>
      <c r="K58" s="269"/>
      <c r="L58" s="269"/>
      <c r="M58" s="269"/>
      <c r="N58" s="269"/>
      <c r="O58" s="269"/>
    </row>
    <row r="60" spans="1:15" ht="24" customHeight="1" x14ac:dyDescent="0.3">
      <c r="A60" s="258" t="s">
        <v>7032</v>
      </c>
      <c r="B60" s="228"/>
      <c r="C60" s="228"/>
      <c r="D60" s="228"/>
      <c r="E60" s="228"/>
      <c r="F60" s="228"/>
      <c r="G60" s="228"/>
      <c r="H60" s="228"/>
      <c r="I60" s="228"/>
      <c r="J60" s="228"/>
      <c r="K60" s="228"/>
      <c r="L60" s="228"/>
      <c r="M60" s="228"/>
      <c r="N60" s="228"/>
      <c r="O60" s="228"/>
    </row>
    <row r="61" spans="1:15" ht="36" customHeight="1" x14ac:dyDescent="0.3">
      <c r="A61" s="267" t="s">
        <v>7033</v>
      </c>
      <c r="B61" s="228"/>
      <c r="C61" s="228"/>
      <c r="D61" s="228"/>
      <c r="E61" s="228"/>
      <c r="F61" s="228"/>
      <c r="G61" s="228"/>
      <c r="H61" s="228"/>
      <c r="I61" s="228"/>
      <c r="J61" s="228"/>
      <c r="K61" s="228"/>
      <c r="L61" s="228"/>
      <c r="M61" s="228"/>
      <c r="N61" s="228"/>
      <c r="O61" s="228"/>
    </row>
    <row r="62" spans="1:15" ht="24" customHeight="1" x14ac:dyDescent="0.3">
      <c r="A62" s="163" t="s">
        <v>7034</v>
      </c>
      <c r="B62" s="163" t="s">
        <v>7035</v>
      </c>
      <c r="C62" s="163" t="s">
        <v>6948</v>
      </c>
      <c r="D62" s="163" t="s">
        <v>7036</v>
      </c>
      <c r="E62" s="163" t="s">
        <v>7037</v>
      </c>
      <c r="F62" s="163" t="s">
        <v>6</v>
      </c>
      <c r="G62" s="163" t="s">
        <v>7038</v>
      </c>
      <c r="H62" s="163" t="s">
        <v>7039</v>
      </c>
      <c r="I62" s="163" t="s">
        <v>7040</v>
      </c>
      <c r="J62" s="163" t="s">
        <v>7041</v>
      </c>
      <c r="K62" s="163" t="s">
        <v>7042</v>
      </c>
      <c r="L62" s="163" t="s">
        <v>7043</v>
      </c>
      <c r="M62" s="163" t="s">
        <v>7044</v>
      </c>
      <c r="N62" s="163" t="s">
        <v>6978</v>
      </c>
      <c r="O62" s="163" t="s">
        <v>7045</v>
      </c>
    </row>
    <row r="63" spans="1:15" ht="24" customHeight="1" x14ac:dyDescent="0.3">
      <c r="A63" s="164" t="s">
        <v>7046</v>
      </c>
      <c r="B63" s="200" t="s">
        <v>7047</v>
      </c>
      <c r="C63" s="167" t="s">
        <v>209</v>
      </c>
      <c r="D63" s="164" t="s">
        <v>7048</v>
      </c>
      <c r="E63" s="201">
        <v>100</v>
      </c>
      <c r="F63" s="172" t="s">
        <v>169</v>
      </c>
      <c r="G63" s="202">
        <v>4</v>
      </c>
      <c r="H63" s="203">
        <v>13.6</v>
      </c>
      <c r="I63" s="173">
        <f t="shared" ref="I63:I89" si="13">ROUND(G63 * H63, 3)</f>
        <v>54.4</v>
      </c>
      <c r="J63" s="204">
        <v>8</v>
      </c>
      <c r="K63" s="173">
        <f t="shared" ref="K63:K89" si="14">ROUND(I63 / J63, 4)</f>
        <v>6.8</v>
      </c>
      <c r="L63" s="174">
        <f t="shared" ref="L63:L89" si="15">IFERROR(ROUND(E63 / K63, 2), "")</f>
        <v>14.71</v>
      </c>
      <c r="M63" s="175">
        <f t="shared" ref="M63:M89" si="16">IFERROR(ROUND(I63 / E63, 4), "")</f>
        <v>0.54400000000000004</v>
      </c>
      <c r="N63" s="174">
        <f t="shared" ref="N63:N89" si="17">IFERROR(ROUND(L63 / J63, 2), "")</f>
        <v>1.84</v>
      </c>
      <c r="O63" s="206" t="s">
        <v>7049</v>
      </c>
    </row>
    <row r="64" spans="1:15" ht="24" customHeight="1" x14ac:dyDescent="0.3">
      <c r="A64" s="164" t="s">
        <v>7046</v>
      </c>
      <c r="B64" s="200" t="s">
        <v>7050</v>
      </c>
      <c r="C64" s="167" t="s">
        <v>211</v>
      </c>
      <c r="D64" s="164" t="s">
        <v>7051</v>
      </c>
      <c r="E64" s="201">
        <v>100</v>
      </c>
      <c r="F64" s="172" t="s">
        <v>169</v>
      </c>
      <c r="G64" s="202">
        <v>4</v>
      </c>
      <c r="H64" s="203">
        <v>11.2</v>
      </c>
      <c r="I64" s="173">
        <f t="shared" si="13"/>
        <v>44.8</v>
      </c>
      <c r="J64" s="204">
        <v>8</v>
      </c>
      <c r="K64" s="173">
        <f t="shared" si="14"/>
        <v>5.6</v>
      </c>
      <c r="L64" s="174">
        <f t="shared" si="15"/>
        <v>17.86</v>
      </c>
      <c r="M64" s="175">
        <f t="shared" si="16"/>
        <v>0.44800000000000001</v>
      </c>
      <c r="N64" s="174">
        <f t="shared" si="17"/>
        <v>2.23</v>
      </c>
      <c r="O64" s="206" t="s">
        <v>7052</v>
      </c>
    </row>
    <row r="65" spans="1:15" ht="24" customHeight="1" x14ac:dyDescent="0.3">
      <c r="A65" s="164" t="s">
        <v>7053</v>
      </c>
      <c r="B65" s="200" t="s">
        <v>7054</v>
      </c>
      <c r="C65" s="167" t="s">
        <v>209</v>
      </c>
      <c r="D65" s="164" t="s">
        <v>7048</v>
      </c>
      <c r="E65" s="201">
        <v>10</v>
      </c>
      <c r="F65" s="172" t="s">
        <v>18</v>
      </c>
      <c r="G65" s="202">
        <v>4</v>
      </c>
      <c r="H65" s="203">
        <v>11.8</v>
      </c>
      <c r="I65" s="173">
        <f t="shared" si="13"/>
        <v>47.2</v>
      </c>
      <c r="J65" s="204">
        <v>8</v>
      </c>
      <c r="K65" s="173">
        <f t="shared" si="14"/>
        <v>5.9</v>
      </c>
      <c r="L65" s="174">
        <f t="shared" si="15"/>
        <v>1.69</v>
      </c>
      <c r="M65" s="175">
        <f t="shared" si="16"/>
        <v>4.72</v>
      </c>
      <c r="N65" s="174">
        <f t="shared" si="17"/>
        <v>0.21</v>
      </c>
      <c r="O65" s="206" t="s">
        <v>7055</v>
      </c>
    </row>
    <row r="66" spans="1:15" ht="24" customHeight="1" x14ac:dyDescent="0.3">
      <c r="A66" s="164" t="s">
        <v>7053</v>
      </c>
      <c r="B66" s="200" t="s">
        <v>7056</v>
      </c>
      <c r="C66" s="167" t="s">
        <v>211</v>
      </c>
      <c r="D66" s="164" t="s">
        <v>7051</v>
      </c>
      <c r="E66" s="201">
        <v>10</v>
      </c>
      <c r="F66" s="172" t="s">
        <v>18</v>
      </c>
      <c r="G66" s="202">
        <v>3</v>
      </c>
      <c r="H66" s="203">
        <v>9.6</v>
      </c>
      <c r="I66" s="173">
        <f t="shared" si="13"/>
        <v>28.8</v>
      </c>
      <c r="J66" s="204">
        <v>8</v>
      </c>
      <c r="K66" s="173">
        <f t="shared" si="14"/>
        <v>3.6</v>
      </c>
      <c r="L66" s="174">
        <f t="shared" si="15"/>
        <v>2.78</v>
      </c>
      <c r="M66" s="175">
        <f t="shared" si="16"/>
        <v>2.88</v>
      </c>
      <c r="N66" s="174">
        <f t="shared" si="17"/>
        <v>0.35</v>
      </c>
      <c r="O66" s="206" t="s">
        <v>7057</v>
      </c>
    </row>
    <row r="67" spans="1:15" ht="24" customHeight="1" x14ac:dyDescent="0.3">
      <c r="A67" s="164" t="s">
        <v>7053</v>
      </c>
      <c r="B67" s="200" t="s">
        <v>7058</v>
      </c>
      <c r="C67" s="167" t="s">
        <v>197</v>
      </c>
      <c r="D67" s="164" t="s">
        <v>7059</v>
      </c>
      <c r="E67" s="201">
        <v>10</v>
      </c>
      <c r="F67" s="172" t="s">
        <v>18</v>
      </c>
      <c r="G67" s="202">
        <v>1</v>
      </c>
      <c r="H67" s="203">
        <v>3.2</v>
      </c>
      <c r="I67" s="173">
        <f t="shared" si="13"/>
        <v>3.2</v>
      </c>
      <c r="J67" s="204">
        <v>8</v>
      </c>
      <c r="K67" s="173">
        <f t="shared" si="14"/>
        <v>0.4</v>
      </c>
      <c r="L67" s="174">
        <f t="shared" si="15"/>
        <v>25</v>
      </c>
      <c r="M67" s="175">
        <f t="shared" si="16"/>
        <v>0.32</v>
      </c>
      <c r="N67" s="174">
        <f t="shared" si="17"/>
        <v>3.13</v>
      </c>
      <c r="O67" s="206" t="s">
        <v>7060</v>
      </c>
    </row>
    <row r="68" spans="1:15" ht="24" customHeight="1" x14ac:dyDescent="0.3">
      <c r="A68" s="164" t="s">
        <v>7053</v>
      </c>
      <c r="B68" s="200" t="s">
        <v>7061</v>
      </c>
      <c r="C68" s="167" t="s">
        <v>31</v>
      </c>
      <c r="D68" s="164" t="s">
        <v>7062</v>
      </c>
      <c r="E68" s="201">
        <v>10</v>
      </c>
      <c r="F68" s="172" t="s">
        <v>18</v>
      </c>
      <c r="G68" s="202">
        <v>1</v>
      </c>
      <c r="H68" s="203">
        <v>6.4000000000000001E-2</v>
      </c>
      <c r="I68" s="173">
        <f t="shared" si="13"/>
        <v>6.4000000000000001E-2</v>
      </c>
      <c r="J68" s="204">
        <v>8</v>
      </c>
      <c r="K68" s="173">
        <f t="shared" si="14"/>
        <v>8.0000000000000002E-3</v>
      </c>
      <c r="L68" s="174">
        <f t="shared" si="15"/>
        <v>1250</v>
      </c>
      <c r="M68" s="175">
        <f t="shared" si="16"/>
        <v>6.4000000000000003E-3</v>
      </c>
      <c r="N68" s="174">
        <f t="shared" si="17"/>
        <v>156.25</v>
      </c>
      <c r="O68" s="206" t="s">
        <v>7063</v>
      </c>
    </row>
    <row r="69" spans="1:15" ht="24" customHeight="1" x14ac:dyDescent="0.3">
      <c r="A69" s="164" t="s">
        <v>7064</v>
      </c>
      <c r="B69" s="200" t="s">
        <v>7065</v>
      </c>
      <c r="C69" s="167" t="s">
        <v>209</v>
      </c>
      <c r="D69" s="164" t="s">
        <v>7048</v>
      </c>
      <c r="E69" s="201">
        <v>10</v>
      </c>
      <c r="F69" s="172" t="s">
        <v>18</v>
      </c>
      <c r="G69" s="202">
        <v>2</v>
      </c>
      <c r="H69" s="203">
        <v>14.8</v>
      </c>
      <c r="I69" s="173">
        <f t="shared" si="13"/>
        <v>29.6</v>
      </c>
      <c r="J69" s="204">
        <v>8</v>
      </c>
      <c r="K69" s="173">
        <f t="shared" si="14"/>
        <v>3.7</v>
      </c>
      <c r="L69" s="174">
        <f t="shared" si="15"/>
        <v>2.7</v>
      </c>
      <c r="M69" s="175">
        <f t="shared" si="16"/>
        <v>2.96</v>
      </c>
      <c r="N69" s="174">
        <f t="shared" si="17"/>
        <v>0.34</v>
      </c>
      <c r="O69" s="206" t="s">
        <v>7066</v>
      </c>
    </row>
    <row r="70" spans="1:15" ht="24" customHeight="1" x14ac:dyDescent="0.3">
      <c r="A70" s="164" t="s">
        <v>7067</v>
      </c>
      <c r="B70" s="200" t="s">
        <v>7068</v>
      </c>
      <c r="C70" s="167" t="s">
        <v>209</v>
      </c>
      <c r="D70" s="164" t="s">
        <v>7048</v>
      </c>
      <c r="E70" s="201">
        <v>10</v>
      </c>
      <c r="F70" s="172" t="s">
        <v>18</v>
      </c>
      <c r="G70" s="202">
        <v>2</v>
      </c>
      <c r="H70" s="203">
        <v>8.8000000000000007</v>
      </c>
      <c r="I70" s="173">
        <f t="shared" si="13"/>
        <v>17.600000000000001</v>
      </c>
      <c r="J70" s="204">
        <v>8</v>
      </c>
      <c r="K70" s="173">
        <f t="shared" si="14"/>
        <v>2.2000000000000002</v>
      </c>
      <c r="L70" s="174">
        <f t="shared" si="15"/>
        <v>4.55</v>
      </c>
      <c r="M70" s="175">
        <f t="shared" si="16"/>
        <v>1.76</v>
      </c>
      <c r="N70" s="174">
        <f t="shared" si="17"/>
        <v>0.56999999999999995</v>
      </c>
      <c r="O70" s="206" t="s">
        <v>7069</v>
      </c>
    </row>
    <row r="71" spans="1:15" ht="24" customHeight="1" x14ac:dyDescent="0.3">
      <c r="A71" s="164" t="s">
        <v>7067</v>
      </c>
      <c r="B71" s="200" t="s">
        <v>7070</v>
      </c>
      <c r="C71" s="167" t="s">
        <v>211</v>
      </c>
      <c r="D71" s="164" t="s">
        <v>7051</v>
      </c>
      <c r="E71" s="201">
        <v>10</v>
      </c>
      <c r="F71" s="172" t="s">
        <v>18</v>
      </c>
      <c r="G71" s="202">
        <v>3</v>
      </c>
      <c r="H71" s="203">
        <v>9.6</v>
      </c>
      <c r="I71" s="173">
        <f t="shared" si="13"/>
        <v>28.8</v>
      </c>
      <c r="J71" s="204">
        <v>8</v>
      </c>
      <c r="K71" s="173">
        <f t="shared" si="14"/>
        <v>3.6</v>
      </c>
      <c r="L71" s="174">
        <f t="shared" si="15"/>
        <v>2.78</v>
      </c>
      <c r="M71" s="175">
        <f t="shared" si="16"/>
        <v>2.88</v>
      </c>
      <c r="N71" s="174">
        <f t="shared" si="17"/>
        <v>0.35</v>
      </c>
      <c r="O71" s="206" t="s">
        <v>7071</v>
      </c>
    </row>
    <row r="72" spans="1:15" ht="24" customHeight="1" x14ac:dyDescent="0.3">
      <c r="A72" s="164" t="s">
        <v>7067</v>
      </c>
      <c r="B72" s="200" t="s">
        <v>7058</v>
      </c>
      <c r="C72" s="167" t="s">
        <v>197</v>
      </c>
      <c r="D72" s="164" t="s">
        <v>7059</v>
      </c>
      <c r="E72" s="201">
        <v>10</v>
      </c>
      <c r="F72" s="172" t="s">
        <v>18</v>
      </c>
      <c r="G72" s="202">
        <v>1</v>
      </c>
      <c r="H72" s="203">
        <v>3.2</v>
      </c>
      <c r="I72" s="173">
        <f t="shared" si="13"/>
        <v>3.2</v>
      </c>
      <c r="J72" s="204">
        <v>8</v>
      </c>
      <c r="K72" s="173">
        <f t="shared" si="14"/>
        <v>0.4</v>
      </c>
      <c r="L72" s="174">
        <f t="shared" si="15"/>
        <v>25</v>
      </c>
      <c r="M72" s="175">
        <f t="shared" si="16"/>
        <v>0.32</v>
      </c>
      <c r="N72" s="174">
        <f t="shared" si="17"/>
        <v>3.13</v>
      </c>
      <c r="O72" s="206" t="s">
        <v>7072</v>
      </c>
    </row>
    <row r="73" spans="1:15" ht="24" customHeight="1" x14ac:dyDescent="0.3">
      <c r="A73" s="164" t="s">
        <v>7067</v>
      </c>
      <c r="B73" s="200" t="s">
        <v>7073</v>
      </c>
      <c r="C73" s="167" t="s">
        <v>31</v>
      </c>
      <c r="D73" s="164" t="s">
        <v>7062</v>
      </c>
      <c r="E73" s="201">
        <v>10</v>
      </c>
      <c r="F73" s="172" t="s">
        <v>18</v>
      </c>
      <c r="G73" s="202">
        <v>1</v>
      </c>
      <c r="H73" s="203">
        <v>6.4000000000000001E-2</v>
      </c>
      <c r="I73" s="173">
        <f t="shared" si="13"/>
        <v>6.4000000000000001E-2</v>
      </c>
      <c r="J73" s="204">
        <v>8</v>
      </c>
      <c r="K73" s="173">
        <f t="shared" si="14"/>
        <v>8.0000000000000002E-3</v>
      </c>
      <c r="L73" s="174">
        <f t="shared" si="15"/>
        <v>1250</v>
      </c>
      <c r="M73" s="175">
        <f t="shared" si="16"/>
        <v>6.4000000000000003E-3</v>
      </c>
      <c r="N73" s="174">
        <f t="shared" si="17"/>
        <v>156.25</v>
      </c>
      <c r="O73" s="206" t="s">
        <v>7074</v>
      </c>
    </row>
    <row r="74" spans="1:15" ht="24" customHeight="1" x14ac:dyDescent="0.3">
      <c r="A74" s="164" t="s">
        <v>7075</v>
      </c>
      <c r="B74" s="200" t="s">
        <v>7076</v>
      </c>
      <c r="C74" s="167" t="s">
        <v>31</v>
      </c>
      <c r="D74" s="164" t="s">
        <v>7062</v>
      </c>
      <c r="E74" s="201">
        <v>10</v>
      </c>
      <c r="F74" s="172" t="s">
        <v>18</v>
      </c>
      <c r="G74" s="202">
        <v>-1</v>
      </c>
      <c r="H74" s="203">
        <v>6.4000000000000001E-2</v>
      </c>
      <c r="I74" s="173">
        <f t="shared" si="13"/>
        <v>-6.4000000000000001E-2</v>
      </c>
      <c r="J74" s="204">
        <v>8</v>
      </c>
      <c r="K74" s="173">
        <f t="shared" si="14"/>
        <v>-8.0000000000000002E-3</v>
      </c>
      <c r="L74" s="174">
        <f t="shared" si="15"/>
        <v>-1250</v>
      </c>
      <c r="M74" s="175">
        <f t="shared" si="16"/>
        <v>-6.4000000000000003E-3</v>
      </c>
      <c r="N74" s="174">
        <f t="shared" si="17"/>
        <v>-156.25</v>
      </c>
      <c r="O74" s="206" t="s">
        <v>7077</v>
      </c>
    </row>
    <row r="75" spans="1:15" ht="24" customHeight="1" x14ac:dyDescent="0.3">
      <c r="A75" s="164" t="s">
        <v>7078</v>
      </c>
      <c r="B75" s="200" t="s">
        <v>7079</v>
      </c>
      <c r="C75" s="167" t="s">
        <v>197</v>
      </c>
      <c r="D75" s="164" t="s">
        <v>7059</v>
      </c>
      <c r="E75" s="201">
        <v>10</v>
      </c>
      <c r="F75" s="172" t="s">
        <v>18</v>
      </c>
      <c r="G75" s="202">
        <v>-1</v>
      </c>
      <c r="H75" s="203">
        <v>3.2</v>
      </c>
      <c r="I75" s="173">
        <f t="shared" si="13"/>
        <v>-3.2</v>
      </c>
      <c r="J75" s="204">
        <v>8</v>
      </c>
      <c r="K75" s="173">
        <f t="shared" si="14"/>
        <v>-0.4</v>
      </c>
      <c r="L75" s="174">
        <f t="shared" si="15"/>
        <v>-25</v>
      </c>
      <c r="M75" s="175">
        <f t="shared" si="16"/>
        <v>-0.32</v>
      </c>
      <c r="N75" s="174">
        <f t="shared" si="17"/>
        <v>-3.13</v>
      </c>
      <c r="O75" s="206" t="s">
        <v>7080</v>
      </c>
    </row>
    <row r="76" spans="1:15" ht="24" customHeight="1" x14ac:dyDescent="0.3">
      <c r="A76" s="164" t="s">
        <v>7081</v>
      </c>
      <c r="B76" s="200" t="s">
        <v>7082</v>
      </c>
      <c r="C76" s="167" t="s">
        <v>78</v>
      </c>
      <c r="D76" s="164" t="s">
        <v>7083</v>
      </c>
      <c r="E76" s="201">
        <v>10</v>
      </c>
      <c r="F76" s="172" t="s">
        <v>18</v>
      </c>
      <c r="G76" s="202">
        <v>1</v>
      </c>
      <c r="H76" s="203">
        <v>0.32800000000000001</v>
      </c>
      <c r="I76" s="173">
        <f t="shared" si="13"/>
        <v>0.32800000000000001</v>
      </c>
      <c r="J76" s="204">
        <v>8</v>
      </c>
      <c r="K76" s="173">
        <f t="shared" si="14"/>
        <v>4.1000000000000002E-2</v>
      </c>
      <c r="L76" s="174">
        <f t="shared" si="15"/>
        <v>243.9</v>
      </c>
      <c r="M76" s="175">
        <f t="shared" si="16"/>
        <v>3.2800000000000003E-2</v>
      </c>
      <c r="N76" s="174">
        <f t="shared" si="17"/>
        <v>30.49</v>
      </c>
      <c r="O76" s="206" t="s">
        <v>7084</v>
      </c>
    </row>
    <row r="77" spans="1:15" ht="24" customHeight="1" x14ac:dyDescent="0.3">
      <c r="A77" s="164" t="s">
        <v>7081</v>
      </c>
      <c r="B77" s="200" t="s">
        <v>7085</v>
      </c>
      <c r="C77" s="167" t="s">
        <v>209</v>
      </c>
      <c r="D77" s="164" t="s">
        <v>7048</v>
      </c>
      <c r="E77" s="201">
        <v>10</v>
      </c>
      <c r="F77" s="172" t="s">
        <v>18</v>
      </c>
      <c r="G77" s="202">
        <v>1</v>
      </c>
      <c r="H77" s="203">
        <v>0.56000000000000005</v>
      </c>
      <c r="I77" s="173">
        <f t="shared" si="13"/>
        <v>0.56000000000000005</v>
      </c>
      <c r="J77" s="204">
        <v>8</v>
      </c>
      <c r="K77" s="173">
        <f t="shared" si="14"/>
        <v>7.0000000000000007E-2</v>
      </c>
      <c r="L77" s="174">
        <f t="shared" si="15"/>
        <v>142.86000000000001</v>
      </c>
      <c r="M77" s="175">
        <f t="shared" si="16"/>
        <v>5.6000000000000001E-2</v>
      </c>
      <c r="N77" s="174">
        <f t="shared" si="17"/>
        <v>17.86</v>
      </c>
      <c r="O77" s="206" t="s">
        <v>7086</v>
      </c>
    </row>
    <row r="78" spans="1:15" ht="24" customHeight="1" x14ac:dyDescent="0.3">
      <c r="A78" s="164" t="s">
        <v>7081</v>
      </c>
      <c r="B78" s="200" t="s">
        <v>7087</v>
      </c>
      <c r="C78" s="167" t="s">
        <v>211</v>
      </c>
      <c r="D78" s="164" t="s">
        <v>7051</v>
      </c>
      <c r="E78" s="201">
        <v>10</v>
      </c>
      <c r="F78" s="172" t="s">
        <v>18</v>
      </c>
      <c r="G78" s="202">
        <v>1</v>
      </c>
      <c r="H78" s="203">
        <v>0.56000000000000005</v>
      </c>
      <c r="I78" s="173">
        <f t="shared" si="13"/>
        <v>0.56000000000000005</v>
      </c>
      <c r="J78" s="204">
        <v>8</v>
      </c>
      <c r="K78" s="173">
        <f t="shared" si="14"/>
        <v>7.0000000000000007E-2</v>
      </c>
      <c r="L78" s="174">
        <f t="shared" si="15"/>
        <v>142.86000000000001</v>
      </c>
      <c r="M78" s="175">
        <f t="shared" si="16"/>
        <v>5.6000000000000001E-2</v>
      </c>
      <c r="N78" s="174">
        <f t="shared" si="17"/>
        <v>17.86</v>
      </c>
      <c r="O78" s="206" t="s">
        <v>7088</v>
      </c>
    </row>
    <row r="79" spans="1:15" ht="24" customHeight="1" x14ac:dyDescent="0.3">
      <c r="A79" s="164" t="s">
        <v>7089</v>
      </c>
      <c r="B79" s="200" t="s">
        <v>7090</v>
      </c>
      <c r="C79" s="167" t="s">
        <v>209</v>
      </c>
      <c r="D79" s="164" t="s">
        <v>7048</v>
      </c>
      <c r="E79" s="201">
        <v>10</v>
      </c>
      <c r="F79" s="172" t="s">
        <v>18</v>
      </c>
      <c r="G79" s="202">
        <v>2</v>
      </c>
      <c r="H79" s="203">
        <v>7.6</v>
      </c>
      <c r="I79" s="173">
        <f t="shared" si="13"/>
        <v>15.2</v>
      </c>
      <c r="J79" s="204">
        <v>8</v>
      </c>
      <c r="K79" s="173">
        <f t="shared" si="14"/>
        <v>1.9</v>
      </c>
      <c r="L79" s="174">
        <f t="shared" si="15"/>
        <v>5.26</v>
      </c>
      <c r="M79" s="175">
        <f t="shared" si="16"/>
        <v>1.52</v>
      </c>
      <c r="N79" s="174">
        <f t="shared" si="17"/>
        <v>0.66</v>
      </c>
      <c r="O79" s="206" t="s">
        <v>7091</v>
      </c>
    </row>
    <row r="80" spans="1:15" ht="24" customHeight="1" x14ac:dyDescent="0.3">
      <c r="A80" s="164" t="s">
        <v>7089</v>
      </c>
      <c r="B80" s="200" t="s">
        <v>7092</v>
      </c>
      <c r="C80" s="167" t="s">
        <v>211</v>
      </c>
      <c r="D80" s="164" t="s">
        <v>7051</v>
      </c>
      <c r="E80" s="201">
        <v>10</v>
      </c>
      <c r="F80" s="172" t="s">
        <v>18</v>
      </c>
      <c r="G80" s="202">
        <v>2</v>
      </c>
      <c r="H80" s="203">
        <v>5.6</v>
      </c>
      <c r="I80" s="173">
        <f t="shared" si="13"/>
        <v>11.2</v>
      </c>
      <c r="J80" s="204">
        <v>8</v>
      </c>
      <c r="K80" s="173">
        <f t="shared" si="14"/>
        <v>1.4</v>
      </c>
      <c r="L80" s="174">
        <f t="shared" si="15"/>
        <v>7.14</v>
      </c>
      <c r="M80" s="175">
        <f t="shared" si="16"/>
        <v>1.1200000000000001</v>
      </c>
      <c r="N80" s="174">
        <f t="shared" si="17"/>
        <v>0.89</v>
      </c>
      <c r="O80" s="206" t="s">
        <v>7093</v>
      </c>
    </row>
    <row r="81" spans="1:15" ht="24" customHeight="1" x14ac:dyDescent="0.3">
      <c r="A81" s="164" t="s">
        <v>7089</v>
      </c>
      <c r="B81" s="200" t="s">
        <v>7094</v>
      </c>
      <c r="C81" s="167" t="s">
        <v>231</v>
      </c>
      <c r="D81" s="164" t="s">
        <v>7095</v>
      </c>
      <c r="E81" s="201">
        <v>10</v>
      </c>
      <c r="F81" s="172" t="s">
        <v>18</v>
      </c>
      <c r="G81" s="202">
        <v>1</v>
      </c>
      <c r="H81" s="203">
        <v>1.28</v>
      </c>
      <c r="I81" s="173">
        <f t="shared" si="13"/>
        <v>1.28</v>
      </c>
      <c r="J81" s="204">
        <v>8</v>
      </c>
      <c r="K81" s="173">
        <f t="shared" si="14"/>
        <v>0.16</v>
      </c>
      <c r="L81" s="174">
        <f t="shared" si="15"/>
        <v>62.5</v>
      </c>
      <c r="M81" s="175">
        <f t="shared" si="16"/>
        <v>0.128</v>
      </c>
      <c r="N81" s="174">
        <f t="shared" si="17"/>
        <v>7.81</v>
      </c>
      <c r="O81" s="206" t="s">
        <v>7096</v>
      </c>
    </row>
    <row r="82" spans="1:15" ht="24" customHeight="1" x14ac:dyDescent="0.3">
      <c r="A82" s="164" t="s">
        <v>7089</v>
      </c>
      <c r="B82" s="200" t="s">
        <v>7097</v>
      </c>
      <c r="C82" s="167" t="s">
        <v>197</v>
      </c>
      <c r="D82" s="164" t="s">
        <v>7059</v>
      </c>
      <c r="E82" s="201">
        <v>10</v>
      </c>
      <c r="F82" s="172" t="s">
        <v>18</v>
      </c>
      <c r="G82" s="202">
        <v>1</v>
      </c>
      <c r="H82" s="203">
        <v>0.4</v>
      </c>
      <c r="I82" s="173">
        <f t="shared" si="13"/>
        <v>0.4</v>
      </c>
      <c r="J82" s="204">
        <v>8</v>
      </c>
      <c r="K82" s="173">
        <f t="shared" si="14"/>
        <v>0.05</v>
      </c>
      <c r="L82" s="174">
        <f t="shared" si="15"/>
        <v>200</v>
      </c>
      <c r="M82" s="175">
        <f t="shared" si="16"/>
        <v>0.04</v>
      </c>
      <c r="N82" s="174">
        <f t="shared" si="17"/>
        <v>25</v>
      </c>
      <c r="O82" s="206" t="s">
        <v>7098</v>
      </c>
    </row>
    <row r="83" spans="1:15" ht="24" customHeight="1" x14ac:dyDescent="0.3">
      <c r="A83" s="164" t="s">
        <v>7099</v>
      </c>
      <c r="B83" s="200" t="s">
        <v>7100</v>
      </c>
      <c r="C83" s="167" t="s">
        <v>211</v>
      </c>
      <c r="D83" s="164" t="s">
        <v>7051</v>
      </c>
      <c r="E83" s="201">
        <v>10</v>
      </c>
      <c r="F83" s="172" t="s">
        <v>18</v>
      </c>
      <c r="G83" s="202">
        <v>2</v>
      </c>
      <c r="H83" s="203">
        <v>6.8</v>
      </c>
      <c r="I83" s="173">
        <f t="shared" si="13"/>
        <v>13.6</v>
      </c>
      <c r="J83" s="204">
        <v>8</v>
      </c>
      <c r="K83" s="173">
        <f t="shared" si="14"/>
        <v>1.7</v>
      </c>
      <c r="L83" s="174">
        <f t="shared" si="15"/>
        <v>5.88</v>
      </c>
      <c r="M83" s="175">
        <f t="shared" si="16"/>
        <v>1.36</v>
      </c>
      <c r="N83" s="174">
        <f t="shared" si="17"/>
        <v>0.74</v>
      </c>
      <c r="O83" s="206" t="s">
        <v>7101</v>
      </c>
    </row>
    <row r="84" spans="1:15" ht="24" customHeight="1" x14ac:dyDescent="0.3">
      <c r="A84" s="164" t="s">
        <v>7099</v>
      </c>
      <c r="B84" s="200" t="s">
        <v>7102</v>
      </c>
      <c r="C84" s="167" t="s">
        <v>209</v>
      </c>
      <c r="D84" s="164" t="s">
        <v>7048</v>
      </c>
      <c r="E84" s="201">
        <v>10</v>
      </c>
      <c r="F84" s="172" t="s">
        <v>18</v>
      </c>
      <c r="G84" s="202">
        <v>1</v>
      </c>
      <c r="H84" s="203">
        <v>6.4</v>
      </c>
      <c r="I84" s="173">
        <f t="shared" si="13"/>
        <v>6.4</v>
      </c>
      <c r="J84" s="204">
        <v>8</v>
      </c>
      <c r="K84" s="173">
        <f t="shared" si="14"/>
        <v>0.8</v>
      </c>
      <c r="L84" s="174">
        <f t="shared" si="15"/>
        <v>12.5</v>
      </c>
      <c r="M84" s="175">
        <f t="shared" si="16"/>
        <v>0.64</v>
      </c>
      <c r="N84" s="174">
        <f t="shared" si="17"/>
        <v>1.56</v>
      </c>
      <c r="O84" s="206" t="s">
        <v>7103</v>
      </c>
    </row>
    <row r="85" spans="1:15" ht="24" customHeight="1" x14ac:dyDescent="0.3">
      <c r="A85" s="164" t="s">
        <v>7099</v>
      </c>
      <c r="B85" s="200" t="s">
        <v>7104</v>
      </c>
      <c r="C85" s="167" t="s">
        <v>197</v>
      </c>
      <c r="D85" s="164" t="s">
        <v>7059</v>
      </c>
      <c r="E85" s="201">
        <v>10</v>
      </c>
      <c r="F85" s="172" t="s">
        <v>18</v>
      </c>
      <c r="G85" s="202">
        <v>1</v>
      </c>
      <c r="H85" s="203">
        <v>1.6</v>
      </c>
      <c r="I85" s="173">
        <f t="shared" si="13"/>
        <v>1.6</v>
      </c>
      <c r="J85" s="204">
        <v>8</v>
      </c>
      <c r="K85" s="173">
        <f t="shared" si="14"/>
        <v>0.2</v>
      </c>
      <c r="L85" s="174">
        <f t="shared" si="15"/>
        <v>50</v>
      </c>
      <c r="M85" s="175">
        <f t="shared" si="16"/>
        <v>0.16</v>
      </c>
      <c r="N85" s="174">
        <f t="shared" si="17"/>
        <v>6.25</v>
      </c>
      <c r="O85" s="206" t="s">
        <v>7105</v>
      </c>
    </row>
    <row r="86" spans="1:15" ht="24" customHeight="1" x14ac:dyDescent="0.3">
      <c r="A86" s="164" t="s">
        <v>7106</v>
      </c>
      <c r="B86" s="200" t="s">
        <v>7107</v>
      </c>
      <c r="C86" s="167" t="s">
        <v>209</v>
      </c>
      <c r="D86" s="164" t="s">
        <v>7048</v>
      </c>
      <c r="E86" s="201">
        <v>100</v>
      </c>
      <c r="F86" s="172" t="s">
        <v>169</v>
      </c>
      <c r="G86" s="202">
        <v>1</v>
      </c>
      <c r="H86" s="203">
        <v>7.2</v>
      </c>
      <c r="I86" s="173">
        <f t="shared" si="13"/>
        <v>7.2</v>
      </c>
      <c r="J86" s="204">
        <v>8</v>
      </c>
      <c r="K86" s="173">
        <f t="shared" si="14"/>
        <v>0.9</v>
      </c>
      <c r="L86" s="174">
        <f t="shared" si="15"/>
        <v>111.11</v>
      </c>
      <c r="M86" s="175">
        <f t="shared" si="16"/>
        <v>7.1999999999999995E-2</v>
      </c>
      <c r="N86" s="174">
        <f t="shared" si="17"/>
        <v>13.89</v>
      </c>
      <c r="O86" s="206" t="s">
        <v>7108</v>
      </c>
    </row>
    <row r="87" spans="1:15" ht="24" customHeight="1" x14ac:dyDescent="0.3">
      <c r="A87" s="164" t="s">
        <v>7106</v>
      </c>
      <c r="B87" s="200" t="s">
        <v>7109</v>
      </c>
      <c r="C87" s="167" t="s">
        <v>211</v>
      </c>
      <c r="D87" s="164" t="s">
        <v>7051</v>
      </c>
      <c r="E87" s="201">
        <v>100</v>
      </c>
      <c r="F87" s="172" t="s">
        <v>169</v>
      </c>
      <c r="G87" s="202">
        <v>1</v>
      </c>
      <c r="H87" s="203">
        <v>5.6</v>
      </c>
      <c r="I87" s="173">
        <f t="shared" si="13"/>
        <v>5.6</v>
      </c>
      <c r="J87" s="204">
        <v>8</v>
      </c>
      <c r="K87" s="173">
        <f t="shared" si="14"/>
        <v>0.7</v>
      </c>
      <c r="L87" s="174">
        <f t="shared" si="15"/>
        <v>142.86000000000001</v>
      </c>
      <c r="M87" s="175">
        <f t="shared" si="16"/>
        <v>5.6000000000000001E-2</v>
      </c>
      <c r="N87" s="174">
        <f t="shared" si="17"/>
        <v>17.86</v>
      </c>
      <c r="O87" s="206" t="s">
        <v>7110</v>
      </c>
    </row>
    <row r="88" spans="1:15" ht="24" customHeight="1" x14ac:dyDescent="0.3">
      <c r="A88" s="164" t="s">
        <v>7111</v>
      </c>
      <c r="B88" s="200" t="s">
        <v>7112</v>
      </c>
      <c r="C88" s="167" t="s">
        <v>209</v>
      </c>
      <c r="D88" s="164" t="s">
        <v>7048</v>
      </c>
      <c r="E88" s="201">
        <v>100</v>
      </c>
      <c r="F88" s="172" t="s">
        <v>169</v>
      </c>
      <c r="G88" s="202">
        <v>1</v>
      </c>
      <c r="H88" s="203">
        <v>6.4</v>
      </c>
      <c r="I88" s="173">
        <f t="shared" si="13"/>
        <v>6.4</v>
      </c>
      <c r="J88" s="204">
        <v>8</v>
      </c>
      <c r="K88" s="173">
        <f t="shared" si="14"/>
        <v>0.8</v>
      </c>
      <c r="L88" s="174">
        <f t="shared" si="15"/>
        <v>125</v>
      </c>
      <c r="M88" s="175">
        <f t="shared" si="16"/>
        <v>6.4000000000000001E-2</v>
      </c>
      <c r="N88" s="174">
        <f t="shared" si="17"/>
        <v>15.63</v>
      </c>
      <c r="O88" s="206" t="s">
        <v>7113</v>
      </c>
    </row>
    <row r="89" spans="1:15" ht="24" customHeight="1" x14ac:dyDescent="0.3">
      <c r="A89" s="164" t="s">
        <v>7111</v>
      </c>
      <c r="B89" s="200" t="s">
        <v>7114</v>
      </c>
      <c r="C89" s="167" t="s">
        <v>211</v>
      </c>
      <c r="D89" s="164" t="s">
        <v>7051</v>
      </c>
      <c r="E89" s="201">
        <v>100</v>
      </c>
      <c r="F89" s="172" t="s">
        <v>169</v>
      </c>
      <c r="G89" s="202">
        <v>1</v>
      </c>
      <c r="H89" s="203">
        <v>1.6</v>
      </c>
      <c r="I89" s="173">
        <f t="shared" si="13"/>
        <v>1.6</v>
      </c>
      <c r="J89" s="204">
        <v>8</v>
      </c>
      <c r="K89" s="173">
        <f t="shared" si="14"/>
        <v>0.2</v>
      </c>
      <c r="L89" s="174">
        <f t="shared" si="15"/>
        <v>500</v>
      </c>
      <c r="M89" s="175">
        <f t="shared" si="16"/>
        <v>1.6E-2</v>
      </c>
      <c r="N89" s="174">
        <f t="shared" si="17"/>
        <v>62.5</v>
      </c>
      <c r="O89" s="206" t="s">
        <v>7115</v>
      </c>
    </row>
    <row r="90" spans="1:15" ht="24" customHeight="1" x14ac:dyDescent="0.3">
      <c r="A90" s="258" t="s">
        <v>7116</v>
      </c>
      <c r="B90" s="228"/>
      <c r="C90" s="228"/>
      <c r="D90" s="228"/>
      <c r="E90" s="228"/>
      <c r="F90" s="228"/>
      <c r="G90" s="228"/>
      <c r="H90" s="228"/>
      <c r="I90" s="228"/>
      <c r="J90" s="228"/>
      <c r="K90" s="228"/>
      <c r="L90" s="228"/>
      <c r="M90" s="228"/>
      <c r="N90" s="228"/>
      <c r="O90" s="228"/>
    </row>
    <row r="91" spans="1:15" ht="19.95" customHeight="1" x14ac:dyDescent="0.3">
      <c r="A91" s="267" t="s">
        <v>7117</v>
      </c>
      <c r="B91" s="228"/>
      <c r="C91" s="228"/>
      <c r="D91" s="228"/>
      <c r="E91" s="228"/>
      <c r="F91" s="228"/>
      <c r="G91" s="228"/>
      <c r="H91" s="228"/>
      <c r="I91" s="228"/>
      <c r="J91" s="228"/>
      <c r="K91" s="228"/>
      <c r="L91" s="228"/>
      <c r="M91" s="228"/>
      <c r="N91" s="228"/>
      <c r="O91" s="228"/>
    </row>
    <row r="92" spans="1:15" ht="24" customHeight="1" x14ac:dyDescent="0.3">
      <c r="A92" s="163" t="s">
        <v>7118</v>
      </c>
      <c r="B92" s="163" t="s">
        <v>7119</v>
      </c>
      <c r="C92" s="163" t="s">
        <v>6</v>
      </c>
      <c r="D92" s="163" t="s">
        <v>7120</v>
      </c>
      <c r="E92" s="163" t="s">
        <v>7121</v>
      </c>
      <c r="F92" s="163" t="s">
        <v>7122</v>
      </c>
      <c r="G92" s="163" t="s">
        <v>7123</v>
      </c>
      <c r="H92" s="163" t="s">
        <v>6972</v>
      </c>
      <c r="I92" s="163" t="s">
        <v>7124</v>
      </c>
      <c r="J92" s="163" t="s">
        <v>7125</v>
      </c>
      <c r="K92" s="259" t="s">
        <v>7126</v>
      </c>
      <c r="L92" s="260"/>
      <c r="M92" s="260"/>
      <c r="N92" s="260"/>
      <c r="O92" s="261"/>
    </row>
    <row r="93" spans="1:15" ht="19.95" customHeight="1" x14ac:dyDescent="0.3">
      <c r="A93" s="172" t="s">
        <v>6935</v>
      </c>
      <c r="B93" s="200" t="s">
        <v>7127</v>
      </c>
      <c r="C93" s="172" t="s">
        <v>169</v>
      </c>
      <c r="D93" s="182">
        <v>100</v>
      </c>
      <c r="E93" s="172" t="s">
        <v>7128</v>
      </c>
      <c r="F93" s="172" t="s">
        <v>6523</v>
      </c>
      <c r="G93" s="181">
        <v>6919.2</v>
      </c>
      <c r="H93" s="181">
        <v>92.55</v>
      </c>
      <c r="I93" s="205">
        <v>92.55</v>
      </c>
      <c r="J93" s="172" t="s">
        <v>7129</v>
      </c>
      <c r="K93" s="263" t="s">
        <v>7130</v>
      </c>
      <c r="L93" s="257"/>
      <c r="M93" s="257"/>
      <c r="N93" s="257"/>
      <c r="O93" s="257"/>
    </row>
    <row r="94" spans="1:15" ht="19.95" customHeight="1" x14ac:dyDescent="0.3">
      <c r="A94" s="172" t="s">
        <v>7131</v>
      </c>
      <c r="B94" s="200" t="s">
        <v>7132</v>
      </c>
      <c r="C94" s="172" t="s">
        <v>18</v>
      </c>
      <c r="D94" s="182">
        <v>10</v>
      </c>
      <c r="E94" s="172" t="s">
        <v>7128</v>
      </c>
      <c r="F94" s="172" t="s">
        <v>6523</v>
      </c>
      <c r="G94" s="181">
        <v>5581.72</v>
      </c>
      <c r="H94" s="181">
        <v>746.8</v>
      </c>
      <c r="I94" s="205">
        <v>746.8</v>
      </c>
      <c r="J94" s="172" t="s">
        <v>7129</v>
      </c>
      <c r="K94" s="263" t="s">
        <v>7133</v>
      </c>
      <c r="L94" s="257"/>
      <c r="M94" s="257"/>
      <c r="N94" s="257"/>
      <c r="O94" s="257"/>
    </row>
    <row r="95" spans="1:15" ht="19.95" customHeight="1" x14ac:dyDescent="0.3">
      <c r="A95" s="172" t="s">
        <v>7134</v>
      </c>
      <c r="B95" s="200" t="s">
        <v>7135</v>
      </c>
      <c r="C95" s="172" t="s">
        <v>18</v>
      </c>
      <c r="D95" s="182">
        <v>10</v>
      </c>
      <c r="E95" s="172" t="s">
        <v>7128</v>
      </c>
      <c r="F95" s="172" t="s">
        <v>6523</v>
      </c>
      <c r="G95" s="181">
        <v>1358</v>
      </c>
      <c r="H95" s="181">
        <v>181.85</v>
      </c>
      <c r="I95" s="205">
        <v>181.85</v>
      </c>
      <c r="J95" s="172" t="s">
        <v>7129</v>
      </c>
      <c r="K95" s="263" t="s">
        <v>7136</v>
      </c>
      <c r="L95" s="257"/>
      <c r="M95" s="257"/>
      <c r="N95" s="257"/>
      <c r="O95" s="257"/>
    </row>
    <row r="96" spans="1:15" ht="19.95" customHeight="1" x14ac:dyDescent="0.3">
      <c r="A96" s="172" t="s">
        <v>7137</v>
      </c>
      <c r="B96" s="200" t="s">
        <v>7138</v>
      </c>
      <c r="C96" s="172" t="s">
        <v>18</v>
      </c>
      <c r="D96" s="182">
        <v>10</v>
      </c>
      <c r="E96" s="172" t="s">
        <v>7128</v>
      </c>
      <c r="F96" s="172" t="s">
        <v>6523</v>
      </c>
      <c r="G96" s="181"/>
      <c r="H96" s="181"/>
      <c r="I96" s="205"/>
      <c r="J96" s="172" t="s">
        <v>7139</v>
      </c>
      <c r="K96" s="263" t="s">
        <v>7140</v>
      </c>
      <c r="L96" s="257"/>
      <c r="M96" s="257"/>
      <c r="N96" s="257"/>
      <c r="O96" s="257"/>
    </row>
    <row r="97" spans="1:38" ht="19.95" customHeight="1" x14ac:dyDescent="0.3">
      <c r="A97" s="172" t="s">
        <v>7141</v>
      </c>
      <c r="B97" s="200" t="s">
        <v>7138</v>
      </c>
      <c r="C97" s="172" t="s">
        <v>18</v>
      </c>
      <c r="D97" s="182">
        <v>10</v>
      </c>
      <c r="E97" s="172" t="s">
        <v>7128</v>
      </c>
      <c r="F97" s="172" t="s">
        <v>6523</v>
      </c>
      <c r="G97" s="181"/>
      <c r="H97" s="181"/>
      <c r="I97" s="205"/>
      <c r="J97" s="172" t="s">
        <v>7139</v>
      </c>
      <c r="K97" s="263" t="s">
        <v>7140</v>
      </c>
      <c r="L97" s="257"/>
      <c r="M97" s="257"/>
      <c r="N97" s="257"/>
      <c r="O97" s="257"/>
    </row>
    <row r="98" spans="1:38" ht="19.95" customHeight="1" x14ac:dyDescent="0.3">
      <c r="A98" s="172" t="s">
        <v>7142</v>
      </c>
      <c r="B98" s="200" t="s">
        <v>7138</v>
      </c>
      <c r="C98" s="172" t="s">
        <v>169</v>
      </c>
      <c r="D98" s="182">
        <v>100</v>
      </c>
      <c r="E98" s="172" t="s">
        <v>7128</v>
      </c>
      <c r="F98" s="172" t="s">
        <v>6523</v>
      </c>
      <c r="G98" s="181"/>
      <c r="H98" s="181"/>
      <c r="I98" s="205"/>
      <c r="J98" s="172" t="s">
        <v>7139</v>
      </c>
      <c r="K98" s="263" t="s">
        <v>7140</v>
      </c>
      <c r="L98" s="257"/>
      <c r="M98" s="257"/>
      <c r="N98" s="257"/>
      <c r="O98" s="257"/>
    </row>
    <row r="99" spans="1:38" ht="19.95" customHeight="1" x14ac:dyDescent="0.3">
      <c r="A99" s="172" t="s">
        <v>7143</v>
      </c>
      <c r="B99" s="200" t="s">
        <v>7138</v>
      </c>
      <c r="C99" s="172" t="s">
        <v>18</v>
      </c>
      <c r="D99" s="182">
        <v>10</v>
      </c>
      <c r="E99" s="172" t="s">
        <v>7128</v>
      </c>
      <c r="F99" s="172" t="s">
        <v>6523</v>
      </c>
      <c r="G99" s="181"/>
      <c r="H99" s="181"/>
      <c r="I99" s="205"/>
      <c r="J99" s="172" t="s">
        <v>7139</v>
      </c>
      <c r="K99" s="263" t="s">
        <v>7140</v>
      </c>
      <c r="L99" s="257"/>
      <c r="M99" s="257"/>
      <c r="N99" s="257"/>
      <c r="O99" s="257"/>
    </row>
    <row r="100" spans="1:38" ht="19.95" customHeight="1" x14ac:dyDescent="0.3">
      <c r="A100" s="172" t="s">
        <v>7144</v>
      </c>
      <c r="B100" s="200" t="s">
        <v>7138</v>
      </c>
      <c r="C100" s="172" t="s">
        <v>7145</v>
      </c>
      <c r="D100" s="182">
        <v>100</v>
      </c>
      <c r="E100" s="172" t="s">
        <v>7128</v>
      </c>
      <c r="F100" s="172" t="s">
        <v>6523</v>
      </c>
      <c r="G100" s="181"/>
      <c r="H100" s="181"/>
      <c r="I100" s="205"/>
      <c r="J100" s="172" t="s">
        <v>7139</v>
      </c>
      <c r="K100" s="263" t="s">
        <v>7140</v>
      </c>
      <c r="L100" s="257"/>
      <c r="M100" s="257"/>
      <c r="N100" s="257"/>
      <c r="O100" s="257"/>
    </row>
    <row r="102" spans="1:38" ht="24" customHeight="1" x14ac:dyDescent="0.3">
      <c r="A102" s="258" t="s">
        <v>7146</v>
      </c>
      <c r="B102" s="228"/>
      <c r="C102" s="228"/>
      <c r="D102" s="228"/>
      <c r="E102" s="228"/>
      <c r="F102" s="228"/>
      <c r="G102" s="228"/>
      <c r="H102" s="228"/>
      <c r="I102" s="228"/>
      <c r="J102" s="228"/>
      <c r="K102" s="228"/>
    </row>
    <row r="103" spans="1:38" ht="24" customHeight="1" x14ac:dyDescent="0.3">
      <c r="A103" s="267" t="s">
        <v>7147</v>
      </c>
      <c r="B103" s="228"/>
      <c r="C103" s="228"/>
      <c r="D103" s="228"/>
      <c r="E103" s="228"/>
      <c r="F103" s="228"/>
      <c r="G103" s="228"/>
      <c r="H103" s="228"/>
      <c r="I103" s="228"/>
      <c r="J103" s="228"/>
      <c r="K103" s="228"/>
    </row>
    <row r="104" spans="1:38" ht="24" customHeight="1" x14ac:dyDescent="0.3">
      <c r="A104" s="163" t="s">
        <v>6916</v>
      </c>
      <c r="B104" s="163" t="s">
        <v>6920</v>
      </c>
      <c r="C104" s="163" t="s">
        <v>6923</v>
      </c>
      <c r="D104" s="163" t="s">
        <v>6926</v>
      </c>
      <c r="E104" s="163" t="s">
        <v>7148</v>
      </c>
      <c r="F104" s="163" t="s">
        <v>6948</v>
      </c>
      <c r="G104" s="163" t="s">
        <v>7149</v>
      </c>
      <c r="H104" s="163" t="s">
        <v>7150</v>
      </c>
      <c r="I104" s="163" t="s">
        <v>6987</v>
      </c>
      <c r="J104" s="163" t="s">
        <v>7151</v>
      </c>
      <c r="K104" s="163" t="s">
        <v>7152</v>
      </c>
      <c r="AA104" s="215" t="s">
        <v>7153</v>
      </c>
      <c r="AB104" s="215" t="s">
        <v>7154</v>
      </c>
      <c r="AC104" s="215" t="s">
        <v>7155</v>
      </c>
      <c r="AD104" s="215" t="s">
        <v>7156</v>
      </c>
      <c r="AE104" s="215" t="s">
        <v>7157</v>
      </c>
      <c r="AF104" s="215" t="s">
        <v>7158</v>
      </c>
      <c r="AG104" s="215" t="s">
        <v>7159</v>
      </c>
      <c r="AH104" s="215" t="s">
        <v>7160</v>
      </c>
      <c r="AI104" s="215" t="s">
        <v>7161</v>
      </c>
      <c r="AJ104" s="215" t="s">
        <v>7162</v>
      </c>
      <c r="AK104" s="215" t="s">
        <v>7163</v>
      </c>
      <c r="AL104" s="215" t="s">
        <v>7164</v>
      </c>
    </row>
    <row r="105" spans="1:38" ht="22.05" customHeight="1" x14ac:dyDescent="0.3">
      <c r="A105" s="164" t="s">
        <v>6917</v>
      </c>
      <c r="B105" s="200" t="s">
        <v>6921</v>
      </c>
      <c r="C105" s="200" t="s">
        <v>6924</v>
      </c>
      <c r="D105" s="200" t="s">
        <v>6927</v>
      </c>
      <c r="E105" s="171">
        <v>1</v>
      </c>
      <c r="F105" s="167" t="s">
        <v>209</v>
      </c>
      <c r="G105" s="218">
        <v>14.705882352941179</v>
      </c>
      <c r="H105" s="206" t="s">
        <v>7165</v>
      </c>
      <c r="I105" s="206" t="s">
        <v>7166</v>
      </c>
      <c r="J105" s="206" t="s">
        <v>7167</v>
      </c>
      <c r="K105" s="226">
        <v>6.8</v>
      </c>
      <c r="AA105" t="s">
        <v>7168</v>
      </c>
      <c r="AB105" t="s">
        <v>7169</v>
      </c>
      <c r="AC105">
        <v>100</v>
      </c>
      <c r="AD105" t="s">
        <v>169</v>
      </c>
      <c r="AE105">
        <v>92.55</v>
      </c>
      <c r="AF105" t="s">
        <v>7170</v>
      </c>
      <c r="AG105" t="s">
        <v>7171</v>
      </c>
      <c r="AH105" t="s">
        <v>7172</v>
      </c>
      <c r="AI105" t="s">
        <v>7173</v>
      </c>
      <c r="AJ105" t="s">
        <v>7174</v>
      </c>
      <c r="AK105" t="s">
        <v>7174</v>
      </c>
      <c r="AL105" s="216" t="s">
        <v>7175</v>
      </c>
    </row>
    <row r="106" spans="1:38" ht="22.05" customHeight="1" x14ac:dyDescent="0.3">
      <c r="A106" s="164" t="s">
        <v>6917</v>
      </c>
      <c r="B106" s="200" t="s">
        <v>6921</v>
      </c>
      <c r="C106" s="200" t="s">
        <v>6924</v>
      </c>
      <c r="D106" s="200" t="s">
        <v>6927</v>
      </c>
      <c r="E106" s="171">
        <v>2</v>
      </c>
      <c r="F106" s="167" t="s">
        <v>211</v>
      </c>
      <c r="G106" s="218">
        <v>17.857142857142861</v>
      </c>
      <c r="H106" s="206" t="s">
        <v>7176</v>
      </c>
      <c r="I106" s="206" t="s">
        <v>7177</v>
      </c>
      <c r="J106" s="206" t="s">
        <v>7178</v>
      </c>
      <c r="K106" s="226">
        <v>5.6</v>
      </c>
      <c r="AA106" t="s">
        <v>7179</v>
      </c>
      <c r="AB106" t="s">
        <v>7180</v>
      </c>
      <c r="AC106">
        <v>1</v>
      </c>
      <c r="AD106" t="s">
        <v>7145</v>
      </c>
      <c r="AE106">
        <v>223</v>
      </c>
      <c r="AF106" t="s">
        <v>7181</v>
      </c>
      <c r="AG106" t="s">
        <v>7182</v>
      </c>
      <c r="AH106" t="s">
        <v>7183</v>
      </c>
      <c r="AI106" t="s">
        <v>7184</v>
      </c>
      <c r="AJ106" t="s">
        <v>7174</v>
      </c>
      <c r="AK106" t="s">
        <v>7174</v>
      </c>
      <c r="AL106" s="216" t="s">
        <v>7185</v>
      </c>
    </row>
    <row r="107" spans="1:38" ht="22.05" customHeight="1" x14ac:dyDescent="0.3">
      <c r="A107" s="164" t="s">
        <v>7186</v>
      </c>
      <c r="B107" s="200" t="s">
        <v>6921</v>
      </c>
      <c r="C107" s="200" t="s">
        <v>6924</v>
      </c>
      <c r="D107" s="200" t="s">
        <v>7187</v>
      </c>
      <c r="E107" s="171">
        <v>1</v>
      </c>
      <c r="F107" s="167" t="s">
        <v>209</v>
      </c>
      <c r="G107" s="219">
        <v>1.6949152542372881</v>
      </c>
      <c r="H107" s="206" t="s">
        <v>7188</v>
      </c>
      <c r="I107" s="206" t="s">
        <v>7189</v>
      </c>
      <c r="J107" s="206" t="s">
        <v>7190</v>
      </c>
      <c r="K107" s="226">
        <v>5.9</v>
      </c>
      <c r="AA107" t="s">
        <v>7191</v>
      </c>
      <c r="AB107" t="s">
        <v>7180</v>
      </c>
      <c r="AC107">
        <v>1</v>
      </c>
      <c r="AD107" t="s">
        <v>7145</v>
      </c>
      <c r="AE107">
        <v>364.2</v>
      </c>
      <c r="AF107" t="s">
        <v>7192</v>
      </c>
      <c r="AG107" t="s">
        <v>7182</v>
      </c>
      <c r="AH107" t="s">
        <v>7183</v>
      </c>
      <c r="AI107" t="s">
        <v>7184</v>
      </c>
      <c r="AJ107" t="s">
        <v>7174</v>
      </c>
      <c r="AK107" t="s">
        <v>7174</v>
      </c>
      <c r="AL107" s="216" t="s">
        <v>7193</v>
      </c>
    </row>
    <row r="108" spans="1:38" ht="22.05" customHeight="1" x14ac:dyDescent="0.3">
      <c r="A108" s="164" t="s">
        <v>7186</v>
      </c>
      <c r="B108" s="200" t="s">
        <v>6921</v>
      </c>
      <c r="C108" s="200" t="s">
        <v>6924</v>
      </c>
      <c r="D108" s="200" t="s">
        <v>7187</v>
      </c>
      <c r="E108" s="171">
        <v>2</v>
      </c>
      <c r="F108" s="167" t="s">
        <v>211</v>
      </c>
      <c r="G108" s="219">
        <v>2.7777777777777781</v>
      </c>
      <c r="H108" s="206" t="s">
        <v>7057</v>
      </c>
      <c r="I108" s="206" t="s">
        <v>7194</v>
      </c>
      <c r="J108" s="206" t="s">
        <v>7195</v>
      </c>
      <c r="K108" s="226">
        <v>3.6</v>
      </c>
      <c r="AA108" t="s">
        <v>7196</v>
      </c>
      <c r="AB108" t="s">
        <v>7180</v>
      </c>
      <c r="AC108">
        <v>1</v>
      </c>
      <c r="AD108" t="s">
        <v>7145</v>
      </c>
      <c r="AE108">
        <v>568.79999999999995</v>
      </c>
      <c r="AF108" t="s">
        <v>7197</v>
      </c>
      <c r="AG108" t="s">
        <v>7198</v>
      </c>
      <c r="AH108" t="s">
        <v>7183</v>
      </c>
      <c r="AI108" t="s">
        <v>7184</v>
      </c>
      <c r="AJ108" t="s">
        <v>7174</v>
      </c>
      <c r="AK108" t="s">
        <v>7174</v>
      </c>
      <c r="AL108" s="216" t="s">
        <v>7199</v>
      </c>
    </row>
    <row r="109" spans="1:38" ht="22.05" customHeight="1" x14ac:dyDescent="0.3">
      <c r="A109" s="164" t="s">
        <v>7186</v>
      </c>
      <c r="B109" s="200" t="s">
        <v>6921</v>
      </c>
      <c r="C109" s="200" t="s">
        <v>6924</v>
      </c>
      <c r="D109" s="200" t="s">
        <v>7187</v>
      </c>
      <c r="E109" s="171">
        <v>3</v>
      </c>
      <c r="F109" s="167" t="s">
        <v>197</v>
      </c>
      <c r="G109" s="219">
        <v>25</v>
      </c>
      <c r="H109" s="206" t="s">
        <v>7200</v>
      </c>
      <c r="I109" s="206" t="s">
        <v>7201</v>
      </c>
      <c r="J109" s="206" t="s">
        <v>7202</v>
      </c>
      <c r="K109" s="226">
        <v>0.4</v>
      </c>
      <c r="AA109" t="s">
        <v>7203</v>
      </c>
      <c r="AB109" t="s">
        <v>7204</v>
      </c>
      <c r="AC109">
        <v>1</v>
      </c>
      <c r="AD109" t="s">
        <v>7145</v>
      </c>
      <c r="AE109">
        <v>127</v>
      </c>
      <c r="AF109" t="s">
        <v>7205</v>
      </c>
      <c r="AG109" t="s">
        <v>7206</v>
      </c>
      <c r="AH109" t="s">
        <v>7207</v>
      </c>
      <c r="AI109" t="s">
        <v>7184</v>
      </c>
      <c r="AJ109" t="s">
        <v>7174</v>
      </c>
      <c r="AK109" t="s">
        <v>7174</v>
      </c>
      <c r="AL109" s="216" t="s">
        <v>7208</v>
      </c>
    </row>
    <row r="110" spans="1:38" ht="22.05" customHeight="1" x14ac:dyDescent="0.3">
      <c r="A110" s="164" t="s">
        <v>7186</v>
      </c>
      <c r="B110" s="200" t="s">
        <v>6921</v>
      </c>
      <c r="C110" s="200" t="s">
        <v>6924</v>
      </c>
      <c r="D110" s="200" t="s">
        <v>7187</v>
      </c>
      <c r="E110" s="171">
        <v>4</v>
      </c>
      <c r="F110" s="167" t="s">
        <v>207</v>
      </c>
      <c r="G110" s="219">
        <v>1250</v>
      </c>
      <c r="H110" s="206" t="s">
        <v>7209</v>
      </c>
      <c r="I110" s="206" t="s">
        <v>7210</v>
      </c>
      <c r="J110" s="206" t="s">
        <v>7211</v>
      </c>
      <c r="K110" s="226">
        <v>8.0000000000000002E-3</v>
      </c>
      <c r="AA110" t="s">
        <v>7212</v>
      </c>
      <c r="AB110" t="s">
        <v>7213</v>
      </c>
      <c r="AC110">
        <v>1</v>
      </c>
      <c r="AD110" t="s">
        <v>7145</v>
      </c>
      <c r="AE110">
        <v>315.05</v>
      </c>
      <c r="AF110" t="s">
        <v>7214</v>
      </c>
      <c r="AG110" t="s">
        <v>7206</v>
      </c>
      <c r="AH110" t="s">
        <v>7215</v>
      </c>
      <c r="AI110" t="s">
        <v>7184</v>
      </c>
      <c r="AJ110" t="s">
        <v>7174</v>
      </c>
      <c r="AK110" t="s">
        <v>7174</v>
      </c>
      <c r="AL110" s="216" t="s">
        <v>7216</v>
      </c>
    </row>
    <row r="111" spans="1:38" ht="22.05" customHeight="1" x14ac:dyDescent="0.3">
      <c r="A111" s="164" t="s">
        <v>7186</v>
      </c>
      <c r="B111" s="200" t="s">
        <v>6921</v>
      </c>
      <c r="C111" s="200" t="s">
        <v>6924</v>
      </c>
      <c r="D111" s="200" t="s">
        <v>7187</v>
      </c>
      <c r="E111" s="171">
        <v>5</v>
      </c>
      <c r="F111" s="167" t="s">
        <v>14</v>
      </c>
      <c r="G111" s="219">
        <v>1250</v>
      </c>
      <c r="H111" s="206" t="s">
        <v>7217</v>
      </c>
      <c r="I111" s="206" t="s">
        <v>7218</v>
      </c>
      <c r="J111" s="206" t="s">
        <v>7219</v>
      </c>
      <c r="K111" s="226">
        <v>8.0000000000000002E-3</v>
      </c>
      <c r="AA111" t="s">
        <v>7220</v>
      </c>
      <c r="AB111" t="s">
        <v>7221</v>
      </c>
      <c r="AC111">
        <v>1</v>
      </c>
      <c r="AD111" t="s">
        <v>7145</v>
      </c>
      <c r="AE111">
        <v>323.85000000000002</v>
      </c>
      <c r="AF111" t="s">
        <v>7222</v>
      </c>
      <c r="AG111" t="s">
        <v>7223</v>
      </c>
      <c r="AH111" t="s">
        <v>7183</v>
      </c>
      <c r="AI111" t="s">
        <v>7184</v>
      </c>
      <c r="AJ111" t="s">
        <v>7174</v>
      </c>
      <c r="AK111" t="s">
        <v>7174</v>
      </c>
      <c r="AL111" s="216" t="s">
        <v>7224</v>
      </c>
    </row>
    <row r="112" spans="1:38" ht="22.05" customHeight="1" x14ac:dyDescent="0.3">
      <c r="A112" s="164" t="s">
        <v>7186</v>
      </c>
      <c r="B112" s="200" t="s">
        <v>6921</v>
      </c>
      <c r="C112" s="200" t="s">
        <v>6924</v>
      </c>
      <c r="D112" s="200" t="s">
        <v>7187</v>
      </c>
      <c r="E112" s="171">
        <v>6</v>
      </c>
      <c r="F112" s="167" t="s">
        <v>4269</v>
      </c>
      <c r="G112" s="208"/>
      <c r="H112" s="206" t="s">
        <v>7225</v>
      </c>
      <c r="I112" s="206" t="s">
        <v>7226</v>
      </c>
      <c r="J112" s="206" t="s">
        <v>7227</v>
      </c>
      <c r="K112" s="226">
        <v>2.73</v>
      </c>
      <c r="AA112" t="s">
        <v>7228</v>
      </c>
      <c r="AB112" t="s">
        <v>7229</v>
      </c>
      <c r="AC112">
        <v>90</v>
      </c>
      <c r="AD112" t="s">
        <v>169</v>
      </c>
      <c r="AE112">
        <v>129.94999999999999</v>
      </c>
      <c r="AF112" t="s">
        <v>7230</v>
      </c>
      <c r="AG112" t="s">
        <v>7231</v>
      </c>
      <c r="AH112" t="s">
        <v>7232</v>
      </c>
      <c r="AI112" t="s">
        <v>7233</v>
      </c>
      <c r="AJ112" t="s">
        <v>7174</v>
      </c>
      <c r="AK112" t="s">
        <v>7234</v>
      </c>
      <c r="AL112" s="216" t="s">
        <v>7235</v>
      </c>
    </row>
    <row r="113" spans="1:38" ht="22.05" customHeight="1" x14ac:dyDescent="0.3">
      <c r="A113" s="164" t="s">
        <v>7186</v>
      </c>
      <c r="B113" s="200" t="s">
        <v>6921</v>
      </c>
      <c r="C113" s="200" t="s">
        <v>6924</v>
      </c>
      <c r="D113" s="200" t="s">
        <v>7175</v>
      </c>
      <c r="E113" s="171">
        <v>1</v>
      </c>
      <c r="F113" s="167" t="s">
        <v>209</v>
      </c>
      <c r="G113" s="219">
        <v>4.545454545454545</v>
      </c>
      <c r="H113" s="206" t="s">
        <v>7236</v>
      </c>
      <c r="I113" s="206" t="s">
        <v>7237</v>
      </c>
      <c r="J113" s="206" t="s">
        <v>7238</v>
      </c>
      <c r="K113" s="226">
        <v>2.2000000000000002</v>
      </c>
      <c r="AA113" t="s">
        <v>7239</v>
      </c>
      <c r="AB113" t="s">
        <v>7240</v>
      </c>
      <c r="AC113">
        <v>90</v>
      </c>
      <c r="AD113" t="s">
        <v>169</v>
      </c>
      <c r="AE113">
        <v>141.19999999999999</v>
      </c>
      <c r="AF113" t="s">
        <v>7241</v>
      </c>
      <c r="AG113" t="s">
        <v>7231</v>
      </c>
      <c r="AH113" t="s">
        <v>7232</v>
      </c>
      <c r="AI113" t="s">
        <v>7233</v>
      </c>
      <c r="AJ113" t="s">
        <v>7174</v>
      </c>
      <c r="AK113" t="s">
        <v>7234</v>
      </c>
      <c r="AL113" s="216" t="s">
        <v>7242</v>
      </c>
    </row>
    <row r="114" spans="1:38" ht="22.05" customHeight="1" x14ac:dyDescent="0.3">
      <c r="A114" s="164" t="s">
        <v>7186</v>
      </c>
      <c r="B114" s="200" t="s">
        <v>6921</v>
      </c>
      <c r="C114" s="200" t="s">
        <v>6924</v>
      </c>
      <c r="D114" s="200" t="s">
        <v>7175</v>
      </c>
      <c r="E114" s="171">
        <v>2</v>
      </c>
      <c r="F114" s="167" t="s">
        <v>211</v>
      </c>
      <c r="G114" s="219">
        <v>2.7777777777777781</v>
      </c>
      <c r="H114" s="206" t="s">
        <v>7057</v>
      </c>
      <c r="I114" s="206" t="s">
        <v>7194</v>
      </c>
      <c r="J114" s="206" t="s">
        <v>7243</v>
      </c>
      <c r="K114" s="226">
        <v>3.6</v>
      </c>
      <c r="AA114" t="s">
        <v>7244</v>
      </c>
      <c r="AB114" t="s">
        <v>7245</v>
      </c>
      <c r="AC114">
        <v>90</v>
      </c>
      <c r="AD114" t="s">
        <v>169</v>
      </c>
      <c r="AE114">
        <v>166.55</v>
      </c>
      <c r="AF114" t="s">
        <v>7246</v>
      </c>
      <c r="AG114" t="s">
        <v>7231</v>
      </c>
      <c r="AH114" t="s">
        <v>7232</v>
      </c>
      <c r="AI114" t="s">
        <v>7233</v>
      </c>
      <c r="AJ114" t="s">
        <v>7174</v>
      </c>
      <c r="AK114" t="s">
        <v>7234</v>
      </c>
      <c r="AL114" s="216" t="s">
        <v>7247</v>
      </c>
    </row>
    <row r="115" spans="1:38" ht="22.05" customHeight="1" x14ac:dyDescent="0.3">
      <c r="A115" s="164" t="s">
        <v>7186</v>
      </c>
      <c r="B115" s="200" t="s">
        <v>6921</v>
      </c>
      <c r="C115" s="200" t="s">
        <v>6924</v>
      </c>
      <c r="D115" s="200" t="s">
        <v>7175</v>
      </c>
      <c r="E115" s="171">
        <v>3</v>
      </c>
      <c r="F115" s="167" t="s">
        <v>197</v>
      </c>
      <c r="G115" s="219">
        <v>25</v>
      </c>
      <c r="H115" s="206" t="s">
        <v>7200</v>
      </c>
      <c r="I115" s="206" t="s">
        <v>7201</v>
      </c>
      <c r="J115" s="206" t="s">
        <v>7248</v>
      </c>
      <c r="K115" s="226">
        <v>0.4</v>
      </c>
      <c r="AA115" t="s">
        <v>7249</v>
      </c>
      <c r="AB115" t="s">
        <v>7250</v>
      </c>
      <c r="AC115">
        <v>10</v>
      </c>
      <c r="AD115" t="s">
        <v>18</v>
      </c>
      <c r="AE115">
        <v>746.8</v>
      </c>
      <c r="AF115" t="s">
        <v>7251</v>
      </c>
      <c r="AG115" t="s">
        <v>7252</v>
      </c>
      <c r="AH115" t="s">
        <v>7253</v>
      </c>
      <c r="AI115" t="s">
        <v>7254</v>
      </c>
      <c r="AJ115" t="s">
        <v>7255</v>
      </c>
      <c r="AK115" t="s">
        <v>7256</v>
      </c>
      <c r="AL115" s="216" t="s">
        <v>7257</v>
      </c>
    </row>
    <row r="116" spans="1:38" ht="22.05" customHeight="1" x14ac:dyDescent="0.3">
      <c r="A116" s="164" t="s">
        <v>7186</v>
      </c>
      <c r="B116" s="200" t="s">
        <v>6921</v>
      </c>
      <c r="C116" s="200" t="s">
        <v>6924</v>
      </c>
      <c r="D116" s="200" t="s">
        <v>7175</v>
      </c>
      <c r="E116" s="171">
        <v>4</v>
      </c>
      <c r="F116" s="167" t="s">
        <v>207</v>
      </c>
      <c r="G116" s="219">
        <v>1250</v>
      </c>
      <c r="H116" s="206" t="s">
        <v>7209</v>
      </c>
      <c r="I116" s="206" t="s">
        <v>7210</v>
      </c>
      <c r="J116" s="206" t="s">
        <v>7258</v>
      </c>
      <c r="K116" s="226">
        <v>8.0000000000000002E-3</v>
      </c>
      <c r="AA116" t="s">
        <v>7259</v>
      </c>
      <c r="AB116" t="s">
        <v>7180</v>
      </c>
      <c r="AC116">
        <v>1</v>
      </c>
      <c r="AD116" t="s">
        <v>7260</v>
      </c>
      <c r="AE116">
        <v>20</v>
      </c>
      <c r="AF116" t="s">
        <v>7261</v>
      </c>
      <c r="AG116" t="s">
        <v>7262</v>
      </c>
      <c r="AH116" t="s">
        <v>7263</v>
      </c>
      <c r="AI116" t="s">
        <v>7264</v>
      </c>
      <c r="AJ116" t="s">
        <v>7265</v>
      </c>
      <c r="AK116" t="s">
        <v>7174</v>
      </c>
      <c r="AL116" s="216" t="s">
        <v>7266</v>
      </c>
    </row>
    <row r="117" spans="1:38" ht="22.05" customHeight="1" x14ac:dyDescent="0.3">
      <c r="A117" s="164" t="s">
        <v>7186</v>
      </c>
      <c r="B117" s="200" t="s">
        <v>6921</v>
      </c>
      <c r="C117" s="200" t="s">
        <v>6924</v>
      </c>
      <c r="D117" s="200" t="s">
        <v>7175</v>
      </c>
      <c r="E117" s="171">
        <v>5</v>
      </c>
      <c r="F117" s="167" t="s">
        <v>14</v>
      </c>
      <c r="G117" s="219">
        <v>1250</v>
      </c>
      <c r="H117" s="206" t="s">
        <v>7217</v>
      </c>
      <c r="I117" s="206" t="s">
        <v>7218</v>
      </c>
      <c r="J117" s="206" t="s">
        <v>7267</v>
      </c>
      <c r="K117" s="226">
        <v>8.0000000000000002E-3</v>
      </c>
      <c r="AA117" t="s">
        <v>7268</v>
      </c>
      <c r="AB117" t="s">
        <v>7180</v>
      </c>
      <c r="AC117">
        <v>1</v>
      </c>
      <c r="AD117" t="s">
        <v>7260</v>
      </c>
      <c r="AE117">
        <v>25</v>
      </c>
      <c r="AF117" t="s">
        <v>7269</v>
      </c>
      <c r="AG117" t="s">
        <v>7262</v>
      </c>
      <c r="AH117" t="s">
        <v>7263</v>
      </c>
      <c r="AI117" t="s">
        <v>7264</v>
      </c>
      <c r="AJ117" t="s">
        <v>7265</v>
      </c>
      <c r="AK117" t="s">
        <v>7174</v>
      </c>
      <c r="AL117" s="216" t="s">
        <v>7270</v>
      </c>
    </row>
    <row r="118" spans="1:38" ht="22.05" customHeight="1" x14ac:dyDescent="0.3">
      <c r="A118" s="164" t="s">
        <v>7186</v>
      </c>
      <c r="B118" s="200" t="s">
        <v>6921</v>
      </c>
      <c r="C118" s="200" t="s">
        <v>6924</v>
      </c>
      <c r="D118" s="200" t="s">
        <v>7175</v>
      </c>
      <c r="E118" s="171">
        <v>6</v>
      </c>
      <c r="F118" s="167" t="s">
        <v>4269</v>
      </c>
      <c r="G118" s="208"/>
      <c r="H118" s="206" t="s">
        <v>7225</v>
      </c>
      <c r="I118" s="206" t="s">
        <v>7226</v>
      </c>
      <c r="J118" s="206" t="s">
        <v>7271</v>
      </c>
      <c r="K118" s="226">
        <v>2.73</v>
      </c>
      <c r="AA118" t="s">
        <v>7272</v>
      </c>
      <c r="AB118" t="s">
        <v>7273</v>
      </c>
      <c r="AC118">
        <v>10</v>
      </c>
      <c r="AD118" t="s">
        <v>18</v>
      </c>
      <c r="AE118">
        <v>219.65</v>
      </c>
      <c r="AF118" t="s">
        <v>7274</v>
      </c>
      <c r="AG118" t="s">
        <v>7275</v>
      </c>
      <c r="AH118" t="s">
        <v>7276</v>
      </c>
      <c r="AI118" t="s">
        <v>7277</v>
      </c>
      <c r="AJ118" t="s">
        <v>7278</v>
      </c>
      <c r="AK118" t="s">
        <v>7279</v>
      </c>
      <c r="AL118" s="216" t="s">
        <v>7280</v>
      </c>
    </row>
    <row r="119" spans="1:38" ht="22.05" customHeight="1" x14ac:dyDescent="0.3">
      <c r="A119" s="164" t="s">
        <v>7186</v>
      </c>
      <c r="B119" s="200" t="s">
        <v>6921</v>
      </c>
      <c r="C119" s="200" t="s">
        <v>6924</v>
      </c>
      <c r="D119" s="200" t="s">
        <v>7224</v>
      </c>
      <c r="E119" s="171">
        <v>1</v>
      </c>
      <c r="F119" s="167" t="s">
        <v>207</v>
      </c>
      <c r="G119" s="219">
        <v>1250</v>
      </c>
      <c r="H119" s="206" t="s">
        <v>7281</v>
      </c>
      <c r="I119" s="206" t="s">
        <v>7210</v>
      </c>
      <c r="J119" s="206" t="s">
        <v>7282</v>
      </c>
      <c r="K119" s="226">
        <v>8.0000000000000002E-3</v>
      </c>
      <c r="AA119" t="s">
        <v>7283</v>
      </c>
      <c r="AB119" t="s">
        <v>7204</v>
      </c>
      <c r="AC119">
        <v>10</v>
      </c>
      <c r="AD119" t="s">
        <v>18</v>
      </c>
      <c r="AE119">
        <v>90.4</v>
      </c>
      <c r="AF119" t="s">
        <v>7284</v>
      </c>
      <c r="AG119" t="s">
        <v>7285</v>
      </c>
      <c r="AH119" t="s">
        <v>7286</v>
      </c>
      <c r="AI119" t="s">
        <v>7264</v>
      </c>
      <c r="AJ119" t="s">
        <v>7174</v>
      </c>
      <c r="AK119" t="s">
        <v>7174</v>
      </c>
      <c r="AL119" s="216" t="s">
        <v>7287</v>
      </c>
    </row>
    <row r="120" spans="1:38" ht="22.05" customHeight="1" x14ac:dyDescent="0.3">
      <c r="A120" s="164" t="s">
        <v>7186</v>
      </c>
      <c r="B120" s="200" t="s">
        <v>6921</v>
      </c>
      <c r="C120" s="200" t="s">
        <v>6924</v>
      </c>
      <c r="D120" s="200" t="s">
        <v>7224</v>
      </c>
      <c r="E120" s="171">
        <v>2</v>
      </c>
      <c r="F120" s="167" t="s">
        <v>14</v>
      </c>
      <c r="G120" s="219">
        <v>1250</v>
      </c>
      <c r="H120" s="206" t="s">
        <v>7281</v>
      </c>
      <c r="I120" s="206" t="s">
        <v>7288</v>
      </c>
      <c r="J120" s="206" t="s">
        <v>7289</v>
      </c>
      <c r="K120" s="226">
        <v>8.0000000000000002E-3</v>
      </c>
      <c r="AA120" t="s">
        <v>7290</v>
      </c>
      <c r="AB120" t="s">
        <v>7291</v>
      </c>
      <c r="AC120">
        <v>10</v>
      </c>
      <c r="AD120" t="s">
        <v>18</v>
      </c>
      <c r="AE120">
        <v>162.1</v>
      </c>
      <c r="AF120" t="s">
        <v>7292</v>
      </c>
      <c r="AG120" t="s">
        <v>7285</v>
      </c>
      <c r="AH120" t="s">
        <v>7286</v>
      </c>
      <c r="AI120" t="s">
        <v>7264</v>
      </c>
      <c r="AJ120" t="s">
        <v>7174</v>
      </c>
      <c r="AK120" t="s">
        <v>7174</v>
      </c>
      <c r="AL120" s="216" t="s">
        <v>7293</v>
      </c>
    </row>
    <row r="121" spans="1:38" ht="22.05" customHeight="1" x14ac:dyDescent="0.3">
      <c r="A121" s="164" t="s">
        <v>7186</v>
      </c>
      <c r="B121" s="200" t="s">
        <v>6921</v>
      </c>
      <c r="C121" s="200" t="s">
        <v>6924</v>
      </c>
      <c r="D121" s="200" t="s">
        <v>7224</v>
      </c>
      <c r="E121" s="171">
        <v>3</v>
      </c>
      <c r="F121" s="167" t="s">
        <v>4269</v>
      </c>
      <c r="G121" s="208"/>
      <c r="H121" s="206" t="s">
        <v>7225</v>
      </c>
      <c r="I121" s="206" t="s">
        <v>7226</v>
      </c>
      <c r="J121" s="206" t="s">
        <v>7294</v>
      </c>
      <c r="K121" s="226">
        <v>1.82</v>
      </c>
      <c r="AA121" t="s">
        <v>7295</v>
      </c>
      <c r="AB121" t="s">
        <v>7296</v>
      </c>
      <c r="AC121">
        <v>10</v>
      </c>
      <c r="AD121" t="s">
        <v>18</v>
      </c>
      <c r="AE121">
        <v>1953.05</v>
      </c>
      <c r="AF121" t="s">
        <v>7297</v>
      </c>
      <c r="AG121" t="s">
        <v>7298</v>
      </c>
      <c r="AH121" t="s">
        <v>7299</v>
      </c>
      <c r="AI121" t="s">
        <v>7277</v>
      </c>
      <c r="AJ121" t="s">
        <v>7278</v>
      </c>
      <c r="AK121" t="s">
        <v>7279</v>
      </c>
      <c r="AL121" s="216" t="s">
        <v>7300</v>
      </c>
    </row>
    <row r="122" spans="1:38" ht="22.05" customHeight="1" x14ac:dyDescent="0.3">
      <c r="A122" s="164" t="s">
        <v>7186</v>
      </c>
      <c r="B122" s="200" t="s">
        <v>6921</v>
      </c>
      <c r="C122" s="200" t="s">
        <v>6924</v>
      </c>
      <c r="D122" s="200" t="s">
        <v>7235</v>
      </c>
      <c r="E122" s="171">
        <v>1</v>
      </c>
      <c r="F122" s="167" t="s">
        <v>197</v>
      </c>
      <c r="G122" s="219">
        <v>25</v>
      </c>
      <c r="H122" s="206" t="s">
        <v>7301</v>
      </c>
      <c r="I122" s="206" t="s">
        <v>7302</v>
      </c>
      <c r="J122" s="206" t="s">
        <v>7303</v>
      </c>
      <c r="K122" s="226">
        <v>0.4</v>
      </c>
      <c r="AA122" t="s">
        <v>7304</v>
      </c>
      <c r="AB122" t="s">
        <v>7169</v>
      </c>
      <c r="AC122">
        <v>100</v>
      </c>
      <c r="AD122" t="s">
        <v>169</v>
      </c>
      <c r="AE122">
        <v>24.35</v>
      </c>
      <c r="AF122" t="s">
        <v>7305</v>
      </c>
      <c r="AG122" t="s">
        <v>7306</v>
      </c>
      <c r="AH122" t="s">
        <v>7307</v>
      </c>
      <c r="AI122" t="s">
        <v>7308</v>
      </c>
      <c r="AJ122" t="s">
        <v>7174</v>
      </c>
      <c r="AK122" t="s">
        <v>7174</v>
      </c>
      <c r="AL122" s="216" t="s">
        <v>7309</v>
      </c>
    </row>
    <row r="123" spans="1:38" ht="22.05" customHeight="1" x14ac:dyDescent="0.3">
      <c r="A123" s="164" t="s">
        <v>7310</v>
      </c>
      <c r="B123" s="200" t="s">
        <v>6921</v>
      </c>
      <c r="C123" s="200" t="s">
        <v>7311</v>
      </c>
      <c r="D123" s="200" t="s">
        <v>7312</v>
      </c>
      <c r="E123" s="171">
        <v>1</v>
      </c>
      <c r="F123" s="167" t="s">
        <v>49</v>
      </c>
      <c r="G123" s="219">
        <v>243.90243902439019</v>
      </c>
      <c r="H123" s="206" t="s">
        <v>7313</v>
      </c>
      <c r="I123" s="206" t="s">
        <v>7314</v>
      </c>
      <c r="J123" s="206" t="s">
        <v>7315</v>
      </c>
      <c r="K123" s="226">
        <v>4.1000000000000002E-2</v>
      </c>
      <c r="AA123" t="s">
        <v>7316</v>
      </c>
      <c r="AB123" t="s">
        <v>7169</v>
      </c>
      <c r="AC123">
        <v>100</v>
      </c>
      <c r="AD123" t="s">
        <v>169</v>
      </c>
      <c r="AE123">
        <v>24.65</v>
      </c>
      <c r="AF123" t="s">
        <v>7317</v>
      </c>
      <c r="AG123" t="s">
        <v>7318</v>
      </c>
      <c r="AH123" t="s">
        <v>7319</v>
      </c>
      <c r="AI123" t="s">
        <v>7320</v>
      </c>
      <c r="AJ123" t="s">
        <v>7321</v>
      </c>
      <c r="AK123" t="s">
        <v>7174</v>
      </c>
      <c r="AL123" s="216" t="s">
        <v>7322</v>
      </c>
    </row>
    <row r="124" spans="1:38" ht="22.05" customHeight="1" x14ac:dyDescent="0.3">
      <c r="A124" s="164" t="s">
        <v>7310</v>
      </c>
      <c r="B124" s="200" t="s">
        <v>6921</v>
      </c>
      <c r="C124" s="200" t="s">
        <v>7311</v>
      </c>
      <c r="D124" s="200" t="s">
        <v>7312</v>
      </c>
      <c r="E124" s="171">
        <v>2</v>
      </c>
      <c r="F124" s="167" t="s">
        <v>45</v>
      </c>
      <c r="G124" s="219">
        <v>243.90243902439019</v>
      </c>
      <c r="H124" s="206" t="s">
        <v>7323</v>
      </c>
      <c r="I124" s="206" t="s">
        <v>7324</v>
      </c>
      <c r="J124" s="206" t="s">
        <v>7325</v>
      </c>
      <c r="K124" s="226">
        <v>4.1000000000000002E-2</v>
      </c>
      <c r="AA124" t="s">
        <v>7326</v>
      </c>
      <c r="AB124" t="s">
        <v>7250</v>
      </c>
      <c r="AC124">
        <v>10</v>
      </c>
      <c r="AD124" t="s">
        <v>18</v>
      </c>
      <c r="AE124">
        <v>470.55</v>
      </c>
      <c r="AF124" t="s">
        <v>7327</v>
      </c>
      <c r="AG124" t="s">
        <v>7328</v>
      </c>
      <c r="AH124" t="s">
        <v>7329</v>
      </c>
      <c r="AI124" t="s">
        <v>7254</v>
      </c>
      <c r="AJ124" t="s">
        <v>7255</v>
      </c>
      <c r="AK124" t="s">
        <v>7256</v>
      </c>
      <c r="AL124" s="216" t="s">
        <v>7330</v>
      </c>
    </row>
    <row r="125" spans="1:38" ht="22.05" customHeight="1" x14ac:dyDescent="0.3">
      <c r="A125" s="164" t="s">
        <v>7310</v>
      </c>
      <c r="B125" s="200" t="s">
        <v>6921</v>
      </c>
      <c r="C125" s="200" t="s">
        <v>7311</v>
      </c>
      <c r="D125" s="200" t="s">
        <v>7312</v>
      </c>
      <c r="E125" s="171">
        <v>3</v>
      </c>
      <c r="F125" s="167" t="s">
        <v>231</v>
      </c>
      <c r="G125" s="219">
        <v>31.25</v>
      </c>
      <c r="H125" s="206" t="s">
        <v>7331</v>
      </c>
      <c r="I125" s="206" t="s">
        <v>7332</v>
      </c>
      <c r="J125" s="206" t="s">
        <v>7333</v>
      </c>
      <c r="K125" s="226">
        <v>0.32</v>
      </c>
      <c r="AA125" t="s">
        <v>7334</v>
      </c>
      <c r="AB125" t="s">
        <v>7180</v>
      </c>
      <c r="AC125">
        <v>10</v>
      </c>
      <c r="AD125" t="s">
        <v>7335</v>
      </c>
      <c r="AE125">
        <v>79.3</v>
      </c>
      <c r="AF125" t="s">
        <v>7336</v>
      </c>
      <c r="AG125" t="s">
        <v>7337</v>
      </c>
      <c r="AH125" t="s">
        <v>7338</v>
      </c>
      <c r="AI125" t="s">
        <v>7339</v>
      </c>
      <c r="AJ125" t="s">
        <v>7174</v>
      </c>
      <c r="AK125" t="s">
        <v>7174</v>
      </c>
      <c r="AL125" s="216" t="s">
        <v>7187</v>
      </c>
    </row>
    <row r="126" spans="1:38" ht="22.05" customHeight="1" x14ac:dyDescent="0.3">
      <c r="A126" s="164" t="s">
        <v>7310</v>
      </c>
      <c r="B126" s="200" t="s">
        <v>6921</v>
      </c>
      <c r="C126" s="200" t="s">
        <v>7311</v>
      </c>
      <c r="D126" s="200" t="s">
        <v>7312</v>
      </c>
      <c r="E126" s="171">
        <v>4</v>
      </c>
      <c r="F126" s="167" t="s">
        <v>211</v>
      </c>
      <c r="G126" s="219">
        <v>8.3333333333333339</v>
      </c>
      <c r="H126" s="206" t="s">
        <v>7340</v>
      </c>
      <c r="I126" s="206" t="s">
        <v>7341</v>
      </c>
      <c r="J126" s="206" t="s">
        <v>7342</v>
      </c>
      <c r="K126" s="226">
        <v>1.2</v>
      </c>
      <c r="AA126" t="s">
        <v>7343</v>
      </c>
      <c r="AB126" t="s">
        <v>7221</v>
      </c>
      <c r="AC126">
        <v>10</v>
      </c>
      <c r="AD126" t="s">
        <v>7335</v>
      </c>
      <c r="AE126">
        <v>138.05000000000001</v>
      </c>
      <c r="AF126" t="s">
        <v>7344</v>
      </c>
      <c r="AG126" t="s">
        <v>7337</v>
      </c>
      <c r="AH126" t="s">
        <v>7338</v>
      </c>
      <c r="AI126" t="s">
        <v>7339</v>
      </c>
      <c r="AJ126" t="s">
        <v>7174</v>
      </c>
      <c r="AK126" t="s">
        <v>7174</v>
      </c>
      <c r="AL126" s="216" t="s">
        <v>6927</v>
      </c>
    </row>
    <row r="127" spans="1:38" ht="22.05" customHeight="1" x14ac:dyDescent="0.3">
      <c r="A127" s="164" t="s">
        <v>7310</v>
      </c>
      <c r="B127" s="200" t="s">
        <v>7345</v>
      </c>
      <c r="C127" s="200" t="s">
        <v>7311</v>
      </c>
      <c r="D127" s="200" t="s">
        <v>7312</v>
      </c>
      <c r="E127" s="171">
        <v>1</v>
      </c>
      <c r="F127" s="167" t="s">
        <v>49</v>
      </c>
      <c r="G127" s="219">
        <v>158.73015873015871</v>
      </c>
      <c r="H127" s="206" t="s">
        <v>7346</v>
      </c>
      <c r="I127" s="206" t="s">
        <v>7347</v>
      </c>
      <c r="J127" s="206" t="s">
        <v>7348</v>
      </c>
      <c r="K127" s="226">
        <v>6.3E-2</v>
      </c>
      <c r="AA127" t="s">
        <v>7349</v>
      </c>
      <c r="AB127" t="s">
        <v>7350</v>
      </c>
      <c r="AC127">
        <v>10</v>
      </c>
      <c r="AD127" t="s">
        <v>7335</v>
      </c>
      <c r="AE127">
        <v>222.3</v>
      </c>
      <c r="AF127" t="s">
        <v>7351</v>
      </c>
      <c r="AG127" t="s">
        <v>7337</v>
      </c>
      <c r="AH127" t="s">
        <v>7338</v>
      </c>
      <c r="AI127" t="s">
        <v>7339</v>
      </c>
      <c r="AJ127" t="s">
        <v>7174</v>
      </c>
      <c r="AK127" t="s">
        <v>7174</v>
      </c>
      <c r="AL127" s="216" t="s">
        <v>7352</v>
      </c>
    </row>
    <row r="128" spans="1:38" ht="22.05" customHeight="1" x14ac:dyDescent="0.3">
      <c r="A128" s="164" t="s">
        <v>7310</v>
      </c>
      <c r="B128" s="200" t="s">
        <v>7345</v>
      </c>
      <c r="C128" s="200" t="s">
        <v>7311</v>
      </c>
      <c r="D128" s="200" t="s">
        <v>7312</v>
      </c>
      <c r="E128" s="171">
        <v>2</v>
      </c>
      <c r="F128" s="167" t="s">
        <v>43</v>
      </c>
      <c r="G128" s="219">
        <v>158.73015873015871</v>
      </c>
      <c r="H128" s="206" t="s">
        <v>7353</v>
      </c>
      <c r="I128" s="206" t="s">
        <v>7354</v>
      </c>
      <c r="J128" s="206" t="s">
        <v>7355</v>
      </c>
      <c r="K128" s="226">
        <v>6.3E-2</v>
      </c>
      <c r="AA128" t="s">
        <v>7356</v>
      </c>
      <c r="AB128" t="s">
        <v>7357</v>
      </c>
      <c r="AC128">
        <v>10</v>
      </c>
      <c r="AD128" t="s">
        <v>7335</v>
      </c>
      <c r="AE128">
        <v>327.8</v>
      </c>
      <c r="AF128" t="s">
        <v>7358</v>
      </c>
      <c r="AG128" t="s">
        <v>7337</v>
      </c>
      <c r="AH128" t="s">
        <v>7338</v>
      </c>
      <c r="AI128" t="s">
        <v>7339</v>
      </c>
      <c r="AJ128" t="s">
        <v>7174</v>
      </c>
      <c r="AK128" t="s">
        <v>7174</v>
      </c>
      <c r="AL128" s="216" t="s">
        <v>7359</v>
      </c>
    </row>
    <row r="129" spans="1:38" ht="22.05" customHeight="1" x14ac:dyDescent="0.3">
      <c r="A129" s="164" t="s">
        <v>7310</v>
      </c>
      <c r="B129" s="200" t="s">
        <v>7345</v>
      </c>
      <c r="C129" s="200" t="s">
        <v>7311</v>
      </c>
      <c r="D129" s="200" t="s">
        <v>7312</v>
      </c>
      <c r="E129" s="171">
        <v>3</v>
      </c>
      <c r="F129" s="167" t="s">
        <v>239</v>
      </c>
      <c r="G129" s="219">
        <v>14.18439716312057</v>
      </c>
      <c r="H129" s="206" t="s">
        <v>7360</v>
      </c>
      <c r="I129" s="206" t="s">
        <v>7361</v>
      </c>
      <c r="J129" s="206" t="s">
        <v>7362</v>
      </c>
      <c r="K129" s="226">
        <v>0.70499999999999996</v>
      </c>
      <c r="AA129" t="s">
        <v>7363</v>
      </c>
      <c r="AB129" t="s">
        <v>7364</v>
      </c>
      <c r="AC129">
        <v>100</v>
      </c>
      <c r="AD129" t="s">
        <v>169</v>
      </c>
      <c r="AE129">
        <v>12.55</v>
      </c>
      <c r="AF129" t="s">
        <v>7365</v>
      </c>
      <c r="AG129" t="s">
        <v>7366</v>
      </c>
      <c r="AH129" t="s">
        <v>7367</v>
      </c>
      <c r="AI129" t="s">
        <v>7368</v>
      </c>
      <c r="AJ129" t="s">
        <v>7174</v>
      </c>
      <c r="AK129" t="s">
        <v>7174</v>
      </c>
      <c r="AL129" s="216" t="s">
        <v>7312</v>
      </c>
    </row>
    <row r="130" spans="1:38" ht="22.05" customHeight="1" x14ac:dyDescent="0.3">
      <c r="A130" s="164" t="s">
        <v>7310</v>
      </c>
      <c r="B130" s="200" t="s">
        <v>7345</v>
      </c>
      <c r="C130" s="200" t="s">
        <v>7311</v>
      </c>
      <c r="D130" s="200" t="s">
        <v>7312</v>
      </c>
      <c r="E130" s="171">
        <v>4</v>
      </c>
      <c r="F130" s="167" t="s">
        <v>241</v>
      </c>
      <c r="G130" s="219">
        <v>6.2893081761006284</v>
      </c>
      <c r="H130" s="206" t="s">
        <v>7360</v>
      </c>
      <c r="I130" s="206" t="s">
        <v>7369</v>
      </c>
      <c r="J130" s="206" t="s">
        <v>7370</v>
      </c>
      <c r="K130" s="226">
        <v>1.59</v>
      </c>
      <c r="AA130" t="s">
        <v>7371</v>
      </c>
      <c r="AB130" t="s">
        <v>7364</v>
      </c>
      <c r="AC130">
        <v>100</v>
      </c>
      <c r="AD130" t="s">
        <v>169</v>
      </c>
      <c r="AE130">
        <v>6.4</v>
      </c>
      <c r="AF130" t="s">
        <v>7372</v>
      </c>
      <c r="AG130" t="s">
        <v>7373</v>
      </c>
      <c r="AH130" t="s">
        <v>7367</v>
      </c>
      <c r="AI130" t="s">
        <v>7374</v>
      </c>
      <c r="AJ130" t="s">
        <v>7174</v>
      </c>
      <c r="AK130" t="s">
        <v>7174</v>
      </c>
      <c r="AL130" s="216" t="s">
        <v>7375</v>
      </c>
    </row>
    <row r="131" spans="1:38" ht="22.05" customHeight="1" x14ac:dyDescent="0.3">
      <c r="A131" s="164" t="s">
        <v>7310</v>
      </c>
      <c r="B131" s="200" t="s">
        <v>7345</v>
      </c>
      <c r="C131" s="200" t="s">
        <v>7311</v>
      </c>
      <c r="D131" s="200" t="s">
        <v>7312</v>
      </c>
      <c r="E131" s="171">
        <v>5</v>
      </c>
      <c r="F131" s="167" t="s">
        <v>243</v>
      </c>
      <c r="G131" s="219">
        <v>28.16901408450704</v>
      </c>
      <c r="H131" s="206" t="s">
        <v>7360</v>
      </c>
      <c r="I131" s="206" t="s">
        <v>7376</v>
      </c>
      <c r="J131" s="206" t="s">
        <v>7377</v>
      </c>
      <c r="K131" s="226">
        <v>0.35499999999999998</v>
      </c>
      <c r="AA131" t="s">
        <v>7378</v>
      </c>
      <c r="AB131" t="s">
        <v>7364</v>
      </c>
      <c r="AC131">
        <v>1</v>
      </c>
      <c r="AD131" t="s">
        <v>7379</v>
      </c>
      <c r="AE131">
        <v>380.6</v>
      </c>
      <c r="AF131" t="s">
        <v>7380</v>
      </c>
      <c r="AG131" t="s">
        <v>7381</v>
      </c>
      <c r="AH131" t="s">
        <v>7382</v>
      </c>
      <c r="AI131" t="s">
        <v>7383</v>
      </c>
      <c r="AJ131" t="s">
        <v>7174</v>
      </c>
      <c r="AK131" t="s">
        <v>7384</v>
      </c>
      <c r="AL131" s="216" t="s">
        <v>7385</v>
      </c>
    </row>
    <row r="132" spans="1:38" ht="22.05" customHeight="1" x14ac:dyDescent="0.3">
      <c r="A132" s="164" t="s">
        <v>7310</v>
      </c>
      <c r="B132" s="200" t="s">
        <v>7345</v>
      </c>
      <c r="C132" s="200" t="s">
        <v>7311</v>
      </c>
      <c r="D132" s="200" t="s">
        <v>7312</v>
      </c>
      <c r="E132" s="171">
        <v>6</v>
      </c>
      <c r="F132" s="167" t="s">
        <v>209</v>
      </c>
      <c r="G132" s="219">
        <v>20</v>
      </c>
      <c r="H132" s="206" t="s">
        <v>7386</v>
      </c>
      <c r="I132" s="206" t="s">
        <v>7387</v>
      </c>
      <c r="J132" s="206" t="s">
        <v>7388</v>
      </c>
      <c r="K132" s="226">
        <v>0.5</v>
      </c>
      <c r="AA132" t="s">
        <v>7389</v>
      </c>
      <c r="AB132" t="s">
        <v>7364</v>
      </c>
      <c r="AC132">
        <v>1</v>
      </c>
      <c r="AD132" t="s">
        <v>7379</v>
      </c>
      <c r="AE132">
        <v>1694.4</v>
      </c>
      <c r="AF132" t="s">
        <v>7390</v>
      </c>
      <c r="AG132" t="s">
        <v>7381</v>
      </c>
      <c r="AH132" t="s">
        <v>7382</v>
      </c>
      <c r="AI132" t="s">
        <v>7383</v>
      </c>
      <c r="AJ132" t="s">
        <v>7174</v>
      </c>
      <c r="AK132" t="s">
        <v>7384</v>
      </c>
      <c r="AL132" s="216" t="s">
        <v>7391</v>
      </c>
    </row>
    <row r="133" spans="1:38" ht="22.05" customHeight="1" x14ac:dyDescent="0.3">
      <c r="A133" s="164" t="s">
        <v>7310</v>
      </c>
      <c r="B133" s="200" t="s">
        <v>7345</v>
      </c>
      <c r="C133" s="200" t="s">
        <v>7311</v>
      </c>
      <c r="D133" s="200" t="s">
        <v>7312</v>
      </c>
      <c r="E133" s="171">
        <v>7</v>
      </c>
      <c r="F133" s="167" t="s">
        <v>211</v>
      </c>
      <c r="G133" s="219">
        <v>18.18181818181818</v>
      </c>
      <c r="H133" s="206" t="s">
        <v>7392</v>
      </c>
      <c r="I133" s="206" t="s">
        <v>7393</v>
      </c>
      <c r="J133" s="206" t="s">
        <v>7394</v>
      </c>
      <c r="K133" s="226">
        <v>0.55000000000000004</v>
      </c>
      <c r="AA133" t="s">
        <v>7395</v>
      </c>
      <c r="AB133" t="s">
        <v>7364</v>
      </c>
      <c r="AC133">
        <v>1</v>
      </c>
      <c r="AD133" t="s">
        <v>7379</v>
      </c>
      <c r="AE133">
        <v>7860.55</v>
      </c>
      <c r="AF133" t="s">
        <v>7396</v>
      </c>
      <c r="AG133" t="s">
        <v>7381</v>
      </c>
      <c r="AH133" t="s">
        <v>7382</v>
      </c>
      <c r="AI133" t="s">
        <v>7383</v>
      </c>
      <c r="AJ133" t="s">
        <v>7174</v>
      </c>
      <c r="AK133" t="s">
        <v>7384</v>
      </c>
      <c r="AL133" s="216" t="s">
        <v>7397</v>
      </c>
    </row>
    <row r="134" spans="1:38" ht="22.05" customHeight="1" x14ac:dyDescent="0.3">
      <c r="A134" s="164" t="s">
        <v>7310</v>
      </c>
      <c r="B134" s="200" t="s">
        <v>7345</v>
      </c>
      <c r="C134" s="200" t="s">
        <v>7311</v>
      </c>
      <c r="D134" s="200" t="s">
        <v>7312</v>
      </c>
      <c r="E134" s="171">
        <v>8</v>
      </c>
      <c r="F134" s="167" t="s">
        <v>4269</v>
      </c>
      <c r="G134" s="208"/>
      <c r="H134" s="206" t="s">
        <v>7398</v>
      </c>
      <c r="I134" s="206" t="s">
        <v>7399</v>
      </c>
      <c r="J134" s="206" t="s">
        <v>7400</v>
      </c>
      <c r="K134" s="226">
        <v>10.79</v>
      </c>
      <c r="AA134" t="s">
        <v>7401</v>
      </c>
      <c r="AB134" t="s">
        <v>7364</v>
      </c>
      <c r="AC134">
        <v>1</v>
      </c>
      <c r="AD134" t="s">
        <v>7379</v>
      </c>
      <c r="AE134">
        <v>15749.95</v>
      </c>
      <c r="AF134" t="s">
        <v>7402</v>
      </c>
      <c r="AG134" t="s">
        <v>7381</v>
      </c>
      <c r="AH134" t="s">
        <v>7382</v>
      </c>
      <c r="AI134" t="s">
        <v>7383</v>
      </c>
      <c r="AJ134" t="s">
        <v>7174</v>
      </c>
      <c r="AK134" t="s">
        <v>7384</v>
      </c>
      <c r="AL134" s="216" t="s">
        <v>7403</v>
      </c>
    </row>
    <row r="135" spans="1:38" ht="22.05" customHeight="1" x14ac:dyDescent="0.3">
      <c r="A135" s="164" t="s">
        <v>7310</v>
      </c>
      <c r="B135" s="200" t="s">
        <v>7404</v>
      </c>
      <c r="C135" s="200" t="s">
        <v>7311</v>
      </c>
      <c r="D135" s="200" t="s">
        <v>7405</v>
      </c>
      <c r="E135" s="171">
        <v>1</v>
      </c>
      <c r="F135" s="167" t="s">
        <v>49</v>
      </c>
      <c r="G135" s="219">
        <v>80</v>
      </c>
      <c r="H135" s="206" t="s">
        <v>7406</v>
      </c>
      <c r="I135" s="206" t="s">
        <v>7407</v>
      </c>
      <c r="J135" s="206" t="s">
        <v>7408</v>
      </c>
      <c r="K135" s="226">
        <v>0.125</v>
      </c>
      <c r="AA135" t="s">
        <v>7409</v>
      </c>
      <c r="AB135" t="s">
        <v>7410</v>
      </c>
      <c r="AC135">
        <v>100</v>
      </c>
      <c r="AD135" t="s">
        <v>369</v>
      </c>
      <c r="AE135">
        <v>200.85</v>
      </c>
      <c r="AF135" t="s">
        <v>7411</v>
      </c>
      <c r="AG135" t="s">
        <v>7412</v>
      </c>
      <c r="AH135" t="s">
        <v>7413</v>
      </c>
      <c r="AI135" t="s">
        <v>7414</v>
      </c>
      <c r="AJ135" t="s">
        <v>7415</v>
      </c>
      <c r="AK135" t="s">
        <v>7174</v>
      </c>
      <c r="AL135" s="216" t="s">
        <v>7416</v>
      </c>
    </row>
    <row r="136" spans="1:38" ht="22.05" customHeight="1" x14ac:dyDescent="0.3">
      <c r="A136" s="164" t="s">
        <v>7310</v>
      </c>
      <c r="B136" s="200" t="s">
        <v>7404</v>
      </c>
      <c r="C136" s="200" t="s">
        <v>7311</v>
      </c>
      <c r="D136" s="200" t="s">
        <v>7405</v>
      </c>
      <c r="E136" s="171">
        <v>2</v>
      </c>
      <c r="F136" s="167" t="s">
        <v>43</v>
      </c>
      <c r="G136" s="219">
        <v>80</v>
      </c>
      <c r="H136" s="206" t="s">
        <v>7353</v>
      </c>
      <c r="I136" s="206" t="s">
        <v>7417</v>
      </c>
      <c r="J136" s="206" t="s">
        <v>7418</v>
      </c>
      <c r="K136" s="226">
        <v>0.125</v>
      </c>
      <c r="AA136" t="s">
        <v>7419</v>
      </c>
      <c r="AB136" t="s">
        <v>7410</v>
      </c>
      <c r="AC136">
        <v>10</v>
      </c>
      <c r="AD136" t="s">
        <v>7145</v>
      </c>
      <c r="AE136">
        <v>28.25</v>
      </c>
      <c r="AF136" t="s">
        <v>7420</v>
      </c>
      <c r="AG136" t="s">
        <v>7421</v>
      </c>
      <c r="AH136" t="s">
        <v>7422</v>
      </c>
      <c r="AI136" t="s">
        <v>7423</v>
      </c>
      <c r="AJ136" t="s">
        <v>7424</v>
      </c>
      <c r="AK136" t="s">
        <v>7174</v>
      </c>
      <c r="AL136" s="216" t="s">
        <v>7405</v>
      </c>
    </row>
    <row r="137" spans="1:38" ht="22.05" customHeight="1" x14ac:dyDescent="0.3">
      <c r="A137" s="164" t="s">
        <v>7310</v>
      </c>
      <c r="B137" s="200" t="s">
        <v>7404</v>
      </c>
      <c r="C137" s="200" t="s">
        <v>7311</v>
      </c>
      <c r="D137" s="200" t="s">
        <v>7405</v>
      </c>
      <c r="E137" s="171">
        <v>3</v>
      </c>
      <c r="F137" s="167" t="s">
        <v>239</v>
      </c>
      <c r="G137" s="219">
        <v>9.4339622641509422</v>
      </c>
      <c r="H137" s="206" t="s">
        <v>7425</v>
      </c>
      <c r="I137" s="206" t="s">
        <v>7426</v>
      </c>
      <c r="J137" s="206" t="s">
        <v>7427</v>
      </c>
      <c r="K137" s="226">
        <v>1.06</v>
      </c>
      <c r="AA137" t="s">
        <v>7428</v>
      </c>
      <c r="AB137" t="s">
        <v>7410</v>
      </c>
      <c r="AC137">
        <v>10</v>
      </c>
      <c r="AD137" t="s">
        <v>7145</v>
      </c>
      <c r="AE137">
        <v>39.450000000000003</v>
      </c>
      <c r="AF137" t="s">
        <v>7429</v>
      </c>
      <c r="AG137" t="s">
        <v>7430</v>
      </c>
      <c r="AH137" t="s">
        <v>7431</v>
      </c>
      <c r="AI137" t="s">
        <v>7432</v>
      </c>
      <c r="AJ137" t="s">
        <v>7424</v>
      </c>
      <c r="AK137" t="s">
        <v>7174</v>
      </c>
      <c r="AL137" s="216" t="s">
        <v>7433</v>
      </c>
    </row>
    <row r="138" spans="1:38" ht="22.05" customHeight="1" x14ac:dyDescent="0.3">
      <c r="A138" s="164" t="s">
        <v>7310</v>
      </c>
      <c r="B138" s="200" t="s">
        <v>7404</v>
      </c>
      <c r="C138" s="200" t="s">
        <v>7311</v>
      </c>
      <c r="D138" s="200" t="s">
        <v>7405</v>
      </c>
      <c r="E138" s="171">
        <v>4</v>
      </c>
      <c r="F138" s="167" t="s">
        <v>241</v>
      </c>
      <c r="G138" s="219">
        <v>3.5398230088495568</v>
      </c>
      <c r="H138" s="206" t="s">
        <v>7425</v>
      </c>
      <c r="I138" s="206" t="s">
        <v>7434</v>
      </c>
      <c r="J138" s="206" t="s">
        <v>7435</v>
      </c>
      <c r="K138" s="226">
        <v>2.8250000000000002</v>
      </c>
      <c r="AA138" t="s">
        <v>7436</v>
      </c>
      <c r="AB138" t="s">
        <v>7410</v>
      </c>
      <c r="AC138">
        <v>9</v>
      </c>
      <c r="AD138" t="s">
        <v>169</v>
      </c>
      <c r="AE138">
        <v>227.05</v>
      </c>
      <c r="AF138" t="s">
        <v>7437</v>
      </c>
      <c r="AG138" t="s">
        <v>7438</v>
      </c>
      <c r="AH138" t="s">
        <v>7439</v>
      </c>
      <c r="AI138" t="s">
        <v>7440</v>
      </c>
      <c r="AJ138" t="s">
        <v>7424</v>
      </c>
      <c r="AK138" t="s">
        <v>7174</v>
      </c>
      <c r="AL138" s="216" t="s">
        <v>7441</v>
      </c>
    </row>
    <row r="139" spans="1:38" ht="22.05" customHeight="1" x14ac:dyDescent="0.3">
      <c r="A139" s="164" t="s">
        <v>7310</v>
      </c>
      <c r="B139" s="200" t="s">
        <v>7404</v>
      </c>
      <c r="C139" s="200" t="s">
        <v>7311</v>
      </c>
      <c r="D139" s="200" t="s">
        <v>7405</v>
      </c>
      <c r="E139" s="171">
        <v>5</v>
      </c>
      <c r="F139" s="167" t="s">
        <v>243</v>
      </c>
      <c r="G139" s="219">
        <v>11.29943502824859</v>
      </c>
      <c r="H139" s="206" t="s">
        <v>7425</v>
      </c>
      <c r="I139" s="206" t="s">
        <v>7442</v>
      </c>
      <c r="J139" s="206" t="s">
        <v>7443</v>
      </c>
      <c r="K139" s="226">
        <v>0.88500000000000001</v>
      </c>
      <c r="AA139" t="s">
        <v>7444</v>
      </c>
      <c r="AB139" t="s">
        <v>7410</v>
      </c>
      <c r="AC139">
        <v>10</v>
      </c>
      <c r="AD139" t="s">
        <v>7145</v>
      </c>
      <c r="AE139">
        <v>31.75</v>
      </c>
      <c r="AF139" t="s">
        <v>7445</v>
      </c>
      <c r="AG139" t="s">
        <v>7446</v>
      </c>
      <c r="AH139" t="s">
        <v>7447</v>
      </c>
      <c r="AI139" t="s">
        <v>7448</v>
      </c>
      <c r="AJ139" t="s">
        <v>7424</v>
      </c>
      <c r="AK139" t="s">
        <v>7174</v>
      </c>
      <c r="AL139" s="216" t="s">
        <v>7449</v>
      </c>
    </row>
    <row r="140" spans="1:38" ht="22.05" customHeight="1" x14ac:dyDescent="0.3">
      <c r="A140" s="164" t="s">
        <v>7310</v>
      </c>
      <c r="B140" s="200" t="s">
        <v>7404</v>
      </c>
      <c r="C140" s="200" t="s">
        <v>7311</v>
      </c>
      <c r="D140" s="200" t="s">
        <v>7405</v>
      </c>
      <c r="E140" s="171">
        <v>6</v>
      </c>
      <c r="F140" s="167" t="s">
        <v>209</v>
      </c>
      <c r="G140" s="219">
        <v>22.222222222222221</v>
      </c>
      <c r="H140" s="206" t="s">
        <v>7450</v>
      </c>
      <c r="I140" s="206" t="s">
        <v>7451</v>
      </c>
      <c r="J140" s="206" t="s">
        <v>7452</v>
      </c>
      <c r="K140" s="226">
        <v>0.45</v>
      </c>
      <c r="AA140" t="s">
        <v>7453</v>
      </c>
      <c r="AB140" t="s">
        <v>7410</v>
      </c>
      <c r="AC140">
        <v>10</v>
      </c>
      <c r="AD140" t="s">
        <v>7145</v>
      </c>
      <c r="AE140">
        <v>254</v>
      </c>
      <c r="AF140" t="s">
        <v>7454</v>
      </c>
      <c r="AG140" t="s">
        <v>7455</v>
      </c>
      <c r="AH140" t="s">
        <v>7456</v>
      </c>
      <c r="AI140" t="s">
        <v>7457</v>
      </c>
      <c r="AJ140" t="s">
        <v>7424</v>
      </c>
      <c r="AK140" t="s">
        <v>7458</v>
      </c>
      <c r="AL140" s="216" t="s">
        <v>7459</v>
      </c>
    </row>
    <row r="141" spans="1:38" ht="22.05" customHeight="1" x14ac:dyDescent="0.3">
      <c r="A141" s="164" t="s">
        <v>7310</v>
      </c>
      <c r="B141" s="200" t="s">
        <v>7404</v>
      </c>
      <c r="C141" s="200" t="s">
        <v>7311</v>
      </c>
      <c r="D141" s="200" t="s">
        <v>7405</v>
      </c>
      <c r="E141" s="171">
        <v>7</v>
      </c>
      <c r="F141" s="167" t="s">
        <v>211</v>
      </c>
      <c r="G141" s="219">
        <v>18.18181818181818</v>
      </c>
      <c r="H141" s="206" t="s">
        <v>7460</v>
      </c>
      <c r="I141" s="206" t="s">
        <v>7393</v>
      </c>
      <c r="J141" s="206" t="s">
        <v>7461</v>
      </c>
      <c r="K141" s="226">
        <v>0.55000000000000004</v>
      </c>
      <c r="AA141" t="s">
        <v>7462</v>
      </c>
      <c r="AB141" t="s">
        <v>7169</v>
      </c>
      <c r="AC141">
        <v>10</v>
      </c>
      <c r="AD141" t="s">
        <v>18</v>
      </c>
      <c r="AE141">
        <v>66.349999999999994</v>
      </c>
      <c r="AF141" t="s">
        <v>7463</v>
      </c>
      <c r="AG141" t="s">
        <v>7464</v>
      </c>
      <c r="AH141" t="s">
        <v>7465</v>
      </c>
      <c r="AI141" t="s">
        <v>7466</v>
      </c>
      <c r="AJ141" t="s">
        <v>7174</v>
      </c>
      <c r="AK141" t="s">
        <v>7467</v>
      </c>
      <c r="AL141" s="216" t="s">
        <v>7468</v>
      </c>
    </row>
    <row r="142" spans="1:38" ht="22.05" customHeight="1" x14ac:dyDescent="0.3">
      <c r="A142" s="164" t="s">
        <v>7310</v>
      </c>
      <c r="B142" s="200" t="s">
        <v>7404</v>
      </c>
      <c r="C142" s="200" t="s">
        <v>7311</v>
      </c>
      <c r="D142" s="200" t="s">
        <v>7405</v>
      </c>
      <c r="E142" s="171">
        <v>8</v>
      </c>
      <c r="F142" s="167" t="s">
        <v>382</v>
      </c>
      <c r="G142" s="208"/>
      <c r="H142" s="206" t="s">
        <v>7469</v>
      </c>
      <c r="I142" s="206" t="s">
        <v>7470</v>
      </c>
      <c r="J142" s="206" t="s">
        <v>7471</v>
      </c>
      <c r="K142" s="226">
        <v>3.93</v>
      </c>
      <c r="AA142" t="s">
        <v>7472</v>
      </c>
      <c r="AB142" t="s">
        <v>7273</v>
      </c>
      <c r="AC142">
        <v>1</v>
      </c>
      <c r="AD142" t="s">
        <v>18</v>
      </c>
      <c r="AE142">
        <v>152.19999999999999</v>
      </c>
      <c r="AF142" t="s">
        <v>7473</v>
      </c>
      <c r="AG142" t="s">
        <v>7474</v>
      </c>
      <c r="AH142" t="s">
        <v>7475</v>
      </c>
      <c r="AI142" t="s">
        <v>7476</v>
      </c>
      <c r="AJ142" t="s">
        <v>7174</v>
      </c>
      <c r="AK142" t="s">
        <v>7174</v>
      </c>
      <c r="AL142" s="216" t="s">
        <v>7477</v>
      </c>
    </row>
    <row r="143" spans="1:38" ht="22.05" customHeight="1" x14ac:dyDescent="0.3">
      <c r="A143" s="164" t="s">
        <v>7310</v>
      </c>
      <c r="B143" s="200" t="s">
        <v>7404</v>
      </c>
      <c r="C143" s="200" t="s">
        <v>7311</v>
      </c>
      <c r="D143" s="200" t="s">
        <v>7405</v>
      </c>
      <c r="E143" s="171">
        <v>9</v>
      </c>
      <c r="F143" s="167" t="s">
        <v>384</v>
      </c>
      <c r="G143" s="208"/>
      <c r="H143" s="206" t="s">
        <v>7478</v>
      </c>
      <c r="I143" s="206" t="s">
        <v>7479</v>
      </c>
      <c r="J143" s="206" t="s">
        <v>7480</v>
      </c>
      <c r="K143" s="226">
        <v>4</v>
      </c>
      <c r="AA143" t="s">
        <v>7481</v>
      </c>
      <c r="AB143" t="s">
        <v>7273</v>
      </c>
      <c r="AC143">
        <v>10</v>
      </c>
      <c r="AD143" t="s">
        <v>18</v>
      </c>
      <c r="AE143">
        <v>219.65</v>
      </c>
      <c r="AF143" t="s">
        <v>7482</v>
      </c>
      <c r="AG143" t="s">
        <v>7483</v>
      </c>
      <c r="AH143" t="s">
        <v>7276</v>
      </c>
      <c r="AI143" t="s">
        <v>7277</v>
      </c>
      <c r="AJ143" t="s">
        <v>7278</v>
      </c>
      <c r="AK143" t="s">
        <v>7279</v>
      </c>
      <c r="AL143" s="216" t="s">
        <v>7484</v>
      </c>
    </row>
    <row r="144" spans="1:38" ht="22.05" customHeight="1" x14ac:dyDescent="0.3">
      <c r="A144" s="164" t="s">
        <v>7310</v>
      </c>
      <c r="B144" s="200" t="s">
        <v>7404</v>
      </c>
      <c r="C144" s="200" t="s">
        <v>7311</v>
      </c>
      <c r="D144" s="200" t="s">
        <v>7405</v>
      </c>
      <c r="E144" s="171">
        <v>10</v>
      </c>
      <c r="F144" s="167" t="s">
        <v>4269</v>
      </c>
      <c r="G144" s="208"/>
      <c r="H144" s="206" t="s">
        <v>7398</v>
      </c>
      <c r="I144" s="206" t="s">
        <v>7485</v>
      </c>
      <c r="J144" s="206" t="s">
        <v>7486</v>
      </c>
      <c r="K144" s="226">
        <v>16.12</v>
      </c>
      <c r="AA144" t="s">
        <v>7487</v>
      </c>
      <c r="AB144" t="s">
        <v>7250</v>
      </c>
      <c r="AC144">
        <v>10</v>
      </c>
      <c r="AD144" t="s">
        <v>18</v>
      </c>
      <c r="AE144">
        <v>-4.3</v>
      </c>
      <c r="AF144" t="s">
        <v>7488</v>
      </c>
      <c r="AG144" t="s">
        <v>7174</v>
      </c>
      <c r="AH144" t="s">
        <v>7174</v>
      </c>
      <c r="AI144" t="s">
        <v>7174</v>
      </c>
      <c r="AJ144" t="s">
        <v>7174</v>
      </c>
      <c r="AK144" t="s">
        <v>7489</v>
      </c>
      <c r="AL144" s="216" t="s">
        <v>7490</v>
      </c>
    </row>
    <row r="145" spans="1:38" ht="22.05" customHeight="1" x14ac:dyDescent="0.3">
      <c r="A145" s="164" t="s">
        <v>7310</v>
      </c>
      <c r="B145" s="200" t="s">
        <v>7491</v>
      </c>
      <c r="C145" s="200" t="s">
        <v>7311</v>
      </c>
      <c r="D145" s="200" t="s">
        <v>7441</v>
      </c>
      <c r="E145" s="171">
        <v>1</v>
      </c>
      <c r="F145" s="167" t="s">
        <v>49</v>
      </c>
      <c r="G145" s="219">
        <v>80</v>
      </c>
      <c r="H145" s="206" t="s">
        <v>7492</v>
      </c>
      <c r="I145" s="206" t="s">
        <v>7407</v>
      </c>
      <c r="J145" s="206" t="s">
        <v>7493</v>
      </c>
      <c r="K145" s="226">
        <v>0.125</v>
      </c>
      <c r="AA145" t="s">
        <v>7494</v>
      </c>
      <c r="AB145" t="s">
        <v>7250</v>
      </c>
      <c r="AC145">
        <v>10</v>
      </c>
      <c r="AD145" t="s">
        <v>18</v>
      </c>
      <c r="AE145">
        <v>-33</v>
      </c>
      <c r="AF145" t="s">
        <v>4558</v>
      </c>
      <c r="AG145" t="s">
        <v>7174</v>
      </c>
      <c r="AH145" t="s">
        <v>7174</v>
      </c>
      <c r="AI145" t="s">
        <v>7174</v>
      </c>
      <c r="AJ145" t="s">
        <v>7495</v>
      </c>
      <c r="AK145" t="s">
        <v>7174</v>
      </c>
      <c r="AL145" s="216" t="s">
        <v>7496</v>
      </c>
    </row>
    <row r="146" spans="1:38" ht="22.05" customHeight="1" x14ac:dyDescent="0.3">
      <c r="A146" s="164" t="s">
        <v>7310</v>
      </c>
      <c r="B146" s="200" t="s">
        <v>7491</v>
      </c>
      <c r="C146" s="200" t="s">
        <v>7311</v>
      </c>
      <c r="D146" s="200" t="s">
        <v>7441</v>
      </c>
      <c r="E146" s="171">
        <v>2</v>
      </c>
      <c r="F146" s="167" t="s">
        <v>43</v>
      </c>
      <c r="G146" s="219">
        <v>80</v>
      </c>
      <c r="H146" s="206" t="s">
        <v>7353</v>
      </c>
      <c r="I146" s="206" t="s">
        <v>7417</v>
      </c>
      <c r="J146" s="206" t="s">
        <v>7497</v>
      </c>
      <c r="K146" s="226">
        <v>0.125</v>
      </c>
      <c r="AA146" t="s">
        <v>7498</v>
      </c>
      <c r="AB146" t="s">
        <v>7499</v>
      </c>
      <c r="AC146">
        <v>10</v>
      </c>
      <c r="AD146" t="s">
        <v>18</v>
      </c>
      <c r="AE146">
        <v>181.85</v>
      </c>
      <c r="AF146" t="s">
        <v>7500</v>
      </c>
      <c r="AG146" t="s">
        <v>7501</v>
      </c>
      <c r="AH146" t="s">
        <v>7502</v>
      </c>
      <c r="AI146" t="s">
        <v>7503</v>
      </c>
      <c r="AJ146" t="s">
        <v>7174</v>
      </c>
      <c r="AK146" t="s">
        <v>7174</v>
      </c>
      <c r="AL146" s="216" t="s">
        <v>7504</v>
      </c>
    </row>
    <row r="147" spans="1:38" ht="22.05" customHeight="1" x14ac:dyDescent="0.3">
      <c r="A147" s="164" t="s">
        <v>7310</v>
      </c>
      <c r="B147" s="200" t="s">
        <v>7491</v>
      </c>
      <c r="C147" s="200" t="s">
        <v>7311</v>
      </c>
      <c r="D147" s="200" t="s">
        <v>7441</v>
      </c>
      <c r="E147" s="171">
        <v>3</v>
      </c>
      <c r="F147" s="167" t="s">
        <v>239</v>
      </c>
      <c r="G147" s="219">
        <v>4.048582995951417</v>
      </c>
      <c r="H147" s="206" t="s">
        <v>7505</v>
      </c>
      <c r="I147" s="206" t="s">
        <v>7506</v>
      </c>
      <c r="J147" s="206" t="s">
        <v>7507</v>
      </c>
      <c r="K147" s="226">
        <v>2.4700000000000002</v>
      </c>
      <c r="AA147" t="s">
        <v>7508</v>
      </c>
      <c r="AB147" t="s">
        <v>7509</v>
      </c>
      <c r="AC147">
        <v>10</v>
      </c>
      <c r="AD147" t="s">
        <v>18</v>
      </c>
      <c r="AE147">
        <v>352.45</v>
      </c>
      <c r="AF147" t="s">
        <v>7510</v>
      </c>
      <c r="AG147" t="s">
        <v>7501</v>
      </c>
      <c r="AH147" t="s">
        <v>7502</v>
      </c>
      <c r="AI147" t="s">
        <v>7503</v>
      </c>
      <c r="AJ147" t="s">
        <v>7174</v>
      </c>
      <c r="AK147" t="s">
        <v>7174</v>
      </c>
      <c r="AL147" s="216" t="s">
        <v>7511</v>
      </c>
    </row>
    <row r="148" spans="1:38" ht="22.05" customHeight="1" x14ac:dyDescent="0.3">
      <c r="A148" s="164" t="s">
        <v>7310</v>
      </c>
      <c r="B148" s="200" t="s">
        <v>7491</v>
      </c>
      <c r="C148" s="200" t="s">
        <v>7311</v>
      </c>
      <c r="D148" s="200" t="s">
        <v>7441</v>
      </c>
      <c r="E148" s="171">
        <v>4</v>
      </c>
      <c r="F148" s="167" t="s">
        <v>241</v>
      </c>
      <c r="G148" s="219">
        <v>1.666666666666667</v>
      </c>
      <c r="H148" s="206" t="s">
        <v>7505</v>
      </c>
      <c r="I148" s="206" t="s">
        <v>7512</v>
      </c>
      <c r="J148" s="206" t="s">
        <v>7513</v>
      </c>
      <c r="K148" s="226">
        <v>6</v>
      </c>
      <c r="AA148" t="s">
        <v>7514</v>
      </c>
      <c r="AB148" t="s">
        <v>7515</v>
      </c>
      <c r="AC148">
        <v>10</v>
      </c>
      <c r="AD148" t="s">
        <v>18</v>
      </c>
      <c r="AE148">
        <v>609.65</v>
      </c>
      <c r="AF148" t="s">
        <v>7516</v>
      </c>
      <c r="AG148" t="s">
        <v>7517</v>
      </c>
      <c r="AH148" t="s">
        <v>7518</v>
      </c>
      <c r="AI148" t="s">
        <v>7519</v>
      </c>
      <c r="AJ148" t="s">
        <v>7174</v>
      </c>
      <c r="AK148" t="s">
        <v>7174</v>
      </c>
      <c r="AL148" s="216" t="s">
        <v>7520</v>
      </c>
    </row>
    <row r="149" spans="1:38" ht="22.05" customHeight="1" x14ac:dyDescent="0.3">
      <c r="A149" s="164" t="s">
        <v>7310</v>
      </c>
      <c r="B149" s="200" t="s">
        <v>7491</v>
      </c>
      <c r="C149" s="200" t="s">
        <v>7311</v>
      </c>
      <c r="D149" s="200" t="s">
        <v>7441</v>
      </c>
      <c r="E149" s="171">
        <v>5</v>
      </c>
      <c r="F149" s="167" t="s">
        <v>245</v>
      </c>
      <c r="G149" s="219">
        <v>9.4339622641509422</v>
      </c>
      <c r="H149" s="206" t="s">
        <v>7505</v>
      </c>
      <c r="I149" s="206" t="s">
        <v>7521</v>
      </c>
      <c r="J149" s="206" t="s">
        <v>7522</v>
      </c>
      <c r="K149" s="226">
        <v>1.06</v>
      </c>
      <c r="AA149" t="s">
        <v>7523</v>
      </c>
      <c r="AB149" t="s">
        <v>7524</v>
      </c>
      <c r="AC149">
        <v>10</v>
      </c>
      <c r="AD149" t="s">
        <v>18</v>
      </c>
      <c r="AE149">
        <v>1016.2</v>
      </c>
      <c r="AF149" t="s">
        <v>7525</v>
      </c>
      <c r="AG149" t="s">
        <v>7526</v>
      </c>
      <c r="AH149" t="s">
        <v>7518</v>
      </c>
      <c r="AI149" t="s">
        <v>7519</v>
      </c>
      <c r="AJ149" t="s">
        <v>7174</v>
      </c>
      <c r="AK149" t="s">
        <v>7174</v>
      </c>
      <c r="AL149" s="216" t="s">
        <v>7527</v>
      </c>
    </row>
    <row r="150" spans="1:38" ht="22.05" customHeight="1" x14ac:dyDescent="0.3">
      <c r="A150" s="164" t="s">
        <v>7310</v>
      </c>
      <c r="B150" s="200" t="s">
        <v>7491</v>
      </c>
      <c r="C150" s="200" t="s">
        <v>7311</v>
      </c>
      <c r="D150" s="200" t="s">
        <v>7441</v>
      </c>
      <c r="E150" s="171">
        <v>6</v>
      </c>
      <c r="F150" s="167" t="s">
        <v>201</v>
      </c>
      <c r="G150" s="219">
        <v>57.142857142857153</v>
      </c>
      <c r="H150" s="206" t="s">
        <v>7528</v>
      </c>
      <c r="I150" s="206" t="s">
        <v>7529</v>
      </c>
      <c r="J150" s="206" t="s">
        <v>7530</v>
      </c>
      <c r="K150" s="226">
        <v>0.17499999999999999</v>
      </c>
      <c r="AA150" t="s">
        <v>7531</v>
      </c>
      <c r="AB150" t="s">
        <v>7180</v>
      </c>
      <c r="AC150">
        <v>10</v>
      </c>
      <c r="AD150" t="s">
        <v>18</v>
      </c>
      <c r="AE150">
        <v>252.3</v>
      </c>
      <c r="AF150" t="s">
        <v>7532</v>
      </c>
      <c r="AG150" t="s">
        <v>7533</v>
      </c>
      <c r="AH150" t="s">
        <v>7253</v>
      </c>
      <c r="AI150" t="s">
        <v>7184</v>
      </c>
      <c r="AJ150" t="s">
        <v>7174</v>
      </c>
      <c r="AK150" t="s">
        <v>7174</v>
      </c>
      <c r="AL150" s="216" t="s">
        <v>7534</v>
      </c>
    </row>
    <row r="151" spans="1:38" ht="22.05" customHeight="1" x14ac:dyDescent="0.3">
      <c r="A151" s="164" t="s">
        <v>7310</v>
      </c>
      <c r="B151" s="200" t="s">
        <v>7491</v>
      </c>
      <c r="C151" s="200" t="s">
        <v>7311</v>
      </c>
      <c r="D151" s="200" t="s">
        <v>7441</v>
      </c>
      <c r="E151" s="171">
        <v>7</v>
      </c>
      <c r="F151" s="167" t="s">
        <v>209</v>
      </c>
      <c r="G151" s="219">
        <v>13.33333333333333</v>
      </c>
      <c r="H151" s="206" t="s">
        <v>7535</v>
      </c>
      <c r="I151" s="206" t="s">
        <v>7536</v>
      </c>
      <c r="J151" s="206" t="s">
        <v>7537</v>
      </c>
      <c r="K151" s="226">
        <v>0.75</v>
      </c>
      <c r="AA151" t="s">
        <v>7538</v>
      </c>
      <c r="AB151" t="s">
        <v>7221</v>
      </c>
      <c r="AC151">
        <v>10</v>
      </c>
      <c r="AD151" t="s">
        <v>18</v>
      </c>
      <c r="AE151">
        <v>448.15</v>
      </c>
      <c r="AF151" t="s">
        <v>7539</v>
      </c>
      <c r="AG151" t="s">
        <v>7533</v>
      </c>
      <c r="AH151" t="s">
        <v>7253</v>
      </c>
      <c r="AI151" t="s">
        <v>7184</v>
      </c>
      <c r="AJ151" t="s">
        <v>7174</v>
      </c>
      <c r="AK151" t="s">
        <v>7174</v>
      </c>
    </row>
    <row r="152" spans="1:38" ht="22.05" customHeight="1" x14ac:dyDescent="0.3">
      <c r="A152" s="164" t="s">
        <v>7310</v>
      </c>
      <c r="B152" s="200" t="s">
        <v>7491</v>
      </c>
      <c r="C152" s="200" t="s">
        <v>7311</v>
      </c>
      <c r="D152" s="200" t="s">
        <v>7441</v>
      </c>
      <c r="E152" s="171">
        <v>8</v>
      </c>
      <c r="F152" s="167" t="s">
        <v>211</v>
      </c>
      <c r="G152" s="219">
        <v>10</v>
      </c>
      <c r="H152" s="206" t="s">
        <v>7540</v>
      </c>
      <c r="I152" s="206" t="s">
        <v>7541</v>
      </c>
      <c r="J152" s="206" t="s">
        <v>7542</v>
      </c>
      <c r="K152" s="226">
        <v>1</v>
      </c>
      <c r="AA152" t="s">
        <v>7543</v>
      </c>
      <c r="AB152" t="s">
        <v>7350</v>
      </c>
      <c r="AC152">
        <v>10</v>
      </c>
      <c r="AD152" t="s">
        <v>18</v>
      </c>
      <c r="AE152">
        <v>729</v>
      </c>
      <c r="AF152" t="s">
        <v>7544</v>
      </c>
      <c r="AG152" t="s">
        <v>7545</v>
      </c>
      <c r="AH152" t="s">
        <v>7253</v>
      </c>
      <c r="AI152" t="s">
        <v>7184</v>
      </c>
      <c r="AJ152" t="s">
        <v>7174</v>
      </c>
      <c r="AK152" t="s">
        <v>7174</v>
      </c>
    </row>
    <row r="153" spans="1:38" ht="22.05" customHeight="1" x14ac:dyDescent="0.3">
      <c r="A153" s="164" t="s">
        <v>7310</v>
      </c>
      <c r="B153" s="200" t="s">
        <v>7491</v>
      </c>
      <c r="C153" s="200" t="s">
        <v>7311</v>
      </c>
      <c r="D153" s="200" t="s">
        <v>7441</v>
      </c>
      <c r="E153" s="171">
        <v>9</v>
      </c>
      <c r="F153" s="167" t="s">
        <v>4269</v>
      </c>
      <c r="G153" s="208"/>
      <c r="H153" s="206" t="s">
        <v>7398</v>
      </c>
      <c r="I153" s="206" t="s">
        <v>7546</v>
      </c>
      <c r="J153" s="206" t="s">
        <v>7547</v>
      </c>
      <c r="K153" s="226">
        <v>16.12</v>
      </c>
      <c r="AA153" t="s">
        <v>7548</v>
      </c>
      <c r="AB153" t="s">
        <v>7357</v>
      </c>
      <c r="AC153">
        <v>10</v>
      </c>
      <c r="AD153" t="s">
        <v>18</v>
      </c>
      <c r="AE153">
        <v>1080.55</v>
      </c>
      <c r="AF153" t="s">
        <v>7549</v>
      </c>
      <c r="AG153" t="s">
        <v>7550</v>
      </c>
      <c r="AH153" t="s">
        <v>7253</v>
      </c>
      <c r="AI153" t="s">
        <v>7184</v>
      </c>
      <c r="AJ153" t="s">
        <v>7174</v>
      </c>
      <c r="AK153" t="s">
        <v>7174</v>
      </c>
    </row>
    <row r="154" spans="1:38" ht="22.05" customHeight="1" x14ac:dyDescent="0.3">
      <c r="A154" s="164" t="s">
        <v>7310</v>
      </c>
      <c r="B154" s="200" t="s">
        <v>6921</v>
      </c>
      <c r="C154" s="200" t="s">
        <v>6924</v>
      </c>
      <c r="D154" s="200" t="s">
        <v>7330</v>
      </c>
      <c r="E154" s="171">
        <v>1</v>
      </c>
      <c r="F154" s="167" t="s">
        <v>49</v>
      </c>
      <c r="G154" s="219">
        <v>242.42424242424241</v>
      </c>
      <c r="H154" s="206" t="s">
        <v>7313</v>
      </c>
      <c r="I154" s="206" t="s">
        <v>7551</v>
      </c>
      <c r="J154" s="206" t="s">
        <v>7552</v>
      </c>
      <c r="K154" s="226">
        <v>4.1250000000000002E-2</v>
      </c>
    </row>
    <row r="155" spans="1:38" ht="22.05" customHeight="1" x14ac:dyDescent="0.3">
      <c r="A155" s="164" t="s">
        <v>7310</v>
      </c>
      <c r="B155" s="200" t="s">
        <v>6921</v>
      </c>
      <c r="C155" s="200" t="s">
        <v>6924</v>
      </c>
      <c r="D155" s="200" t="s">
        <v>7330</v>
      </c>
      <c r="E155" s="171">
        <v>2</v>
      </c>
      <c r="F155" s="167" t="s">
        <v>45</v>
      </c>
      <c r="G155" s="219">
        <v>242.42424242424241</v>
      </c>
      <c r="H155" s="206" t="s">
        <v>7553</v>
      </c>
      <c r="I155" s="206" t="s">
        <v>7554</v>
      </c>
      <c r="J155" s="206" t="s">
        <v>7555</v>
      </c>
      <c r="K155" s="226">
        <v>4.1250000000000002E-2</v>
      </c>
    </row>
    <row r="156" spans="1:38" ht="22.05" customHeight="1" x14ac:dyDescent="0.3">
      <c r="A156" s="164" t="s">
        <v>7310</v>
      </c>
      <c r="B156" s="200" t="s">
        <v>6921</v>
      </c>
      <c r="C156" s="200" t="s">
        <v>6924</v>
      </c>
      <c r="D156" s="200" t="s">
        <v>7330</v>
      </c>
      <c r="E156" s="171">
        <v>3</v>
      </c>
      <c r="F156" s="167" t="s">
        <v>231</v>
      </c>
      <c r="G156" s="219">
        <v>25</v>
      </c>
      <c r="H156" s="206" t="s">
        <v>7331</v>
      </c>
      <c r="I156" s="206" t="s">
        <v>7556</v>
      </c>
      <c r="J156" s="206" t="s">
        <v>7557</v>
      </c>
      <c r="K156" s="226">
        <v>0.4</v>
      </c>
    </row>
    <row r="157" spans="1:38" ht="22.05" customHeight="1" x14ac:dyDescent="0.3">
      <c r="A157" s="164" t="s">
        <v>7310</v>
      </c>
      <c r="B157" s="200" t="s">
        <v>6921</v>
      </c>
      <c r="C157" s="200" t="s">
        <v>6924</v>
      </c>
      <c r="D157" s="200" t="s">
        <v>7330</v>
      </c>
      <c r="E157" s="171">
        <v>4</v>
      </c>
      <c r="F157" s="167" t="s">
        <v>211</v>
      </c>
      <c r="G157" s="219">
        <v>4.8780487804878057</v>
      </c>
      <c r="H157" s="206" t="s">
        <v>7340</v>
      </c>
      <c r="I157" s="206" t="s">
        <v>7558</v>
      </c>
      <c r="J157" s="206" t="s">
        <v>7559</v>
      </c>
      <c r="K157" s="226">
        <v>2.0499999999999998</v>
      </c>
    </row>
    <row r="158" spans="1:38" ht="22.05" customHeight="1" x14ac:dyDescent="0.3">
      <c r="A158" s="164" t="s">
        <v>7310</v>
      </c>
      <c r="B158" s="200" t="s">
        <v>7345</v>
      </c>
      <c r="C158" s="200" t="s">
        <v>6924</v>
      </c>
      <c r="D158" s="200" t="s">
        <v>7330</v>
      </c>
      <c r="E158" s="171">
        <v>1</v>
      </c>
      <c r="F158" s="167" t="s">
        <v>49</v>
      </c>
      <c r="G158" s="219">
        <v>160</v>
      </c>
      <c r="H158" s="206" t="s">
        <v>7346</v>
      </c>
      <c r="I158" s="206" t="s">
        <v>7560</v>
      </c>
      <c r="J158" s="206" t="s">
        <v>7561</v>
      </c>
      <c r="K158" s="226">
        <v>6.25E-2</v>
      </c>
    </row>
    <row r="159" spans="1:38" ht="22.05" customHeight="1" x14ac:dyDescent="0.3">
      <c r="A159" s="164" t="s">
        <v>7310</v>
      </c>
      <c r="B159" s="200" t="s">
        <v>7345</v>
      </c>
      <c r="C159" s="200" t="s">
        <v>6924</v>
      </c>
      <c r="D159" s="200" t="s">
        <v>7330</v>
      </c>
      <c r="E159" s="171">
        <v>2</v>
      </c>
      <c r="F159" s="167" t="s">
        <v>43</v>
      </c>
      <c r="G159" s="219">
        <v>160</v>
      </c>
      <c r="H159" s="206" t="s">
        <v>7353</v>
      </c>
      <c r="I159" s="206" t="s">
        <v>7562</v>
      </c>
      <c r="J159" s="206" t="s">
        <v>7563</v>
      </c>
      <c r="K159" s="226">
        <v>6.25E-2</v>
      </c>
    </row>
    <row r="160" spans="1:38" ht="22.05" customHeight="1" x14ac:dyDescent="0.3">
      <c r="A160" s="164" t="s">
        <v>7310</v>
      </c>
      <c r="B160" s="200" t="s">
        <v>7345</v>
      </c>
      <c r="C160" s="200" t="s">
        <v>6924</v>
      </c>
      <c r="D160" s="200" t="s">
        <v>7330</v>
      </c>
      <c r="E160" s="171">
        <v>3</v>
      </c>
      <c r="F160" s="167" t="s">
        <v>239</v>
      </c>
      <c r="G160" s="219">
        <v>11.29943502824859</v>
      </c>
      <c r="H160" s="206" t="s">
        <v>7360</v>
      </c>
      <c r="I160" s="206" t="s">
        <v>7564</v>
      </c>
      <c r="J160" s="206" t="s">
        <v>7565</v>
      </c>
      <c r="K160" s="226">
        <v>0.88500000000000001</v>
      </c>
    </row>
    <row r="161" spans="1:11" ht="22.05" customHeight="1" x14ac:dyDescent="0.3">
      <c r="A161" s="164" t="s">
        <v>7310</v>
      </c>
      <c r="B161" s="200" t="s">
        <v>7345</v>
      </c>
      <c r="C161" s="200" t="s">
        <v>6924</v>
      </c>
      <c r="D161" s="200" t="s">
        <v>7330</v>
      </c>
      <c r="E161" s="171">
        <v>4</v>
      </c>
      <c r="F161" s="167" t="s">
        <v>241</v>
      </c>
      <c r="G161" s="219">
        <v>5.6657223796034</v>
      </c>
      <c r="H161" s="206" t="s">
        <v>7360</v>
      </c>
      <c r="I161" s="206" t="s">
        <v>7566</v>
      </c>
      <c r="J161" s="206" t="s">
        <v>7567</v>
      </c>
      <c r="K161" s="226">
        <v>1.7649999999999999</v>
      </c>
    </row>
    <row r="162" spans="1:11" ht="22.05" customHeight="1" x14ac:dyDescent="0.3">
      <c r="A162" s="164" t="s">
        <v>7310</v>
      </c>
      <c r="B162" s="200" t="s">
        <v>7345</v>
      </c>
      <c r="C162" s="200" t="s">
        <v>6924</v>
      </c>
      <c r="D162" s="200" t="s">
        <v>7330</v>
      </c>
      <c r="E162" s="171">
        <v>5</v>
      </c>
      <c r="F162" s="167" t="s">
        <v>243</v>
      </c>
      <c r="G162" s="219">
        <v>18.867924528301881</v>
      </c>
      <c r="H162" s="206" t="s">
        <v>7360</v>
      </c>
      <c r="I162" s="206" t="s">
        <v>7568</v>
      </c>
      <c r="J162" s="206" t="s">
        <v>7569</v>
      </c>
      <c r="K162" s="226">
        <v>0.53</v>
      </c>
    </row>
    <row r="163" spans="1:11" ht="22.05" customHeight="1" x14ac:dyDescent="0.3">
      <c r="A163" s="164" t="s">
        <v>7310</v>
      </c>
      <c r="B163" s="200" t="s">
        <v>7345</v>
      </c>
      <c r="C163" s="200" t="s">
        <v>6924</v>
      </c>
      <c r="D163" s="200" t="s">
        <v>7330</v>
      </c>
      <c r="E163" s="171">
        <v>6</v>
      </c>
      <c r="F163" s="167" t="s">
        <v>209</v>
      </c>
      <c r="G163" s="219">
        <v>20</v>
      </c>
      <c r="H163" s="206" t="s">
        <v>7386</v>
      </c>
      <c r="I163" s="206" t="s">
        <v>7387</v>
      </c>
      <c r="J163" s="206" t="s">
        <v>7570</v>
      </c>
      <c r="K163" s="226">
        <v>0.5</v>
      </c>
    </row>
    <row r="164" spans="1:11" ht="22.05" customHeight="1" x14ac:dyDescent="0.3">
      <c r="A164" s="164" t="s">
        <v>7310</v>
      </c>
      <c r="B164" s="200" t="s">
        <v>7345</v>
      </c>
      <c r="C164" s="200" t="s">
        <v>6924</v>
      </c>
      <c r="D164" s="200" t="s">
        <v>7330</v>
      </c>
      <c r="E164" s="171">
        <v>7</v>
      </c>
      <c r="F164" s="167" t="s">
        <v>211</v>
      </c>
      <c r="G164" s="219">
        <v>7.6923076923076916</v>
      </c>
      <c r="H164" s="206" t="s">
        <v>7392</v>
      </c>
      <c r="I164" s="206" t="s">
        <v>7571</v>
      </c>
      <c r="J164" s="206" t="s">
        <v>7572</v>
      </c>
      <c r="K164" s="226">
        <v>1.3</v>
      </c>
    </row>
    <row r="165" spans="1:11" ht="22.05" customHeight="1" x14ac:dyDescent="0.3">
      <c r="A165" s="164" t="s">
        <v>7310</v>
      </c>
      <c r="B165" s="200" t="s">
        <v>7345</v>
      </c>
      <c r="C165" s="200" t="s">
        <v>6924</v>
      </c>
      <c r="D165" s="200" t="s">
        <v>7330</v>
      </c>
      <c r="E165" s="171">
        <v>8</v>
      </c>
      <c r="F165" s="167" t="s">
        <v>4269</v>
      </c>
      <c r="G165" s="208"/>
      <c r="H165" s="206" t="s">
        <v>7398</v>
      </c>
      <c r="I165" s="206" t="s">
        <v>7573</v>
      </c>
      <c r="J165" s="206" t="s">
        <v>7574</v>
      </c>
      <c r="K165" s="226">
        <v>13.52</v>
      </c>
    </row>
    <row r="166" spans="1:11" ht="22.05" customHeight="1" x14ac:dyDescent="0.3">
      <c r="A166" s="164" t="s">
        <v>7310</v>
      </c>
      <c r="B166" s="200" t="s">
        <v>7404</v>
      </c>
      <c r="C166" s="200" t="s">
        <v>6924</v>
      </c>
      <c r="D166" s="200" t="s">
        <v>7433</v>
      </c>
      <c r="E166" s="171">
        <v>1</v>
      </c>
      <c r="F166" s="167" t="s">
        <v>49</v>
      </c>
      <c r="G166" s="219">
        <v>80</v>
      </c>
      <c r="H166" s="206" t="s">
        <v>7406</v>
      </c>
      <c r="I166" s="206" t="s">
        <v>7407</v>
      </c>
      <c r="J166" s="206" t="s">
        <v>7575</v>
      </c>
      <c r="K166" s="226">
        <v>0.125</v>
      </c>
    </row>
    <row r="167" spans="1:11" ht="22.05" customHeight="1" x14ac:dyDescent="0.3">
      <c r="A167" s="164" t="s">
        <v>7310</v>
      </c>
      <c r="B167" s="200" t="s">
        <v>7404</v>
      </c>
      <c r="C167" s="200" t="s">
        <v>6924</v>
      </c>
      <c r="D167" s="200" t="s">
        <v>7433</v>
      </c>
      <c r="E167" s="171">
        <v>2</v>
      </c>
      <c r="F167" s="167" t="s">
        <v>43</v>
      </c>
      <c r="G167" s="219">
        <v>80</v>
      </c>
      <c r="H167" s="206" t="s">
        <v>7353</v>
      </c>
      <c r="I167" s="206" t="s">
        <v>7417</v>
      </c>
      <c r="J167" s="206" t="s">
        <v>7576</v>
      </c>
      <c r="K167" s="226">
        <v>0.125</v>
      </c>
    </row>
    <row r="168" spans="1:11" ht="22.05" customHeight="1" x14ac:dyDescent="0.3">
      <c r="A168" s="164" t="s">
        <v>7310</v>
      </c>
      <c r="B168" s="200" t="s">
        <v>7404</v>
      </c>
      <c r="C168" s="200" t="s">
        <v>6924</v>
      </c>
      <c r="D168" s="200" t="s">
        <v>7433</v>
      </c>
      <c r="E168" s="171">
        <v>3</v>
      </c>
      <c r="F168" s="167" t="s">
        <v>239</v>
      </c>
      <c r="G168" s="219">
        <v>8.064516129032258</v>
      </c>
      <c r="H168" s="206" t="s">
        <v>7425</v>
      </c>
      <c r="I168" s="206" t="s">
        <v>7577</v>
      </c>
      <c r="J168" s="206" t="s">
        <v>7578</v>
      </c>
      <c r="K168" s="226">
        <v>1.24</v>
      </c>
    </row>
    <row r="169" spans="1:11" ht="22.05" customHeight="1" x14ac:dyDescent="0.3">
      <c r="A169" s="164" t="s">
        <v>7310</v>
      </c>
      <c r="B169" s="200" t="s">
        <v>7404</v>
      </c>
      <c r="C169" s="200" t="s">
        <v>6924</v>
      </c>
      <c r="D169" s="200" t="s">
        <v>7433</v>
      </c>
      <c r="E169" s="171">
        <v>4</v>
      </c>
      <c r="F169" s="167" t="s">
        <v>241</v>
      </c>
      <c r="G169" s="219">
        <v>3.333333333333333</v>
      </c>
      <c r="H169" s="206" t="s">
        <v>7425</v>
      </c>
      <c r="I169" s="206" t="s">
        <v>7579</v>
      </c>
      <c r="J169" s="206" t="s">
        <v>7580</v>
      </c>
      <c r="K169" s="226">
        <v>3</v>
      </c>
    </row>
    <row r="170" spans="1:11" ht="22.05" customHeight="1" x14ac:dyDescent="0.3">
      <c r="A170" s="164" t="s">
        <v>7310</v>
      </c>
      <c r="B170" s="200" t="s">
        <v>7404</v>
      </c>
      <c r="C170" s="200" t="s">
        <v>6924</v>
      </c>
      <c r="D170" s="200" t="s">
        <v>7433</v>
      </c>
      <c r="E170" s="171">
        <v>5</v>
      </c>
      <c r="F170" s="167" t="s">
        <v>243</v>
      </c>
      <c r="G170" s="219">
        <v>9.4339622641509422</v>
      </c>
      <c r="H170" s="206" t="s">
        <v>7425</v>
      </c>
      <c r="I170" s="206" t="s">
        <v>7581</v>
      </c>
      <c r="J170" s="206" t="s">
        <v>7582</v>
      </c>
      <c r="K170" s="226">
        <v>1.06</v>
      </c>
    </row>
    <row r="171" spans="1:11" ht="22.05" customHeight="1" x14ac:dyDescent="0.3">
      <c r="A171" s="164" t="s">
        <v>7310</v>
      </c>
      <c r="B171" s="200" t="s">
        <v>7404</v>
      </c>
      <c r="C171" s="200" t="s">
        <v>6924</v>
      </c>
      <c r="D171" s="200" t="s">
        <v>7433</v>
      </c>
      <c r="E171" s="171">
        <v>6</v>
      </c>
      <c r="F171" s="167" t="s">
        <v>209</v>
      </c>
      <c r="G171" s="219">
        <v>20</v>
      </c>
      <c r="H171" s="206" t="s">
        <v>7450</v>
      </c>
      <c r="I171" s="206" t="s">
        <v>7387</v>
      </c>
      <c r="J171" s="206" t="s">
        <v>7583</v>
      </c>
      <c r="K171" s="226">
        <v>0.5</v>
      </c>
    </row>
    <row r="172" spans="1:11" ht="22.05" customHeight="1" x14ac:dyDescent="0.3">
      <c r="A172" s="164" t="s">
        <v>7310</v>
      </c>
      <c r="B172" s="200" t="s">
        <v>7404</v>
      </c>
      <c r="C172" s="200" t="s">
        <v>6924</v>
      </c>
      <c r="D172" s="200" t="s">
        <v>7433</v>
      </c>
      <c r="E172" s="171">
        <v>7</v>
      </c>
      <c r="F172" s="167" t="s">
        <v>211</v>
      </c>
      <c r="G172" s="219">
        <v>7.6923076923076916</v>
      </c>
      <c r="H172" s="206" t="s">
        <v>7460</v>
      </c>
      <c r="I172" s="206" t="s">
        <v>7571</v>
      </c>
      <c r="J172" s="206" t="s">
        <v>7584</v>
      </c>
      <c r="K172" s="226">
        <v>1.3</v>
      </c>
    </row>
    <row r="173" spans="1:11" ht="22.05" customHeight="1" x14ac:dyDescent="0.3">
      <c r="A173" s="164" t="s">
        <v>7310</v>
      </c>
      <c r="B173" s="200" t="s">
        <v>7404</v>
      </c>
      <c r="C173" s="200" t="s">
        <v>6924</v>
      </c>
      <c r="D173" s="200" t="s">
        <v>7433</v>
      </c>
      <c r="E173" s="171">
        <v>8</v>
      </c>
      <c r="F173" s="167" t="s">
        <v>382</v>
      </c>
      <c r="G173" s="208"/>
      <c r="H173" s="206" t="s">
        <v>7585</v>
      </c>
      <c r="I173" s="206" t="s">
        <v>7586</v>
      </c>
      <c r="J173" s="206" t="s">
        <v>7587</v>
      </c>
      <c r="K173" s="226">
        <v>6.42</v>
      </c>
    </row>
    <row r="174" spans="1:11" ht="22.05" customHeight="1" x14ac:dyDescent="0.3">
      <c r="A174" s="164" t="s">
        <v>7310</v>
      </c>
      <c r="B174" s="200" t="s">
        <v>7404</v>
      </c>
      <c r="C174" s="200" t="s">
        <v>6924</v>
      </c>
      <c r="D174" s="200" t="s">
        <v>7433</v>
      </c>
      <c r="E174" s="171">
        <v>9</v>
      </c>
      <c r="F174" s="167" t="s">
        <v>384</v>
      </c>
      <c r="G174" s="208"/>
      <c r="H174" s="206" t="s">
        <v>7588</v>
      </c>
      <c r="I174" s="206" t="s">
        <v>7589</v>
      </c>
      <c r="J174" s="206" t="s">
        <v>7590</v>
      </c>
      <c r="K174" s="226">
        <v>7</v>
      </c>
    </row>
    <row r="175" spans="1:11" ht="22.05" customHeight="1" x14ac:dyDescent="0.3">
      <c r="A175" s="164" t="s">
        <v>7310</v>
      </c>
      <c r="B175" s="200" t="s">
        <v>7404</v>
      </c>
      <c r="C175" s="200" t="s">
        <v>6924</v>
      </c>
      <c r="D175" s="200" t="s">
        <v>7433</v>
      </c>
      <c r="E175" s="171">
        <v>10</v>
      </c>
      <c r="F175" s="167" t="s">
        <v>4269</v>
      </c>
      <c r="G175" s="208"/>
      <c r="H175" s="206" t="s">
        <v>7398</v>
      </c>
      <c r="I175" s="206" t="s">
        <v>7591</v>
      </c>
      <c r="J175" s="206" t="s">
        <v>7592</v>
      </c>
      <c r="K175" s="226">
        <v>18.850000000000001</v>
      </c>
    </row>
    <row r="176" spans="1:11" ht="22.05" customHeight="1" x14ac:dyDescent="0.3">
      <c r="A176" s="164" t="s">
        <v>7310</v>
      </c>
      <c r="B176" s="200" t="s">
        <v>7491</v>
      </c>
      <c r="C176" s="200" t="s">
        <v>6924</v>
      </c>
      <c r="D176" s="200" t="s">
        <v>7359</v>
      </c>
      <c r="E176" s="171">
        <v>1</v>
      </c>
      <c r="F176" s="167" t="s">
        <v>49</v>
      </c>
      <c r="G176" s="219">
        <v>80</v>
      </c>
      <c r="H176" s="206" t="s">
        <v>7492</v>
      </c>
      <c r="I176" s="206" t="s">
        <v>7407</v>
      </c>
      <c r="J176" s="206" t="s">
        <v>7593</v>
      </c>
      <c r="K176" s="226">
        <v>0.125</v>
      </c>
    </row>
    <row r="177" spans="1:11" ht="22.05" customHeight="1" x14ac:dyDescent="0.3">
      <c r="A177" s="164" t="s">
        <v>7310</v>
      </c>
      <c r="B177" s="200" t="s">
        <v>7491</v>
      </c>
      <c r="C177" s="200" t="s">
        <v>6924</v>
      </c>
      <c r="D177" s="200" t="s">
        <v>7359</v>
      </c>
      <c r="E177" s="171">
        <v>2</v>
      </c>
      <c r="F177" s="167" t="s">
        <v>43</v>
      </c>
      <c r="G177" s="219">
        <v>80</v>
      </c>
      <c r="H177" s="206" t="s">
        <v>7353</v>
      </c>
      <c r="I177" s="206" t="s">
        <v>7417</v>
      </c>
      <c r="J177" s="206" t="s">
        <v>7594</v>
      </c>
      <c r="K177" s="226">
        <v>0.125</v>
      </c>
    </row>
    <row r="178" spans="1:11" ht="22.05" customHeight="1" x14ac:dyDescent="0.3">
      <c r="A178" s="164" t="s">
        <v>7310</v>
      </c>
      <c r="B178" s="200" t="s">
        <v>7491</v>
      </c>
      <c r="C178" s="200" t="s">
        <v>6924</v>
      </c>
      <c r="D178" s="200" t="s">
        <v>7359</v>
      </c>
      <c r="E178" s="171">
        <v>3</v>
      </c>
      <c r="F178" s="167" t="s">
        <v>239</v>
      </c>
      <c r="G178" s="219">
        <v>3.773584905660377</v>
      </c>
      <c r="H178" s="206" t="s">
        <v>7505</v>
      </c>
      <c r="I178" s="206" t="s">
        <v>7595</v>
      </c>
      <c r="J178" s="206" t="s">
        <v>7596</v>
      </c>
      <c r="K178" s="226">
        <v>2.65</v>
      </c>
    </row>
    <row r="179" spans="1:11" ht="22.05" customHeight="1" x14ac:dyDescent="0.3">
      <c r="A179" s="164" t="s">
        <v>7310</v>
      </c>
      <c r="B179" s="200" t="s">
        <v>7491</v>
      </c>
      <c r="C179" s="200" t="s">
        <v>6924</v>
      </c>
      <c r="D179" s="200" t="s">
        <v>7359</v>
      </c>
      <c r="E179" s="171">
        <v>4</v>
      </c>
      <c r="F179" s="167" t="s">
        <v>241</v>
      </c>
      <c r="G179" s="219">
        <v>1.619433198380567</v>
      </c>
      <c r="H179" s="206" t="s">
        <v>7505</v>
      </c>
      <c r="I179" s="206" t="s">
        <v>7597</v>
      </c>
      <c r="J179" s="206" t="s">
        <v>7598</v>
      </c>
      <c r="K179" s="226">
        <v>6.1749999999999998</v>
      </c>
    </row>
    <row r="180" spans="1:11" ht="22.05" customHeight="1" x14ac:dyDescent="0.3">
      <c r="A180" s="164" t="s">
        <v>7310</v>
      </c>
      <c r="B180" s="200" t="s">
        <v>7491</v>
      </c>
      <c r="C180" s="200" t="s">
        <v>6924</v>
      </c>
      <c r="D180" s="200" t="s">
        <v>7359</v>
      </c>
      <c r="E180" s="171">
        <v>5</v>
      </c>
      <c r="F180" s="167" t="s">
        <v>245</v>
      </c>
      <c r="G180" s="219">
        <v>9.4339622641509422</v>
      </c>
      <c r="H180" s="206" t="s">
        <v>7505</v>
      </c>
      <c r="I180" s="206" t="s">
        <v>7521</v>
      </c>
      <c r="J180" s="206" t="s">
        <v>7599</v>
      </c>
      <c r="K180" s="226">
        <v>1.06</v>
      </c>
    </row>
    <row r="181" spans="1:11" ht="22.05" customHeight="1" x14ac:dyDescent="0.3">
      <c r="A181" s="164" t="s">
        <v>7310</v>
      </c>
      <c r="B181" s="200" t="s">
        <v>7491</v>
      </c>
      <c r="C181" s="200" t="s">
        <v>6924</v>
      </c>
      <c r="D181" s="200" t="s">
        <v>7359</v>
      </c>
      <c r="E181" s="171">
        <v>6</v>
      </c>
      <c r="F181" s="167" t="s">
        <v>201</v>
      </c>
      <c r="G181" s="219">
        <v>57.142857142857153</v>
      </c>
      <c r="H181" s="206" t="s">
        <v>7600</v>
      </c>
      <c r="I181" s="206" t="s">
        <v>7529</v>
      </c>
      <c r="J181" s="206" t="s">
        <v>7601</v>
      </c>
      <c r="K181" s="226">
        <v>0.17499999999999999</v>
      </c>
    </row>
    <row r="182" spans="1:11" ht="22.05" customHeight="1" x14ac:dyDescent="0.3">
      <c r="A182" s="164" t="s">
        <v>7310</v>
      </c>
      <c r="B182" s="200" t="s">
        <v>7491</v>
      </c>
      <c r="C182" s="200" t="s">
        <v>6924</v>
      </c>
      <c r="D182" s="200" t="s">
        <v>7359</v>
      </c>
      <c r="E182" s="171">
        <v>7</v>
      </c>
      <c r="F182" s="167" t="s">
        <v>209</v>
      </c>
      <c r="G182" s="219">
        <v>13.33333333333333</v>
      </c>
      <c r="H182" s="206" t="s">
        <v>7535</v>
      </c>
      <c r="I182" s="206" t="s">
        <v>7536</v>
      </c>
      <c r="J182" s="206" t="s">
        <v>7602</v>
      </c>
      <c r="K182" s="226">
        <v>0.75</v>
      </c>
    </row>
    <row r="183" spans="1:11" ht="22.05" customHeight="1" x14ac:dyDescent="0.3">
      <c r="A183" s="164" t="s">
        <v>7310</v>
      </c>
      <c r="B183" s="200" t="s">
        <v>7491</v>
      </c>
      <c r="C183" s="200" t="s">
        <v>6924</v>
      </c>
      <c r="D183" s="200" t="s">
        <v>7359</v>
      </c>
      <c r="E183" s="171">
        <v>8</v>
      </c>
      <c r="F183" s="167" t="s">
        <v>211</v>
      </c>
      <c r="G183" s="219">
        <v>6.666666666666667</v>
      </c>
      <c r="H183" s="206" t="s">
        <v>7540</v>
      </c>
      <c r="I183" s="206" t="s">
        <v>7603</v>
      </c>
      <c r="J183" s="206" t="s">
        <v>7604</v>
      </c>
      <c r="K183" s="226">
        <v>1.5</v>
      </c>
    </row>
    <row r="184" spans="1:11" ht="22.05" customHeight="1" x14ac:dyDescent="0.3">
      <c r="A184" s="164" t="s">
        <v>7310</v>
      </c>
      <c r="B184" s="200" t="s">
        <v>7491</v>
      </c>
      <c r="C184" s="200" t="s">
        <v>6924</v>
      </c>
      <c r="D184" s="200" t="s">
        <v>7359</v>
      </c>
      <c r="E184" s="171">
        <v>9</v>
      </c>
      <c r="F184" s="167" t="s">
        <v>4269</v>
      </c>
      <c r="G184" s="208"/>
      <c r="H184" s="206" t="s">
        <v>7398</v>
      </c>
      <c r="I184" s="206" t="s">
        <v>7605</v>
      </c>
      <c r="J184" s="206" t="s">
        <v>7606</v>
      </c>
      <c r="K184" s="226">
        <v>17.940000000000001</v>
      </c>
    </row>
    <row r="185" spans="1:11" ht="22.05" customHeight="1" x14ac:dyDescent="0.3">
      <c r="A185" s="164" t="s">
        <v>7310</v>
      </c>
      <c r="B185" s="200" t="s">
        <v>6921</v>
      </c>
      <c r="C185" s="200" t="s">
        <v>6924</v>
      </c>
      <c r="D185" s="200" t="s">
        <v>7397</v>
      </c>
      <c r="E185" s="171">
        <v>1</v>
      </c>
      <c r="F185" s="167" t="s">
        <v>4551</v>
      </c>
      <c r="G185" s="208"/>
      <c r="H185" s="206" t="s">
        <v>7607</v>
      </c>
      <c r="I185" s="206" t="s">
        <v>7608</v>
      </c>
      <c r="J185" s="206" t="s">
        <v>7609</v>
      </c>
      <c r="K185" s="226">
        <v>0.47249999999999998</v>
      </c>
    </row>
    <row r="186" spans="1:11" ht="22.05" customHeight="1" x14ac:dyDescent="0.3">
      <c r="A186" s="164" t="s">
        <v>7310</v>
      </c>
      <c r="B186" s="200" t="s">
        <v>6921</v>
      </c>
      <c r="C186" s="200" t="s">
        <v>6924</v>
      </c>
      <c r="D186" s="200" t="s">
        <v>7397</v>
      </c>
      <c r="E186" s="171">
        <v>2</v>
      </c>
      <c r="F186" s="167" t="s">
        <v>4512</v>
      </c>
      <c r="G186" s="208"/>
      <c r="H186" s="206" t="s">
        <v>7610</v>
      </c>
      <c r="I186" s="206" t="s">
        <v>7611</v>
      </c>
      <c r="J186" s="206" t="s">
        <v>7612</v>
      </c>
      <c r="K186" s="226">
        <v>0.47249999999999998</v>
      </c>
    </row>
    <row r="187" spans="1:11" ht="22.05" customHeight="1" x14ac:dyDescent="0.3">
      <c r="A187" s="164" t="s">
        <v>7310</v>
      </c>
      <c r="B187" s="200" t="s">
        <v>6921</v>
      </c>
      <c r="C187" s="200" t="s">
        <v>6924</v>
      </c>
      <c r="D187" s="200" t="s">
        <v>7385</v>
      </c>
      <c r="E187" s="171">
        <v>1</v>
      </c>
      <c r="F187" s="167" t="s">
        <v>4551</v>
      </c>
      <c r="G187" s="208"/>
      <c r="H187" s="206" t="s">
        <v>7613</v>
      </c>
      <c r="I187" s="206" t="s">
        <v>7614</v>
      </c>
      <c r="J187" s="206" t="s">
        <v>7615</v>
      </c>
      <c r="K187" s="226">
        <v>0.77170000000000005</v>
      </c>
    </row>
    <row r="188" spans="1:11" ht="22.05" customHeight="1" x14ac:dyDescent="0.3">
      <c r="A188" s="164" t="s">
        <v>7310</v>
      </c>
      <c r="B188" s="200" t="s">
        <v>6921</v>
      </c>
      <c r="C188" s="200" t="s">
        <v>6924</v>
      </c>
      <c r="D188" s="200" t="s">
        <v>7385</v>
      </c>
      <c r="E188" s="171">
        <v>2</v>
      </c>
      <c r="F188" s="167" t="s">
        <v>4512</v>
      </c>
      <c r="G188" s="208"/>
      <c r="H188" s="206" t="s">
        <v>7616</v>
      </c>
      <c r="I188" s="206" t="s">
        <v>7617</v>
      </c>
      <c r="J188" s="206" t="s">
        <v>7618</v>
      </c>
      <c r="K188" s="226">
        <v>0.77170000000000005</v>
      </c>
    </row>
    <row r="189" spans="1:11" ht="22.05" customHeight="1" x14ac:dyDescent="0.3">
      <c r="A189" s="164" t="s">
        <v>7310</v>
      </c>
      <c r="B189" s="200" t="s">
        <v>6921</v>
      </c>
      <c r="C189" s="200" t="s">
        <v>6924</v>
      </c>
      <c r="D189" s="200" t="s">
        <v>7391</v>
      </c>
      <c r="E189" s="171">
        <v>1</v>
      </c>
      <c r="F189" s="167" t="s">
        <v>4551</v>
      </c>
      <c r="G189" s="208"/>
      <c r="H189" s="206" t="s">
        <v>7619</v>
      </c>
      <c r="I189" s="206" t="s">
        <v>7620</v>
      </c>
      <c r="J189" s="206" t="s">
        <v>7621</v>
      </c>
      <c r="K189" s="226">
        <v>1.2048000000000001</v>
      </c>
    </row>
    <row r="190" spans="1:11" ht="22.05" customHeight="1" x14ac:dyDescent="0.3">
      <c r="A190" s="164" t="s">
        <v>7310</v>
      </c>
      <c r="B190" s="200" t="s">
        <v>6921</v>
      </c>
      <c r="C190" s="200" t="s">
        <v>6924</v>
      </c>
      <c r="D190" s="200" t="s">
        <v>7391</v>
      </c>
      <c r="E190" s="171">
        <v>2</v>
      </c>
      <c r="F190" s="167" t="s">
        <v>4512</v>
      </c>
      <c r="G190" s="208"/>
      <c r="H190" s="206" t="s">
        <v>7622</v>
      </c>
      <c r="I190" s="206" t="s">
        <v>7623</v>
      </c>
      <c r="J190" s="206" t="s">
        <v>7624</v>
      </c>
      <c r="K190" s="226">
        <v>1.2048000000000001</v>
      </c>
    </row>
    <row r="191" spans="1:11" ht="22.05" customHeight="1" x14ac:dyDescent="0.3">
      <c r="A191" s="164" t="s">
        <v>7310</v>
      </c>
      <c r="B191" s="200" t="s">
        <v>6921</v>
      </c>
      <c r="C191" s="200" t="s">
        <v>7625</v>
      </c>
      <c r="D191" s="200" t="s">
        <v>7280</v>
      </c>
      <c r="E191" s="171">
        <v>1</v>
      </c>
      <c r="F191" s="167" t="s">
        <v>7626</v>
      </c>
      <c r="G191" s="208"/>
      <c r="H191" s="206" t="s">
        <v>7627</v>
      </c>
      <c r="I191" s="206" t="s">
        <v>7628</v>
      </c>
      <c r="J191" s="206" t="s">
        <v>7629</v>
      </c>
      <c r="K191" s="226">
        <v>1.27</v>
      </c>
    </row>
    <row r="192" spans="1:11" ht="22.05" customHeight="1" x14ac:dyDescent="0.3">
      <c r="A192" s="164" t="s">
        <v>7310</v>
      </c>
      <c r="B192" s="200" t="s">
        <v>6921</v>
      </c>
      <c r="C192" s="200" t="s">
        <v>7630</v>
      </c>
      <c r="D192" s="200" t="s">
        <v>7287</v>
      </c>
      <c r="E192" s="171">
        <v>1</v>
      </c>
      <c r="F192" s="167" t="s">
        <v>7626</v>
      </c>
      <c r="G192" s="208"/>
      <c r="H192" s="206" t="s">
        <v>7631</v>
      </c>
      <c r="I192" s="206" t="s">
        <v>7632</v>
      </c>
      <c r="J192" s="206" t="s">
        <v>7633</v>
      </c>
      <c r="K192" s="226">
        <v>3.1503999999999999</v>
      </c>
    </row>
    <row r="193" spans="1:11" ht="22.05" customHeight="1" x14ac:dyDescent="0.3">
      <c r="A193" s="164" t="s">
        <v>7310</v>
      </c>
      <c r="B193" s="200" t="s">
        <v>7345</v>
      </c>
      <c r="C193" s="200" t="s">
        <v>6924</v>
      </c>
      <c r="D193" s="200" t="s">
        <v>7403</v>
      </c>
      <c r="E193" s="171">
        <v>1</v>
      </c>
      <c r="F193" s="167" t="s">
        <v>4569</v>
      </c>
      <c r="G193" s="208"/>
      <c r="H193" s="206" t="s">
        <v>7634</v>
      </c>
      <c r="I193" s="206" t="s">
        <v>7635</v>
      </c>
      <c r="J193" s="206" t="s">
        <v>7636</v>
      </c>
      <c r="K193" s="226">
        <v>0.47249999999999998</v>
      </c>
    </row>
    <row r="194" spans="1:11" ht="22.05" customHeight="1" x14ac:dyDescent="0.3">
      <c r="A194" s="164" t="s">
        <v>7310</v>
      </c>
      <c r="B194" s="200" t="s">
        <v>7345</v>
      </c>
      <c r="C194" s="200" t="s">
        <v>6924</v>
      </c>
      <c r="D194" s="200" t="s">
        <v>7403</v>
      </c>
      <c r="E194" s="171">
        <v>2</v>
      </c>
      <c r="F194" s="167" t="s">
        <v>4512</v>
      </c>
      <c r="G194" s="208"/>
      <c r="H194" s="206" t="s">
        <v>7637</v>
      </c>
      <c r="I194" s="206" t="s">
        <v>7635</v>
      </c>
      <c r="J194" s="206" t="s">
        <v>7638</v>
      </c>
      <c r="K194" s="226">
        <v>0.47249999999999998</v>
      </c>
    </row>
    <row r="195" spans="1:11" ht="22.05" customHeight="1" x14ac:dyDescent="0.3">
      <c r="A195" s="164" t="s">
        <v>7310</v>
      </c>
      <c r="B195" s="200" t="s">
        <v>7345</v>
      </c>
      <c r="C195" s="200" t="s">
        <v>6924</v>
      </c>
      <c r="D195" s="200" t="s">
        <v>7403</v>
      </c>
      <c r="E195" s="171">
        <v>3</v>
      </c>
      <c r="F195" s="167" t="s">
        <v>209</v>
      </c>
      <c r="G195" s="220">
        <v>90.009000900090015</v>
      </c>
      <c r="H195" s="206" t="s">
        <v>7386</v>
      </c>
      <c r="I195" s="206" t="s">
        <v>7639</v>
      </c>
      <c r="J195" s="206" t="s">
        <v>7640</v>
      </c>
      <c r="K195" s="226">
        <v>1.111E-2</v>
      </c>
    </row>
    <row r="196" spans="1:11" ht="22.05" customHeight="1" x14ac:dyDescent="0.3">
      <c r="A196" s="164" t="s">
        <v>7310</v>
      </c>
      <c r="B196" s="200" t="s">
        <v>6921</v>
      </c>
      <c r="C196" s="200" t="s">
        <v>6924</v>
      </c>
      <c r="D196" s="200" t="s">
        <v>7293</v>
      </c>
      <c r="E196" s="171">
        <v>1</v>
      </c>
      <c r="F196" s="167" t="s">
        <v>7641</v>
      </c>
      <c r="G196" s="208"/>
      <c r="H196" s="206" t="s">
        <v>7642</v>
      </c>
      <c r="I196" s="206" t="s">
        <v>7643</v>
      </c>
      <c r="J196" s="206" t="s">
        <v>7644</v>
      </c>
      <c r="K196" s="226">
        <v>0.2</v>
      </c>
    </row>
    <row r="197" spans="1:11" ht="22.05" customHeight="1" x14ac:dyDescent="0.3">
      <c r="A197" s="164" t="s">
        <v>7310</v>
      </c>
      <c r="B197" s="200" t="s">
        <v>6921</v>
      </c>
      <c r="C197" s="200" t="s">
        <v>6924</v>
      </c>
      <c r="D197" s="200" t="s">
        <v>7270</v>
      </c>
      <c r="E197" s="171">
        <v>1</v>
      </c>
      <c r="F197" s="167" t="s">
        <v>7641</v>
      </c>
      <c r="G197" s="208"/>
      <c r="H197" s="206" t="s">
        <v>7645</v>
      </c>
      <c r="I197" s="206" t="s">
        <v>7646</v>
      </c>
      <c r="J197" s="206" t="s">
        <v>7647</v>
      </c>
      <c r="K197" s="226">
        <v>0.25</v>
      </c>
    </row>
    <row r="198" spans="1:11" ht="22.05" customHeight="1" x14ac:dyDescent="0.3">
      <c r="A198" s="164" t="s">
        <v>7648</v>
      </c>
      <c r="B198" s="200" t="s">
        <v>6921</v>
      </c>
      <c r="C198" s="200" t="s">
        <v>6924</v>
      </c>
      <c r="D198" s="200" t="s">
        <v>7309</v>
      </c>
      <c r="E198" s="171">
        <v>1</v>
      </c>
      <c r="F198" s="167" t="s">
        <v>231</v>
      </c>
      <c r="G198" s="219">
        <v>50</v>
      </c>
      <c r="H198" s="206" t="s">
        <v>7331</v>
      </c>
      <c r="I198" s="206" t="s">
        <v>7649</v>
      </c>
      <c r="J198" s="206" t="s">
        <v>7650</v>
      </c>
      <c r="K198" s="226">
        <v>0.2</v>
      </c>
    </row>
    <row r="199" spans="1:11" ht="22.05" customHeight="1" x14ac:dyDescent="0.3">
      <c r="A199" s="164" t="s">
        <v>7648</v>
      </c>
      <c r="B199" s="200" t="s">
        <v>6921</v>
      </c>
      <c r="C199" s="200" t="s">
        <v>6924</v>
      </c>
      <c r="D199" s="200" t="s">
        <v>7309</v>
      </c>
      <c r="E199" s="171">
        <v>2</v>
      </c>
      <c r="F199" s="167" t="s">
        <v>211</v>
      </c>
      <c r="G199" s="219">
        <v>4</v>
      </c>
      <c r="H199" s="206" t="s">
        <v>7340</v>
      </c>
      <c r="I199" s="206" t="s">
        <v>7651</v>
      </c>
      <c r="J199" s="206" t="s">
        <v>7652</v>
      </c>
      <c r="K199" s="226">
        <v>2.5</v>
      </c>
    </row>
    <row r="200" spans="1:11" ht="22.05" customHeight="1" x14ac:dyDescent="0.3">
      <c r="A200" s="164" t="s">
        <v>7648</v>
      </c>
      <c r="B200" s="200" t="s">
        <v>6921</v>
      </c>
      <c r="C200" s="200" t="s">
        <v>6924</v>
      </c>
      <c r="D200" s="200" t="s">
        <v>7309</v>
      </c>
      <c r="E200" s="171">
        <v>3</v>
      </c>
      <c r="F200" s="167" t="s">
        <v>197</v>
      </c>
      <c r="G200" s="219">
        <v>50</v>
      </c>
      <c r="H200" s="206" t="s">
        <v>7653</v>
      </c>
      <c r="I200" s="206" t="s">
        <v>7654</v>
      </c>
      <c r="J200" s="206" t="s">
        <v>7655</v>
      </c>
      <c r="K200" s="226">
        <v>0.2</v>
      </c>
    </row>
    <row r="201" spans="1:11" ht="22.05" customHeight="1" x14ac:dyDescent="0.3">
      <c r="A201" s="164" t="s">
        <v>7310</v>
      </c>
      <c r="B201" s="200" t="s">
        <v>6921</v>
      </c>
      <c r="C201" s="200" t="s">
        <v>7625</v>
      </c>
      <c r="D201" s="200" t="s">
        <v>7300</v>
      </c>
      <c r="E201" s="171">
        <v>1</v>
      </c>
      <c r="F201" s="167" t="s">
        <v>231</v>
      </c>
      <c r="G201" s="219">
        <v>100</v>
      </c>
      <c r="H201" s="206" t="s">
        <v>7331</v>
      </c>
      <c r="I201" s="206" t="s">
        <v>7656</v>
      </c>
      <c r="J201" s="206" t="s">
        <v>7657</v>
      </c>
      <c r="K201" s="226">
        <v>0.1</v>
      </c>
    </row>
    <row r="202" spans="1:11" ht="22.05" customHeight="1" x14ac:dyDescent="0.3">
      <c r="A202" s="164" t="s">
        <v>7310</v>
      </c>
      <c r="B202" s="200" t="s">
        <v>6921</v>
      </c>
      <c r="C202" s="200" t="s">
        <v>7625</v>
      </c>
      <c r="D202" s="200" t="s">
        <v>7300</v>
      </c>
      <c r="E202" s="171">
        <v>2</v>
      </c>
      <c r="F202" s="167" t="s">
        <v>209</v>
      </c>
      <c r="G202" s="219">
        <v>9.0909090909090899</v>
      </c>
      <c r="H202" s="206" t="s">
        <v>7658</v>
      </c>
      <c r="I202" s="206" t="s">
        <v>7659</v>
      </c>
      <c r="J202" s="206" t="s">
        <v>7660</v>
      </c>
      <c r="K202" s="226">
        <v>1.1000000000000001</v>
      </c>
    </row>
    <row r="203" spans="1:11" ht="22.05" customHeight="1" x14ac:dyDescent="0.3">
      <c r="A203" s="164" t="s">
        <v>7310</v>
      </c>
      <c r="B203" s="200" t="s">
        <v>7345</v>
      </c>
      <c r="C203" s="200" t="s">
        <v>7625</v>
      </c>
      <c r="D203" s="200" t="s">
        <v>7300</v>
      </c>
      <c r="E203" s="171">
        <v>1</v>
      </c>
      <c r="F203" s="167" t="s">
        <v>231</v>
      </c>
      <c r="G203" s="219">
        <v>50</v>
      </c>
      <c r="H203" s="206" t="s">
        <v>7331</v>
      </c>
      <c r="I203" s="206" t="s">
        <v>7661</v>
      </c>
      <c r="J203" s="206" t="s">
        <v>7662</v>
      </c>
      <c r="K203" s="226">
        <v>0.2</v>
      </c>
    </row>
    <row r="204" spans="1:11" ht="22.05" customHeight="1" x14ac:dyDescent="0.3">
      <c r="A204" s="164" t="s">
        <v>7310</v>
      </c>
      <c r="B204" s="200" t="s">
        <v>7345</v>
      </c>
      <c r="C204" s="200" t="s">
        <v>7625</v>
      </c>
      <c r="D204" s="200" t="s">
        <v>7300</v>
      </c>
      <c r="E204" s="171">
        <v>2</v>
      </c>
      <c r="F204" s="167" t="s">
        <v>209</v>
      </c>
      <c r="G204" s="219">
        <v>5.1282051282051286</v>
      </c>
      <c r="H204" s="206" t="s">
        <v>7386</v>
      </c>
      <c r="I204" s="206" t="s">
        <v>7663</v>
      </c>
      <c r="J204" s="206" t="s">
        <v>7664</v>
      </c>
      <c r="K204" s="226">
        <v>1.95</v>
      </c>
    </row>
    <row r="205" spans="1:11" ht="22.05" customHeight="1" x14ac:dyDescent="0.3">
      <c r="A205" s="164" t="s">
        <v>7648</v>
      </c>
      <c r="B205" s="200" t="s">
        <v>7345</v>
      </c>
      <c r="C205" s="200" t="s">
        <v>6924</v>
      </c>
      <c r="D205" s="200" t="s">
        <v>7468</v>
      </c>
      <c r="E205" s="171">
        <v>1</v>
      </c>
      <c r="F205" s="167" t="s">
        <v>2205</v>
      </c>
      <c r="G205" s="208"/>
      <c r="H205" s="206" t="s">
        <v>7665</v>
      </c>
      <c r="I205" s="206" t="s">
        <v>7666</v>
      </c>
      <c r="J205" s="206" t="s">
        <v>7667</v>
      </c>
      <c r="K205" s="226">
        <v>10</v>
      </c>
    </row>
    <row r="206" spans="1:11" ht="22.05" customHeight="1" x14ac:dyDescent="0.3">
      <c r="A206" s="164" t="s">
        <v>7648</v>
      </c>
      <c r="B206" s="200" t="s">
        <v>7345</v>
      </c>
      <c r="C206" s="200" t="s">
        <v>6924</v>
      </c>
      <c r="D206" s="200" t="s">
        <v>7468</v>
      </c>
      <c r="E206" s="171">
        <v>2</v>
      </c>
      <c r="F206" s="167" t="s">
        <v>1743</v>
      </c>
      <c r="G206" s="208"/>
      <c r="H206" s="206" t="s">
        <v>7668</v>
      </c>
      <c r="I206" s="206" t="s">
        <v>7666</v>
      </c>
      <c r="J206" s="206" t="s">
        <v>7669</v>
      </c>
      <c r="K206" s="226">
        <v>10</v>
      </c>
    </row>
    <row r="207" spans="1:11" ht="22.05" customHeight="1" x14ac:dyDescent="0.3">
      <c r="A207" s="164" t="s">
        <v>7648</v>
      </c>
      <c r="B207" s="200" t="s">
        <v>7345</v>
      </c>
      <c r="C207" s="200" t="s">
        <v>6924</v>
      </c>
      <c r="D207" s="200" t="s">
        <v>7468</v>
      </c>
      <c r="E207" s="171">
        <v>3</v>
      </c>
      <c r="F207" s="167" t="s">
        <v>209</v>
      </c>
      <c r="G207" s="219">
        <v>11.235955056179771</v>
      </c>
      <c r="H207" s="206" t="s">
        <v>7386</v>
      </c>
      <c r="I207" s="206" t="s">
        <v>7670</v>
      </c>
      <c r="J207" s="206" t="s">
        <v>7671</v>
      </c>
      <c r="K207" s="226">
        <v>0.89</v>
      </c>
    </row>
    <row r="208" spans="1:11" ht="22.05" customHeight="1" x14ac:dyDescent="0.3">
      <c r="A208" s="164" t="s">
        <v>7648</v>
      </c>
      <c r="B208" s="200" t="s">
        <v>7345</v>
      </c>
      <c r="C208" s="200" t="s">
        <v>6924</v>
      </c>
      <c r="D208" s="200" t="s">
        <v>7468</v>
      </c>
      <c r="E208" s="171">
        <v>4</v>
      </c>
      <c r="F208" s="167" t="s">
        <v>211</v>
      </c>
      <c r="G208" s="219">
        <v>9.3457943925233646</v>
      </c>
      <c r="H208" s="206" t="s">
        <v>7392</v>
      </c>
      <c r="I208" s="206" t="s">
        <v>7672</v>
      </c>
      <c r="J208" s="206" t="s">
        <v>7673</v>
      </c>
      <c r="K208" s="226">
        <v>1.07</v>
      </c>
    </row>
    <row r="209" spans="1:11" ht="22.05" customHeight="1" x14ac:dyDescent="0.3">
      <c r="A209" s="164" t="s">
        <v>7648</v>
      </c>
      <c r="B209" s="200" t="s">
        <v>7345</v>
      </c>
      <c r="C209" s="200" t="s">
        <v>6924</v>
      </c>
      <c r="D209" s="200" t="s">
        <v>7468</v>
      </c>
      <c r="E209" s="171">
        <v>5</v>
      </c>
      <c r="F209" s="167" t="s">
        <v>197</v>
      </c>
      <c r="G209" s="219">
        <v>28.571428571428569</v>
      </c>
      <c r="H209" s="206" t="s">
        <v>7653</v>
      </c>
      <c r="I209" s="206" t="s">
        <v>7674</v>
      </c>
      <c r="J209" s="206" t="s">
        <v>7675</v>
      </c>
      <c r="K209" s="226">
        <v>0.35</v>
      </c>
    </row>
    <row r="210" spans="1:11" ht="22.05" customHeight="1" x14ac:dyDescent="0.3">
      <c r="A210" s="164" t="s">
        <v>6917</v>
      </c>
      <c r="B210" s="200" t="s">
        <v>6921</v>
      </c>
      <c r="C210" s="200" t="s">
        <v>6924</v>
      </c>
      <c r="D210" s="200" t="s">
        <v>7477</v>
      </c>
      <c r="E210" s="171">
        <v>1</v>
      </c>
      <c r="F210" s="167" t="s">
        <v>209</v>
      </c>
      <c r="G210" s="218">
        <v>50.761421319796952</v>
      </c>
      <c r="H210" s="206" t="s">
        <v>7165</v>
      </c>
      <c r="I210" s="206" t="s">
        <v>7166</v>
      </c>
      <c r="J210" s="206" t="s">
        <v>7676</v>
      </c>
      <c r="K210" s="226">
        <v>1.97</v>
      </c>
    </row>
    <row r="211" spans="1:11" ht="22.05" customHeight="1" x14ac:dyDescent="0.3">
      <c r="A211" s="164" t="s">
        <v>6917</v>
      </c>
      <c r="B211" s="200" t="s">
        <v>6921</v>
      </c>
      <c r="C211" s="200" t="s">
        <v>6924</v>
      </c>
      <c r="D211" s="200" t="s">
        <v>7477</v>
      </c>
      <c r="E211" s="171">
        <v>2</v>
      </c>
      <c r="F211" s="167" t="s">
        <v>211</v>
      </c>
      <c r="G211" s="218">
        <v>77.519379844961236</v>
      </c>
      <c r="H211" s="206" t="s">
        <v>7176</v>
      </c>
      <c r="I211" s="206" t="s">
        <v>7177</v>
      </c>
      <c r="J211" s="206" t="s">
        <v>7677</v>
      </c>
      <c r="K211" s="226">
        <v>1.29</v>
      </c>
    </row>
    <row r="212" spans="1:11" ht="22.05" customHeight="1" x14ac:dyDescent="0.3">
      <c r="A212" s="164" t="s">
        <v>6917</v>
      </c>
      <c r="B212" s="200" t="s">
        <v>6921</v>
      </c>
      <c r="C212" s="200" t="s">
        <v>6924</v>
      </c>
      <c r="D212" s="200" t="s">
        <v>7416</v>
      </c>
      <c r="E212" s="171">
        <v>1</v>
      </c>
      <c r="F212" s="167" t="s">
        <v>209</v>
      </c>
      <c r="G212" s="218">
        <v>36.363636363636367</v>
      </c>
      <c r="H212" s="206" t="s">
        <v>7165</v>
      </c>
      <c r="I212" s="206" t="s">
        <v>7166</v>
      </c>
      <c r="J212" s="206" t="s">
        <v>7678</v>
      </c>
      <c r="K212" s="226">
        <v>2.75</v>
      </c>
    </row>
    <row r="213" spans="1:11" ht="22.05" customHeight="1" x14ac:dyDescent="0.3">
      <c r="A213" s="164" t="s">
        <v>6917</v>
      </c>
      <c r="B213" s="200" t="s">
        <v>6921</v>
      </c>
      <c r="C213" s="200" t="s">
        <v>6924</v>
      </c>
      <c r="D213" s="200" t="s">
        <v>7416</v>
      </c>
      <c r="E213" s="171">
        <v>2</v>
      </c>
      <c r="F213" s="167" t="s">
        <v>197</v>
      </c>
      <c r="G213" s="218">
        <v>200</v>
      </c>
      <c r="H213" s="206" t="s">
        <v>7653</v>
      </c>
      <c r="I213" s="206" t="s">
        <v>7679</v>
      </c>
      <c r="J213" s="206" t="s">
        <v>7680</v>
      </c>
      <c r="K213" s="226">
        <v>0.5</v>
      </c>
    </row>
    <row r="214" spans="1:11" ht="22.05" customHeight="1" x14ac:dyDescent="0.3">
      <c r="A214" s="164" t="s">
        <v>7310</v>
      </c>
      <c r="B214" s="200" t="s">
        <v>6921</v>
      </c>
      <c r="C214" s="200" t="s">
        <v>6924</v>
      </c>
      <c r="D214" s="200" t="s">
        <v>7266</v>
      </c>
      <c r="E214" s="171">
        <v>1</v>
      </c>
      <c r="F214" s="167" t="s">
        <v>4551</v>
      </c>
      <c r="G214" s="208"/>
      <c r="H214" s="206" t="s">
        <v>7681</v>
      </c>
      <c r="I214" s="206" t="s">
        <v>7682</v>
      </c>
      <c r="J214" s="206" t="s">
        <v>7683</v>
      </c>
      <c r="K214" s="226">
        <v>3</v>
      </c>
    </row>
    <row r="215" spans="1:11" ht="22.05" customHeight="1" x14ac:dyDescent="0.3">
      <c r="A215" s="164" t="s">
        <v>7310</v>
      </c>
      <c r="B215" s="200" t="s">
        <v>6921</v>
      </c>
      <c r="C215" s="200" t="s">
        <v>6924</v>
      </c>
      <c r="D215" s="200" t="s">
        <v>7266</v>
      </c>
      <c r="E215" s="171">
        <v>2</v>
      </c>
      <c r="F215" s="167" t="s">
        <v>4269</v>
      </c>
      <c r="G215" s="208"/>
      <c r="H215" s="206" t="s">
        <v>7398</v>
      </c>
      <c r="I215" s="206" t="s">
        <v>7684</v>
      </c>
      <c r="J215" s="206" t="s">
        <v>7685</v>
      </c>
      <c r="K215" s="226">
        <v>13.52</v>
      </c>
    </row>
    <row r="216" spans="1:11" ht="22.05" customHeight="1" x14ac:dyDescent="0.3">
      <c r="A216" s="164" t="s">
        <v>7310</v>
      </c>
      <c r="B216" s="200" t="s">
        <v>7345</v>
      </c>
      <c r="C216" s="200" t="s">
        <v>6924</v>
      </c>
      <c r="D216" s="200" t="s">
        <v>7257</v>
      </c>
      <c r="E216" s="171">
        <v>1</v>
      </c>
      <c r="F216" s="167" t="s">
        <v>4569</v>
      </c>
      <c r="G216" s="208"/>
      <c r="H216" s="206" t="s">
        <v>7686</v>
      </c>
      <c r="I216" s="206" t="s">
        <v>7687</v>
      </c>
      <c r="J216" s="206" t="s">
        <v>7688</v>
      </c>
      <c r="K216" s="226">
        <v>3</v>
      </c>
    </row>
    <row r="217" spans="1:11" ht="22.05" customHeight="1" x14ac:dyDescent="0.3">
      <c r="A217" s="164" t="s">
        <v>7310</v>
      </c>
      <c r="B217" s="200" t="s">
        <v>7345</v>
      </c>
      <c r="C217" s="200" t="s">
        <v>6924</v>
      </c>
      <c r="D217" s="200" t="s">
        <v>7257</v>
      </c>
      <c r="E217" s="171">
        <v>2</v>
      </c>
      <c r="F217" s="167" t="s">
        <v>4269</v>
      </c>
      <c r="G217" s="208"/>
      <c r="H217" s="206" t="s">
        <v>7398</v>
      </c>
      <c r="I217" s="206" t="s">
        <v>7689</v>
      </c>
      <c r="J217" s="206" t="s">
        <v>7690</v>
      </c>
      <c r="K217" s="226">
        <v>13.52</v>
      </c>
    </row>
    <row r="218" spans="1:11" ht="22.05" customHeight="1" x14ac:dyDescent="0.3">
      <c r="A218" s="164" t="s">
        <v>7310</v>
      </c>
      <c r="B218" s="200" t="s">
        <v>7404</v>
      </c>
      <c r="C218" s="200" t="s">
        <v>6924</v>
      </c>
      <c r="D218" s="200" t="s">
        <v>7242</v>
      </c>
      <c r="E218" s="171">
        <v>1</v>
      </c>
      <c r="F218" s="167" t="s">
        <v>4570</v>
      </c>
      <c r="G218" s="208"/>
      <c r="H218" s="206" t="s">
        <v>7691</v>
      </c>
      <c r="I218" s="206" t="s">
        <v>7692</v>
      </c>
      <c r="J218" s="206" t="s">
        <v>7693</v>
      </c>
      <c r="K218" s="226">
        <v>3</v>
      </c>
    </row>
    <row r="219" spans="1:11" ht="22.05" customHeight="1" x14ac:dyDescent="0.3">
      <c r="A219" s="164" t="s">
        <v>7310</v>
      </c>
      <c r="B219" s="200" t="s">
        <v>7404</v>
      </c>
      <c r="C219" s="200" t="s">
        <v>6924</v>
      </c>
      <c r="D219" s="200" t="s">
        <v>7242</v>
      </c>
      <c r="E219" s="171">
        <v>2</v>
      </c>
      <c r="F219" s="167" t="s">
        <v>4269</v>
      </c>
      <c r="G219" s="208"/>
      <c r="H219" s="206" t="s">
        <v>7398</v>
      </c>
      <c r="I219" s="206" t="s">
        <v>7694</v>
      </c>
      <c r="J219" s="206" t="s">
        <v>7695</v>
      </c>
      <c r="K219" s="226">
        <v>13.52</v>
      </c>
    </row>
    <row r="220" spans="1:11" ht="22.05" customHeight="1" x14ac:dyDescent="0.3">
      <c r="A220" s="164" t="s">
        <v>7310</v>
      </c>
      <c r="B220" s="200" t="s">
        <v>7491</v>
      </c>
      <c r="C220" s="200" t="s">
        <v>6924</v>
      </c>
      <c r="D220" s="200" t="s">
        <v>7247</v>
      </c>
      <c r="E220" s="171">
        <v>1</v>
      </c>
      <c r="F220" s="167" t="s">
        <v>4571</v>
      </c>
      <c r="G220" s="208"/>
      <c r="H220" s="206" t="s">
        <v>7696</v>
      </c>
      <c r="I220" s="206" t="s">
        <v>7697</v>
      </c>
      <c r="J220" s="206" t="s">
        <v>7698</v>
      </c>
      <c r="K220" s="226">
        <v>3</v>
      </c>
    </row>
    <row r="221" spans="1:11" ht="22.05" customHeight="1" x14ac:dyDescent="0.3">
      <c r="A221" s="164" t="s">
        <v>7310</v>
      </c>
      <c r="B221" s="200" t="s">
        <v>7491</v>
      </c>
      <c r="C221" s="200" t="s">
        <v>6924</v>
      </c>
      <c r="D221" s="200" t="s">
        <v>7247</v>
      </c>
      <c r="E221" s="171">
        <v>2</v>
      </c>
      <c r="F221" s="167" t="s">
        <v>4269</v>
      </c>
      <c r="G221" s="208"/>
      <c r="H221" s="206" t="s">
        <v>7398</v>
      </c>
      <c r="I221" s="206" t="s">
        <v>7699</v>
      </c>
      <c r="J221" s="206" t="s">
        <v>7700</v>
      </c>
      <c r="K221" s="226">
        <v>13.52</v>
      </c>
    </row>
    <row r="222" spans="1:11" ht="22.05" customHeight="1" x14ac:dyDescent="0.3">
      <c r="A222" s="164" t="s">
        <v>7701</v>
      </c>
      <c r="B222" s="200" t="s">
        <v>6921</v>
      </c>
      <c r="C222" s="200" t="s">
        <v>6924</v>
      </c>
      <c r="D222" s="200" t="s">
        <v>7193</v>
      </c>
      <c r="E222" s="171">
        <v>1</v>
      </c>
      <c r="F222" s="167" t="s">
        <v>209</v>
      </c>
      <c r="G222" s="218">
        <v>92.592592592592581</v>
      </c>
      <c r="H222" s="206" t="s">
        <v>7658</v>
      </c>
      <c r="I222" s="206" t="s">
        <v>7702</v>
      </c>
      <c r="J222" s="206" t="s">
        <v>7703</v>
      </c>
      <c r="K222" s="226">
        <v>1.08</v>
      </c>
    </row>
    <row r="223" spans="1:11" ht="22.05" customHeight="1" x14ac:dyDescent="0.3">
      <c r="A223" s="164" t="s">
        <v>7701</v>
      </c>
      <c r="B223" s="200" t="s">
        <v>6921</v>
      </c>
      <c r="C223" s="200" t="s">
        <v>6924</v>
      </c>
      <c r="D223" s="200" t="s">
        <v>7193</v>
      </c>
      <c r="E223" s="171">
        <v>2</v>
      </c>
      <c r="F223" s="167" t="s">
        <v>211</v>
      </c>
      <c r="G223" s="218">
        <v>166.66666666666671</v>
      </c>
      <c r="H223" s="206" t="s">
        <v>7340</v>
      </c>
      <c r="I223" s="206" t="s">
        <v>7704</v>
      </c>
      <c r="J223" s="206" t="s">
        <v>7705</v>
      </c>
      <c r="K223" s="226">
        <v>0.6</v>
      </c>
    </row>
    <row r="224" spans="1:11" ht="22.05" customHeight="1" x14ac:dyDescent="0.3">
      <c r="A224" s="164" t="s">
        <v>7701</v>
      </c>
      <c r="B224" s="200" t="s">
        <v>6921</v>
      </c>
      <c r="C224" s="200" t="s">
        <v>6924</v>
      </c>
      <c r="D224" s="200" t="s">
        <v>7185</v>
      </c>
      <c r="E224" s="171">
        <v>1</v>
      </c>
      <c r="F224" s="167" t="s">
        <v>209</v>
      </c>
      <c r="G224" s="218">
        <v>166.66666666666671</v>
      </c>
      <c r="H224" s="206" t="s">
        <v>7658</v>
      </c>
      <c r="I224" s="206" t="s">
        <v>7706</v>
      </c>
      <c r="J224" s="206" t="s">
        <v>7707</v>
      </c>
      <c r="K224" s="226">
        <v>0.6</v>
      </c>
    </row>
    <row r="225" spans="1:11" ht="22.05" customHeight="1" x14ac:dyDescent="0.3">
      <c r="A225" s="164" t="s">
        <v>7701</v>
      </c>
      <c r="B225" s="200" t="s">
        <v>6921</v>
      </c>
      <c r="C225" s="200" t="s">
        <v>6924</v>
      </c>
      <c r="D225" s="200" t="s">
        <v>7185</v>
      </c>
      <c r="E225" s="171">
        <v>2</v>
      </c>
      <c r="F225" s="167" t="s">
        <v>211</v>
      </c>
      <c r="G225" s="218">
        <v>400</v>
      </c>
      <c r="H225" s="206" t="s">
        <v>7340</v>
      </c>
      <c r="I225" s="206" t="s">
        <v>7708</v>
      </c>
      <c r="J225" s="206" t="s">
        <v>7709</v>
      </c>
      <c r="K225" s="226">
        <v>0.25</v>
      </c>
    </row>
    <row r="226" spans="1:11" ht="22.05" customHeight="1" x14ac:dyDescent="0.3">
      <c r="A226" s="164" t="s">
        <v>7701</v>
      </c>
      <c r="B226" s="200" t="s">
        <v>6921</v>
      </c>
      <c r="C226" s="200" t="s">
        <v>6924</v>
      </c>
      <c r="D226" s="200" t="s">
        <v>7185</v>
      </c>
      <c r="E226" s="171">
        <v>3</v>
      </c>
      <c r="F226" s="167" t="s">
        <v>4269</v>
      </c>
      <c r="G226" s="208"/>
      <c r="H226" s="206" t="s">
        <v>7398</v>
      </c>
      <c r="I226" s="206" t="s">
        <v>7710</v>
      </c>
      <c r="J226" s="206" t="s">
        <v>7711</v>
      </c>
      <c r="K226" s="226">
        <v>1.82</v>
      </c>
    </row>
    <row r="227" spans="1:11" ht="22.05" customHeight="1" x14ac:dyDescent="0.3">
      <c r="A227" s="164" t="s">
        <v>7701</v>
      </c>
      <c r="B227" s="200" t="s">
        <v>6921</v>
      </c>
      <c r="C227" s="200" t="s">
        <v>6924</v>
      </c>
      <c r="D227" s="200" t="s">
        <v>7520</v>
      </c>
      <c r="E227" s="171">
        <v>1</v>
      </c>
      <c r="F227" s="167" t="s">
        <v>209</v>
      </c>
      <c r="G227" s="221">
        <v>3.0303030303030298</v>
      </c>
      <c r="H227" s="206" t="s">
        <v>7658</v>
      </c>
      <c r="I227" s="206" t="s">
        <v>7712</v>
      </c>
      <c r="J227" s="206" t="s">
        <v>7713</v>
      </c>
      <c r="K227" s="226">
        <v>0.33</v>
      </c>
    </row>
    <row r="228" spans="1:11" ht="22.05" customHeight="1" x14ac:dyDescent="0.3">
      <c r="A228" s="164" t="s">
        <v>7701</v>
      </c>
      <c r="B228" s="200" t="s">
        <v>6921</v>
      </c>
      <c r="C228" s="200" t="s">
        <v>6924</v>
      </c>
      <c r="D228" s="200" t="s">
        <v>7520</v>
      </c>
      <c r="E228" s="171">
        <v>2</v>
      </c>
      <c r="F228" s="167" t="s">
        <v>211</v>
      </c>
      <c r="G228" s="221">
        <v>5.8823529411764701</v>
      </c>
      <c r="H228" s="206" t="s">
        <v>7340</v>
      </c>
      <c r="I228" s="206" t="s">
        <v>7714</v>
      </c>
      <c r="J228" s="206" t="s">
        <v>7715</v>
      </c>
      <c r="K228" s="226">
        <v>0.17</v>
      </c>
    </row>
    <row r="229" spans="1:11" ht="22.05" customHeight="1" x14ac:dyDescent="0.3">
      <c r="A229" s="164" t="s">
        <v>7701</v>
      </c>
      <c r="B229" s="200" t="s">
        <v>6921</v>
      </c>
      <c r="C229" s="200" t="s">
        <v>6924</v>
      </c>
      <c r="D229" s="200" t="s">
        <v>7520</v>
      </c>
      <c r="E229" s="171">
        <v>3</v>
      </c>
      <c r="F229" s="167" t="s">
        <v>4269</v>
      </c>
      <c r="G229" s="208"/>
      <c r="H229" s="206" t="s">
        <v>7398</v>
      </c>
      <c r="I229" s="206" t="s">
        <v>7716</v>
      </c>
      <c r="J229" s="206" t="s">
        <v>7717</v>
      </c>
      <c r="K229" s="226">
        <v>2.73</v>
      </c>
    </row>
    <row r="230" spans="1:11" ht="22.05" customHeight="1" x14ac:dyDescent="0.3">
      <c r="A230" s="164" t="s">
        <v>7701</v>
      </c>
      <c r="B230" s="200" t="s">
        <v>6921</v>
      </c>
      <c r="C230" s="200" t="s">
        <v>6924</v>
      </c>
      <c r="D230" s="200" t="s">
        <v>7527</v>
      </c>
      <c r="E230" s="171">
        <v>1</v>
      </c>
      <c r="F230" s="167" t="s">
        <v>209</v>
      </c>
      <c r="G230" s="221">
        <v>0.66666666666666663</v>
      </c>
      <c r="H230" s="206" t="s">
        <v>7658</v>
      </c>
      <c r="I230" s="206" t="s">
        <v>7718</v>
      </c>
      <c r="J230" s="206" t="s">
        <v>7719</v>
      </c>
      <c r="K230" s="226">
        <v>1.5</v>
      </c>
    </row>
    <row r="231" spans="1:11" ht="22.05" customHeight="1" x14ac:dyDescent="0.3">
      <c r="A231" s="164" t="s">
        <v>7701</v>
      </c>
      <c r="B231" s="200" t="s">
        <v>6921</v>
      </c>
      <c r="C231" s="200" t="s">
        <v>6924</v>
      </c>
      <c r="D231" s="200" t="s">
        <v>7527</v>
      </c>
      <c r="E231" s="171">
        <v>2</v>
      </c>
      <c r="F231" s="167" t="s">
        <v>211</v>
      </c>
      <c r="G231" s="221">
        <v>1.333333333333333</v>
      </c>
      <c r="H231" s="206" t="s">
        <v>7340</v>
      </c>
      <c r="I231" s="206" t="s">
        <v>7720</v>
      </c>
      <c r="J231" s="206" t="s">
        <v>7721</v>
      </c>
      <c r="K231" s="226">
        <v>0.75</v>
      </c>
    </row>
    <row r="232" spans="1:11" ht="22.05" customHeight="1" x14ac:dyDescent="0.3">
      <c r="A232" s="164" t="s">
        <v>7701</v>
      </c>
      <c r="B232" s="200" t="s">
        <v>6921</v>
      </c>
      <c r="C232" s="200" t="s">
        <v>6924</v>
      </c>
      <c r="D232" s="200" t="s">
        <v>7527</v>
      </c>
      <c r="E232" s="171">
        <v>3</v>
      </c>
      <c r="F232" s="167" t="s">
        <v>4269</v>
      </c>
      <c r="G232" s="208"/>
      <c r="H232" s="206" t="s">
        <v>7398</v>
      </c>
      <c r="I232" s="206" t="s">
        <v>7722</v>
      </c>
      <c r="J232" s="206" t="s">
        <v>7723</v>
      </c>
      <c r="K232" s="226">
        <v>5.46</v>
      </c>
    </row>
    <row r="233" spans="1:11" ht="22.05" customHeight="1" x14ac:dyDescent="0.3">
      <c r="A233" s="164" t="s">
        <v>7701</v>
      </c>
      <c r="B233" s="200" t="s">
        <v>6921</v>
      </c>
      <c r="C233" s="200" t="s">
        <v>6924</v>
      </c>
      <c r="D233" s="200" t="s">
        <v>7511</v>
      </c>
      <c r="E233" s="171">
        <v>1</v>
      </c>
      <c r="F233" s="167" t="s">
        <v>209</v>
      </c>
      <c r="G233" s="221">
        <v>0.14285714285714279</v>
      </c>
      <c r="H233" s="206" t="s">
        <v>7658</v>
      </c>
      <c r="I233" s="206" t="s">
        <v>7724</v>
      </c>
      <c r="J233" s="206" t="s">
        <v>7725</v>
      </c>
      <c r="K233" s="226">
        <v>7</v>
      </c>
    </row>
    <row r="234" spans="1:11" ht="22.05" customHeight="1" x14ac:dyDescent="0.3">
      <c r="A234" s="164" t="s">
        <v>7701</v>
      </c>
      <c r="B234" s="200" t="s">
        <v>6921</v>
      </c>
      <c r="C234" s="200" t="s">
        <v>6924</v>
      </c>
      <c r="D234" s="200" t="s">
        <v>7511</v>
      </c>
      <c r="E234" s="171">
        <v>2</v>
      </c>
      <c r="F234" s="167" t="s">
        <v>211</v>
      </c>
      <c r="G234" s="221">
        <v>0.2857142857142857</v>
      </c>
      <c r="H234" s="206" t="s">
        <v>7340</v>
      </c>
      <c r="I234" s="206" t="s">
        <v>7726</v>
      </c>
      <c r="J234" s="206" t="s">
        <v>7727</v>
      </c>
      <c r="K234" s="226">
        <v>3.5</v>
      </c>
    </row>
    <row r="235" spans="1:11" ht="22.05" customHeight="1" x14ac:dyDescent="0.3">
      <c r="A235" s="164" t="s">
        <v>7701</v>
      </c>
      <c r="B235" s="200" t="s">
        <v>6921</v>
      </c>
      <c r="C235" s="200" t="s">
        <v>6924</v>
      </c>
      <c r="D235" s="200" t="s">
        <v>7511</v>
      </c>
      <c r="E235" s="171">
        <v>3</v>
      </c>
      <c r="F235" s="167" t="s">
        <v>4269</v>
      </c>
      <c r="G235" s="208"/>
      <c r="H235" s="206" t="s">
        <v>7398</v>
      </c>
      <c r="I235" s="206" t="s">
        <v>7728</v>
      </c>
      <c r="J235" s="206" t="s">
        <v>7729</v>
      </c>
      <c r="K235" s="226">
        <v>8.06</v>
      </c>
    </row>
    <row r="236" spans="1:11" ht="22.05" customHeight="1" x14ac:dyDescent="0.3">
      <c r="A236" s="164" t="s">
        <v>7701</v>
      </c>
      <c r="B236" s="200" t="s">
        <v>6921</v>
      </c>
      <c r="C236" s="200" t="s">
        <v>6924</v>
      </c>
      <c r="D236" s="200" t="s">
        <v>7534</v>
      </c>
      <c r="E236" s="171">
        <v>1</v>
      </c>
      <c r="F236" s="167" t="s">
        <v>209</v>
      </c>
      <c r="G236" s="221">
        <v>7.1428571428571425E-2</v>
      </c>
      <c r="H236" s="206" t="s">
        <v>7658</v>
      </c>
      <c r="I236" s="206" t="s">
        <v>7730</v>
      </c>
      <c r="J236" s="206" t="s">
        <v>7731</v>
      </c>
      <c r="K236" s="226">
        <v>14</v>
      </c>
    </row>
    <row r="237" spans="1:11" ht="22.05" customHeight="1" x14ac:dyDescent="0.3">
      <c r="A237" s="164" t="s">
        <v>7701</v>
      </c>
      <c r="B237" s="200" t="s">
        <v>6921</v>
      </c>
      <c r="C237" s="200" t="s">
        <v>6924</v>
      </c>
      <c r="D237" s="200" t="s">
        <v>7534</v>
      </c>
      <c r="E237" s="171">
        <v>2</v>
      </c>
      <c r="F237" s="167" t="s">
        <v>211</v>
      </c>
      <c r="G237" s="221">
        <v>0.14285714285714279</v>
      </c>
      <c r="H237" s="206" t="s">
        <v>7340</v>
      </c>
      <c r="I237" s="206" t="s">
        <v>7732</v>
      </c>
      <c r="J237" s="206" t="s">
        <v>7733</v>
      </c>
      <c r="K237" s="226">
        <v>7</v>
      </c>
    </row>
    <row r="238" spans="1:11" ht="22.05" customHeight="1" x14ac:dyDescent="0.3">
      <c r="A238" s="164" t="s">
        <v>7701</v>
      </c>
      <c r="B238" s="200" t="s">
        <v>6921</v>
      </c>
      <c r="C238" s="200" t="s">
        <v>6924</v>
      </c>
      <c r="D238" s="200" t="s">
        <v>7534</v>
      </c>
      <c r="E238" s="171">
        <v>3</v>
      </c>
      <c r="F238" s="167" t="s">
        <v>4269</v>
      </c>
      <c r="G238" s="208"/>
      <c r="H238" s="206" t="s">
        <v>7398</v>
      </c>
      <c r="I238" s="206" t="s">
        <v>7734</v>
      </c>
      <c r="J238" s="206" t="s">
        <v>7735</v>
      </c>
      <c r="K238" s="226">
        <v>26.91</v>
      </c>
    </row>
    <row r="239" spans="1:11" ht="22.05" customHeight="1" x14ac:dyDescent="0.3">
      <c r="A239" s="164" t="s">
        <v>7736</v>
      </c>
      <c r="B239" s="200" t="s">
        <v>6921</v>
      </c>
      <c r="C239" s="200" t="s">
        <v>6924</v>
      </c>
      <c r="D239" s="200" t="s">
        <v>7459</v>
      </c>
      <c r="E239" s="171">
        <v>1</v>
      </c>
      <c r="F239" s="167" t="s">
        <v>2246</v>
      </c>
      <c r="G239" s="208"/>
      <c r="H239" s="206" t="s">
        <v>7737</v>
      </c>
      <c r="I239" s="206" t="s">
        <v>7738</v>
      </c>
      <c r="J239" s="206" t="s">
        <v>7739</v>
      </c>
      <c r="K239" s="226">
        <v>100</v>
      </c>
    </row>
    <row r="240" spans="1:11" ht="22.05" customHeight="1" x14ac:dyDescent="0.3">
      <c r="A240" s="164" t="s">
        <v>7736</v>
      </c>
      <c r="B240" s="200" t="s">
        <v>6921</v>
      </c>
      <c r="C240" s="200" t="s">
        <v>6924</v>
      </c>
      <c r="D240" s="200" t="s">
        <v>7459</v>
      </c>
      <c r="E240" s="171">
        <v>2</v>
      </c>
      <c r="F240" s="167" t="s">
        <v>1749</v>
      </c>
      <c r="G240" s="208"/>
      <c r="H240" s="206" t="s">
        <v>7737</v>
      </c>
      <c r="I240" s="206" t="s">
        <v>7740</v>
      </c>
      <c r="J240" s="206" t="s">
        <v>7741</v>
      </c>
      <c r="K240" s="226">
        <v>1</v>
      </c>
    </row>
    <row r="241" spans="1:11" ht="22.05" customHeight="1" x14ac:dyDescent="0.3">
      <c r="A241" s="164" t="s">
        <v>7736</v>
      </c>
      <c r="B241" s="200" t="s">
        <v>6921</v>
      </c>
      <c r="C241" s="200" t="s">
        <v>6924</v>
      </c>
      <c r="D241" s="200" t="s">
        <v>7496</v>
      </c>
      <c r="E241" s="171">
        <v>1</v>
      </c>
      <c r="F241" s="167" t="s">
        <v>209</v>
      </c>
      <c r="G241" s="220">
        <v>30.303030303030301</v>
      </c>
      <c r="H241" s="206" t="s">
        <v>7658</v>
      </c>
      <c r="I241" s="206" t="s">
        <v>7742</v>
      </c>
      <c r="J241" s="206" t="s">
        <v>7743</v>
      </c>
      <c r="K241" s="226">
        <v>0.33</v>
      </c>
    </row>
    <row r="242" spans="1:11" ht="22.05" customHeight="1" x14ac:dyDescent="0.3">
      <c r="A242" s="164" t="s">
        <v>7736</v>
      </c>
      <c r="B242" s="200" t="s">
        <v>6921</v>
      </c>
      <c r="C242" s="200" t="s">
        <v>6924</v>
      </c>
      <c r="D242" s="200" t="s">
        <v>7496</v>
      </c>
      <c r="E242" s="171">
        <v>2</v>
      </c>
      <c r="F242" s="167" t="s">
        <v>4269</v>
      </c>
      <c r="G242" s="208"/>
      <c r="H242" s="206" t="s">
        <v>7398</v>
      </c>
      <c r="I242" s="206" t="s">
        <v>7744</v>
      </c>
      <c r="J242" s="206" t="s">
        <v>7745</v>
      </c>
      <c r="K242" s="226">
        <v>13.52</v>
      </c>
    </row>
    <row r="243" spans="1:11" ht="22.05" customHeight="1" x14ac:dyDescent="0.3">
      <c r="A243" s="164" t="s">
        <v>7736</v>
      </c>
      <c r="B243" s="200" t="s">
        <v>6921</v>
      </c>
      <c r="C243" s="200" t="s">
        <v>6924</v>
      </c>
      <c r="D243" s="200" t="s">
        <v>7490</v>
      </c>
      <c r="E243" s="171">
        <v>1</v>
      </c>
      <c r="F243" s="167" t="s">
        <v>209</v>
      </c>
      <c r="G243" s="220">
        <v>25</v>
      </c>
      <c r="H243" s="206" t="s">
        <v>7658</v>
      </c>
      <c r="I243" s="206" t="s">
        <v>7746</v>
      </c>
      <c r="J243" s="206" t="s">
        <v>7747</v>
      </c>
      <c r="K243" s="226">
        <v>0.4</v>
      </c>
    </row>
    <row r="244" spans="1:11" ht="22.05" customHeight="1" x14ac:dyDescent="0.3">
      <c r="A244" s="164" t="s">
        <v>7736</v>
      </c>
      <c r="B244" s="200" t="s">
        <v>6921</v>
      </c>
      <c r="C244" s="200" t="s">
        <v>6924</v>
      </c>
      <c r="D244" s="200" t="s">
        <v>7490</v>
      </c>
      <c r="E244" s="171">
        <v>2</v>
      </c>
      <c r="F244" s="167" t="s">
        <v>4269</v>
      </c>
      <c r="G244" s="208"/>
      <c r="H244" s="206" t="s">
        <v>7398</v>
      </c>
      <c r="I244" s="206" t="s">
        <v>7748</v>
      </c>
      <c r="J244" s="206" t="s">
        <v>7749</v>
      </c>
      <c r="K244" s="226">
        <v>35.880000000000003</v>
      </c>
    </row>
    <row r="245" spans="1:11" ht="22.05" customHeight="1" x14ac:dyDescent="0.3">
      <c r="A245" s="164" t="s">
        <v>7736</v>
      </c>
      <c r="B245" s="200" t="s">
        <v>6921</v>
      </c>
      <c r="C245" s="200" t="s">
        <v>6924</v>
      </c>
      <c r="D245" s="200" t="s">
        <v>7504</v>
      </c>
      <c r="E245" s="171">
        <v>1</v>
      </c>
      <c r="F245" s="167" t="s">
        <v>209</v>
      </c>
      <c r="G245" s="218">
        <v>4.5</v>
      </c>
      <c r="H245" s="206" t="s">
        <v>7658</v>
      </c>
      <c r="I245" s="206" t="s">
        <v>7750</v>
      </c>
      <c r="J245" s="206" t="s">
        <v>7751</v>
      </c>
      <c r="K245" s="226">
        <v>2</v>
      </c>
    </row>
    <row r="246" spans="1:11" ht="22.05" customHeight="1" x14ac:dyDescent="0.3">
      <c r="A246" s="164" t="s">
        <v>7736</v>
      </c>
      <c r="B246" s="200" t="s">
        <v>6921</v>
      </c>
      <c r="C246" s="200" t="s">
        <v>6924</v>
      </c>
      <c r="D246" s="200" t="s">
        <v>7504</v>
      </c>
      <c r="E246" s="171">
        <v>2</v>
      </c>
      <c r="F246" s="167" t="s">
        <v>223</v>
      </c>
      <c r="G246" s="218">
        <v>18</v>
      </c>
      <c r="H246" s="206" t="s">
        <v>7752</v>
      </c>
      <c r="I246" s="206" t="s">
        <v>7753</v>
      </c>
      <c r="J246" s="206" t="s">
        <v>7754</v>
      </c>
      <c r="K246" s="226">
        <v>0.5</v>
      </c>
    </row>
    <row r="247" spans="1:11" ht="22.05" customHeight="1" x14ac:dyDescent="0.3">
      <c r="A247" s="164" t="s">
        <v>7736</v>
      </c>
      <c r="B247" s="200" t="s">
        <v>6921</v>
      </c>
      <c r="C247" s="200" t="s">
        <v>6924</v>
      </c>
      <c r="D247" s="200" t="s">
        <v>7504</v>
      </c>
      <c r="E247" s="171">
        <v>3</v>
      </c>
      <c r="F247" s="167" t="s">
        <v>4269</v>
      </c>
      <c r="G247" s="208"/>
      <c r="H247" s="206" t="s">
        <v>7398</v>
      </c>
      <c r="I247" s="206" t="s">
        <v>7755</v>
      </c>
      <c r="J247" s="206" t="s">
        <v>7756</v>
      </c>
      <c r="K247" s="226">
        <v>35.880000000000003</v>
      </c>
    </row>
    <row r="248" spans="1:11" ht="22.05" customHeight="1" x14ac:dyDescent="0.3">
      <c r="A248" s="164" t="s">
        <v>7736</v>
      </c>
      <c r="B248" s="200" t="s">
        <v>6921</v>
      </c>
      <c r="C248" s="200" t="s">
        <v>6924</v>
      </c>
      <c r="D248" s="200" t="s">
        <v>7484</v>
      </c>
      <c r="E248" s="171">
        <v>1</v>
      </c>
      <c r="F248" s="167" t="s">
        <v>209</v>
      </c>
      <c r="G248" s="220">
        <v>33.333333333333343</v>
      </c>
      <c r="H248" s="206" t="s">
        <v>7658</v>
      </c>
      <c r="I248" s="206" t="s">
        <v>7757</v>
      </c>
      <c r="J248" s="206" t="s">
        <v>7758</v>
      </c>
      <c r="K248" s="226">
        <v>0.3</v>
      </c>
    </row>
    <row r="249" spans="1:11" ht="22.05" customHeight="1" x14ac:dyDescent="0.3">
      <c r="A249" s="164" t="s">
        <v>7736</v>
      </c>
      <c r="B249" s="200" t="s">
        <v>6921</v>
      </c>
      <c r="C249" s="200" t="s">
        <v>6924</v>
      </c>
      <c r="D249" s="200" t="s">
        <v>7484</v>
      </c>
      <c r="E249" s="171">
        <v>2</v>
      </c>
      <c r="F249" s="167" t="s">
        <v>223</v>
      </c>
      <c r="G249" s="220">
        <v>200</v>
      </c>
      <c r="H249" s="206" t="s">
        <v>7759</v>
      </c>
      <c r="I249" s="206" t="s">
        <v>7760</v>
      </c>
      <c r="J249" s="206" t="s">
        <v>7761</v>
      </c>
      <c r="K249" s="226">
        <v>0.05</v>
      </c>
    </row>
    <row r="250" spans="1:11" ht="22.05" customHeight="1" x14ac:dyDescent="0.3">
      <c r="A250" s="164" t="s">
        <v>7736</v>
      </c>
      <c r="B250" s="200" t="s">
        <v>6921</v>
      </c>
      <c r="C250" s="200" t="s">
        <v>6924</v>
      </c>
      <c r="D250" s="200" t="s">
        <v>7484</v>
      </c>
      <c r="E250" s="171">
        <v>3</v>
      </c>
      <c r="F250" s="167" t="s">
        <v>4269</v>
      </c>
      <c r="G250" s="208"/>
      <c r="H250" s="206" t="s">
        <v>7398</v>
      </c>
      <c r="I250" s="206" t="s">
        <v>7762</v>
      </c>
      <c r="J250" s="206" t="s">
        <v>7763</v>
      </c>
      <c r="K250" s="226">
        <v>17.940000000000001</v>
      </c>
    </row>
    <row r="251" spans="1:11" ht="22.05" customHeight="1" x14ac:dyDescent="0.3">
      <c r="A251" s="164" t="s">
        <v>7736</v>
      </c>
      <c r="B251" s="200" t="s">
        <v>6921</v>
      </c>
      <c r="C251" s="200" t="s">
        <v>6924</v>
      </c>
      <c r="D251" s="200" t="s">
        <v>7375</v>
      </c>
      <c r="E251" s="171">
        <v>1</v>
      </c>
      <c r="F251" s="167" t="s">
        <v>781</v>
      </c>
      <c r="G251" s="208"/>
      <c r="H251" s="206" t="s">
        <v>7764</v>
      </c>
      <c r="I251" s="206" t="s">
        <v>7765</v>
      </c>
      <c r="J251" s="206" t="s">
        <v>7766</v>
      </c>
      <c r="K251" s="226">
        <v>32.299999999999997</v>
      </c>
    </row>
    <row r="252" spans="1:11" ht="22.05" customHeight="1" x14ac:dyDescent="0.3">
      <c r="A252" s="164" t="s">
        <v>7736</v>
      </c>
      <c r="B252" s="200" t="s">
        <v>6921</v>
      </c>
      <c r="C252" s="200" t="s">
        <v>6924</v>
      </c>
      <c r="D252" s="200" t="s">
        <v>7375</v>
      </c>
      <c r="E252" s="171">
        <v>2</v>
      </c>
      <c r="F252" s="167" t="s">
        <v>205</v>
      </c>
      <c r="G252" s="220">
        <v>50</v>
      </c>
      <c r="H252" s="206" t="s">
        <v>7767</v>
      </c>
      <c r="I252" s="206" t="s">
        <v>7768</v>
      </c>
      <c r="J252" s="206" t="s">
        <v>7769</v>
      </c>
      <c r="K252" s="226">
        <v>0.2</v>
      </c>
    </row>
    <row r="253" spans="1:11" ht="22.05" customHeight="1" x14ac:dyDescent="0.3">
      <c r="A253" s="164" t="s">
        <v>7736</v>
      </c>
      <c r="B253" s="200" t="s">
        <v>6921</v>
      </c>
      <c r="C253" s="200" t="s">
        <v>6924</v>
      </c>
      <c r="D253" s="200" t="s">
        <v>7375</v>
      </c>
      <c r="E253" s="171">
        <v>3</v>
      </c>
      <c r="F253" s="167" t="s">
        <v>209</v>
      </c>
      <c r="G253" s="220">
        <v>50</v>
      </c>
      <c r="H253" s="206" t="s">
        <v>7658</v>
      </c>
      <c r="I253" s="206" t="s">
        <v>7770</v>
      </c>
      <c r="J253" s="206" t="s">
        <v>7771</v>
      </c>
      <c r="K253" s="226">
        <v>0.2</v>
      </c>
    </row>
    <row r="254" spans="1:11" ht="22.05" customHeight="1" x14ac:dyDescent="0.3">
      <c r="A254" s="164" t="s">
        <v>7736</v>
      </c>
      <c r="B254" s="200" t="s">
        <v>6921</v>
      </c>
      <c r="C254" s="200" t="s">
        <v>6924</v>
      </c>
      <c r="D254" s="200" t="s">
        <v>7375</v>
      </c>
      <c r="E254" s="171">
        <v>4</v>
      </c>
      <c r="F254" s="167" t="s">
        <v>4269</v>
      </c>
      <c r="G254" s="208"/>
      <c r="H254" s="206" t="s">
        <v>7398</v>
      </c>
      <c r="I254" s="206" t="s">
        <v>7772</v>
      </c>
      <c r="J254" s="206" t="s">
        <v>7773</v>
      </c>
      <c r="K254" s="226">
        <v>17.940000000000001</v>
      </c>
    </row>
    <row r="255" spans="1:11" ht="22.05" customHeight="1" x14ac:dyDescent="0.3">
      <c r="A255" s="164" t="s">
        <v>6917</v>
      </c>
      <c r="B255" s="200" t="s">
        <v>6921</v>
      </c>
      <c r="C255" s="200" t="s">
        <v>6924</v>
      </c>
      <c r="D255" s="200" t="s">
        <v>7352</v>
      </c>
      <c r="E255" s="171">
        <v>1</v>
      </c>
      <c r="F255" s="167" t="s">
        <v>231</v>
      </c>
      <c r="G255" s="219">
        <v>125</v>
      </c>
      <c r="H255" s="206" t="s">
        <v>7331</v>
      </c>
      <c r="I255" s="206" t="s">
        <v>7774</v>
      </c>
      <c r="J255" s="206" t="s">
        <v>7775</v>
      </c>
      <c r="K255" s="226">
        <v>0.08</v>
      </c>
    </row>
    <row r="256" spans="1:11" ht="22.05" customHeight="1" x14ac:dyDescent="0.3">
      <c r="A256" s="164" t="s">
        <v>6917</v>
      </c>
      <c r="B256" s="200" t="s">
        <v>6921</v>
      </c>
      <c r="C256" s="200" t="s">
        <v>6924</v>
      </c>
      <c r="D256" s="200" t="s">
        <v>7352</v>
      </c>
      <c r="E256" s="171">
        <v>2</v>
      </c>
      <c r="F256" s="167" t="s">
        <v>211</v>
      </c>
      <c r="G256" s="219">
        <v>12.5</v>
      </c>
      <c r="H256" s="206" t="s">
        <v>7176</v>
      </c>
      <c r="I256" s="206" t="s">
        <v>7776</v>
      </c>
      <c r="J256" s="206" t="s">
        <v>7777</v>
      </c>
      <c r="K256" s="226">
        <v>0.8</v>
      </c>
    </row>
    <row r="257" spans="1:11" ht="22.05" customHeight="1" x14ac:dyDescent="0.3">
      <c r="A257" s="164" t="s">
        <v>7648</v>
      </c>
      <c r="B257" s="200" t="s">
        <v>6921</v>
      </c>
      <c r="C257" s="200" t="s">
        <v>6924</v>
      </c>
      <c r="D257" s="200" t="s">
        <v>7449</v>
      </c>
      <c r="E257" s="171">
        <v>1</v>
      </c>
      <c r="F257" s="167" t="s">
        <v>1616</v>
      </c>
      <c r="G257" s="208"/>
      <c r="H257" s="206" t="s">
        <v>7778</v>
      </c>
      <c r="I257" s="206" t="s">
        <v>7779</v>
      </c>
      <c r="J257" s="206" t="s">
        <v>7780</v>
      </c>
      <c r="K257" s="226">
        <v>1</v>
      </c>
    </row>
    <row r="258" spans="1:11" ht="22.05" customHeight="1" x14ac:dyDescent="0.3">
      <c r="A258" s="164" t="s">
        <v>7648</v>
      </c>
      <c r="B258" s="200" t="s">
        <v>6921</v>
      </c>
      <c r="C258" s="200" t="s">
        <v>6924</v>
      </c>
      <c r="D258" s="200" t="s">
        <v>7449</v>
      </c>
      <c r="E258" s="171">
        <v>2</v>
      </c>
      <c r="F258" s="167" t="s">
        <v>1669</v>
      </c>
      <c r="G258" s="208"/>
      <c r="H258" s="206" t="s">
        <v>7781</v>
      </c>
      <c r="I258" s="206" t="s">
        <v>7782</v>
      </c>
      <c r="J258" s="206" t="s">
        <v>7783</v>
      </c>
      <c r="K258" s="226">
        <v>1</v>
      </c>
    </row>
    <row r="259" spans="1:11" ht="22.05" customHeight="1" x14ac:dyDescent="0.3">
      <c r="A259" s="164" t="s">
        <v>7648</v>
      </c>
      <c r="B259" s="200" t="s">
        <v>6921</v>
      </c>
      <c r="C259" s="200" t="s">
        <v>6924</v>
      </c>
      <c r="D259" s="200" t="s">
        <v>7322</v>
      </c>
      <c r="E259" s="171">
        <v>1</v>
      </c>
      <c r="F259" s="167" t="s">
        <v>231</v>
      </c>
      <c r="G259" s="219">
        <v>50</v>
      </c>
      <c r="H259" s="206" t="s">
        <v>7331</v>
      </c>
      <c r="I259" s="206" t="s">
        <v>7661</v>
      </c>
      <c r="J259" s="206" t="s">
        <v>7784</v>
      </c>
      <c r="K259" s="226">
        <v>0.2</v>
      </c>
    </row>
    <row r="260" spans="1:11" ht="22.05" customHeight="1" x14ac:dyDescent="0.3">
      <c r="A260" s="164" t="s">
        <v>7648</v>
      </c>
      <c r="B260" s="200" t="s">
        <v>6921</v>
      </c>
      <c r="C260" s="200" t="s">
        <v>6924</v>
      </c>
      <c r="D260" s="200" t="s">
        <v>7322</v>
      </c>
      <c r="E260" s="171">
        <v>2</v>
      </c>
      <c r="F260" s="167" t="s">
        <v>211</v>
      </c>
      <c r="G260" s="219">
        <v>4</v>
      </c>
      <c r="H260" s="206" t="s">
        <v>7340</v>
      </c>
      <c r="I260" s="206" t="s">
        <v>7785</v>
      </c>
      <c r="J260" s="206" t="s">
        <v>7786</v>
      </c>
      <c r="K260" s="226">
        <v>2.5</v>
      </c>
    </row>
    <row r="261" spans="1:11" ht="22.05" customHeight="1" x14ac:dyDescent="0.3">
      <c r="A261" s="164" t="s">
        <v>7648</v>
      </c>
      <c r="B261" s="200" t="s">
        <v>6921</v>
      </c>
      <c r="C261" s="200" t="s">
        <v>6924</v>
      </c>
      <c r="D261" s="200" t="s">
        <v>7322</v>
      </c>
      <c r="E261" s="171">
        <v>3</v>
      </c>
      <c r="F261" s="167" t="s">
        <v>197</v>
      </c>
      <c r="G261" s="219">
        <v>50</v>
      </c>
      <c r="H261" s="206" t="s">
        <v>7653</v>
      </c>
      <c r="I261" s="206" t="s">
        <v>7787</v>
      </c>
      <c r="J261" s="206" t="s">
        <v>7788</v>
      </c>
      <c r="K261" s="226">
        <v>0.2</v>
      </c>
    </row>
    <row r="262" spans="1:11" ht="22.05" customHeight="1" x14ac:dyDescent="0.3">
      <c r="A262" s="164" t="s">
        <v>7789</v>
      </c>
      <c r="B262" s="200" t="s">
        <v>6921</v>
      </c>
      <c r="C262" s="200" t="s">
        <v>6924</v>
      </c>
      <c r="D262" s="200" t="s">
        <v>7216</v>
      </c>
      <c r="E262" s="171">
        <v>1</v>
      </c>
      <c r="F262" s="167" t="s">
        <v>1048</v>
      </c>
      <c r="G262" s="208"/>
      <c r="H262" s="206" t="s">
        <v>7767</v>
      </c>
      <c r="I262" s="206" t="s">
        <v>7790</v>
      </c>
      <c r="J262" s="206" t="s">
        <v>7791</v>
      </c>
      <c r="K262" s="226">
        <v>21.375</v>
      </c>
    </row>
    <row r="263" spans="1:11" ht="22.05" customHeight="1" x14ac:dyDescent="0.3">
      <c r="A263" s="164" t="s">
        <v>7789</v>
      </c>
      <c r="B263" s="200" t="s">
        <v>6921</v>
      </c>
      <c r="C263" s="200" t="s">
        <v>6924</v>
      </c>
      <c r="D263" s="200" t="s">
        <v>7216</v>
      </c>
      <c r="E263" s="171">
        <v>2</v>
      </c>
      <c r="F263" s="167" t="s">
        <v>1046</v>
      </c>
      <c r="G263" s="208"/>
      <c r="H263" s="206" t="s">
        <v>7767</v>
      </c>
      <c r="I263" s="206" t="s">
        <v>7792</v>
      </c>
      <c r="J263" s="206" t="s">
        <v>7793</v>
      </c>
      <c r="K263" s="226">
        <v>7.5</v>
      </c>
    </row>
    <row r="264" spans="1:11" ht="22.05" customHeight="1" x14ac:dyDescent="0.3">
      <c r="A264" s="164" t="s">
        <v>7789</v>
      </c>
      <c r="B264" s="200" t="s">
        <v>6921</v>
      </c>
      <c r="C264" s="200" t="s">
        <v>6924</v>
      </c>
      <c r="D264" s="200" t="s">
        <v>7216</v>
      </c>
      <c r="E264" s="171">
        <v>3</v>
      </c>
      <c r="F264" s="167" t="s">
        <v>343</v>
      </c>
      <c r="G264" s="208"/>
      <c r="H264" s="206" t="s">
        <v>7767</v>
      </c>
      <c r="I264" s="206" t="s">
        <v>7794</v>
      </c>
      <c r="J264" s="206" t="s">
        <v>7795</v>
      </c>
      <c r="K264" s="226">
        <v>3.1875</v>
      </c>
    </row>
    <row r="265" spans="1:11" ht="22.05" customHeight="1" x14ac:dyDescent="0.3">
      <c r="A265" s="164" t="s">
        <v>7789</v>
      </c>
      <c r="B265" s="200" t="s">
        <v>6921</v>
      </c>
      <c r="C265" s="200" t="s">
        <v>6924</v>
      </c>
      <c r="D265" s="200" t="s">
        <v>7216</v>
      </c>
      <c r="E265" s="171">
        <v>4</v>
      </c>
      <c r="F265" s="167" t="s">
        <v>1632</v>
      </c>
      <c r="G265" s="208"/>
      <c r="H265" s="206" t="s">
        <v>7796</v>
      </c>
      <c r="I265" s="206" t="s">
        <v>7797</v>
      </c>
      <c r="J265" s="206" t="s">
        <v>7798</v>
      </c>
      <c r="K265" s="226">
        <v>1.3125</v>
      </c>
    </row>
    <row r="266" spans="1:11" ht="22.05" customHeight="1" x14ac:dyDescent="0.3">
      <c r="A266" s="164" t="s">
        <v>7789</v>
      </c>
      <c r="B266" s="200" t="s">
        <v>6921</v>
      </c>
      <c r="C266" s="200" t="s">
        <v>6924</v>
      </c>
      <c r="D266" s="200" t="s">
        <v>7216</v>
      </c>
      <c r="E266" s="171">
        <v>5</v>
      </c>
      <c r="F266" s="167" t="s">
        <v>205</v>
      </c>
      <c r="G266" s="218">
        <v>180</v>
      </c>
      <c r="H266" s="206" t="s">
        <v>7767</v>
      </c>
      <c r="I266" s="206" t="s">
        <v>7799</v>
      </c>
      <c r="J266" s="206" t="s">
        <v>7800</v>
      </c>
      <c r="K266" s="226">
        <v>0.5</v>
      </c>
    </row>
    <row r="267" spans="1:11" ht="22.05" customHeight="1" x14ac:dyDescent="0.3">
      <c r="A267" s="164" t="s">
        <v>7789</v>
      </c>
      <c r="B267" s="200" t="s">
        <v>6921</v>
      </c>
      <c r="C267" s="200" t="s">
        <v>6924</v>
      </c>
      <c r="D267" s="200" t="s">
        <v>7216</v>
      </c>
      <c r="E267" s="171">
        <v>6</v>
      </c>
      <c r="F267" s="167" t="s">
        <v>209</v>
      </c>
      <c r="G267" s="218">
        <v>90</v>
      </c>
      <c r="H267" s="206" t="s">
        <v>7658</v>
      </c>
      <c r="I267" s="206" t="s">
        <v>7801</v>
      </c>
      <c r="J267" s="206" t="s">
        <v>7802</v>
      </c>
      <c r="K267" s="226">
        <v>1</v>
      </c>
    </row>
    <row r="268" spans="1:11" ht="22.05" customHeight="1" x14ac:dyDescent="0.3">
      <c r="A268" s="164" t="s">
        <v>7789</v>
      </c>
      <c r="B268" s="200" t="s">
        <v>6921</v>
      </c>
      <c r="C268" s="200" t="s">
        <v>6924</v>
      </c>
      <c r="D268" s="200" t="s">
        <v>7216</v>
      </c>
      <c r="E268" s="171">
        <v>7</v>
      </c>
      <c r="F268" s="167" t="s">
        <v>4269</v>
      </c>
      <c r="G268" s="208"/>
      <c r="H268" s="206" t="s">
        <v>7398</v>
      </c>
      <c r="I268" s="206" t="s">
        <v>7803</v>
      </c>
      <c r="J268" s="206" t="s">
        <v>7804</v>
      </c>
      <c r="K268" s="226">
        <v>26.91</v>
      </c>
    </row>
    <row r="269" spans="1:11" ht="22.05" customHeight="1" x14ac:dyDescent="0.3">
      <c r="A269" s="164" t="s">
        <v>7789</v>
      </c>
      <c r="B269" s="200" t="s">
        <v>6921</v>
      </c>
      <c r="C269" s="200" t="s">
        <v>7625</v>
      </c>
      <c r="D269" s="200" t="s">
        <v>7199</v>
      </c>
      <c r="E269" s="171">
        <v>1</v>
      </c>
      <c r="F269" s="167" t="s">
        <v>1048</v>
      </c>
      <c r="G269" s="208"/>
      <c r="H269" s="206" t="s">
        <v>7767</v>
      </c>
      <c r="I269" s="206" t="s">
        <v>7805</v>
      </c>
      <c r="J269" s="206" t="s">
        <v>7806</v>
      </c>
      <c r="K269" s="226">
        <v>21.375</v>
      </c>
    </row>
    <row r="270" spans="1:11" ht="22.05" customHeight="1" x14ac:dyDescent="0.3">
      <c r="A270" s="164" t="s">
        <v>7789</v>
      </c>
      <c r="B270" s="200" t="s">
        <v>6921</v>
      </c>
      <c r="C270" s="200" t="s">
        <v>7625</v>
      </c>
      <c r="D270" s="200" t="s">
        <v>7199</v>
      </c>
      <c r="E270" s="171">
        <v>2</v>
      </c>
      <c r="F270" s="167" t="s">
        <v>1046</v>
      </c>
      <c r="G270" s="208"/>
      <c r="H270" s="206" t="s">
        <v>7767</v>
      </c>
      <c r="I270" s="206" t="s">
        <v>7807</v>
      </c>
      <c r="J270" s="206" t="s">
        <v>7808</v>
      </c>
      <c r="K270" s="226">
        <v>7.5</v>
      </c>
    </row>
    <row r="271" spans="1:11" ht="22.05" customHeight="1" x14ac:dyDescent="0.3">
      <c r="A271" s="164" t="s">
        <v>7789</v>
      </c>
      <c r="B271" s="200" t="s">
        <v>6921</v>
      </c>
      <c r="C271" s="200" t="s">
        <v>7625</v>
      </c>
      <c r="D271" s="200" t="s">
        <v>7199</v>
      </c>
      <c r="E271" s="171">
        <v>3</v>
      </c>
      <c r="F271" s="167" t="s">
        <v>343</v>
      </c>
      <c r="G271" s="208"/>
      <c r="H271" s="206" t="s">
        <v>7767</v>
      </c>
      <c r="I271" s="206" t="s">
        <v>7809</v>
      </c>
      <c r="J271" s="206" t="s">
        <v>7810</v>
      </c>
      <c r="K271" s="226">
        <v>3.1875</v>
      </c>
    </row>
    <row r="272" spans="1:11" ht="22.05" customHeight="1" x14ac:dyDescent="0.3">
      <c r="A272" s="164" t="s">
        <v>7789</v>
      </c>
      <c r="B272" s="200" t="s">
        <v>6921</v>
      </c>
      <c r="C272" s="200" t="s">
        <v>7625</v>
      </c>
      <c r="D272" s="200" t="s">
        <v>7199</v>
      </c>
      <c r="E272" s="171">
        <v>4</v>
      </c>
      <c r="F272" s="167" t="s">
        <v>1632</v>
      </c>
      <c r="G272" s="208"/>
      <c r="H272" s="206" t="s">
        <v>7811</v>
      </c>
      <c r="I272" s="206" t="s">
        <v>7812</v>
      </c>
      <c r="J272" s="206" t="s">
        <v>7813</v>
      </c>
      <c r="K272" s="226">
        <v>1.3125</v>
      </c>
    </row>
    <row r="273" spans="1:11" ht="22.05" customHeight="1" x14ac:dyDescent="0.3">
      <c r="A273" s="164" t="s">
        <v>7789</v>
      </c>
      <c r="B273" s="200" t="s">
        <v>6921</v>
      </c>
      <c r="C273" s="200" t="s">
        <v>7625</v>
      </c>
      <c r="D273" s="200" t="s">
        <v>7199</v>
      </c>
      <c r="E273" s="171">
        <v>5</v>
      </c>
      <c r="F273" s="167" t="s">
        <v>205</v>
      </c>
      <c r="G273" s="218">
        <v>120</v>
      </c>
      <c r="H273" s="206" t="s">
        <v>7767</v>
      </c>
      <c r="I273" s="206" t="s">
        <v>7814</v>
      </c>
      <c r="J273" s="206" t="s">
        <v>7815</v>
      </c>
      <c r="K273" s="226">
        <v>0.75</v>
      </c>
    </row>
    <row r="274" spans="1:11" ht="22.05" customHeight="1" x14ac:dyDescent="0.3">
      <c r="A274" s="164" t="s">
        <v>7789</v>
      </c>
      <c r="B274" s="200" t="s">
        <v>6921</v>
      </c>
      <c r="C274" s="200" t="s">
        <v>7625</v>
      </c>
      <c r="D274" s="200" t="s">
        <v>7199</v>
      </c>
      <c r="E274" s="171">
        <v>6</v>
      </c>
      <c r="F274" s="167" t="s">
        <v>209</v>
      </c>
      <c r="G274" s="218">
        <v>45</v>
      </c>
      <c r="H274" s="206" t="s">
        <v>7658</v>
      </c>
      <c r="I274" s="206" t="s">
        <v>7816</v>
      </c>
      <c r="J274" s="206" t="s">
        <v>7817</v>
      </c>
      <c r="K274" s="226">
        <v>2</v>
      </c>
    </row>
    <row r="275" spans="1:11" ht="22.05" customHeight="1" x14ac:dyDescent="0.3">
      <c r="A275" s="164" t="s">
        <v>7789</v>
      </c>
      <c r="B275" s="200" t="s">
        <v>6921</v>
      </c>
      <c r="C275" s="200" t="s">
        <v>7625</v>
      </c>
      <c r="D275" s="200" t="s">
        <v>7199</v>
      </c>
      <c r="E275" s="171">
        <v>7</v>
      </c>
      <c r="F275" s="167" t="s">
        <v>4269</v>
      </c>
      <c r="G275" s="208"/>
      <c r="H275" s="206" t="s">
        <v>7398</v>
      </c>
      <c r="I275" s="206" t="s">
        <v>7818</v>
      </c>
      <c r="J275" s="206" t="s">
        <v>7819</v>
      </c>
      <c r="K275" s="226">
        <v>40.43</v>
      </c>
    </row>
    <row r="276" spans="1:11" ht="22.05" customHeight="1" x14ac:dyDescent="0.3">
      <c r="A276" s="164" t="s">
        <v>7789</v>
      </c>
      <c r="B276" s="200" t="s">
        <v>6921</v>
      </c>
      <c r="C276" s="200" t="s">
        <v>7630</v>
      </c>
      <c r="D276" s="200" t="s">
        <v>7208</v>
      </c>
      <c r="E276" s="171">
        <v>1</v>
      </c>
      <c r="F276" s="167" t="s">
        <v>1048</v>
      </c>
      <c r="G276" s="208"/>
      <c r="H276" s="206" t="s">
        <v>7767</v>
      </c>
      <c r="I276" s="206" t="s">
        <v>7820</v>
      </c>
      <c r="J276" s="206" t="s">
        <v>7821</v>
      </c>
      <c r="K276" s="226">
        <v>21.375</v>
      </c>
    </row>
    <row r="277" spans="1:11" ht="22.05" customHeight="1" x14ac:dyDescent="0.3">
      <c r="A277" s="164" t="s">
        <v>7789</v>
      </c>
      <c r="B277" s="200" t="s">
        <v>6921</v>
      </c>
      <c r="C277" s="200" t="s">
        <v>7630</v>
      </c>
      <c r="D277" s="200" t="s">
        <v>7208</v>
      </c>
      <c r="E277" s="171">
        <v>2</v>
      </c>
      <c r="F277" s="167" t="s">
        <v>1046</v>
      </c>
      <c r="G277" s="208"/>
      <c r="H277" s="206" t="s">
        <v>7767</v>
      </c>
      <c r="I277" s="206" t="s">
        <v>7822</v>
      </c>
      <c r="J277" s="206" t="s">
        <v>7823</v>
      </c>
      <c r="K277" s="226">
        <v>7.5</v>
      </c>
    </row>
    <row r="278" spans="1:11" ht="22.05" customHeight="1" x14ac:dyDescent="0.3">
      <c r="A278" s="164" t="s">
        <v>7789</v>
      </c>
      <c r="B278" s="200" t="s">
        <v>6921</v>
      </c>
      <c r="C278" s="200" t="s">
        <v>7630</v>
      </c>
      <c r="D278" s="200" t="s">
        <v>7208</v>
      </c>
      <c r="E278" s="171">
        <v>3</v>
      </c>
      <c r="F278" s="167" t="s">
        <v>343</v>
      </c>
      <c r="G278" s="208"/>
      <c r="H278" s="206" t="s">
        <v>7767</v>
      </c>
      <c r="I278" s="206" t="s">
        <v>7824</v>
      </c>
      <c r="J278" s="206" t="s">
        <v>7825</v>
      </c>
      <c r="K278" s="226">
        <v>3.1875</v>
      </c>
    </row>
    <row r="279" spans="1:11" ht="22.05" customHeight="1" x14ac:dyDescent="0.3">
      <c r="A279" s="164" t="s">
        <v>7789</v>
      </c>
      <c r="B279" s="200" t="s">
        <v>6921</v>
      </c>
      <c r="C279" s="200" t="s">
        <v>7630</v>
      </c>
      <c r="D279" s="200" t="s">
        <v>7208</v>
      </c>
      <c r="E279" s="171">
        <v>4</v>
      </c>
      <c r="F279" s="167" t="s">
        <v>1632</v>
      </c>
      <c r="G279" s="208"/>
      <c r="H279" s="206" t="s">
        <v>7826</v>
      </c>
      <c r="I279" s="206" t="s">
        <v>7827</v>
      </c>
      <c r="J279" s="206" t="s">
        <v>7828</v>
      </c>
      <c r="K279" s="226">
        <v>1.3125</v>
      </c>
    </row>
    <row r="280" spans="1:11" ht="22.05" customHeight="1" x14ac:dyDescent="0.3">
      <c r="A280" s="164" t="s">
        <v>7789</v>
      </c>
      <c r="B280" s="200" t="s">
        <v>6921</v>
      </c>
      <c r="C280" s="200" t="s">
        <v>7630</v>
      </c>
      <c r="D280" s="200" t="s">
        <v>7208</v>
      </c>
      <c r="E280" s="171">
        <v>5</v>
      </c>
      <c r="F280" s="167" t="s">
        <v>205</v>
      </c>
      <c r="G280" s="218">
        <v>60</v>
      </c>
      <c r="H280" s="206" t="s">
        <v>7767</v>
      </c>
      <c r="I280" s="206" t="s">
        <v>7829</v>
      </c>
      <c r="J280" s="206" t="s">
        <v>7830</v>
      </c>
      <c r="K280" s="226">
        <v>1.5</v>
      </c>
    </row>
    <row r="281" spans="1:11" ht="22.05" customHeight="1" x14ac:dyDescent="0.3">
      <c r="A281" s="164" t="s">
        <v>7789</v>
      </c>
      <c r="B281" s="200" t="s">
        <v>6921</v>
      </c>
      <c r="C281" s="200" t="s">
        <v>7630</v>
      </c>
      <c r="D281" s="200" t="s">
        <v>7208</v>
      </c>
      <c r="E281" s="171">
        <v>6</v>
      </c>
      <c r="F281" s="167" t="s">
        <v>209</v>
      </c>
      <c r="G281" s="218">
        <v>22.5</v>
      </c>
      <c r="H281" s="206" t="s">
        <v>7658</v>
      </c>
      <c r="I281" s="206" t="s">
        <v>7831</v>
      </c>
      <c r="J281" s="206" t="s">
        <v>7832</v>
      </c>
      <c r="K281" s="226">
        <v>4</v>
      </c>
    </row>
    <row r="282" spans="1:11" ht="22.05" customHeight="1" x14ac:dyDescent="0.3">
      <c r="A282" s="164" t="s">
        <v>7789</v>
      </c>
      <c r="B282" s="200" t="s">
        <v>6921</v>
      </c>
      <c r="C282" s="200" t="s">
        <v>7630</v>
      </c>
      <c r="D282" s="200" t="s">
        <v>7208</v>
      </c>
      <c r="E282" s="171">
        <v>7</v>
      </c>
      <c r="F282" s="167" t="s">
        <v>4269</v>
      </c>
      <c r="G282" s="208"/>
      <c r="H282" s="206" t="s">
        <v>7398</v>
      </c>
      <c r="I282" s="206" t="s">
        <v>7833</v>
      </c>
      <c r="J282" s="206" t="s">
        <v>7834</v>
      </c>
      <c r="K282" s="226">
        <v>80.73</v>
      </c>
    </row>
  </sheetData>
  <mergeCells count="76">
    <mergeCell ref="A102:K102"/>
    <mergeCell ref="K93:O93"/>
    <mergeCell ref="G8:O8"/>
    <mergeCell ref="A42:G42"/>
    <mergeCell ref="E18:O18"/>
    <mergeCell ref="A6:C6"/>
    <mergeCell ref="P17:S17"/>
    <mergeCell ref="A1:I1"/>
    <mergeCell ref="A61:O61"/>
    <mergeCell ref="A7:C7"/>
    <mergeCell ref="K98:O98"/>
    <mergeCell ref="A15:C15"/>
    <mergeCell ref="A41:G41"/>
    <mergeCell ref="G12:O12"/>
    <mergeCell ref="K97:O97"/>
    <mergeCell ref="J57:O57"/>
    <mergeCell ref="A60:O60"/>
    <mergeCell ref="K96:O96"/>
    <mergeCell ref="A13:C13"/>
    <mergeCell ref="A19:C19"/>
    <mergeCell ref="J51:O51"/>
    <mergeCell ref="J42:O42"/>
    <mergeCell ref="J58:O58"/>
    <mergeCell ref="A44:O44"/>
    <mergeCell ref="J52:O52"/>
    <mergeCell ref="J48:O48"/>
    <mergeCell ref="A103:K103"/>
    <mergeCell ref="E23:O23"/>
    <mergeCell ref="J54:O54"/>
    <mergeCell ref="G15:O15"/>
    <mergeCell ref="J41:O41"/>
    <mergeCell ref="E20:O20"/>
    <mergeCell ref="A23:C23"/>
    <mergeCell ref="A22:C22"/>
    <mergeCell ref="K94:O94"/>
    <mergeCell ref="E22:O22"/>
    <mergeCell ref="E19:O19"/>
    <mergeCell ref="K99:O99"/>
    <mergeCell ref="K100:O100"/>
    <mergeCell ref="J56:O56"/>
    <mergeCell ref="J47:O47"/>
    <mergeCell ref="A17:O17"/>
    <mergeCell ref="G6:O6"/>
    <mergeCell ref="A18:C18"/>
    <mergeCell ref="K95:O95"/>
    <mergeCell ref="J45:O45"/>
    <mergeCell ref="A3:I3"/>
    <mergeCell ref="A21:C21"/>
    <mergeCell ref="J55:O55"/>
    <mergeCell ref="A12:C12"/>
    <mergeCell ref="A5:C5"/>
    <mergeCell ref="G5:O5"/>
    <mergeCell ref="A8:C8"/>
    <mergeCell ref="A14:C14"/>
    <mergeCell ref="G14:O14"/>
    <mergeCell ref="A4:O4"/>
    <mergeCell ref="A20:C20"/>
    <mergeCell ref="J50:O50"/>
    <mergeCell ref="K92:O92"/>
    <mergeCell ref="D13:O13"/>
    <mergeCell ref="E21:O21"/>
    <mergeCell ref="J49:O49"/>
    <mergeCell ref="A90:O90"/>
    <mergeCell ref="J46:O46"/>
    <mergeCell ref="A91:O91"/>
    <mergeCell ref="G7:O7"/>
    <mergeCell ref="A25:O25"/>
    <mergeCell ref="J53:O53"/>
    <mergeCell ref="S25:W25"/>
    <mergeCell ref="G10:O10"/>
    <mergeCell ref="A10:C10"/>
    <mergeCell ref="A9:C9"/>
    <mergeCell ref="G9:O9"/>
    <mergeCell ref="A11:C11"/>
    <mergeCell ref="P25:R25"/>
    <mergeCell ref="G11:O11"/>
  </mergeCells>
  <dataValidations count="5">
    <dataValidation type="list" sqref="C47 C49 C51 C53 D22 D23">
      <formula1>"YES,NO"</formula1>
    </dataValidation>
    <dataValidation type="list" sqref="D6">
      <formula1>"Surface Excavation (≤30 cm),Foundation &amp; Pipeline Trenching,Embankment Banking &amp; Dressing,Backfilling &amp; Compaction,Site Clearance &amp; Tree Felling,Timbering &amp; Shoring,Chemical Anti-Termite Treatment"</formula1>
    </dataValidation>
    <dataValidation type="list" sqref="D7">
      <formula1>"All kinds of soil,Ordinary rock,Hard rock (blasting permitted),Hard rock (blasting prohibited)"</formula1>
    </dataValidation>
    <dataValidation type="list" sqref="D8">
      <formula1>"Manual labor (depth ≤1.5m),Mechanical (Hydraulic Excavator 0.9 cum),Extra depth &gt;1.5m to 3.0m,Extra depth &gt;3.0m to 4.5m"</formula1>
    </dataValidation>
    <dataValidation type="list" allowBlank="1" sqref="D9">
      <formula1>$AL$105:$AL$150</formula1>
    </dataValidation>
  </dataValidations>
  <pageMargins left="0.75" right="0.75" top="1" bottom="1" header="0.5" footer="0.5"/>
  <pageSetup paperSize="9" orientation="portrait" verticalDpi="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pane ySplit="3" topLeftCell="A67" activePane="bottomLeft" state="frozen"/>
      <selection pane="bottomLeft" activeCell="C9" sqref="C9"/>
    </sheetView>
  </sheetViews>
  <sheetFormatPr defaultRowHeight="14.4" x14ac:dyDescent="0.3"/>
  <cols>
    <col min="1" max="1" width="34" style="151" customWidth="1"/>
    <col min="2" max="2" width="26" style="151" customWidth="1"/>
    <col min="3" max="3" width="46" style="151" customWidth="1"/>
    <col min="4" max="4" width="16" style="151" customWidth="1"/>
    <col min="5" max="6" width="18" style="151" customWidth="1"/>
    <col min="7" max="7" width="20" style="151" customWidth="1"/>
    <col min="8" max="8" width="44" style="151" customWidth="1"/>
    <col min="9" max="9" width="14" style="151" customWidth="1"/>
  </cols>
  <sheetData>
    <row r="1" spans="1:9" ht="30" customHeight="1" x14ac:dyDescent="0.3">
      <c r="A1" s="227" t="s">
        <v>7835</v>
      </c>
      <c r="B1" s="228"/>
      <c r="C1" s="228"/>
      <c r="D1" s="228"/>
      <c r="E1" s="228"/>
      <c r="F1" s="228"/>
      <c r="G1" s="228"/>
      <c r="H1" s="228"/>
      <c r="I1" s="228"/>
    </row>
    <row r="2" spans="1:9" ht="19.95" customHeight="1" x14ac:dyDescent="0.3">
      <c r="A2" s="73" t="s">
        <v>4272</v>
      </c>
      <c r="B2" s="45" t="s">
        <v>6379</v>
      </c>
      <c r="C2" s="74" t="s">
        <v>6380</v>
      </c>
      <c r="D2" s="28" t="s">
        <v>6381</v>
      </c>
      <c r="E2" s="7" t="s">
        <v>6382</v>
      </c>
      <c r="F2" s="26" t="s">
        <v>6383</v>
      </c>
      <c r="G2" s="46" t="s">
        <v>6384</v>
      </c>
      <c r="H2" s="47" t="s">
        <v>6385</v>
      </c>
      <c r="I2" s="3" t="s">
        <v>6386</v>
      </c>
    </row>
    <row r="3" spans="1:9" ht="30" customHeight="1" x14ac:dyDescent="0.3">
      <c r="A3" s="237" t="s">
        <v>7836</v>
      </c>
      <c r="B3" s="241"/>
      <c r="C3" s="241"/>
      <c r="D3" s="241"/>
      <c r="E3" s="241"/>
      <c r="F3" s="241"/>
      <c r="G3" s="241"/>
      <c r="H3" s="241"/>
      <c r="I3" s="242"/>
    </row>
    <row r="4" spans="1:9" ht="22.05" customHeight="1" x14ac:dyDescent="0.3">
      <c r="A4" s="239" t="s">
        <v>6388</v>
      </c>
      <c r="B4" s="228"/>
      <c r="C4" s="228"/>
      <c r="D4" s="228"/>
      <c r="E4" s="228"/>
      <c r="F4" s="228"/>
      <c r="G4" s="228"/>
      <c r="H4" s="228"/>
      <c r="I4" s="228"/>
    </row>
    <row r="5" spans="1:9" ht="46.05" customHeight="1" x14ac:dyDescent="0.3">
      <c r="A5" s="237" t="s">
        <v>6389</v>
      </c>
      <c r="B5" s="241"/>
      <c r="C5" s="241"/>
      <c r="D5" s="241"/>
      <c r="E5" s="241"/>
      <c r="F5" s="241"/>
      <c r="G5" s="241"/>
      <c r="H5" s="241"/>
      <c r="I5" s="242"/>
    </row>
    <row r="6" spans="1:9" ht="46.05" customHeight="1" x14ac:dyDescent="0.3">
      <c r="A6" s="237" t="s">
        <v>6390</v>
      </c>
      <c r="B6" s="241"/>
      <c r="C6" s="241"/>
      <c r="D6" s="241"/>
      <c r="E6" s="241"/>
      <c r="F6" s="241"/>
      <c r="G6" s="241"/>
      <c r="H6" s="241"/>
      <c r="I6" s="242"/>
    </row>
    <row r="8" spans="1:9" ht="24" customHeight="1" x14ac:dyDescent="0.3">
      <c r="A8" s="239" t="s">
        <v>7837</v>
      </c>
      <c r="B8" s="228"/>
      <c r="C8" s="228"/>
      <c r="D8" s="228"/>
      <c r="E8" s="228"/>
      <c r="F8" s="228"/>
      <c r="G8" s="228"/>
      <c r="H8" s="228"/>
      <c r="I8" s="228"/>
    </row>
    <row r="9" spans="1:9" ht="30" customHeight="1" x14ac:dyDescent="0.3">
      <c r="A9" s="153" t="s">
        <v>7838</v>
      </c>
      <c r="B9" s="153" t="s">
        <v>7839</v>
      </c>
      <c r="C9" s="153" t="s">
        <v>7840</v>
      </c>
      <c r="D9" s="153" t="s">
        <v>7841</v>
      </c>
      <c r="E9" s="247" t="s">
        <v>7842</v>
      </c>
      <c r="F9" s="248"/>
      <c r="G9" s="248"/>
      <c r="H9" s="248"/>
      <c r="I9" s="249"/>
    </row>
    <row r="10" spans="1:9" ht="31.95" customHeight="1" x14ac:dyDescent="0.3">
      <c r="A10" s="75" t="s">
        <v>7843</v>
      </c>
      <c r="B10" s="76" t="s">
        <v>7844</v>
      </c>
      <c r="C10" s="26" t="s">
        <v>7845</v>
      </c>
      <c r="D10" s="132" t="s">
        <v>7846</v>
      </c>
      <c r="E10" s="246" t="s">
        <v>7847</v>
      </c>
      <c r="F10" s="241"/>
      <c r="G10" s="241"/>
      <c r="H10" s="241"/>
      <c r="I10" s="242"/>
    </row>
    <row r="11" spans="1:9" ht="31.95" customHeight="1" x14ac:dyDescent="0.3">
      <c r="A11" s="75" t="s">
        <v>7848</v>
      </c>
      <c r="B11" s="76" t="s">
        <v>7849</v>
      </c>
      <c r="C11" s="26" t="s">
        <v>7845</v>
      </c>
      <c r="D11" s="132" t="s">
        <v>7850</v>
      </c>
      <c r="E11" s="246" t="s">
        <v>7851</v>
      </c>
      <c r="F11" s="241"/>
      <c r="G11" s="241"/>
      <c r="H11" s="241"/>
      <c r="I11" s="242"/>
    </row>
    <row r="12" spans="1:9" ht="31.95" customHeight="1" x14ac:dyDescent="0.3">
      <c r="A12" s="75" t="s">
        <v>7852</v>
      </c>
      <c r="B12" s="76" t="s">
        <v>7853</v>
      </c>
      <c r="C12" s="26" t="s">
        <v>7845</v>
      </c>
      <c r="D12" s="132" t="s">
        <v>7854</v>
      </c>
      <c r="E12" s="246" t="s">
        <v>7855</v>
      </c>
      <c r="F12" s="241"/>
      <c r="G12" s="241"/>
      <c r="H12" s="241"/>
      <c r="I12" s="242"/>
    </row>
    <row r="13" spans="1:9" ht="31.95" customHeight="1" x14ac:dyDescent="0.3">
      <c r="A13" s="75" t="s">
        <v>7856</v>
      </c>
      <c r="B13" s="76" t="s">
        <v>7857</v>
      </c>
      <c r="C13" s="26" t="s">
        <v>7845</v>
      </c>
      <c r="D13" s="132" t="s">
        <v>7858</v>
      </c>
      <c r="E13" s="246" t="s">
        <v>7859</v>
      </c>
      <c r="F13" s="241"/>
      <c r="G13" s="241"/>
      <c r="H13" s="241"/>
      <c r="I13" s="242"/>
    </row>
    <row r="14" spans="1:9" ht="31.95" customHeight="1" x14ac:dyDescent="0.3">
      <c r="A14" s="75" t="s">
        <v>7860</v>
      </c>
      <c r="B14" s="76" t="s">
        <v>7861</v>
      </c>
      <c r="C14" s="1" t="s">
        <v>7862</v>
      </c>
      <c r="D14" s="132" t="s">
        <v>6335</v>
      </c>
      <c r="E14" s="246" t="s">
        <v>7863</v>
      </c>
      <c r="F14" s="241"/>
      <c r="G14" s="241"/>
      <c r="H14" s="241"/>
      <c r="I14" s="242"/>
    </row>
    <row r="15" spans="1:9" ht="31.95" customHeight="1" x14ac:dyDescent="0.3">
      <c r="A15" s="75" t="s">
        <v>7864</v>
      </c>
      <c r="B15" s="76" t="s">
        <v>7865</v>
      </c>
      <c r="C15" s="1" t="s">
        <v>7862</v>
      </c>
      <c r="D15" s="132" t="s">
        <v>6335</v>
      </c>
      <c r="E15" s="246" t="s">
        <v>7866</v>
      </c>
      <c r="F15" s="241"/>
      <c r="G15" s="241"/>
      <c r="H15" s="241"/>
      <c r="I15" s="242"/>
    </row>
    <row r="16" spans="1:9" ht="22.05" customHeight="1" x14ac:dyDescent="0.35">
      <c r="A16" s="14" t="s">
        <v>7867</v>
      </c>
      <c r="B16" s="54" t="s">
        <v>7868</v>
      </c>
      <c r="C16" s="14" t="s">
        <v>7869</v>
      </c>
      <c r="D16" s="77">
        <v>1</v>
      </c>
      <c r="E16" s="14" t="s">
        <v>7870</v>
      </c>
      <c r="F16" s="54" t="s">
        <v>18</v>
      </c>
      <c r="G16" s="14" t="s">
        <v>7871</v>
      </c>
      <c r="H16" s="29" t="s">
        <v>7872</v>
      </c>
      <c r="I16" s="60" t="s">
        <v>7873</v>
      </c>
    </row>
    <row r="17" spans="1:9" ht="40.049999999999997" customHeight="1" x14ac:dyDescent="0.35">
      <c r="A17" s="14" t="s">
        <v>7874</v>
      </c>
      <c r="B17" s="282" t="str">
        <f>IF(I17&lt;&gt;"", I17, "Providing and mixing " &amp; B10 &amp; ", " &amp; B11 &amp; ", " &amp; B12 &amp; ", " &amp; B13 &amp; ", " &amp; B14 &amp; ", " &amp; B15 &amp; ", complete as per CPWD specifications and directions of Engineer-in-charge.")</f>
        <v>Providing and mixing Ordinary Portland cement, 1:4, coarse sand, Manual (hand mixing), at ground level, for masonry bedding, complete as per CPWD specifications and directions of Engineer-in-charge.</v>
      </c>
      <c r="C17" s="241"/>
      <c r="D17" s="241"/>
      <c r="E17" s="241"/>
      <c r="F17" s="241"/>
      <c r="G17" s="242"/>
      <c r="H17" s="60" t="s">
        <v>7875</v>
      </c>
      <c r="I17" s="133"/>
    </row>
    <row r="18" spans="1:9" ht="24" customHeight="1" x14ac:dyDescent="0.3">
      <c r="A18" s="239" t="s">
        <v>7876</v>
      </c>
      <c r="B18" s="228"/>
      <c r="C18" s="228"/>
      <c r="D18" s="228"/>
      <c r="E18" s="228"/>
      <c r="F18" s="228"/>
      <c r="G18" s="228"/>
      <c r="H18" s="228"/>
      <c r="I18" s="228"/>
    </row>
    <row r="19" spans="1:9" ht="25.95" customHeight="1" x14ac:dyDescent="0.3">
      <c r="A19" s="153" t="s">
        <v>7877</v>
      </c>
      <c r="B19" s="153" t="s">
        <v>6393</v>
      </c>
      <c r="C19" s="153" t="s">
        <v>6</v>
      </c>
      <c r="D19" s="153" t="s">
        <v>7878</v>
      </c>
      <c r="E19" s="247" t="s">
        <v>7879</v>
      </c>
      <c r="F19" s="248"/>
      <c r="G19" s="248"/>
      <c r="H19" s="248"/>
      <c r="I19" s="249"/>
    </row>
    <row r="20" spans="1:9" ht="30" customHeight="1" x14ac:dyDescent="0.3">
      <c r="A20" s="75" t="s">
        <v>7880</v>
      </c>
      <c r="B20" s="145">
        <v>1.3</v>
      </c>
      <c r="C20" s="16" t="s">
        <v>7881</v>
      </c>
      <c r="D20" s="132" t="s">
        <v>7850</v>
      </c>
      <c r="E20" s="246" t="s">
        <v>7882</v>
      </c>
      <c r="F20" s="241"/>
      <c r="G20" s="241"/>
      <c r="H20" s="241"/>
      <c r="I20" s="242"/>
    </row>
    <row r="21" spans="1:9" ht="30" customHeight="1" x14ac:dyDescent="0.3">
      <c r="A21" s="75" t="s">
        <v>7883</v>
      </c>
      <c r="B21" s="145">
        <v>1.44</v>
      </c>
      <c r="C21" s="16" t="s">
        <v>7884</v>
      </c>
      <c r="D21" s="132" t="s">
        <v>7885</v>
      </c>
      <c r="E21" s="246" t="s">
        <v>7886</v>
      </c>
      <c r="F21" s="241"/>
      <c r="G21" s="241"/>
      <c r="H21" s="241"/>
      <c r="I21" s="242"/>
    </row>
    <row r="22" spans="1:9" ht="30" customHeight="1" x14ac:dyDescent="0.3">
      <c r="A22" s="75" t="s">
        <v>7887</v>
      </c>
      <c r="B22" s="77">
        <v>1</v>
      </c>
      <c r="C22" s="16" t="s">
        <v>18</v>
      </c>
      <c r="D22" s="132" t="s">
        <v>7888</v>
      </c>
      <c r="E22" s="246" t="s">
        <v>7889</v>
      </c>
      <c r="F22" s="241"/>
      <c r="G22" s="241"/>
      <c r="H22" s="241"/>
      <c r="I22" s="242"/>
    </row>
    <row r="23" spans="1:9" ht="30" customHeight="1" x14ac:dyDescent="0.3">
      <c r="A23" s="75" t="s">
        <v>7890</v>
      </c>
      <c r="B23" s="77">
        <v>0</v>
      </c>
      <c r="C23" s="16" t="s">
        <v>7891</v>
      </c>
      <c r="D23" s="132" t="s">
        <v>7850</v>
      </c>
      <c r="E23" s="246" t="s">
        <v>7892</v>
      </c>
      <c r="F23" s="241"/>
      <c r="G23" s="241"/>
      <c r="H23" s="241"/>
      <c r="I23" s="242"/>
    </row>
    <row r="24" spans="1:9" ht="43.95" customHeight="1" x14ac:dyDescent="0.3">
      <c r="A24" s="237" t="s">
        <v>7893</v>
      </c>
      <c r="B24" s="241"/>
      <c r="C24" s="241"/>
      <c r="D24" s="241"/>
      <c r="E24" s="241"/>
      <c r="F24" s="241"/>
      <c r="G24" s="241"/>
      <c r="H24" s="241"/>
      <c r="I24" s="242"/>
    </row>
    <row r="25" spans="1:9" ht="22.05" customHeight="1" x14ac:dyDescent="0.3">
      <c r="A25" s="92" t="s">
        <v>6500</v>
      </c>
      <c r="B25" s="93" t="str">
        <f>IF(AND(D25="OK", F25="OK", H25="OK"), "[PASS] ALL CHECKS OK", "[ALERT] CHECKS FAILED")</f>
        <v>[PASS] ALL CHECKS OK</v>
      </c>
      <c r="C25" s="94" t="s">
        <v>7894</v>
      </c>
      <c r="D25" s="48" t="str">
        <f>IF(D16&gt;0, "OK", "ERR: Qty&lt;=0")</f>
        <v>OK</v>
      </c>
      <c r="E25" s="94" t="s">
        <v>7895</v>
      </c>
      <c r="F25" s="48" t="str">
        <f>IF(G59&gt;0, "OK", "ERR: W&lt;=0")</f>
        <v>OK</v>
      </c>
      <c r="G25" s="94" t="s">
        <v>7896</v>
      </c>
      <c r="H25" s="48" t="str">
        <f>IF(AND(G59&lt;=G61, G61&lt;=G63, G63&lt;=G65, G39&lt;=G59), "OK", "ERR: Markups Broken")</f>
        <v>OK</v>
      </c>
      <c r="I25" s="132" t="str">
        <f>IF(G39&gt;0, "A-rule active", "No A imports")</f>
        <v>No A imports</v>
      </c>
    </row>
    <row r="26" spans="1:9" ht="24" customHeight="1" x14ac:dyDescent="0.3">
      <c r="A26" s="239" t="s">
        <v>7897</v>
      </c>
      <c r="B26" s="228"/>
      <c r="C26" s="228"/>
      <c r="D26" s="228"/>
      <c r="E26" s="228"/>
      <c r="F26" s="228"/>
      <c r="G26" s="228"/>
      <c r="H26" s="228"/>
      <c r="I26" s="228"/>
    </row>
    <row r="27" spans="1:9" ht="24" customHeight="1" x14ac:dyDescent="0.3">
      <c r="A27" s="153" t="s">
        <v>6313</v>
      </c>
      <c r="B27" s="153" t="s">
        <v>6314</v>
      </c>
      <c r="C27" s="153" t="s">
        <v>5</v>
      </c>
      <c r="D27" s="153" t="s">
        <v>6</v>
      </c>
      <c r="E27" s="153" t="s">
        <v>6315</v>
      </c>
      <c r="F27" s="153" t="s">
        <v>7</v>
      </c>
      <c r="G27" s="153" t="s">
        <v>6316</v>
      </c>
      <c r="H27" s="153" t="s">
        <v>6317</v>
      </c>
      <c r="I27" s="153" t="s">
        <v>6318</v>
      </c>
    </row>
    <row r="28" spans="1:9" ht="19.95" customHeight="1" x14ac:dyDescent="0.3">
      <c r="A28" s="16">
        <v>1</v>
      </c>
      <c r="B28" s="54" t="s">
        <v>424</v>
      </c>
      <c r="C28" s="72" t="str">
        <f>IF(B28="","", IFERROR(INDEX(Rates_Master!$C:$C, MATCH(B28, Rates_Master!$A:$A, 0)), "Custom / Intermediate Material"))</f>
        <v>Portland Cement (OPC-43 Grade)</v>
      </c>
      <c r="D28" s="56" t="str">
        <f>IF(B28="","", IFERROR(INDEX(Rates_Master!$D:$D, MATCH(B28, Rates_Master!$A:$A, 0)), ""))</f>
        <v>tonne</v>
      </c>
      <c r="E28" s="57">
        <v>0.38</v>
      </c>
      <c r="F28" s="58">
        <f>IF(B28="","", IFERROR(INDEX(Rates_Master!$E:$E, MATCH(B28, Rates_Master!$A:$A, 0)), 0))</f>
        <v>4940</v>
      </c>
      <c r="G28" s="37">
        <f t="shared" ref="G28:G37" si="0">IF(OR(B28="", E28=""), 0, ROUND(E28 * F28, 2))</f>
        <v>1877.2</v>
      </c>
      <c r="H28" s="135" t="s">
        <v>7898</v>
      </c>
      <c r="I28" s="54"/>
    </row>
    <row r="29" spans="1:9" ht="19.95" customHeight="1" x14ac:dyDescent="0.3">
      <c r="A29" s="16">
        <v>2</v>
      </c>
      <c r="B29" s="54" t="s">
        <v>1642</v>
      </c>
      <c r="C29" s="72" t="str">
        <f>IF(B29="","", IFERROR(INDEX(Rates_Master!$C:$C, MATCH(B29, Rates_Master!$A:$A, 0)), "Custom / Intermediate Material"))</f>
        <v>Carriage of Cement</v>
      </c>
      <c r="D29" s="56" t="str">
        <f>IF(B29="","", IFERROR(INDEX(Rates_Master!$D:$D, MATCH(B29, Rates_Master!$A:$A, 0)), ""))</f>
        <v>tonne</v>
      </c>
      <c r="E29" s="57">
        <v>0.38</v>
      </c>
      <c r="F29" s="58">
        <f>IF(B29="","", IFERROR(INDEX(Rates_Master!$E:$E, MATCH(B29, Rates_Master!$A:$A, 0)), 0))</f>
        <v>92.24</v>
      </c>
      <c r="G29" s="37">
        <f t="shared" si="0"/>
        <v>35.049999999999997</v>
      </c>
      <c r="H29" s="135" t="s">
        <v>1643</v>
      </c>
      <c r="I29" s="54"/>
    </row>
    <row r="30" spans="1:9" ht="19.95" customHeight="1" x14ac:dyDescent="0.3">
      <c r="A30" s="16">
        <v>3</v>
      </c>
      <c r="B30" s="54" t="s">
        <v>909</v>
      </c>
      <c r="C30" s="72" t="str">
        <f>IF(B30="","", IFERROR(INDEX(Rates_Master!$C:$C, MATCH(B30, Rates_Master!$A:$A, 0)), "Custom / Intermediate Material"))</f>
        <v>Coarse sand (zone III)</v>
      </c>
      <c r="D30" s="56" t="str">
        <f>IF(B30="","", IFERROR(INDEX(Rates_Master!$D:$D, MATCH(B30, Rates_Master!$A:$A, 0)), ""))</f>
        <v>cum</v>
      </c>
      <c r="E30" s="57">
        <v>1.07</v>
      </c>
      <c r="F30" s="58">
        <f>IF(B30="","", IFERROR(INDEX(Rates_Master!$E:$E, MATCH(B30, Rates_Master!$A:$A, 0)), 0))</f>
        <v>1350</v>
      </c>
      <c r="G30" s="37">
        <f t="shared" si="0"/>
        <v>1444.5</v>
      </c>
      <c r="H30" s="135" t="s">
        <v>910</v>
      </c>
      <c r="I30" s="54"/>
    </row>
    <row r="31" spans="1:9" ht="19.95" customHeight="1" x14ac:dyDescent="0.3">
      <c r="A31" s="16">
        <v>4</v>
      </c>
      <c r="B31" s="54" t="s">
        <v>1630</v>
      </c>
      <c r="C31" s="72" t="str">
        <f>IF(B31="","", IFERROR(INDEX(Rates_Master!$C:$C, MATCH(B31, Rates_Master!$A:$A, 0)), "Custom / Intermediate Material"))</f>
        <v>Carriage of Coarse sand</v>
      </c>
      <c r="D31" s="56" t="str">
        <f>IF(B31="","", IFERROR(INDEX(Rates_Master!$D:$D, MATCH(B31, Rates_Master!$A:$A, 0)), ""))</f>
        <v>cum</v>
      </c>
      <c r="E31" s="57">
        <v>1.07</v>
      </c>
      <c r="F31" s="58">
        <f>IF(B31="","", IFERROR(INDEX(Rates_Master!$E:$E, MATCH(B31, Rates_Master!$A:$A, 0)), 0))</f>
        <v>103.77</v>
      </c>
      <c r="G31" s="37">
        <f t="shared" si="0"/>
        <v>111.03</v>
      </c>
      <c r="H31" s="135" t="s">
        <v>1631</v>
      </c>
      <c r="I31" s="54"/>
    </row>
    <row r="32" spans="1:9" ht="19.95" customHeight="1" x14ac:dyDescent="0.3">
      <c r="A32" s="16">
        <v>5</v>
      </c>
      <c r="B32" s="54"/>
      <c r="C32" s="72" t="str">
        <f>IF(B32="","", IFERROR(INDEX(Rates_Master!$C:$C, MATCH(B32, Rates_Master!$A:$A, 0)), "Custom / Intermediate Material"))</f>
        <v/>
      </c>
      <c r="D32" s="56" t="str">
        <f>IF(B32="","", IFERROR(INDEX(Rates_Master!$D:$D, MATCH(B32, Rates_Master!$A:$A, 0)), ""))</f>
        <v/>
      </c>
      <c r="E32" s="57"/>
      <c r="F32" s="58" t="str">
        <f>IF(B32="","", IFERROR(INDEX(Rates_Master!$E:$E, MATCH(B32, Rates_Master!$A:$A, 0)), 0))</f>
        <v/>
      </c>
      <c r="G32" s="37">
        <f t="shared" si="0"/>
        <v>0</v>
      </c>
      <c r="H32" s="135"/>
      <c r="I32" s="54"/>
    </row>
    <row r="33" spans="1:9" ht="19.95" customHeight="1" x14ac:dyDescent="0.3">
      <c r="A33" s="16">
        <v>6</v>
      </c>
      <c r="B33" s="54"/>
      <c r="C33" s="72" t="str">
        <f>IF(B33="","", IFERROR(INDEX(Rates_Master!$C:$C, MATCH(B33, Rates_Master!$A:$A, 0)), "Custom / Intermediate Material"))</f>
        <v/>
      </c>
      <c r="D33" s="56" t="str">
        <f>IF(B33="","", IFERROR(INDEX(Rates_Master!$D:$D, MATCH(B33, Rates_Master!$A:$A, 0)), ""))</f>
        <v/>
      </c>
      <c r="E33" s="57"/>
      <c r="F33" s="58" t="str">
        <f>IF(B33="","", IFERROR(INDEX(Rates_Master!$E:$E, MATCH(B33, Rates_Master!$A:$A, 0)), 0))</f>
        <v/>
      </c>
      <c r="G33" s="37">
        <f t="shared" si="0"/>
        <v>0</v>
      </c>
      <c r="H33" s="135"/>
      <c r="I33" s="54"/>
    </row>
    <row r="34" spans="1:9" ht="19.95" customHeight="1" x14ac:dyDescent="0.3">
      <c r="A34" s="16">
        <v>7</v>
      </c>
      <c r="B34" s="54"/>
      <c r="C34" s="72" t="str">
        <f>IF(B34="","", IFERROR(INDEX(Rates_Master!$C:$C, MATCH(B34, Rates_Master!$A:$A, 0)), "Custom / Intermediate Material"))</f>
        <v/>
      </c>
      <c r="D34" s="56" t="str">
        <f>IF(B34="","", IFERROR(INDEX(Rates_Master!$D:$D, MATCH(B34, Rates_Master!$A:$A, 0)), ""))</f>
        <v/>
      </c>
      <c r="E34" s="57"/>
      <c r="F34" s="58" t="str">
        <f>IF(B34="","", IFERROR(INDEX(Rates_Master!$E:$E, MATCH(B34, Rates_Master!$A:$A, 0)), 0))</f>
        <v/>
      </c>
      <c r="G34" s="37">
        <f t="shared" si="0"/>
        <v>0</v>
      </c>
      <c r="H34" s="135"/>
      <c r="I34" s="54"/>
    </row>
    <row r="35" spans="1:9" ht="19.95" customHeight="1" x14ac:dyDescent="0.3">
      <c r="A35" s="16">
        <v>8</v>
      </c>
      <c r="B35" s="54"/>
      <c r="C35" s="72" t="str">
        <f>IF(B35="","", IFERROR(INDEX(Rates_Master!$C:$C, MATCH(B35, Rates_Master!$A:$A, 0)), "Custom / Intermediate Material"))</f>
        <v/>
      </c>
      <c r="D35" s="56" t="str">
        <f>IF(B35="","", IFERROR(INDEX(Rates_Master!$D:$D, MATCH(B35, Rates_Master!$A:$A, 0)), ""))</f>
        <v/>
      </c>
      <c r="E35" s="57"/>
      <c r="F35" s="58" t="str">
        <f>IF(B35="","", IFERROR(INDEX(Rates_Master!$E:$E, MATCH(B35, Rates_Master!$A:$A, 0)), 0))</f>
        <v/>
      </c>
      <c r="G35" s="37">
        <f t="shared" si="0"/>
        <v>0</v>
      </c>
      <c r="H35" s="135"/>
      <c r="I35" s="54"/>
    </row>
    <row r="36" spans="1:9" ht="19.95" customHeight="1" x14ac:dyDescent="0.3">
      <c r="A36" s="16">
        <v>9</v>
      </c>
      <c r="B36" s="54"/>
      <c r="C36" s="72" t="str">
        <f>IF(B36="","", IFERROR(INDEX(Rates_Master!$C:$C, MATCH(B36, Rates_Master!$A:$A, 0)), "Custom / Intermediate Material"))</f>
        <v/>
      </c>
      <c r="D36" s="56" t="str">
        <f>IF(B36="","", IFERROR(INDEX(Rates_Master!$D:$D, MATCH(B36, Rates_Master!$A:$A, 0)), ""))</f>
        <v/>
      </c>
      <c r="E36" s="57"/>
      <c r="F36" s="58" t="str">
        <f>IF(B36="","", IFERROR(INDEX(Rates_Master!$E:$E, MATCH(B36, Rates_Master!$A:$A, 0)), 0))</f>
        <v/>
      </c>
      <c r="G36" s="37">
        <f t="shared" si="0"/>
        <v>0</v>
      </c>
      <c r="H36" s="135"/>
      <c r="I36" s="54"/>
    </row>
    <row r="37" spans="1:9" ht="19.95" customHeight="1" x14ac:dyDescent="0.3">
      <c r="A37" s="16">
        <v>10</v>
      </c>
      <c r="B37" s="54"/>
      <c r="C37" s="72" t="str">
        <f>IF(B37="","", IFERROR(INDEX(Rates_Master!$C:$C, MATCH(B37, Rates_Master!$A:$A, 0)), "Custom / Intermediate Material"))</f>
        <v/>
      </c>
      <c r="D37" s="56" t="str">
        <f>IF(B37="","", IFERROR(INDEX(Rates_Master!$D:$D, MATCH(B37, Rates_Master!$A:$A, 0)), ""))</f>
        <v/>
      </c>
      <c r="E37" s="57"/>
      <c r="F37" s="58" t="str">
        <f>IF(B37="","", IFERROR(INDEX(Rates_Master!$E:$E, MATCH(B37, Rates_Master!$A:$A, 0)), 0))</f>
        <v/>
      </c>
      <c r="G37" s="37">
        <f t="shared" si="0"/>
        <v>0</v>
      </c>
      <c r="H37" s="135"/>
      <c r="I37" s="54"/>
    </row>
    <row r="38" spans="1:9" ht="22.05" customHeight="1" x14ac:dyDescent="0.3">
      <c r="A38" s="252" t="s">
        <v>7899</v>
      </c>
      <c r="B38" s="253"/>
      <c r="C38" s="253"/>
      <c r="D38" s="253"/>
      <c r="E38" s="253"/>
      <c r="F38" s="254"/>
      <c r="G38" s="100">
        <f>SUM(G28:G37)</f>
        <v>3467.78</v>
      </c>
      <c r="H38" s="99"/>
      <c r="I38" s="99"/>
    </row>
    <row r="39" spans="1:9" ht="30" customHeight="1" x14ac:dyDescent="0.3">
      <c r="A39" s="244" t="s">
        <v>7900</v>
      </c>
      <c r="B39" s="241"/>
      <c r="C39" s="241"/>
      <c r="D39" s="241"/>
      <c r="E39" s="241"/>
      <c r="F39" s="242"/>
      <c r="G39" s="41">
        <f>ROUND(SUMIF($I$28:$I$37, "A", $G$28:$G$37), 2)</f>
        <v>0</v>
      </c>
      <c r="H39" s="63" t="s">
        <v>7901</v>
      </c>
      <c r="I39" s="61"/>
    </row>
    <row r="40" spans="1:9" ht="24" customHeight="1" x14ac:dyDescent="0.3">
      <c r="A40" s="239" t="s">
        <v>7902</v>
      </c>
      <c r="B40" s="228"/>
      <c r="C40" s="228"/>
      <c r="D40" s="228"/>
      <c r="E40" s="228"/>
      <c r="F40" s="228"/>
      <c r="G40" s="228"/>
      <c r="H40" s="228"/>
      <c r="I40" s="228"/>
    </row>
    <row r="41" spans="1:9" ht="24" customHeight="1" x14ac:dyDescent="0.3">
      <c r="A41" s="153" t="s">
        <v>6313</v>
      </c>
      <c r="B41" s="153" t="s">
        <v>6314</v>
      </c>
      <c r="C41" s="153" t="s">
        <v>5</v>
      </c>
      <c r="D41" s="153" t="s">
        <v>6</v>
      </c>
      <c r="E41" s="153" t="s">
        <v>6315</v>
      </c>
      <c r="F41" s="153" t="s">
        <v>7</v>
      </c>
      <c r="G41" s="153" t="s">
        <v>6316</v>
      </c>
      <c r="H41" s="153" t="s">
        <v>6317</v>
      </c>
      <c r="I41" s="153" t="s">
        <v>6318</v>
      </c>
    </row>
    <row r="42" spans="1:9" ht="19.95" customHeight="1" x14ac:dyDescent="0.3">
      <c r="A42" s="16">
        <v>1</v>
      </c>
      <c r="B42" s="54" t="s">
        <v>209</v>
      </c>
      <c r="C42" s="72" t="str">
        <f>IF(B42="","", IFERROR(INDEX(Rates_Master!$C:$C, MATCH(B42, Rates_Master!$A:$A, 0)), "Custom Labour / Plant"))</f>
        <v>Beldar</v>
      </c>
      <c r="D42" s="56" t="str">
        <f>IF(B42="","", IFERROR(INDEX(Rates_Master!$D:$D, MATCH(B42, Rates_Master!$A:$A, 0)), ""))</f>
        <v>day</v>
      </c>
      <c r="E42" s="57">
        <v>0.75</v>
      </c>
      <c r="F42" s="58">
        <f>IF(B42="","", IFERROR(INDEX(Rates_Master!$E:$E, MATCH(B42, Rates_Master!$A:$A, 0)), 0))</f>
        <v>558</v>
      </c>
      <c r="G42" s="37">
        <f t="shared" ref="G42:G51" si="1">IF(OR(B42="", E42=""), 0, ROUND(E42 * F42, 2))</f>
        <v>418.5</v>
      </c>
      <c r="H42" s="135" t="s">
        <v>7903</v>
      </c>
      <c r="I42" s="5"/>
    </row>
    <row r="43" spans="1:9" ht="19.95" customHeight="1" x14ac:dyDescent="0.3">
      <c r="A43" s="16">
        <v>2</v>
      </c>
      <c r="B43" s="54" t="s">
        <v>197</v>
      </c>
      <c r="C43" s="72" t="str">
        <f>IF(B43="","", IFERROR(INDEX(Rates_Master!$C:$C, MATCH(B43, Rates_Master!$A:$A, 0)), "Custom Labour / Plant"))</f>
        <v>Bhisti</v>
      </c>
      <c r="D43" s="56" t="str">
        <f>IF(B43="","", IFERROR(INDEX(Rates_Master!$D:$D, MATCH(B43, Rates_Master!$A:$A, 0)), ""))</f>
        <v>day</v>
      </c>
      <c r="E43" s="57">
        <v>7.0000000000000007E-2</v>
      </c>
      <c r="F43" s="58">
        <f>IF(B43="","", IFERROR(INDEX(Rates_Master!$E:$E, MATCH(B43, Rates_Master!$A:$A, 0)), 0))</f>
        <v>617</v>
      </c>
      <c r="G43" s="37">
        <f t="shared" si="1"/>
        <v>43.19</v>
      </c>
      <c r="H43" s="135" t="s">
        <v>7904</v>
      </c>
      <c r="I43" s="5"/>
    </row>
    <row r="44" spans="1:9" ht="19.95" customHeight="1" x14ac:dyDescent="0.3">
      <c r="A44" s="16">
        <v>3</v>
      </c>
      <c r="B44" s="54"/>
      <c r="C44" s="72" t="str">
        <f>IF(B44="","", IFERROR(INDEX(Rates_Master!$C:$C, MATCH(B44, Rates_Master!$A:$A, 0)), "Custom Labour / Plant"))</f>
        <v/>
      </c>
      <c r="D44" s="56" t="str">
        <f>IF(B44="","", IFERROR(INDEX(Rates_Master!$D:$D, MATCH(B44, Rates_Master!$A:$A, 0)), ""))</f>
        <v/>
      </c>
      <c r="E44" s="57"/>
      <c r="F44" s="58" t="str">
        <f>IF(B44="","", IFERROR(INDEX(Rates_Master!$E:$E, MATCH(B44, Rates_Master!$A:$A, 0)), 0))</f>
        <v/>
      </c>
      <c r="G44" s="37">
        <f t="shared" si="1"/>
        <v>0</v>
      </c>
      <c r="H44" s="135"/>
      <c r="I44" s="5"/>
    </row>
    <row r="45" spans="1:9" ht="19.95" customHeight="1" x14ac:dyDescent="0.3">
      <c r="A45" s="16">
        <v>4</v>
      </c>
      <c r="B45" s="54"/>
      <c r="C45" s="72" t="str">
        <f>IF(B45="","", IFERROR(INDEX(Rates_Master!$C:$C, MATCH(B45, Rates_Master!$A:$A, 0)), "Custom Labour / Plant"))</f>
        <v/>
      </c>
      <c r="D45" s="56" t="str">
        <f>IF(B45="","", IFERROR(INDEX(Rates_Master!$D:$D, MATCH(B45, Rates_Master!$A:$A, 0)), ""))</f>
        <v/>
      </c>
      <c r="E45" s="57"/>
      <c r="F45" s="58" t="str">
        <f>IF(B45="","", IFERROR(INDEX(Rates_Master!$E:$E, MATCH(B45, Rates_Master!$A:$A, 0)), 0))</f>
        <v/>
      </c>
      <c r="G45" s="37">
        <f t="shared" si="1"/>
        <v>0</v>
      </c>
      <c r="H45" s="135"/>
      <c r="I45" s="5"/>
    </row>
    <row r="46" spans="1:9" ht="19.95" customHeight="1" x14ac:dyDescent="0.3">
      <c r="A46" s="16">
        <v>5</v>
      </c>
      <c r="B46" s="54"/>
      <c r="C46" s="72" t="str">
        <f>IF(B46="","", IFERROR(INDEX(Rates_Master!$C:$C, MATCH(B46, Rates_Master!$A:$A, 0)), "Custom Labour / Plant"))</f>
        <v/>
      </c>
      <c r="D46" s="56" t="str">
        <f>IF(B46="","", IFERROR(INDEX(Rates_Master!$D:$D, MATCH(B46, Rates_Master!$A:$A, 0)), ""))</f>
        <v/>
      </c>
      <c r="E46" s="57"/>
      <c r="F46" s="58" t="str">
        <f>IF(B46="","", IFERROR(INDEX(Rates_Master!$E:$E, MATCH(B46, Rates_Master!$A:$A, 0)), 0))</f>
        <v/>
      </c>
      <c r="G46" s="37">
        <f t="shared" si="1"/>
        <v>0</v>
      </c>
      <c r="H46" s="135"/>
      <c r="I46" s="5"/>
    </row>
    <row r="47" spans="1:9" ht="19.95" customHeight="1" x14ac:dyDescent="0.3">
      <c r="A47" s="16">
        <v>6</v>
      </c>
      <c r="B47" s="54"/>
      <c r="C47" s="72" t="str">
        <f>IF(B47="","", IFERROR(INDEX(Rates_Master!$C:$C, MATCH(B47, Rates_Master!$A:$A, 0)), "Custom Labour / Plant"))</f>
        <v/>
      </c>
      <c r="D47" s="56" t="str">
        <f>IF(B47="","", IFERROR(INDEX(Rates_Master!$D:$D, MATCH(B47, Rates_Master!$A:$A, 0)), ""))</f>
        <v/>
      </c>
      <c r="E47" s="57"/>
      <c r="F47" s="58" t="str">
        <f>IF(B47="","", IFERROR(INDEX(Rates_Master!$E:$E, MATCH(B47, Rates_Master!$A:$A, 0)), 0))</f>
        <v/>
      </c>
      <c r="G47" s="37">
        <f t="shared" si="1"/>
        <v>0</v>
      </c>
      <c r="H47" s="135"/>
      <c r="I47" s="5"/>
    </row>
    <row r="48" spans="1:9" ht="19.95" customHeight="1" x14ac:dyDescent="0.3">
      <c r="A48" s="16">
        <v>7</v>
      </c>
      <c r="B48" s="54"/>
      <c r="C48" s="72" t="str">
        <f>IF(B48="","", IFERROR(INDEX(Rates_Master!$C:$C, MATCH(B48, Rates_Master!$A:$A, 0)), "Custom Labour / Plant"))</f>
        <v/>
      </c>
      <c r="D48" s="56" t="str">
        <f>IF(B48="","", IFERROR(INDEX(Rates_Master!$D:$D, MATCH(B48, Rates_Master!$A:$A, 0)), ""))</f>
        <v/>
      </c>
      <c r="E48" s="57"/>
      <c r="F48" s="58" t="str">
        <f>IF(B48="","", IFERROR(INDEX(Rates_Master!$E:$E, MATCH(B48, Rates_Master!$A:$A, 0)), 0))</f>
        <v/>
      </c>
      <c r="G48" s="37">
        <f t="shared" si="1"/>
        <v>0</v>
      </c>
      <c r="H48" s="135"/>
      <c r="I48" s="5"/>
    </row>
    <row r="49" spans="1:9" ht="19.95" customHeight="1" x14ac:dyDescent="0.3">
      <c r="A49" s="16">
        <v>8</v>
      </c>
      <c r="B49" s="54"/>
      <c r="C49" s="72" t="str">
        <f>IF(B49="","", IFERROR(INDEX(Rates_Master!$C:$C, MATCH(B49, Rates_Master!$A:$A, 0)), "Custom Labour / Plant"))</f>
        <v/>
      </c>
      <c r="D49" s="56" t="str">
        <f>IF(B49="","", IFERROR(INDEX(Rates_Master!$D:$D, MATCH(B49, Rates_Master!$A:$A, 0)), ""))</f>
        <v/>
      </c>
      <c r="E49" s="57"/>
      <c r="F49" s="58" t="str">
        <f>IF(B49="","", IFERROR(INDEX(Rates_Master!$E:$E, MATCH(B49, Rates_Master!$A:$A, 0)), 0))</f>
        <v/>
      </c>
      <c r="G49" s="37">
        <f t="shared" si="1"/>
        <v>0</v>
      </c>
      <c r="H49" s="135"/>
      <c r="I49" s="5"/>
    </row>
    <row r="50" spans="1:9" ht="19.95" customHeight="1" x14ac:dyDescent="0.3">
      <c r="A50" s="16">
        <v>9</v>
      </c>
      <c r="B50" s="54"/>
      <c r="C50" s="72" t="str">
        <f>IF(B50="","", IFERROR(INDEX(Rates_Master!$C:$C, MATCH(B50, Rates_Master!$A:$A, 0)), "Custom Labour / Plant"))</f>
        <v/>
      </c>
      <c r="D50" s="56" t="str">
        <f>IF(B50="","", IFERROR(INDEX(Rates_Master!$D:$D, MATCH(B50, Rates_Master!$A:$A, 0)), ""))</f>
        <v/>
      </c>
      <c r="E50" s="57"/>
      <c r="F50" s="58" t="str">
        <f>IF(B50="","", IFERROR(INDEX(Rates_Master!$E:$E, MATCH(B50, Rates_Master!$A:$A, 0)), 0))</f>
        <v/>
      </c>
      <c r="G50" s="37">
        <f t="shared" si="1"/>
        <v>0</v>
      </c>
      <c r="H50" s="135"/>
      <c r="I50" s="5"/>
    </row>
    <row r="51" spans="1:9" ht="19.95" customHeight="1" x14ac:dyDescent="0.3">
      <c r="A51" s="16">
        <v>10</v>
      </c>
      <c r="B51" s="54"/>
      <c r="C51" s="72" t="str">
        <f>IF(B51="","", IFERROR(INDEX(Rates_Master!$C:$C, MATCH(B51, Rates_Master!$A:$A, 0)), "Custom Labour / Plant"))</f>
        <v/>
      </c>
      <c r="D51" s="56" t="str">
        <f>IF(B51="","", IFERROR(INDEX(Rates_Master!$D:$D, MATCH(B51, Rates_Master!$A:$A, 0)), ""))</f>
        <v/>
      </c>
      <c r="E51" s="57"/>
      <c r="F51" s="58" t="str">
        <f>IF(B51="","", IFERROR(INDEX(Rates_Master!$E:$E, MATCH(B51, Rates_Master!$A:$A, 0)), 0))</f>
        <v/>
      </c>
      <c r="G51" s="37">
        <f t="shared" si="1"/>
        <v>0</v>
      </c>
      <c r="H51" s="135"/>
      <c r="I51" s="5"/>
    </row>
    <row r="52" spans="1:9" ht="22.05" customHeight="1" x14ac:dyDescent="0.3">
      <c r="A52" s="252" t="s">
        <v>7905</v>
      </c>
      <c r="B52" s="253"/>
      <c r="C52" s="253"/>
      <c r="D52" s="253"/>
      <c r="E52" s="253"/>
      <c r="F52" s="254"/>
      <c r="G52" s="100">
        <f>SUM(G42:G51)</f>
        <v>461.69</v>
      </c>
      <c r="H52" s="99"/>
      <c r="I52" s="99"/>
    </row>
    <row r="54" spans="1:9" ht="24" customHeight="1" x14ac:dyDescent="0.3">
      <c r="A54" s="239" t="s">
        <v>7906</v>
      </c>
      <c r="B54" s="228"/>
      <c r="C54" s="228"/>
      <c r="D54" s="228"/>
      <c r="E54" s="228"/>
      <c r="F54" s="228"/>
      <c r="G54" s="228"/>
      <c r="H54" s="228"/>
      <c r="I54" s="228"/>
    </row>
    <row r="55" spans="1:9" ht="22.05" customHeight="1" x14ac:dyDescent="0.3">
      <c r="A55" s="16" t="s">
        <v>4390</v>
      </c>
      <c r="B55" s="48" t="s">
        <v>4269</v>
      </c>
      <c r="C55" s="53" t="s">
        <v>7907</v>
      </c>
      <c r="D55" s="16" t="s">
        <v>4266</v>
      </c>
      <c r="E55" s="22">
        <v>13.52</v>
      </c>
      <c r="F55" s="59">
        <f>Factor_Sundries</f>
        <v>2</v>
      </c>
      <c r="G55" s="65">
        <f>ROUND(E55 * F55, 2)</f>
        <v>27.04</v>
      </c>
      <c r="H55" s="60" t="s">
        <v>7908</v>
      </c>
      <c r="I55" s="53"/>
    </row>
    <row r="57" spans="1:9" ht="24" customHeight="1" x14ac:dyDescent="0.3">
      <c r="A57" s="239" t="s">
        <v>7909</v>
      </c>
      <c r="B57" s="228"/>
      <c r="C57" s="228"/>
      <c r="D57" s="228"/>
      <c r="E57" s="228"/>
      <c r="F57" s="228"/>
      <c r="G57" s="228"/>
      <c r="H57" s="228"/>
      <c r="I57" s="228"/>
    </row>
    <row r="58" spans="1:9" ht="24" customHeight="1" x14ac:dyDescent="0.3">
      <c r="A58" s="153" t="s">
        <v>6516</v>
      </c>
      <c r="B58" s="153" t="s">
        <v>6994</v>
      </c>
      <c r="C58" s="153" t="s">
        <v>6518</v>
      </c>
      <c r="D58" s="153" t="s">
        <v>6519</v>
      </c>
      <c r="E58" s="153" t="s">
        <v>6520</v>
      </c>
      <c r="F58" s="153" t="s">
        <v>6521</v>
      </c>
      <c r="G58" s="153" t="s">
        <v>6316</v>
      </c>
      <c r="H58" s="153" t="s">
        <v>6522</v>
      </c>
      <c r="I58" s="153" t="s">
        <v>7910</v>
      </c>
    </row>
    <row r="59" spans="1:9" ht="24" customHeight="1" x14ac:dyDescent="0.3">
      <c r="A59" s="1" t="s">
        <v>6523</v>
      </c>
      <c r="B59" s="67" t="s">
        <v>7911</v>
      </c>
      <c r="C59" s="66" t="s">
        <v>6335</v>
      </c>
      <c r="D59" s="66" t="s">
        <v>7001</v>
      </c>
      <c r="E59" s="102" t="s">
        <v>6335</v>
      </c>
      <c r="F59" s="102" t="s">
        <v>6335</v>
      </c>
      <c r="G59" s="41">
        <f>G38 + G52 + G55</f>
        <v>3956.51</v>
      </c>
      <c r="H59" s="63" t="s">
        <v>7912</v>
      </c>
      <c r="I59" s="136" t="s">
        <v>7913</v>
      </c>
    </row>
    <row r="60" spans="1:9" ht="24" customHeight="1" x14ac:dyDescent="0.3">
      <c r="A60" s="48" t="s">
        <v>6331</v>
      </c>
      <c r="B60" s="17" t="s">
        <v>6527</v>
      </c>
      <c r="C60" s="54" t="s">
        <v>4317</v>
      </c>
      <c r="D60" s="16" t="s">
        <v>7004</v>
      </c>
      <c r="E60" s="51">
        <f>G59 - G39</f>
        <v>3956.51</v>
      </c>
      <c r="F60" s="64">
        <f>Factor_Water</f>
        <v>0.01</v>
      </c>
      <c r="G60" s="65">
        <f>IF(C60="YES", ROUND(E60 * F60, 2), 0)</f>
        <v>0</v>
      </c>
      <c r="H60" s="152" t="s">
        <v>7914</v>
      </c>
      <c r="I60" s="132" t="s">
        <v>7915</v>
      </c>
    </row>
    <row r="61" spans="1:9" ht="24" customHeight="1" x14ac:dyDescent="0.3">
      <c r="A61" s="1" t="s">
        <v>6334</v>
      </c>
      <c r="B61" s="67" t="s">
        <v>6336</v>
      </c>
      <c r="C61" s="66" t="s">
        <v>6335</v>
      </c>
      <c r="D61" s="66" t="s">
        <v>6531</v>
      </c>
      <c r="E61" s="102" t="s">
        <v>6335</v>
      </c>
      <c r="F61" s="102" t="s">
        <v>6335</v>
      </c>
      <c r="G61" s="41">
        <f>G59 + G60</f>
        <v>3956.51</v>
      </c>
      <c r="H61" s="63" t="s">
        <v>7916</v>
      </c>
      <c r="I61" s="136" t="s">
        <v>7913</v>
      </c>
    </row>
    <row r="62" spans="1:9" ht="24" customHeight="1" x14ac:dyDescent="0.3">
      <c r="A62" s="48" t="s">
        <v>6338</v>
      </c>
      <c r="B62" s="17" t="s">
        <v>7917</v>
      </c>
      <c r="C62" s="54" t="s">
        <v>4317</v>
      </c>
      <c r="D62" s="16" t="s">
        <v>7009</v>
      </c>
      <c r="E62" s="51">
        <f>G61 - G39</f>
        <v>3956.51</v>
      </c>
      <c r="F62" s="64">
        <f>Factor_GST</f>
        <v>0.14050000000000001</v>
      </c>
      <c r="G62" s="65">
        <f>IF(C62="YES", ROUND(E62 * F62, 2), 0)</f>
        <v>0</v>
      </c>
      <c r="H62" s="152" t="s">
        <v>7918</v>
      </c>
      <c r="I62" s="132" t="s">
        <v>7915</v>
      </c>
    </row>
    <row r="63" spans="1:9" ht="24" customHeight="1" x14ac:dyDescent="0.3">
      <c r="A63" s="1" t="s">
        <v>6341</v>
      </c>
      <c r="B63" s="67" t="s">
        <v>6342</v>
      </c>
      <c r="C63" s="66" t="s">
        <v>6335</v>
      </c>
      <c r="D63" s="66" t="s">
        <v>6537</v>
      </c>
      <c r="E63" s="102" t="s">
        <v>6335</v>
      </c>
      <c r="F63" s="102" t="s">
        <v>6335</v>
      </c>
      <c r="G63" s="41">
        <f>G61 + G62</f>
        <v>3956.51</v>
      </c>
      <c r="H63" s="63" t="s">
        <v>7919</v>
      </c>
      <c r="I63" s="136" t="s">
        <v>7913</v>
      </c>
    </row>
    <row r="64" spans="1:9" ht="24" customHeight="1" x14ac:dyDescent="0.3">
      <c r="A64" s="48" t="s">
        <v>6343</v>
      </c>
      <c r="B64" s="17" t="s">
        <v>6539</v>
      </c>
      <c r="C64" s="54" t="s">
        <v>4317</v>
      </c>
      <c r="D64" s="16" t="s">
        <v>7013</v>
      </c>
      <c r="E64" s="51">
        <f>G63 - G39</f>
        <v>3956.51</v>
      </c>
      <c r="F64" s="64">
        <f>Factor_CPOH</f>
        <v>0.15</v>
      </c>
      <c r="G64" s="65">
        <f>IF(C64="YES", ROUND(E64 * F64, 2), 0)</f>
        <v>0</v>
      </c>
      <c r="H64" s="152" t="s">
        <v>7920</v>
      </c>
      <c r="I64" s="132" t="s">
        <v>7915</v>
      </c>
    </row>
    <row r="65" spans="1:9" ht="24" customHeight="1" x14ac:dyDescent="0.3">
      <c r="A65" s="1" t="s">
        <v>6346</v>
      </c>
      <c r="B65" s="67" t="s">
        <v>6347</v>
      </c>
      <c r="C65" s="66" t="s">
        <v>6335</v>
      </c>
      <c r="D65" s="66" t="s">
        <v>6543</v>
      </c>
      <c r="E65" s="102" t="s">
        <v>6335</v>
      </c>
      <c r="F65" s="102" t="s">
        <v>6335</v>
      </c>
      <c r="G65" s="41">
        <f>G63 + G64</f>
        <v>3956.51</v>
      </c>
      <c r="H65" s="63" t="s">
        <v>7921</v>
      </c>
      <c r="I65" s="136" t="s">
        <v>7913</v>
      </c>
    </row>
    <row r="66" spans="1:9" ht="24" customHeight="1" x14ac:dyDescent="0.3">
      <c r="A66" s="48" t="s">
        <v>6348</v>
      </c>
      <c r="B66" s="17" t="s">
        <v>7922</v>
      </c>
      <c r="C66" s="54" t="s">
        <v>4317</v>
      </c>
      <c r="D66" s="16" t="s">
        <v>7923</v>
      </c>
      <c r="E66" s="51">
        <f>G65 - G39</f>
        <v>3956.51</v>
      </c>
      <c r="F66" s="64">
        <f>Factor_Cess</f>
        <v>0.01</v>
      </c>
      <c r="G66" s="65">
        <f>IF(C66="YES", ROUND(E66 * F66, 2), 0)</f>
        <v>0</v>
      </c>
      <c r="H66" s="152" t="s">
        <v>7924</v>
      </c>
      <c r="I66" s="132" t="s">
        <v>7915</v>
      </c>
    </row>
    <row r="67" spans="1:9" ht="24" customHeight="1" x14ac:dyDescent="0.3">
      <c r="A67" s="26" t="s">
        <v>7018</v>
      </c>
      <c r="B67" s="103" t="str">
        <f>"Total Cost of Batch (" &amp; TEXT(D16, "0.00") &amp; " " &amp; F16 &amp; "):"</f>
        <v>Total Cost of Batch (1.00 cum):</v>
      </c>
      <c r="C67" s="104" t="s">
        <v>6335</v>
      </c>
      <c r="D67" s="104" t="s">
        <v>6550</v>
      </c>
      <c r="E67" s="105" t="s">
        <v>6335</v>
      </c>
      <c r="F67" s="105" t="s">
        <v>6335</v>
      </c>
      <c r="G67" s="69">
        <f>G65 + G66</f>
        <v>3956.51</v>
      </c>
      <c r="H67" s="106" t="s">
        <v>7925</v>
      </c>
      <c r="I67" s="107" t="s">
        <v>6335</v>
      </c>
    </row>
    <row r="68" spans="1:9" ht="24" customHeight="1" x14ac:dyDescent="0.3">
      <c r="A68" s="1" t="s">
        <v>7021</v>
      </c>
      <c r="B68" s="67" t="str">
        <f>"Analyzed Unit Rate per 1.00 " &amp; F16 &amp; ":"</f>
        <v>Analyzed Unit Rate per 1.00 cum:</v>
      </c>
      <c r="C68" s="66" t="s">
        <v>6335</v>
      </c>
      <c r="D68" s="66" t="s">
        <v>7926</v>
      </c>
      <c r="E68" s="102" t="s">
        <v>6335</v>
      </c>
      <c r="F68" s="102" t="s">
        <v>6335</v>
      </c>
      <c r="G68" s="41">
        <f>ROUND(G67 / D16, 2)</f>
        <v>3956.51</v>
      </c>
      <c r="H68" s="63" t="s">
        <v>7927</v>
      </c>
      <c r="I68" s="136" t="s">
        <v>6335</v>
      </c>
    </row>
    <row r="69" spans="1:9" ht="30" customHeight="1" x14ac:dyDescent="0.3">
      <c r="A69" s="46" t="s">
        <v>6423</v>
      </c>
      <c r="B69" s="109" t="str">
        <f>"OFFICIAL SAY RATE (Rs per " &amp; F16 &amp; "):"</f>
        <v>OFFICIAL SAY RATE (Rs per cum):</v>
      </c>
      <c r="C69" s="110" t="s">
        <v>6335</v>
      </c>
      <c r="D69" s="110" t="s">
        <v>6568</v>
      </c>
      <c r="E69" s="111" t="s">
        <v>6335</v>
      </c>
      <c r="F69" s="111" t="s">
        <v>6335</v>
      </c>
      <c r="G69" s="52">
        <f>MROUND(G68, 0.05)</f>
        <v>3956.5</v>
      </c>
      <c r="H69" s="71" t="s">
        <v>7928</v>
      </c>
      <c r="I69" s="112" t="s">
        <v>6335</v>
      </c>
    </row>
    <row r="70" spans="1:9" ht="43.95" customHeight="1" x14ac:dyDescent="0.3">
      <c r="A70" s="237" t="s">
        <v>6570</v>
      </c>
      <c r="B70" s="241"/>
      <c r="C70" s="241"/>
      <c r="D70" s="241"/>
      <c r="E70" s="241"/>
      <c r="F70" s="241"/>
      <c r="G70" s="241"/>
      <c r="H70" s="241"/>
      <c r="I70" s="242"/>
    </row>
    <row r="72" spans="1:9" ht="24" customHeight="1" x14ac:dyDescent="0.3">
      <c r="A72" s="239" t="s">
        <v>7929</v>
      </c>
      <c r="B72" s="228"/>
      <c r="C72" s="228"/>
      <c r="D72" s="228"/>
      <c r="E72" s="228"/>
      <c r="F72" s="228"/>
      <c r="G72" s="228"/>
      <c r="H72" s="228"/>
      <c r="I72" s="228"/>
    </row>
    <row r="73" spans="1:9" ht="19.95" customHeight="1" x14ac:dyDescent="0.3">
      <c r="A73" s="238" t="s">
        <v>7930</v>
      </c>
      <c r="B73" s="228"/>
      <c r="C73" s="228"/>
      <c r="D73" s="228"/>
      <c r="E73" s="228"/>
      <c r="F73" s="228"/>
      <c r="G73" s="228"/>
      <c r="H73" s="228"/>
      <c r="I73" s="228"/>
    </row>
    <row r="74" spans="1:9" ht="24" customHeight="1" x14ac:dyDescent="0.3">
      <c r="A74" s="153" t="s">
        <v>7931</v>
      </c>
      <c r="B74" s="153" t="s">
        <v>7932</v>
      </c>
      <c r="C74" s="153" t="s">
        <v>6</v>
      </c>
      <c r="D74" s="153" t="s">
        <v>4364</v>
      </c>
      <c r="E74" s="153" t="s">
        <v>7933</v>
      </c>
      <c r="F74" s="153" t="s">
        <v>7934</v>
      </c>
      <c r="G74" s="153" t="s">
        <v>7935</v>
      </c>
      <c r="H74" s="153" t="s">
        <v>7936</v>
      </c>
      <c r="I74" s="153" t="s">
        <v>7937</v>
      </c>
    </row>
    <row r="75" spans="1:9" ht="19.95" customHeight="1" x14ac:dyDescent="0.3">
      <c r="A75" s="137" t="s">
        <v>4573</v>
      </c>
      <c r="B75" s="138" t="s">
        <v>7938</v>
      </c>
      <c r="C75" s="139" t="s">
        <v>18</v>
      </c>
      <c r="D75" s="139">
        <v>1</v>
      </c>
      <c r="E75" s="140">
        <v>6390.6</v>
      </c>
      <c r="F75" s="139" t="s">
        <v>7939</v>
      </c>
      <c r="G75" s="140">
        <v>6390.6</v>
      </c>
      <c r="H75" s="8">
        <v>6390.6</v>
      </c>
      <c r="I75" s="140"/>
    </row>
    <row r="76" spans="1:9" ht="19.95" customHeight="1" x14ac:dyDescent="0.3">
      <c r="A76" s="141" t="s">
        <v>4607</v>
      </c>
      <c r="B76" s="142" t="s">
        <v>7940</v>
      </c>
      <c r="C76" s="143" t="s">
        <v>18</v>
      </c>
      <c r="D76" s="143">
        <v>1</v>
      </c>
      <c r="E76" s="144">
        <v>4010.35</v>
      </c>
      <c r="F76" s="143" t="s">
        <v>7939</v>
      </c>
      <c r="G76" s="144">
        <v>4010.35</v>
      </c>
      <c r="H76" s="4">
        <v>4010.35</v>
      </c>
      <c r="I76" s="144"/>
    </row>
    <row r="77" spans="1:9" ht="19.95" customHeight="1" x14ac:dyDescent="0.3">
      <c r="A77" s="137" t="s">
        <v>7941</v>
      </c>
      <c r="B77" s="138" t="s">
        <v>7942</v>
      </c>
      <c r="C77" s="139" t="s">
        <v>18</v>
      </c>
      <c r="D77" s="139">
        <v>1</v>
      </c>
      <c r="E77" s="140"/>
      <c r="F77" s="139" t="s">
        <v>7943</v>
      </c>
      <c r="G77" s="140"/>
      <c r="H77" s="8"/>
      <c r="I77" s="140"/>
    </row>
    <row r="78" spans="1:9" ht="19.95" customHeight="1" x14ac:dyDescent="0.3">
      <c r="A78" s="141" t="s">
        <v>7944</v>
      </c>
      <c r="B78" s="142" t="s">
        <v>7942</v>
      </c>
      <c r="C78" s="143" t="s">
        <v>18</v>
      </c>
      <c r="D78" s="143">
        <v>1</v>
      </c>
      <c r="E78" s="144"/>
      <c r="F78" s="143" t="s">
        <v>7943</v>
      </c>
      <c r="G78" s="144"/>
      <c r="H78" s="4"/>
      <c r="I78" s="144"/>
    </row>
    <row r="79" spans="1:9" ht="19.95" customHeight="1" x14ac:dyDescent="0.3">
      <c r="A79" s="137" t="s">
        <v>7945</v>
      </c>
      <c r="B79" s="138" t="s">
        <v>7942</v>
      </c>
      <c r="C79" s="139" t="s">
        <v>18</v>
      </c>
      <c r="D79" s="139">
        <v>1</v>
      </c>
      <c r="E79" s="140"/>
      <c r="F79" s="139" t="s">
        <v>7943</v>
      </c>
      <c r="G79" s="140"/>
      <c r="H79" s="8"/>
      <c r="I79" s="140"/>
    </row>
    <row r="80" spans="1:9" ht="19.95" customHeight="1" x14ac:dyDescent="0.3">
      <c r="A80" s="141" t="s">
        <v>7946</v>
      </c>
      <c r="B80" s="142" t="s">
        <v>7942</v>
      </c>
      <c r="C80" s="143" t="s">
        <v>18</v>
      </c>
      <c r="D80" s="143">
        <v>1</v>
      </c>
      <c r="E80" s="144"/>
      <c r="F80" s="143" t="s">
        <v>7943</v>
      </c>
      <c r="G80" s="144"/>
      <c r="H80" s="4"/>
      <c r="I80" s="144"/>
    </row>
    <row r="81" spans="1:9" ht="19.95" customHeight="1" x14ac:dyDescent="0.3">
      <c r="A81" s="137" t="s">
        <v>7947</v>
      </c>
      <c r="B81" s="138" t="s">
        <v>7942</v>
      </c>
      <c r="C81" s="139" t="s">
        <v>18</v>
      </c>
      <c r="D81" s="139">
        <v>1</v>
      </c>
      <c r="E81" s="140"/>
      <c r="F81" s="139" t="s">
        <v>7943</v>
      </c>
      <c r="G81" s="140"/>
      <c r="H81" s="8"/>
      <c r="I81" s="140"/>
    </row>
    <row r="82" spans="1:9" ht="19.95" customHeight="1" x14ac:dyDescent="0.3">
      <c r="A82" s="141" t="s">
        <v>7948</v>
      </c>
      <c r="B82" s="142" t="s">
        <v>7942</v>
      </c>
      <c r="C82" s="143" t="s">
        <v>18</v>
      </c>
      <c r="D82" s="143">
        <v>1</v>
      </c>
      <c r="E82" s="144"/>
      <c r="F82" s="143" t="s">
        <v>7943</v>
      </c>
      <c r="G82" s="144"/>
      <c r="H82" s="4"/>
      <c r="I82" s="144"/>
    </row>
  </sheetData>
  <sheetProtection sheet="1"/>
  <mergeCells count="31">
    <mergeCell ref="A73:I73"/>
    <mergeCell ref="A1:I1"/>
    <mergeCell ref="A70:I70"/>
    <mergeCell ref="A6:I6"/>
    <mergeCell ref="E22:I22"/>
    <mergeCell ref="A54:I54"/>
    <mergeCell ref="A72:I72"/>
    <mergeCell ref="A38:F38"/>
    <mergeCell ref="A52:F52"/>
    <mergeCell ref="E15:I15"/>
    <mergeCell ref="A40:I40"/>
    <mergeCell ref="A39:F39"/>
    <mergeCell ref="A24:I24"/>
    <mergeCell ref="E23:I23"/>
    <mergeCell ref="E14:I14"/>
    <mergeCell ref="A26:I26"/>
    <mergeCell ref="A57:I57"/>
    <mergeCell ref="E20:I20"/>
    <mergeCell ref="E19:I19"/>
    <mergeCell ref="E21:I21"/>
    <mergeCell ref="E12:I12"/>
    <mergeCell ref="B17:G17"/>
    <mergeCell ref="A18:I18"/>
    <mergeCell ref="A3:I3"/>
    <mergeCell ref="A5:I5"/>
    <mergeCell ref="E10:I10"/>
    <mergeCell ref="E13:I13"/>
    <mergeCell ref="A8:I8"/>
    <mergeCell ref="A4:I4"/>
    <mergeCell ref="E9:I9"/>
    <mergeCell ref="E11:I11"/>
  </mergeCells>
  <dataValidations count="9">
    <dataValidation type="list" sqref="C60 C62 C64 C66">
      <formula1>"YES,NO"</formula1>
    </dataValidation>
    <dataValidation type="list" allowBlank="1" promptTitle="CPWD A-tag" prompt="Enter A only if this line imports a rate that already includes Water, GST, CPOH and Cess. A-tagged lines are excluded from every markup base per the CPWD (W-A) convention." sqref="I28 I29 I30 I31 I32 I33 I34 I35 I36 I37">
      <formula1>"A,"</formula1>
    </dataValidation>
    <dataValidation type="list" allowBlank="1" promptTitle="Component picker" prompt="Pick a Rates_Master code, or type an intermediate source such as 03_Mortars or a Resolved_Cross_Volume_Items item number." sqref="B28 B29 B30 B31 B32 B33 B34 B35 B36 B37 B42 B43 B44 B45 B46 B47 B48 B49 B50 B51">
      <formula1>Master_Codes</formula1>
    </dataValidation>
    <dataValidation type="list" allowBlank="1" sqref="B10">
      <formula1>"Ordinary Portland cement,White cement,Lime,Mud mortar"</formula1>
    </dataValidation>
    <dataValidation type="list" allowBlank="1" sqref="B11">
      <formula1>"1:1,1:2,1:3,1:4,1:5,1:6,1:8"</formula1>
    </dataValidation>
    <dataValidation type="list" allowBlank="1" sqref="B12">
      <formula1>"fine sand,coarse sand,stone dust,marble dust"</formula1>
    </dataValidation>
    <dataValidation type="list" allowBlank="1" sqref="B13">
      <formula1>"Manual (hand mixing),Mechanical mixer"</formula1>
    </dataValidation>
    <dataValidation type="list" allowBlank="1" sqref="B14">
      <formula1>"at ground level,for all floors / lifts"</formula1>
    </dataValidation>
    <dataValidation type="list" allowBlank="1" sqref="B15">
      <formula1>"for masonry bedding,for plaster,for pointing,for flooring bedding"</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pane ySplit="3" topLeftCell="A4" activePane="bottomLeft" state="frozen"/>
      <selection pane="bottomLeft" sqref="A1:I1"/>
    </sheetView>
  </sheetViews>
  <sheetFormatPr defaultRowHeight="14.4" x14ac:dyDescent="0.3"/>
  <cols>
    <col min="1" max="1" width="34" style="151" customWidth="1"/>
    <col min="2" max="2" width="26" style="151" customWidth="1"/>
    <col min="3" max="3" width="46" style="151" customWidth="1"/>
    <col min="4" max="4" width="16" style="151" customWidth="1"/>
    <col min="5" max="6" width="18" style="151" customWidth="1"/>
    <col min="7" max="7" width="20" style="151" customWidth="1"/>
    <col min="8" max="8" width="44" style="151" customWidth="1"/>
    <col min="9" max="9" width="14" style="151" customWidth="1"/>
  </cols>
  <sheetData>
    <row r="1" spans="1:9" ht="30" customHeight="1" x14ac:dyDescent="0.3">
      <c r="A1" s="227" t="s">
        <v>7949</v>
      </c>
      <c r="B1" s="228"/>
      <c r="C1" s="228"/>
      <c r="D1" s="228"/>
      <c r="E1" s="228"/>
      <c r="F1" s="228"/>
      <c r="G1" s="228"/>
      <c r="H1" s="228"/>
      <c r="I1" s="228"/>
    </row>
    <row r="2" spans="1:9" ht="19.95" customHeight="1" x14ac:dyDescent="0.3">
      <c r="A2" s="73" t="s">
        <v>4272</v>
      </c>
      <c r="B2" s="45" t="s">
        <v>6379</v>
      </c>
      <c r="C2" s="74" t="s">
        <v>6380</v>
      </c>
      <c r="D2" s="28" t="s">
        <v>6381</v>
      </c>
      <c r="E2" s="7" t="s">
        <v>6382</v>
      </c>
      <c r="F2" s="26" t="s">
        <v>6383</v>
      </c>
      <c r="G2" s="46" t="s">
        <v>6384</v>
      </c>
      <c r="H2" s="47" t="s">
        <v>6385</v>
      </c>
      <c r="I2" s="3" t="s">
        <v>6386</v>
      </c>
    </row>
    <row r="3" spans="1:9" ht="30" customHeight="1" x14ac:dyDescent="0.3">
      <c r="A3" s="237" t="s">
        <v>7950</v>
      </c>
      <c r="B3" s="241"/>
      <c r="C3" s="241"/>
      <c r="D3" s="241"/>
      <c r="E3" s="241"/>
      <c r="F3" s="241"/>
      <c r="G3" s="241"/>
      <c r="H3" s="241"/>
      <c r="I3" s="242"/>
    </row>
    <row r="4" spans="1:9" ht="22.05" customHeight="1" x14ac:dyDescent="0.3">
      <c r="A4" s="239" t="s">
        <v>6388</v>
      </c>
      <c r="B4" s="228"/>
      <c r="C4" s="228"/>
      <c r="D4" s="228"/>
      <c r="E4" s="228"/>
      <c r="F4" s="228"/>
      <c r="G4" s="228"/>
      <c r="H4" s="228"/>
      <c r="I4" s="228"/>
    </row>
    <row r="5" spans="1:9" ht="46.05" customHeight="1" x14ac:dyDescent="0.3">
      <c r="A5" s="237" t="s">
        <v>6389</v>
      </c>
      <c r="B5" s="241"/>
      <c r="C5" s="241"/>
      <c r="D5" s="241"/>
      <c r="E5" s="241"/>
      <c r="F5" s="241"/>
      <c r="G5" s="241"/>
      <c r="H5" s="241"/>
      <c r="I5" s="242"/>
    </row>
    <row r="6" spans="1:9" ht="46.05" customHeight="1" x14ac:dyDescent="0.3">
      <c r="A6" s="237" t="s">
        <v>6390</v>
      </c>
      <c r="B6" s="241"/>
      <c r="C6" s="241"/>
      <c r="D6" s="241"/>
      <c r="E6" s="241"/>
      <c r="F6" s="241"/>
      <c r="G6" s="241"/>
      <c r="H6" s="241"/>
      <c r="I6" s="242"/>
    </row>
    <row r="8" spans="1:9" ht="24" customHeight="1" x14ac:dyDescent="0.3">
      <c r="A8" s="239" t="s">
        <v>7837</v>
      </c>
      <c r="B8" s="228"/>
      <c r="C8" s="228"/>
      <c r="D8" s="228"/>
      <c r="E8" s="228"/>
      <c r="F8" s="228"/>
      <c r="G8" s="228"/>
      <c r="H8" s="228"/>
      <c r="I8" s="228"/>
    </row>
    <row r="9" spans="1:9" ht="30" customHeight="1" x14ac:dyDescent="0.3">
      <c r="A9" s="153" t="s">
        <v>7838</v>
      </c>
      <c r="B9" s="153" t="s">
        <v>7839</v>
      </c>
      <c r="C9" s="153" t="s">
        <v>7840</v>
      </c>
      <c r="D9" s="153" t="s">
        <v>7841</v>
      </c>
      <c r="E9" s="247" t="s">
        <v>7842</v>
      </c>
      <c r="F9" s="248"/>
      <c r="G9" s="248"/>
      <c r="H9" s="248"/>
      <c r="I9" s="249"/>
    </row>
    <row r="10" spans="1:9" ht="31.95" customHeight="1" x14ac:dyDescent="0.3">
      <c r="A10" s="75" t="s">
        <v>7951</v>
      </c>
      <c r="B10" s="76" t="s">
        <v>7952</v>
      </c>
      <c r="C10" s="26" t="s">
        <v>7845</v>
      </c>
      <c r="D10" s="132" t="s">
        <v>7850</v>
      </c>
      <c r="E10" s="246" t="s">
        <v>7953</v>
      </c>
      <c r="F10" s="241"/>
      <c r="G10" s="241"/>
      <c r="H10" s="241"/>
      <c r="I10" s="242"/>
    </row>
    <row r="11" spans="1:9" ht="31.95" customHeight="1" x14ac:dyDescent="0.3">
      <c r="A11" s="75" t="s">
        <v>7954</v>
      </c>
      <c r="B11" s="76" t="s">
        <v>7955</v>
      </c>
      <c r="C11" s="26" t="s">
        <v>7845</v>
      </c>
      <c r="D11" s="132" t="s">
        <v>7956</v>
      </c>
      <c r="E11" s="246" t="s">
        <v>7957</v>
      </c>
      <c r="F11" s="241"/>
      <c r="G11" s="241"/>
      <c r="H11" s="241"/>
      <c r="I11" s="242"/>
    </row>
    <row r="12" spans="1:9" ht="31.95" customHeight="1" x14ac:dyDescent="0.3">
      <c r="A12" s="75" t="s">
        <v>7958</v>
      </c>
      <c r="B12" s="76" t="s">
        <v>7959</v>
      </c>
      <c r="C12" s="1" t="s">
        <v>7862</v>
      </c>
      <c r="D12" s="132" t="s">
        <v>6335</v>
      </c>
      <c r="E12" s="246" t="s">
        <v>7960</v>
      </c>
      <c r="F12" s="241"/>
      <c r="G12" s="241"/>
      <c r="H12" s="241"/>
      <c r="I12" s="242"/>
    </row>
    <row r="13" spans="1:9" ht="31.95" customHeight="1" x14ac:dyDescent="0.3">
      <c r="A13" s="75" t="s">
        <v>5968</v>
      </c>
      <c r="B13" s="76" t="s">
        <v>7961</v>
      </c>
      <c r="C13" s="1" t="s">
        <v>7862</v>
      </c>
      <c r="D13" s="132" t="s">
        <v>6335</v>
      </c>
      <c r="E13" s="246" t="s">
        <v>7962</v>
      </c>
      <c r="F13" s="241"/>
      <c r="G13" s="241"/>
      <c r="H13" s="241"/>
      <c r="I13" s="242"/>
    </row>
    <row r="14" spans="1:9" ht="31.95" customHeight="1" x14ac:dyDescent="0.3">
      <c r="A14" s="75" t="s">
        <v>7963</v>
      </c>
      <c r="B14" s="76" t="s">
        <v>7964</v>
      </c>
      <c r="C14" s="1" t="s">
        <v>7862</v>
      </c>
      <c r="D14" s="132" t="s">
        <v>6335</v>
      </c>
      <c r="E14" s="246" t="s">
        <v>7965</v>
      </c>
      <c r="F14" s="241"/>
      <c r="G14" s="241"/>
      <c r="H14" s="241"/>
      <c r="I14" s="242"/>
    </row>
    <row r="15" spans="1:9" ht="31.95" customHeight="1" x14ac:dyDescent="0.3">
      <c r="A15" s="75" t="s">
        <v>7966</v>
      </c>
      <c r="B15" s="76" t="s">
        <v>7967</v>
      </c>
      <c r="C15" s="45" t="s">
        <v>7968</v>
      </c>
      <c r="D15" s="132" t="s">
        <v>7969</v>
      </c>
      <c r="E15" s="246" t="s">
        <v>7970</v>
      </c>
      <c r="F15" s="241"/>
      <c r="G15" s="241"/>
      <c r="H15" s="241"/>
      <c r="I15" s="242"/>
    </row>
    <row r="16" spans="1:9" ht="22.05" customHeight="1" x14ac:dyDescent="0.35">
      <c r="A16" s="14" t="s">
        <v>7867</v>
      </c>
      <c r="B16" s="54" t="s">
        <v>7971</v>
      </c>
      <c r="C16" s="14" t="s">
        <v>7869</v>
      </c>
      <c r="D16" s="77">
        <v>1</v>
      </c>
      <c r="E16" s="14" t="s">
        <v>7870</v>
      </c>
      <c r="F16" s="54" t="s">
        <v>18</v>
      </c>
      <c r="G16" s="14" t="s">
        <v>7871</v>
      </c>
      <c r="H16" s="29" t="s">
        <v>7972</v>
      </c>
      <c r="I16" s="60" t="s">
        <v>7873</v>
      </c>
    </row>
    <row r="17" spans="1:9" ht="40.049999999999997" customHeight="1" x14ac:dyDescent="0.35">
      <c r="A17" s="14" t="s">
        <v>7874</v>
      </c>
      <c r="B17" s="282" t="str">
        <f>IF(I17&lt;&gt;"", I17, "Providing and laying in position cement concrete of grade " &amp; B10 &amp; ", " &amp; B11 &amp; ", " &amp; B12 &amp; ", " &amp; B13 &amp; ", " &amp; B14 &amp; ", " &amp; B15 &amp; ", complete as per CPWD specifications and directions of Engineer-in-charge.")</f>
        <v>Providing and laying in position cement concrete of grade 1:2:4, 20 mm nominal size, in foundation and plinth, excluding centering and shuttering, not applicable (plain concrete), no special finish, complete as per CPWD specifications and directions of Engineer-in-charge.</v>
      </c>
      <c r="C17" s="241"/>
      <c r="D17" s="241"/>
      <c r="E17" s="241"/>
      <c r="F17" s="241"/>
      <c r="G17" s="242"/>
      <c r="H17" s="60" t="s">
        <v>7875</v>
      </c>
      <c r="I17" s="133"/>
    </row>
    <row r="18" spans="1:9" ht="24" customHeight="1" x14ac:dyDescent="0.3">
      <c r="A18" s="239" t="s">
        <v>7876</v>
      </c>
      <c r="B18" s="228"/>
      <c r="C18" s="228"/>
      <c r="D18" s="228"/>
      <c r="E18" s="228"/>
      <c r="F18" s="228"/>
      <c r="G18" s="228"/>
      <c r="H18" s="228"/>
      <c r="I18" s="228"/>
    </row>
    <row r="19" spans="1:9" ht="25.95" customHeight="1" x14ac:dyDescent="0.3">
      <c r="A19" s="153" t="s">
        <v>7877</v>
      </c>
      <c r="B19" s="153" t="s">
        <v>6393</v>
      </c>
      <c r="C19" s="153" t="s">
        <v>6</v>
      </c>
      <c r="D19" s="153" t="s">
        <v>7878</v>
      </c>
      <c r="E19" s="247" t="s">
        <v>7879</v>
      </c>
      <c r="F19" s="248"/>
      <c r="G19" s="248"/>
      <c r="H19" s="248"/>
      <c r="I19" s="249"/>
    </row>
    <row r="20" spans="1:9" ht="30" customHeight="1" x14ac:dyDescent="0.3">
      <c r="A20" s="75" t="s">
        <v>7973</v>
      </c>
      <c r="B20" s="145">
        <v>7.4999999999999997E-2</v>
      </c>
      <c r="C20" s="16" t="s">
        <v>7974</v>
      </c>
      <c r="D20" s="132" t="s">
        <v>7975</v>
      </c>
      <c r="E20" s="246" t="s">
        <v>7976</v>
      </c>
      <c r="F20" s="241"/>
      <c r="G20" s="241"/>
      <c r="H20" s="241"/>
      <c r="I20" s="242"/>
    </row>
    <row r="21" spans="1:9" ht="30" customHeight="1" x14ac:dyDescent="0.3">
      <c r="A21" s="75" t="s">
        <v>7977</v>
      </c>
      <c r="B21" s="77">
        <v>0</v>
      </c>
      <c r="C21" s="16" t="s">
        <v>7978</v>
      </c>
      <c r="D21" s="132" t="s">
        <v>7858</v>
      </c>
      <c r="E21" s="246" t="s">
        <v>7979</v>
      </c>
      <c r="F21" s="241"/>
      <c r="G21" s="241"/>
      <c r="H21" s="241"/>
      <c r="I21" s="242"/>
    </row>
    <row r="22" spans="1:9" ht="30" customHeight="1" x14ac:dyDescent="0.3">
      <c r="A22" s="75" t="s">
        <v>7980</v>
      </c>
      <c r="B22" s="145">
        <v>7.0000000000000007E-2</v>
      </c>
      <c r="C22" s="16" t="s">
        <v>7981</v>
      </c>
      <c r="D22" s="132" t="s">
        <v>7982</v>
      </c>
      <c r="E22" s="246" t="s">
        <v>7983</v>
      </c>
      <c r="F22" s="241"/>
      <c r="G22" s="241"/>
      <c r="H22" s="241"/>
      <c r="I22" s="242"/>
    </row>
    <row r="23" spans="1:9" ht="30" customHeight="1" x14ac:dyDescent="0.3">
      <c r="A23" s="75" t="s">
        <v>7984</v>
      </c>
      <c r="B23" s="145">
        <v>7.0000000000000007E-2</v>
      </c>
      <c r="C23" s="16" t="s">
        <v>7981</v>
      </c>
      <c r="D23" s="132" t="s">
        <v>7982</v>
      </c>
      <c r="E23" s="246" t="s">
        <v>7985</v>
      </c>
      <c r="F23" s="241"/>
      <c r="G23" s="241"/>
      <c r="H23" s="241"/>
      <c r="I23" s="242"/>
    </row>
    <row r="24" spans="1:9" ht="43.95" customHeight="1" x14ac:dyDescent="0.3">
      <c r="A24" s="237" t="s">
        <v>7893</v>
      </c>
      <c r="B24" s="241"/>
      <c r="C24" s="241"/>
      <c r="D24" s="241"/>
      <c r="E24" s="241"/>
      <c r="F24" s="241"/>
      <c r="G24" s="241"/>
      <c r="H24" s="241"/>
      <c r="I24" s="242"/>
    </row>
    <row r="25" spans="1:9" ht="22.05" customHeight="1" x14ac:dyDescent="0.3">
      <c r="A25" s="92" t="s">
        <v>6500</v>
      </c>
      <c r="B25" s="93" t="str">
        <f>IF(AND(D25="OK", F25="OK", H25="OK"), "[PASS] ALL CHECKS OK", "[ALERT] CHECKS FAILED")</f>
        <v>[PASS] ALL CHECKS OK</v>
      </c>
      <c r="C25" s="94" t="s">
        <v>7894</v>
      </c>
      <c r="D25" s="48" t="str">
        <f>IF(D16&gt;0, "OK", "ERR: Qty&lt;=0")</f>
        <v>OK</v>
      </c>
      <c r="E25" s="94" t="s">
        <v>7895</v>
      </c>
      <c r="F25" s="48" t="str">
        <f>IF(G59&gt;0, "OK", "ERR: W&lt;=0")</f>
        <v>OK</v>
      </c>
      <c r="G25" s="94" t="s">
        <v>7896</v>
      </c>
      <c r="H25" s="48" t="str">
        <f>IF(AND(G59&lt;=G61, G61&lt;=G63, G63&lt;=G65, G39&lt;=G59), "OK", "ERR: Markups Broken")</f>
        <v>OK</v>
      </c>
      <c r="I25" s="132" t="str">
        <f>IF(G39&gt;0, "A-rule active", "No A imports")</f>
        <v>No A imports</v>
      </c>
    </row>
    <row r="26" spans="1:9" ht="24" customHeight="1" x14ac:dyDescent="0.3">
      <c r="A26" s="239" t="s">
        <v>7897</v>
      </c>
      <c r="B26" s="228"/>
      <c r="C26" s="228"/>
      <c r="D26" s="228"/>
      <c r="E26" s="228"/>
      <c r="F26" s="228"/>
      <c r="G26" s="228"/>
      <c r="H26" s="228"/>
      <c r="I26" s="228"/>
    </row>
    <row r="27" spans="1:9" ht="24" customHeight="1" x14ac:dyDescent="0.3">
      <c r="A27" s="153" t="s">
        <v>6313</v>
      </c>
      <c r="B27" s="153" t="s">
        <v>6314</v>
      </c>
      <c r="C27" s="153" t="s">
        <v>5</v>
      </c>
      <c r="D27" s="153" t="s">
        <v>6</v>
      </c>
      <c r="E27" s="153" t="s">
        <v>6315</v>
      </c>
      <c r="F27" s="153" t="s">
        <v>7</v>
      </c>
      <c r="G27" s="153" t="s">
        <v>6316</v>
      </c>
      <c r="H27" s="153" t="s">
        <v>6317</v>
      </c>
      <c r="I27" s="153" t="s">
        <v>6318</v>
      </c>
    </row>
    <row r="28" spans="1:9" ht="19.95" customHeight="1" x14ac:dyDescent="0.3">
      <c r="A28" s="16">
        <v>1</v>
      </c>
      <c r="B28" s="54" t="s">
        <v>335</v>
      </c>
      <c r="C28" s="72" t="str">
        <f>IF(B28="","", IFERROR(INDEX(Rates_Master!$C:$C, MATCH(B28, Rates_Master!$A:$A, 0)), "Custom / Intermediate Material"))</f>
        <v>Stone Aggregate (Single size) : 20 mm nominal size</v>
      </c>
      <c r="D28" s="56" t="str">
        <f>IF(B28="","", IFERROR(INDEX(Rates_Master!$D:$D, MATCH(B28, Rates_Master!$A:$A, 0)), ""))</f>
        <v>cum</v>
      </c>
      <c r="E28" s="57">
        <v>0.56999999999999995</v>
      </c>
      <c r="F28" s="58">
        <f>IF(B28="","", IFERROR(INDEX(Rates_Master!$E:$E, MATCH(B28, Rates_Master!$A:$A, 0)), 0))</f>
        <v>1350</v>
      </c>
      <c r="G28" s="37">
        <f t="shared" ref="G28:G37" si="0">IF(OR(B28="", E28=""), 0, ROUND(E28 * F28, 2))</f>
        <v>769.5</v>
      </c>
      <c r="H28" s="135" t="s">
        <v>7986</v>
      </c>
      <c r="I28" s="54"/>
    </row>
    <row r="29" spans="1:9" ht="19.95" customHeight="1" x14ac:dyDescent="0.3">
      <c r="A29" s="16">
        <v>2</v>
      </c>
      <c r="B29" s="54" t="s">
        <v>339</v>
      </c>
      <c r="C29" s="72" t="str">
        <f>IF(B29="","", IFERROR(INDEX(Rates_Master!$C:$C, MATCH(B29, Rates_Master!$A:$A, 0)), "Custom / Intermediate Material"))</f>
        <v>Stone Aggregate (Single size) : 10 mm nominal size</v>
      </c>
      <c r="D29" s="56" t="str">
        <f>IF(B29="","", IFERROR(INDEX(Rates_Master!$D:$D, MATCH(B29, Rates_Master!$A:$A, 0)), ""))</f>
        <v>cum</v>
      </c>
      <c r="E29" s="57">
        <v>0.28000000000000003</v>
      </c>
      <c r="F29" s="58">
        <f>IF(B29="","", IFERROR(INDEX(Rates_Master!$E:$E, MATCH(B29, Rates_Master!$A:$A, 0)), 0))</f>
        <v>1350</v>
      </c>
      <c r="G29" s="37">
        <f t="shared" si="0"/>
        <v>378</v>
      </c>
      <c r="H29" s="135" t="s">
        <v>7987</v>
      </c>
      <c r="I29" s="54"/>
    </row>
    <row r="30" spans="1:9" ht="19.95" customHeight="1" x14ac:dyDescent="0.3">
      <c r="A30" s="16">
        <v>3</v>
      </c>
      <c r="B30" s="54" t="s">
        <v>1628</v>
      </c>
      <c r="C30" s="72" t="str">
        <f>IF(B30="","", IFERROR(INDEX(Rates_Master!$C:$C, MATCH(B30, Rates_Master!$A:$A, 0)), "Custom / Intermediate Material"))</f>
        <v>Carriage of Stone aggregate below 40 mm nominal size</v>
      </c>
      <c r="D30" s="56" t="str">
        <f>IF(B30="","", IFERROR(INDEX(Rates_Master!$D:$D, MATCH(B30, Rates_Master!$A:$A, 0)), ""))</f>
        <v>cum</v>
      </c>
      <c r="E30" s="57">
        <v>0.85</v>
      </c>
      <c r="F30" s="58">
        <f>IF(B30="","", IFERROR(INDEX(Rates_Master!$E:$E, MATCH(B30, Rates_Master!$A:$A, 0)), 0))</f>
        <v>103.77</v>
      </c>
      <c r="G30" s="37">
        <f t="shared" si="0"/>
        <v>88.2</v>
      </c>
      <c r="H30" s="135" t="s">
        <v>7988</v>
      </c>
      <c r="I30" s="54"/>
    </row>
    <row r="31" spans="1:9" ht="19.95" customHeight="1" x14ac:dyDescent="0.3">
      <c r="A31" s="16">
        <v>4</v>
      </c>
      <c r="B31" s="54" t="s">
        <v>909</v>
      </c>
      <c r="C31" s="72" t="str">
        <f>IF(B31="","", IFERROR(INDEX(Rates_Master!$C:$C, MATCH(B31, Rates_Master!$A:$A, 0)), "Custom / Intermediate Material"))</f>
        <v>Coarse sand (zone III)</v>
      </c>
      <c r="D31" s="56" t="str">
        <f>IF(B31="","", IFERROR(INDEX(Rates_Master!$D:$D, MATCH(B31, Rates_Master!$A:$A, 0)), ""))</f>
        <v>cum</v>
      </c>
      <c r="E31" s="57">
        <v>0.42499999999999999</v>
      </c>
      <c r="F31" s="58">
        <f>IF(B31="","", IFERROR(INDEX(Rates_Master!$E:$E, MATCH(B31, Rates_Master!$A:$A, 0)), 0))</f>
        <v>1350</v>
      </c>
      <c r="G31" s="37">
        <f t="shared" si="0"/>
        <v>573.75</v>
      </c>
      <c r="H31" s="135" t="s">
        <v>910</v>
      </c>
      <c r="I31" s="54"/>
    </row>
    <row r="32" spans="1:9" ht="19.95" customHeight="1" x14ac:dyDescent="0.3">
      <c r="A32" s="16">
        <v>5</v>
      </c>
      <c r="B32" s="54" t="s">
        <v>1630</v>
      </c>
      <c r="C32" s="72" t="str">
        <f>IF(B32="","", IFERROR(INDEX(Rates_Master!$C:$C, MATCH(B32, Rates_Master!$A:$A, 0)), "Custom / Intermediate Material"))</f>
        <v>Carriage of Coarse sand</v>
      </c>
      <c r="D32" s="56" t="str">
        <f>IF(B32="","", IFERROR(INDEX(Rates_Master!$D:$D, MATCH(B32, Rates_Master!$A:$A, 0)), ""))</f>
        <v>cum</v>
      </c>
      <c r="E32" s="57">
        <v>0.42499999999999999</v>
      </c>
      <c r="F32" s="58">
        <f>IF(B32="","", IFERROR(INDEX(Rates_Master!$E:$E, MATCH(B32, Rates_Master!$A:$A, 0)), 0))</f>
        <v>103.77</v>
      </c>
      <c r="G32" s="37">
        <f t="shared" si="0"/>
        <v>44.1</v>
      </c>
      <c r="H32" s="135" t="s">
        <v>1631</v>
      </c>
      <c r="I32" s="54"/>
    </row>
    <row r="33" spans="1:9" ht="19.95" customHeight="1" x14ac:dyDescent="0.3">
      <c r="A33" s="16">
        <v>6</v>
      </c>
      <c r="B33" s="54" t="s">
        <v>424</v>
      </c>
      <c r="C33" s="72" t="str">
        <f>IF(B33="","", IFERROR(INDEX(Rates_Master!$C:$C, MATCH(B33, Rates_Master!$A:$A, 0)), "Custom / Intermediate Material"))</f>
        <v>Portland Cement (OPC-43 Grade)</v>
      </c>
      <c r="D33" s="56" t="str">
        <f>IF(B33="","", IFERROR(INDEX(Rates_Master!$D:$D, MATCH(B33, Rates_Master!$A:$A, 0)), ""))</f>
        <v>tonne</v>
      </c>
      <c r="E33" s="57">
        <v>0.32</v>
      </c>
      <c r="F33" s="58">
        <f>IF(B33="","", IFERROR(INDEX(Rates_Master!$E:$E, MATCH(B33, Rates_Master!$A:$A, 0)), 0))</f>
        <v>4940</v>
      </c>
      <c r="G33" s="37">
        <f t="shared" si="0"/>
        <v>1580.8</v>
      </c>
      <c r="H33" s="135" t="s">
        <v>7989</v>
      </c>
      <c r="I33" s="54"/>
    </row>
    <row r="34" spans="1:9" ht="19.95" customHeight="1" x14ac:dyDescent="0.3">
      <c r="A34" s="16">
        <v>7</v>
      </c>
      <c r="B34" s="54" t="s">
        <v>1642</v>
      </c>
      <c r="C34" s="72" t="str">
        <f>IF(B34="","", IFERROR(INDEX(Rates_Master!$C:$C, MATCH(B34, Rates_Master!$A:$A, 0)), "Custom / Intermediate Material"))</f>
        <v>Carriage of Cement</v>
      </c>
      <c r="D34" s="56" t="str">
        <f>IF(B34="","", IFERROR(INDEX(Rates_Master!$D:$D, MATCH(B34, Rates_Master!$A:$A, 0)), ""))</f>
        <v>tonne</v>
      </c>
      <c r="E34" s="57">
        <v>0.32</v>
      </c>
      <c r="F34" s="58">
        <f>IF(B34="","", IFERROR(INDEX(Rates_Master!$E:$E, MATCH(B34, Rates_Master!$A:$A, 0)), 0))</f>
        <v>92.24</v>
      </c>
      <c r="G34" s="37">
        <f t="shared" si="0"/>
        <v>29.52</v>
      </c>
      <c r="H34" s="135" t="s">
        <v>1643</v>
      </c>
      <c r="I34" s="54"/>
    </row>
    <row r="35" spans="1:9" ht="19.95" customHeight="1" x14ac:dyDescent="0.3">
      <c r="A35" s="16">
        <v>8</v>
      </c>
      <c r="B35" s="54"/>
      <c r="C35" s="72" t="str">
        <f>IF(B35="","", IFERROR(INDEX(Rates_Master!$C:$C, MATCH(B35, Rates_Master!$A:$A, 0)), "Custom / Intermediate Material"))</f>
        <v/>
      </c>
      <c r="D35" s="56" t="str">
        <f>IF(B35="","", IFERROR(INDEX(Rates_Master!$D:$D, MATCH(B35, Rates_Master!$A:$A, 0)), ""))</f>
        <v/>
      </c>
      <c r="E35" s="57"/>
      <c r="F35" s="58" t="str">
        <f>IF(B35="","", IFERROR(INDEX(Rates_Master!$E:$E, MATCH(B35, Rates_Master!$A:$A, 0)), 0))</f>
        <v/>
      </c>
      <c r="G35" s="37">
        <f t="shared" si="0"/>
        <v>0</v>
      </c>
      <c r="H35" s="135"/>
      <c r="I35" s="54"/>
    </row>
    <row r="36" spans="1:9" ht="19.95" customHeight="1" x14ac:dyDescent="0.3">
      <c r="A36" s="16">
        <v>9</v>
      </c>
      <c r="B36" s="54"/>
      <c r="C36" s="72" t="str">
        <f>IF(B36="","", IFERROR(INDEX(Rates_Master!$C:$C, MATCH(B36, Rates_Master!$A:$A, 0)), "Custom / Intermediate Material"))</f>
        <v/>
      </c>
      <c r="D36" s="56" t="str">
        <f>IF(B36="","", IFERROR(INDEX(Rates_Master!$D:$D, MATCH(B36, Rates_Master!$A:$A, 0)), ""))</f>
        <v/>
      </c>
      <c r="E36" s="57"/>
      <c r="F36" s="58" t="str">
        <f>IF(B36="","", IFERROR(INDEX(Rates_Master!$E:$E, MATCH(B36, Rates_Master!$A:$A, 0)), 0))</f>
        <v/>
      </c>
      <c r="G36" s="37">
        <f t="shared" si="0"/>
        <v>0</v>
      </c>
      <c r="H36" s="135"/>
      <c r="I36" s="54"/>
    </row>
    <row r="37" spans="1:9" ht="19.95" customHeight="1" x14ac:dyDescent="0.3">
      <c r="A37" s="16">
        <v>10</v>
      </c>
      <c r="B37" s="54"/>
      <c r="C37" s="72" t="str">
        <f>IF(B37="","", IFERROR(INDEX(Rates_Master!$C:$C, MATCH(B37, Rates_Master!$A:$A, 0)), "Custom / Intermediate Material"))</f>
        <v/>
      </c>
      <c r="D37" s="56" t="str">
        <f>IF(B37="","", IFERROR(INDEX(Rates_Master!$D:$D, MATCH(B37, Rates_Master!$A:$A, 0)), ""))</f>
        <v/>
      </c>
      <c r="E37" s="57"/>
      <c r="F37" s="58" t="str">
        <f>IF(B37="","", IFERROR(INDEX(Rates_Master!$E:$E, MATCH(B37, Rates_Master!$A:$A, 0)), 0))</f>
        <v/>
      </c>
      <c r="G37" s="37">
        <f t="shared" si="0"/>
        <v>0</v>
      </c>
      <c r="H37" s="135"/>
      <c r="I37" s="54"/>
    </row>
    <row r="38" spans="1:9" ht="22.05" customHeight="1" x14ac:dyDescent="0.3">
      <c r="A38" s="252" t="s">
        <v>7899</v>
      </c>
      <c r="B38" s="253"/>
      <c r="C38" s="253"/>
      <c r="D38" s="253"/>
      <c r="E38" s="253"/>
      <c r="F38" s="254"/>
      <c r="G38" s="100">
        <f>SUM(G28:G37)</f>
        <v>3463.87</v>
      </c>
      <c r="H38" s="99"/>
      <c r="I38" s="99"/>
    </row>
    <row r="39" spans="1:9" ht="30" customHeight="1" x14ac:dyDescent="0.3">
      <c r="A39" s="244" t="s">
        <v>7900</v>
      </c>
      <c r="B39" s="241"/>
      <c r="C39" s="241"/>
      <c r="D39" s="241"/>
      <c r="E39" s="241"/>
      <c r="F39" s="242"/>
      <c r="G39" s="41">
        <f>ROUND(SUMIF($I$28:$I$37, "A", $G$28:$G$37), 2)</f>
        <v>0</v>
      </c>
      <c r="H39" s="63" t="s">
        <v>7901</v>
      </c>
      <c r="I39" s="61"/>
    </row>
    <row r="40" spans="1:9" ht="24" customHeight="1" x14ac:dyDescent="0.3">
      <c r="A40" s="239" t="s">
        <v>7902</v>
      </c>
      <c r="B40" s="228"/>
      <c r="C40" s="228"/>
      <c r="D40" s="228"/>
      <c r="E40" s="228"/>
      <c r="F40" s="228"/>
      <c r="G40" s="228"/>
      <c r="H40" s="228"/>
      <c r="I40" s="228"/>
    </row>
    <row r="41" spans="1:9" ht="24" customHeight="1" x14ac:dyDescent="0.3">
      <c r="A41" s="153" t="s">
        <v>6313</v>
      </c>
      <c r="B41" s="153" t="s">
        <v>6314</v>
      </c>
      <c r="C41" s="153" t="s">
        <v>5</v>
      </c>
      <c r="D41" s="153" t="s">
        <v>6</v>
      </c>
      <c r="E41" s="153" t="s">
        <v>6315</v>
      </c>
      <c r="F41" s="153" t="s">
        <v>7</v>
      </c>
      <c r="G41" s="153" t="s">
        <v>6316</v>
      </c>
      <c r="H41" s="153" t="s">
        <v>6317</v>
      </c>
      <c r="I41" s="153" t="s">
        <v>6318</v>
      </c>
    </row>
    <row r="42" spans="1:9" ht="19.95" customHeight="1" x14ac:dyDescent="0.3">
      <c r="A42" s="16">
        <v>1</v>
      </c>
      <c r="B42" s="54" t="s">
        <v>255</v>
      </c>
      <c r="C42" s="72" t="str">
        <f>IF(B42="","", IFERROR(INDEX(Rates_Master!$C:$C, MATCH(B42, Rates_Master!$A:$A, 0)), "Custom Labour / Plant"))</f>
        <v>Mason (average)</v>
      </c>
      <c r="D42" s="56" t="str">
        <f>IF(B42="","", IFERROR(INDEX(Rates_Master!$D:$D, MATCH(B42, Rates_Master!$A:$A, 0)), ""))</f>
        <v>day</v>
      </c>
      <c r="E42" s="57">
        <v>0.1</v>
      </c>
      <c r="F42" s="58">
        <f>IF(B42="","", IFERROR(INDEX(Rates_Master!$E:$E, MATCH(B42, Rates_Master!$A:$A, 0)), 0))</f>
        <v>709</v>
      </c>
      <c r="G42" s="37">
        <f t="shared" ref="G42:G51" si="1">IF(OR(B42="", E42=""), 0, ROUND(E42 * F42, 2))</f>
        <v>70.900000000000006</v>
      </c>
      <c r="H42" s="135" t="s">
        <v>256</v>
      </c>
      <c r="I42" s="5"/>
    </row>
    <row r="43" spans="1:9" ht="19.95" customHeight="1" x14ac:dyDescent="0.3">
      <c r="A43" s="16">
        <v>2</v>
      </c>
      <c r="B43" s="54" t="s">
        <v>209</v>
      </c>
      <c r="C43" s="72" t="str">
        <f>IF(B43="","", IFERROR(INDEX(Rates_Master!$C:$C, MATCH(B43, Rates_Master!$A:$A, 0)), "Custom Labour / Plant"))</f>
        <v>Beldar</v>
      </c>
      <c r="D43" s="56" t="str">
        <f>IF(B43="","", IFERROR(INDEX(Rates_Master!$D:$D, MATCH(B43, Rates_Master!$A:$A, 0)), ""))</f>
        <v>day</v>
      </c>
      <c r="E43" s="57">
        <v>1.63</v>
      </c>
      <c r="F43" s="58">
        <f>IF(B43="","", IFERROR(INDEX(Rates_Master!$E:$E, MATCH(B43, Rates_Master!$A:$A, 0)), 0))</f>
        <v>558</v>
      </c>
      <c r="G43" s="37">
        <f t="shared" si="1"/>
        <v>909.54</v>
      </c>
      <c r="H43" s="135" t="s">
        <v>7990</v>
      </c>
      <c r="I43" s="5"/>
    </row>
    <row r="44" spans="1:9" ht="19.95" customHeight="1" x14ac:dyDescent="0.3">
      <c r="A44" s="16">
        <v>3</v>
      </c>
      <c r="B44" s="54" t="s">
        <v>197</v>
      </c>
      <c r="C44" s="72" t="str">
        <f>IF(B44="","", IFERROR(INDEX(Rates_Master!$C:$C, MATCH(B44, Rates_Master!$A:$A, 0)), "Custom Labour / Plant"))</f>
        <v>Bhisti</v>
      </c>
      <c r="D44" s="56" t="str">
        <f>IF(B44="","", IFERROR(INDEX(Rates_Master!$D:$D, MATCH(B44, Rates_Master!$A:$A, 0)), ""))</f>
        <v>day</v>
      </c>
      <c r="E44" s="57">
        <v>0.7</v>
      </c>
      <c r="F44" s="58">
        <f>IF(B44="","", IFERROR(INDEX(Rates_Master!$E:$E, MATCH(B44, Rates_Master!$A:$A, 0)), 0))</f>
        <v>617</v>
      </c>
      <c r="G44" s="37">
        <f t="shared" si="1"/>
        <v>431.9</v>
      </c>
      <c r="H44" s="135" t="s">
        <v>7991</v>
      </c>
      <c r="I44" s="5"/>
    </row>
    <row r="45" spans="1:9" ht="19.95" customHeight="1" x14ac:dyDescent="0.3">
      <c r="A45" s="16">
        <v>4</v>
      </c>
      <c r="B45" s="54" t="s">
        <v>12</v>
      </c>
      <c r="C45" s="72" t="str">
        <f>IF(B45="","", IFERROR(INDEX(Rates_Master!$C:$C, MATCH(B45, Rates_Master!$A:$A, 0)), "Custom Labour / Plant"))</f>
        <v>Hire charges of Concrete Mixer 0.25 to 0.40 cum with Hopper</v>
      </c>
      <c r="D45" s="56" t="str">
        <f>IF(B45="","", IFERROR(INDEX(Rates_Master!$D:$D, MATCH(B45, Rates_Master!$A:$A, 0)), ""))</f>
        <v>day</v>
      </c>
      <c r="E45" s="57">
        <v>7.0000000000000007E-2</v>
      </c>
      <c r="F45" s="58">
        <f>IF(B45="","", IFERROR(INDEX(Rates_Master!$E:$E, MATCH(B45, Rates_Master!$A:$A, 0)), 0))</f>
        <v>800</v>
      </c>
      <c r="G45" s="37">
        <f t="shared" si="1"/>
        <v>56</v>
      </c>
      <c r="H45" s="135" t="s">
        <v>7992</v>
      </c>
      <c r="I45" s="5"/>
    </row>
    <row r="46" spans="1:9" ht="19.95" customHeight="1" x14ac:dyDescent="0.3">
      <c r="A46" s="16">
        <v>5</v>
      </c>
      <c r="B46" s="54" t="s">
        <v>33</v>
      </c>
      <c r="C46" s="72" t="str">
        <f>IF(B46="","", IFERROR(INDEX(Rates_Master!$C:$C, MATCH(B46, Rates_Master!$A:$A, 0)), "Custom Labour / Plant"))</f>
        <v>Vibrator (Needle type 40 mm)</v>
      </c>
      <c r="D46" s="56" t="str">
        <f>IF(B46="","", IFERROR(INDEX(Rates_Master!$D:$D, MATCH(B46, Rates_Master!$A:$A, 0)), ""))</f>
        <v>day</v>
      </c>
      <c r="E46" s="57">
        <v>7.0000000000000007E-2</v>
      </c>
      <c r="F46" s="58">
        <f>IF(B46="","", IFERROR(INDEX(Rates_Master!$E:$E, MATCH(B46, Rates_Master!$A:$A, 0)), 0))</f>
        <v>370</v>
      </c>
      <c r="G46" s="37">
        <f t="shared" si="1"/>
        <v>25.9</v>
      </c>
      <c r="H46" s="135" t="s">
        <v>7993</v>
      </c>
      <c r="I46" s="5"/>
    </row>
    <row r="47" spans="1:9" ht="19.95" customHeight="1" x14ac:dyDescent="0.3">
      <c r="A47" s="16">
        <v>6</v>
      </c>
      <c r="B47" s="54"/>
      <c r="C47" s="72" t="str">
        <f>IF(B47="","", IFERROR(INDEX(Rates_Master!$C:$C, MATCH(B47, Rates_Master!$A:$A, 0)), "Custom Labour / Plant"))</f>
        <v/>
      </c>
      <c r="D47" s="56" t="str">
        <f>IF(B47="","", IFERROR(INDEX(Rates_Master!$D:$D, MATCH(B47, Rates_Master!$A:$A, 0)), ""))</f>
        <v/>
      </c>
      <c r="E47" s="57"/>
      <c r="F47" s="58" t="str">
        <f>IF(B47="","", IFERROR(INDEX(Rates_Master!$E:$E, MATCH(B47, Rates_Master!$A:$A, 0)), 0))</f>
        <v/>
      </c>
      <c r="G47" s="37">
        <f t="shared" si="1"/>
        <v>0</v>
      </c>
      <c r="H47" s="135"/>
      <c r="I47" s="5"/>
    </row>
    <row r="48" spans="1:9" ht="19.95" customHeight="1" x14ac:dyDescent="0.3">
      <c r="A48" s="16">
        <v>7</v>
      </c>
      <c r="B48" s="54"/>
      <c r="C48" s="72" t="str">
        <f>IF(B48="","", IFERROR(INDEX(Rates_Master!$C:$C, MATCH(B48, Rates_Master!$A:$A, 0)), "Custom Labour / Plant"))</f>
        <v/>
      </c>
      <c r="D48" s="56" t="str">
        <f>IF(B48="","", IFERROR(INDEX(Rates_Master!$D:$D, MATCH(B48, Rates_Master!$A:$A, 0)), ""))</f>
        <v/>
      </c>
      <c r="E48" s="57"/>
      <c r="F48" s="58" t="str">
        <f>IF(B48="","", IFERROR(INDEX(Rates_Master!$E:$E, MATCH(B48, Rates_Master!$A:$A, 0)), 0))</f>
        <v/>
      </c>
      <c r="G48" s="37">
        <f t="shared" si="1"/>
        <v>0</v>
      </c>
      <c r="H48" s="135"/>
      <c r="I48" s="5"/>
    </row>
    <row r="49" spans="1:9" ht="19.95" customHeight="1" x14ac:dyDescent="0.3">
      <c r="A49" s="16">
        <v>8</v>
      </c>
      <c r="B49" s="54"/>
      <c r="C49" s="72" t="str">
        <f>IF(B49="","", IFERROR(INDEX(Rates_Master!$C:$C, MATCH(B49, Rates_Master!$A:$A, 0)), "Custom Labour / Plant"))</f>
        <v/>
      </c>
      <c r="D49" s="56" t="str">
        <f>IF(B49="","", IFERROR(INDEX(Rates_Master!$D:$D, MATCH(B49, Rates_Master!$A:$A, 0)), ""))</f>
        <v/>
      </c>
      <c r="E49" s="57"/>
      <c r="F49" s="58" t="str">
        <f>IF(B49="","", IFERROR(INDEX(Rates_Master!$E:$E, MATCH(B49, Rates_Master!$A:$A, 0)), 0))</f>
        <v/>
      </c>
      <c r="G49" s="37">
        <f t="shared" si="1"/>
        <v>0</v>
      </c>
      <c r="H49" s="135"/>
      <c r="I49" s="5"/>
    </row>
    <row r="50" spans="1:9" ht="19.95" customHeight="1" x14ac:dyDescent="0.3">
      <c r="A50" s="16">
        <v>9</v>
      </c>
      <c r="B50" s="54"/>
      <c r="C50" s="72" t="str">
        <f>IF(B50="","", IFERROR(INDEX(Rates_Master!$C:$C, MATCH(B50, Rates_Master!$A:$A, 0)), "Custom Labour / Plant"))</f>
        <v/>
      </c>
      <c r="D50" s="56" t="str">
        <f>IF(B50="","", IFERROR(INDEX(Rates_Master!$D:$D, MATCH(B50, Rates_Master!$A:$A, 0)), ""))</f>
        <v/>
      </c>
      <c r="E50" s="57"/>
      <c r="F50" s="58" t="str">
        <f>IF(B50="","", IFERROR(INDEX(Rates_Master!$E:$E, MATCH(B50, Rates_Master!$A:$A, 0)), 0))</f>
        <v/>
      </c>
      <c r="G50" s="37">
        <f t="shared" si="1"/>
        <v>0</v>
      </c>
      <c r="H50" s="135"/>
      <c r="I50" s="5"/>
    </row>
    <row r="51" spans="1:9" ht="19.95" customHeight="1" x14ac:dyDescent="0.3">
      <c r="A51" s="16">
        <v>10</v>
      </c>
      <c r="B51" s="54"/>
      <c r="C51" s="72" t="str">
        <f>IF(B51="","", IFERROR(INDEX(Rates_Master!$C:$C, MATCH(B51, Rates_Master!$A:$A, 0)), "Custom Labour / Plant"))</f>
        <v/>
      </c>
      <c r="D51" s="56" t="str">
        <f>IF(B51="","", IFERROR(INDEX(Rates_Master!$D:$D, MATCH(B51, Rates_Master!$A:$A, 0)), ""))</f>
        <v/>
      </c>
      <c r="E51" s="57"/>
      <c r="F51" s="58" t="str">
        <f>IF(B51="","", IFERROR(INDEX(Rates_Master!$E:$E, MATCH(B51, Rates_Master!$A:$A, 0)), 0))</f>
        <v/>
      </c>
      <c r="G51" s="37">
        <f t="shared" si="1"/>
        <v>0</v>
      </c>
      <c r="H51" s="135"/>
      <c r="I51" s="5"/>
    </row>
    <row r="52" spans="1:9" ht="22.05" customHeight="1" x14ac:dyDescent="0.3">
      <c r="A52" s="252" t="s">
        <v>7905</v>
      </c>
      <c r="B52" s="253"/>
      <c r="C52" s="253"/>
      <c r="D52" s="253"/>
      <c r="E52" s="253"/>
      <c r="F52" s="254"/>
      <c r="G52" s="100">
        <f>SUM(G42:G51)</f>
        <v>1494.24</v>
      </c>
      <c r="H52" s="99"/>
      <c r="I52" s="99"/>
    </row>
    <row r="54" spans="1:9" ht="24" customHeight="1" x14ac:dyDescent="0.3">
      <c r="A54" s="239" t="s">
        <v>7906</v>
      </c>
      <c r="B54" s="228"/>
      <c r="C54" s="228"/>
      <c r="D54" s="228"/>
      <c r="E54" s="228"/>
      <c r="F54" s="228"/>
      <c r="G54" s="228"/>
      <c r="H54" s="228"/>
      <c r="I54" s="228"/>
    </row>
    <row r="55" spans="1:9" ht="22.05" customHeight="1" x14ac:dyDescent="0.3">
      <c r="A55" s="16" t="s">
        <v>4390</v>
      </c>
      <c r="B55" s="48" t="s">
        <v>4269</v>
      </c>
      <c r="C55" s="53" t="s">
        <v>7907</v>
      </c>
      <c r="D55" s="16" t="s">
        <v>4266</v>
      </c>
      <c r="E55" s="22">
        <v>14.3</v>
      </c>
      <c r="F55" s="59">
        <f>Factor_Sundries</f>
        <v>2</v>
      </c>
      <c r="G55" s="65">
        <f>ROUND(E55 * F55, 2)</f>
        <v>28.6</v>
      </c>
      <c r="H55" s="60" t="s">
        <v>7908</v>
      </c>
      <c r="I55" s="53"/>
    </row>
    <row r="57" spans="1:9" ht="24" customHeight="1" x14ac:dyDescent="0.3">
      <c r="A57" s="239" t="s">
        <v>7909</v>
      </c>
      <c r="B57" s="228"/>
      <c r="C57" s="228"/>
      <c r="D57" s="228"/>
      <c r="E57" s="228"/>
      <c r="F57" s="228"/>
      <c r="G57" s="228"/>
      <c r="H57" s="228"/>
      <c r="I57" s="228"/>
    </row>
    <row r="58" spans="1:9" ht="24" customHeight="1" x14ac:dyDescent="0.3">
      <c r="A58" s="153" t="s">
        <v>6516</v>
      </c>
      <c r="B58" s="153" t="s">
        <v>6994</v>
      </c>
      <c r="C58" s="153" t="s">
        <v>6518</v>
      </c>
      <c r="D58" s="153" t="s">
        <v>6519</v>
      </c>
      <c r="E58" s="153" t="s">
        <v>6520</v>
      </c>
      <c r="F58" s="153" t="s">
        <v>6521</v>
      </c>
      <c r="G58" s="153" t="s">
        <v>6316</v>
      </c>
      <c r="H58" s="153" t="s">
        <v>6522</v>
      </c>
      <c r="I58" s="153" t="s">
        <v>7910</v>
      </c>
    </row>
    <row r="59" spans="1:9" ht="24" customHeight="1" x14ac:dyDescent="0.3">
      <c r="A59" s="1" t="s">
        <v>6523</v>
      </c>
      <c r="B59" s="67" t="s">
        <v>7911</v>
      </c>
      <c r="C59" s="66" t="s">
        <v>6335</v>
      </c>
      <c r="D59" s="66" t="s">
        <v>7001</v>
      </c>
      <c r="E59" s="102" t="s">
        <v>6335</v>
      </c>
      <c r="F59" s="102" t="s">
        <v>6335</v>
      </c>
      <c r="G59" s="41">
        <f>G38 + G52 + G55</f>
        <v>4986.71</v>
      </c>
      <c r="H59" s="63" t="s">
        <v>7912</v>
      </c>
      <c r="I59" s="136" t="s">
        <v>7913</v>
      </c>
    </row>
    <row r="60" spans="1:9" ht="24" customHeight="1" x14ac:dyDescent="0.3">
      <c r="A60" s="48" t="s">
        <v>6331</v>
      </c>
      <c r="B60" s="17" t="s">
        <v>6527</v>
      </c>
      <c r="C60" s="54" t="s">
        <v>4318</v>
      </c>
      <c r="D60" s="16" t="s">
        <v>7004</v>
      </c>
      <c r="E60" s="51">
        <f>G59 - G39</f>
        <v>4986.71</v>
      </c>
      <c r="F60" s="64">
        <f>Factor_Water</f>
        <v>0.01</v>
      </c>
      <c r="G60" s="65">
        <f>IF(C60="YES", ROUND(E60 * F60, 2), 0)</f>
        <v>49.87</v>
      </c>
      <c r="H60" s="152" t="s">
        <v>7994</v>
      </c>
      <c r="I60" s="132" t="s">
        <v>7915</v>
      </c>
    </row>
    <row r="61" spans="1:9" ht="24" customHeight="1" x14ac:dyDescent="0.3">
      <c r="A61" s="1" t="s">
        <v>6334</v>
      </c>
      <c r="B61" s="67" t="s">
        <v>6336</v>
      </c>
      <c r="C61" s="66" t="s">
        <v>6335</v>
      </c>
      <c r="D61" s="66" t="s">
        <v>6531</v>
      </c>
      <c r="E61" s="102" t="s">
        <v>6335</v>
      </c>
      <c r="F61" s="102" t="s">
        <v>6335</v>
      </c>
      <c r="G61" s="41">
        <f>G59 + G60</f>
        <v>5036.58</v>
      </c>
      <c r="H61" s="63" t="s">
        <v>7916</v>
      </c>
      <c r="I61" s="136" t="s">
        <v>7913</v>
      </c>
    </row>
    <row r="62" spans="1:9" ht="24" customHeight="1" x14ac:dyDescent="0.3">
      <c r="A62" s="48" t="s">
        <v>6338</v>
      </c>
      <c r="B62" s="17" t="s">
        <v>7917</v>
      </c>
      <c r="C62" s="54" t="s">
        <v>4318</v>
      </c>
      <c r="D62" s="16" t="s">
        <v>7009</v>
      </c>
      <c r="E62" s="51">
        <f>G61 - G39</f>
        <v>5036.58</v>
      </c>
      <c r="F62" s="64">
        <f>Factor_GST</f>
        <v>0.14050000000000001</v>
      </c>
      <c r="G62" s="65">
        <f>IF(C62="YES", ROUND(E62 * F62, 2), 0)</f>
        <v>707.64</v>
      </c>
      <c r="H62" s="152" t="s">
        <v>7995</v>
      </c>
      <c r="I62" s="132" t="s">
        <v>7915</v>
      </c>
    </row>
    <row r="63" spans="1:9" ht="24" customHeight="1" x14ac:dyDescent="0.3">
      <c r="A63" s="1" t="s">
        <v>6341</v>
      </c>
      <c r="B63" s="67" t="s">
        <v>6342</v>
      </c>
      <c r="C63" s="66" t="s">
        <v>6335</v>
      </c>
      <c r="D63" s="66" t="s">
        <v>6537</v>
      </c>
      <c r="E63" s="102" t="s">
        <v>6335</v>
      </c>
      <c r="F63" s="102" t="s">
        <v>6335</v>
      </c>
      <c r="G63" s="41">
        <f>G61 + G62</f>
        <v>5744.22</v>
      </c>
      <c r="H63" s="63" t="s">
        <v>7919</v>
      </c>
      <c r="I63" s="136" t="s">
        <v>7913</v>
      </c>
    </row>
    <row r="64" spans="1:9" ht="24" customHeight="1" x14ac:dyDescent="0.3">
      <c r="A64" s="48" t="s">
        <v>6343</v>
      </c>
      <c r="B64" s="17" t="s">
        <v>6539</v>
      </c>
      <c r="C64" s="54" t="s">
        <v>4318</v>
      </c>
      <c r="D64" s="16" t="s">
        <v>7013</v>
      </c>
      <c r="E64" s="51">
        <f>G63 - G39</f>
        <v>5744.22</v>
      </c>
      <c r="F64" s="64">
        <f>Factor_CPOH</f>
        <v>0.15</v>
      </c>
      <c r="G64" s="65">
        <f>IF(C64="YES", ROUND(E64 * F64, 2), 0)</f>
        <v>861.63</v>
      </c>
      <c r="H64" s="152" t="s">
        <v>7996</v>
      </c>
      <c r="I64" s="132" t="s">
        <v>7915</v>
      </c>
    </row>
    <row r="65" spans="1:9" ht="24" customHeight="1" x14ac:dyDescent="0.3">
      <c r="A65" s="1" t="s">
        <v>6346</v>
      </c>
      <c r="B65" s="67" t="s">
        <v>6347</v>
      </c>
      <c r="C65" s="66" t="s">
        <v>6335</v>
      </c>
      <c r="D65" s="66" t="s">
        <v>6543</v>
      </c>
      <c r="E65" s="102" t="s">
        <v>6335</v>
      </c>
      <c r="F65" s="102" t="s">
        <v>6335</v>
      </c>
      <c r="G65" s="41">
        <f>G63 + G64</f>
        <v>6605.85</v>
      </c>
      <c r="H65" s="63" t="s">
        <v>7921</v>
      </c>
      <c r="I65" s="136" t="s">
        <v>7913</v>
      </c>
    </row>
    <row r="66" spans="1:9" ht="24" customHeight="1" x14ac:dyDescent="0.3">
      <c r="A66" s="48" t="s">
        <v>6348</v>
      </c>
      <c r="B66" s="17" t="s">
        <v>7922</v>
      </c>
      <c r="C66" s="54" t="s">
        <v>4318</v>
      </c>
      <c r="D66" s="16" t="s">
        <v>7923</v>
      </c>
      <c r="E66" s="51">
        <f>G65 - G39</f>
        <v>6605.85</v>
      </c>
      <c r="F66" s="64">
        <f>Factor_Cess</f>
        <v>0.01</v>
      </c>
      <c r="G66" s="65">
        <f>IF(C66="YES", ROUND(E66 * F66, 2), 0)</f>
        <v>66.06</v>
      </c>
      <c r="H66" s="152" t="s">
        <v>7997</v>
      </c>
      <c r="I66" s="132" t="s">
        <v>7915</v>
      </c>
    </row>
    <row r="67" spans="1:9" ht="24" customHeight="1" x14ac:dyDescent="0.3">
      <c r="A67" s="26" t="s">
        <v>7018</v>
      </c>
      <c r="B67" s="103" t="str">
        <f>"Total Cost of Batch (" &amp; TEXT(D16, "0.00") &amp; " " &amp; F16 &amp; "):"</f>
        <v>Total Cost of Batch (1.00 cum):</v>
      </c>
      <c r="C67" s="104" t="s">
        <v>6335</v>
      </c>
      <c r="D67" s="104" t="s">
        <v>6550</v>
      </c>
      <c r="E67" s="105" t="s">
        <v>6335</v>
      </c>
      <c r="F67" s="105" t="s">
        <v>6335</v>
      </c>
      <c r="G67" s="69">
        <f>G65 + G66</f>
        <v>6671.9100000000008</v>
      </c>
      <c r="H67" s="106" t="s">
        <v>7925</v>
      </c>
      <c r="I67" s="107" t="s">
        <v>6335</v>
      </c>
    </row>
    <row r="68" spans="1:9" ht="24" customHeight="1" x14ac:dyDescent="0.3">
      <c r="A68" s="1" t="s">
        <v>7021</v>
      </c>
      <c r="B68" s="67" t="str">
        <f>"Analyzed Unit Rate per 1.00 " &amp; F16 &amp; ":"</f>
        <v>Analyzed Unit Rate per 1.00 cum:</v>
      </c>
      <c r="C68" s="66" t="s">
        <v>6335</v>
      </c>
      <c r="D68" s="66" t="s">
        <v>7926</v>
      </c>
      <c r="E68" s="102" t="s">
        <v>6335</v>
      </c>
      <c r="F68" s="102" t="s">
        <v>6335</v>
      </c>
      <c r="G68" s="41">
        <f>ROUND(G67 / D16, 2)</f>
        <v>6671.91</v>
      </c>
      <c r="H68" s="63" t="s">
        <v>7927</v>
      </c>
      <c r="I68" s="136" t="s">
        <v>6335</v>
      </c>
    </row>
    <row r="69" spans="1:9" ht="30" customHeight="1" x14ac:dyDescent="0.3">
      <c r="A69" s="46" t="s">
        <v>6423</v>
      </c>
      <c r="B69" s="109" t="str">
        <f>"OFFICIAL SAY RATE (Rs per " &amp; F16 &amp; "):"</f>
        <v>OFFICIAL SAY RATE (Rs per cum):</v>
      </c>
      <c r="C69" s="110" t="s">
        <v>6335</v>
      </c>
      <c r="D69" s="110" t="s">
        <v>6568</v>
      </c>
      <c r="E69" s="111" t="s">
        <v>6335</v>
      </c>
      <c r="F69" s="111" t="s">
        <v>6335</v>
      </c>
      <c r="G69" s="52">
        <f>MROUND(G68, 0.05)</f>
        <v>6671.9000000000005</v>
      </c>
      <c r="H69" s="71" t="s">
        <v>7928</v>
      </c>
      <c r="I69" s="112" t="s">
        <v>6335</v>
      </c>
    </row>
    <row r="70" spans="1:9" ht="43.95" customHeight="1" x14ac:dyDescent="0.3">
      <c r="A70" s="237" t="s">
        <v>6570</v>
      </c>
      <c r="B70" s="241"/>
      <c r="C70" s="241"/>
      <c r="D70" s="241"/>
      <c r="E70" s="241"/>
      <c r="F70" s="241"/>
      <c r="G70" s="241"/>
      <c r="H70" s="241"/>
      <c r="I70" s="242"/>
    </row>
    <row r="72" spans="1:9" ht="24" customHeight="1" x14ac:dyDescent="0.3">
      <c r="A72" s="239" t="s">
        <v>7929</v>
      </c>
      <c r="B72" s="228"/>
      <c r="C72" s="228"/>
      <c r="D72" s="228"/>
      <c r="E72" s="228"/>
      <c r="F72" s="228"/>
      <c r="G72" s="228"/>
      <c r="H72" s="228"/>
      <c r="I72" s="228"/>
    </row>
    <row r="73" spans="1:9" ht="19.95" customHeight="1" x14ac:dyDescent="0.3">
      <c r="A73" s="238" t="s">
        <v>7930</v>
      </c>
      <c r="B73" s="228"/>
      <c r="C73" s="228"/>
      <c r="D73" s="228"/>
      <c r="E73" s="228"/>
      <c r="F73" s="228"/>
      <c r="G73" s="228"/>
      <c r="H73" s="228"/>
      <c r="I73" s="228"/>
    </row>
    <row r="74" spans="1:9" ht="24" customHeight="1" x14ac:dyDescent="0.3">
      <c r="A74" s="153" t="s">
        <v>7931</v>
      </c>
      <c r="B74" s="153" t="s">
        <v>7932</v>
      </c>
      <c r="C74" s="153" t="s">
        <v>6</v>
      </c>
      <c r="D74" s="153" t="s">
        <v>4364</v>
      </c>
      <c r="E74" s="153" t="s">
        <v>7933</v>
      </c>
      <c r="F74" s="153" t="s">
        <v>7934</v>
      </c>
      <c r="G74" s="153" t="s">
        <v>7935</v>
      </c>
      <c r="H74" s="153" t="s">
        <v>7936</v>
      </c>
      <c r="I74" s="153" t="s">
        <v>7937</v>
      </c>
    </row>
    <row r="75" spans="1:9" ht="19.95" customHeight="1" x14ac:dyDescent="0.3">
      <c r="A75" s="137" t="s">
        <v>4620</v>
      </c>
      <c r="B75" s="138" t="s">
        <v>7998</v>
      </c>
      <c r="C75" s="139" t="s">
        <v>18</v>
      </c>
      <c r="D75" s="139">
        <v>1</v>
      </c>
      <c r="E75" s="140">
        <v>5389.89</v>
      </c>
      <c r="F75" s="139" t="s">
        <v>7943</v>
      </c>
      <c r="G75" s="140">
        <v>7210.58</v>
      </c>
      <c r="H75" s="8">
        <v>7210.55</v>
      </c>
      <c r="I75" s="140"/>
    </row>
    <row r="76" spans="1:9" ht="19.95" customHeight="1" x14ac:dyDescent="0.3">
      <c r="A76" s="141" t="s">
        <v>4623</v>
      </c>
      <c r="B76" s="142" t="s">
        <v>7999</v>
      </c>
      <c r="C76" s="143" t="s">
        <v>18</v>
      </c>
      <c r="D76" s="143">
        <v>1</v>
      </c>
      <c r="E76" s="144">
        <v>5074.6899999999996</v>
      </c>
      <c r="F76" s="143" t="s">
        <v>7943</v>
      </c>
      <c r="G76" s="144">
        <v>6788.62</v>
      </c>
      <c r="H76" s="4">
        <v>6788.6</v>
      </c>
      <c r="I76" s="144"/>
    </row>
    <row r="77" spans="1:9" ht="19.95" customHeight="1" x14ac:dyDescent="0.3">
      <c r="A77" s="137" t="s">
        <v>8000</v>
      </c>
      <c r="B77" s="138" t="s">
        <v>7942</v>
      </c>
      <c r="C77" s="139" t="s">
        <v>18</v>
      </c>
      <c r="D77" s="139">
        <v>1</v>
      </c>
      <c r="E77" s="140"/>
      <c r="F77" s="139" t="s">
        <v>7943</v>
      </c>
      <c r="G77" s="140"/>
      <c r="H77" s="8"/>
      <c r="I77" s="140"/>
    </row>
    <row r="78" spans="1:9" ht="19.95" customHeight="1" x14ac:dyDescent="0.3">
      <c r="A78" s="141" t="s">
        <v>8001</v>
      </c>
      <c r="B78" s="142" t="s">
        <v>7942</v>
      </c>
      <c r="C78" s="143" t="s">
        <v>18</v>
      </c>
      <c r="D78" s="143">
        <v>1</v>
      </c>
      <c r="E78" s="144"/>
      <c r="F78" s="143" t="s">
        <v>7943</v>
      </c>
      <c r="G78" s="144"/>
      <c r="H78" s="4"/>
      <c r="I78" s="144"/>
    </row>
    <row r="79" spans="1:9" ht="19.95" customHeight="1" x14ac:dyDescent="0.3">
      <c r="A79" s="137" t="s">
        <v>8002</v>
      </c>
      <c r="B79" s="138" t="s">
        <v>7942</v>
      </c>
      <c r="C79" s="139" t="s">
        <v>18</v>
      </c>
      <c r="D79" s="139">
        <v>1</v>
      </c>
      <c r="E79" s="140"/>
      <c r="F79" s="139" t="s">
        <v>7943</v>
      </c>
      <c r="G79" s="140"/>
      <c r="H79" s="8"/>
      <c r="I79" s="140"/>
    </row>
    <row r="80" spans="1:9" ht="19.95" customHeight="1" x14ac:dyDescent="0.3">
      <c r="A80" s="141" t="s">
        <v>8003</v>
      </c>
      <c r="B80" s="142" t="s">
        <v>7942</v>
      </c>
      <c r="C80" s="143" t="s">
        <v>18</v>
      </c>
      <c r="D80" s="143">
        <v>1</v>
      </c>
      <c r="E80" s="144"/>
      <c r="F80" s="143" t="s">
        <v>7943</v>
      </c>
      <c r="G80" s="144"/>
      <c r="H80" s="4"/>
      <c r="I80" s="144"/>
    </row>
    <row r="81" spans="1:9" ht="19.95" customHeight="1" x14ac:dyDescent="0.3">
      <c r="A81" s="137" t="s">
        <v>8004</v>
      </c>
      <c r="B81" s="138" t="s">
        <v>7942</v>
      </c>
      <c r="C81" s="139" t="s">
        <v>18</v>
      </c>
      <c r="D81" s="139">
        <v>1</v>
      </c>
      <c r="E81" s="140"/>
      <c r="F81" s="139" t="s">
        <v>7943</v>
      </c>
      <c r="G81" s="140"/>
      <c r="H81" s="8"/>
      <c r="I81" s="140"/>
    </row>
    <row r="82" spans="1:9" ht="19.95" customHeight="1" x14ac:dyDescent="0.3">
      <c r="A82" s="141" t="s">
        <v>8005</v>
      </c>
      <c r="B82" s="142" t="s">
        <v>7942</v>
      </c>
      <c r="C82" s="143" t="s">
        <v>18</v>
      </c>
      <c r="D82" s="143">
        <v>1</v>
      </c>
      <c r="E82" s="144"/>
      <c r="F82" s="143" t="s">
        <v>7943</v>
      </c>
      <c r="G82" s="144"/>
      <c r="H82" s="4"/>
      <c r="I82" s="144"/>
    </row>
  </sheetData>
  <sheetProtection sheet="1"/>
  <mergeCells count="31">
    <mergeCell ref="A73:I73"/>
    <mergeCell ref="A1:I1"/>
    <mergeCell ref="A70:I70"/>
    <mergeCell ref="A6:I6"/>
    <mergeCell ref="E22:I22"/>
    <mergeCell ref="A54:I54"/>
    <mergeCell ref="A72:I72"/>
    <mergeCell ref="A38:F38"/>
    <mergeCell ref="A52:F52"/>
    <mergeCell ref="E15:I15"/>
    <mergeCell ref="A40:I40"/>
    <mergeCell ref="A39:F39"/>
    <mergeCell ref="A24:I24"/>
    <mergeCell ref="E23:I23"/>
    <mergeCell ref="E14:I14"/>
    <mergeCell ref="A26:I26"/>
    <mergeCell ref="A57:I57"/>
    <mergeCell ref="E20:I20"/>
    <mergeCell ref="E19:I19"/>
    <mergeCell ref="E21:I21"/>
    <mergeCell ref="E12:I12"/>
    <mergeCell ref="B17:G17"/>
    <mergeCell ref="A18:I18"/>
    <mergeCell ref="A3:I3"/>
    <mergeCell ref="A5:I5"/>
    <mergeCell ref="E10:I10"/>
    <mergeCell ref="E13:I13"/>
    <mergeCell ref="A8:I8"/>
    <mergeCell ref="A4:I4"/>
    <mergeCell ref="E9:I9"/>
    <mergeCell ref="E11:I11"/>
  </mergeCells>
  <dataValidations count="9">
    <dataValidation type="list" sqref="C60 C62 C64 C66">
      <formula1>"YES,NO"</formula1>
    </dataValidation>
    <dataValidation type="list" allowBlank="1" promptTitle="CPWD A-tag" prompt="Enter A only if this line imports a rate that already includes Water, GST, CPOH and Cess. A-tagged lines are excluded from every markup base per the CPWD (W-A) convention." sqref="I28 I29 I30 I31 I32 I33 I34 I35 I36 I37">
      <formula1>"A,"</formula1>
    </dataValidation>
    <dataValidation type="list" allowBlank="1" promptTitle="Component picker" prompt="Pick a Rates_Master code, or type an intermediate source such as 03_Mortars or a Resolved_Cross_Volume_Items item number." sqref="B28 B29 B30 B31 B32 B33 B34 B35 B36 B37 B42 B43 B44 B45 B46 B47 B48 B49 B50 B51">
      <formula1>Master_Codes</formula1>
    </dataValidation>
    <dataValidation type="list" allowBlank="1" sqref="B10">
      <formula1>"1:1.5:3,1:2:4,1:3:6,1:4:8,1:5:10,M20 design mix,M25 design mix"</formula1>
    </dataValidation>
    <dataValidation type="list" allowBlank="1" sqref="B11">
      <formula1>"20 mm nominal size,40 mm nominal size,10 mm nominal size,graded 20 mm and 10 mm"</formula1>
    </dataValidation>
    <dataValidation type="list" allowBlank="1" sqref="B12">
      <formula1>"in foundation and plinth,in superstructure,in retaining walls,as levelling course"</formula1>
    </dataValidation>
    <dataValidation type="list" allowBlank="1" sqref="B13">
      <formula1>"excluding centering and shuttering,including centering and shuttering (price separately)"</formula1>
    </dataValidation>
    <dataValidation type="list" allowBlank="1" sqref="B14">
      <formula1>"excluding reinforcement,including reinforcement (price separately)"</formula1>
    </dataValidation>
    <dataValidation type="list" allowBlank="1" sqref="B15">
      <formula1>"no special finish,float finish,trowel finish,concrete hardener topping"</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pane ySplit="3" topLeftCell="A4" activePane="bottomLeft" state="frozen"/>
      <selection pane="bottomLeft"/>
    </sheetView>
  </sheetViews>
  <sheetFormatPr defaultRowHeight="14.4" x14ac:dyDescent="0.3"/>
  <cols>
    <col min="1" max="1" width="34" style="151" customWidth="1"/>
    <col min="2" max="2" width="26" style="151" customWidth="1"/>
    <col min="3" max="3" width="46" style="151" customWidth="1"/>
    <col min="4" max="4" width="16" style="151" customWidth="1"/>
    <col min="5" max="6" width="18" style="151" customWidth="1"/>
    <col min="7" max="7" width="20" style="151" customWidth="1"/>
    <col min="8" max="8" width="44" style="151" customWidth="1"/>
    <col min="9" max="9" width="14" style="151" customWidth="1"/>
  </cols>
  <sheetData>
    <row r="1" spans="1:9" ht="30" customHeight="1" x14ac:dyDescent="0.3">
      <c r="A1" s="227" t="s">
        <v>8006</v>
      </c>
      <c r="B1" s="228"/>
      <c r="C1" s="228"/>
      <c r="D1" s="228"/>
      <c r="E1" s="228"/>
      <c r="F1" s="228"/>
      <c r="G1" s="228"/>
      <c r="H1" s="228"/>
      <c r="I1" s="228"/>
    </row>
    <row r="2" spans="1:9" ht="19.95" customHeight="1" x14ac:dyDescent="0.3">
      <c r="A2" s="73" t="s">
        <v>4272</v>
      </c>
      <c r="B2" s="45" t="s">
        <v>6379</v>
      </c>
      <c r="C2" s="74" t="s">
        <v>6380</v>
      </c>
      <c r="D2" s="28" t="s">
        <v>6381</v>
      </c>
      <c r="E2" s="7" t="s">
        <v>6382</v>
      </c>
      <c r="F2" s="26" t="s">
        <v>6383</v>
      </c>
      <c r="G2" s="46" t="s">
        <v>6384</v>
      </c>
      <c r="H2" s="47" t="s">
        <v>6385</v>
      </c>
      <c r="I2" s="3" t="s">
        <v>6386</v>
      </c>
    </row>
    <row r="3" spans="1:9" ht="30" customHeight="1" x14ac:dyDescent="0.3">
      <c r="A3" s="237" t="s">
        <v>8007</v>
      </c>
      <c r="B3" s="241"/>
      <c r="C3" s="241"/>
      <c r="D3" s="241"/>
      <c r="E3" s="241"/>
      <c r="F3" s="241"/>
      <c r="G3" s="241"/>
      <c r="H3" s="241"/>
      <c r="I3" s="242"/>
    </row>
    <row r="4" spans="1:9" ht="22.05" customHeight="1" x14ac:dyDescent="0.3">
      <c r="A4" s="239" t="s">
        <v>6388</v>
      </c>
      <c r="B4" s="228"/>
      <c r="C4" s="228"/>
      <c r="D4" s="228"/>
      <c r="E4" s="228"/>
      <c r="F4" s="228"/>
      <c r="G4" s="228"/>
      <c r="H4" s="228"/>
      <c r="I4" s="228"/>
    </row>
    <row r="5" spans="1:9" ht="46.05" customHeight="1" x14ac:dyDescent="0.3">
      <c r="A5" s="237" t="s">
        <v>6389</v>
      </c>
      <c r="B5" s="241"/>
      <c r="C5" s="241"/>
      <c r="D5" s="241"/>
      <c r="E5" s="241"/>
      <c r="F5" s="241"/>
      <c r="G5" s="241"/>
      <c r="H5" s="241"/>
      <c r="I5" s="242"/>
    </row>
    <row r="6" spans="1:9" ht="46.05" customHeight="1" x14ac:dyDescent="0.3">
      <c r="A6" s="237" t="s">
        <v>6390</v>
      </c>
      <c r="B6" s="241"/>
      <c r="C6" s="241"/>
      <c r="D6" s="241"/>
      <c r="E6" s="241"/>
      <c r="F6" s="241"/>
      <c r="G6" s="241"/>
      <c r="H6" s="241"/>
      <c r="I6" s="242"/>
    </row>
    <row r="8" spans="1:9" ht="24" customHeight="1" x14ac:dyDescent="0.3">
      <c r="A8" s="239" t="s">
        <v>7837</v>
      </c>
      <c r="B8" s="228"/>
      <c r="C8" s="228"/>
      <c r="D8" s="228"/>
      <c r="E8" s="228"/>
      <c r="F8" s="228"/>
      <c r="G8" s="228"/>
      <c r="H8" s="228"/>
      <c r="I8" s="228"/>
    </row>
    <row r="9" spans="1:9" ht="30" customHeight="1" x14ac:dyDescent="0.3">
      <c r="A9" s="153" t="s">
        <v>7838</v>
      </c>
      <c r="B9" s="153" t="s">
        <v>7839</v>
      </c>
      <c r="C9" s="153" t="s">
        <v>7840</v>
      </c>
      <c r="D9" s="153" t="s">
        <v>7841</v>
      </c>
      <c r="E9" s="247" t="s">
        <v>7842</v>
      </c>
      <c r="F9" s="248"/>
      <c r="G9" s="248"/>
      <c r="H9" s="248"/>
      <c r="I9" s="249"/>
    </row>
    <row r="10" spans="1:9" ht="31.95" customHeight="1" x14ac:dyDescent="0.3">
      <c r="A10" s="75" t="s">
        <v>7951</v>
      </c>
      <c r="B10" s="76" t="s">
        <v>7952</v>
      </c>
      <c r="C10" s="26" t="s">
        <v>7845</v>
      </c>
      <c r="D10" s="132" t="s">
        <v>7850</v>
      </c>
      <c r="E10" s="246" t="s">
        <v>7953</v>
      </c>
      <c r="F10" s="241"/>
      <c r="G10" s="241"/>
      <c r="H10" s="241"/>
      <c r="I10" s="242"/>
    </row>
    <row r="11" spans="1:9" ht="31.95" customHeight="1" x14ac:dyDescent="0.3">
      <c r="A11" s="75" t="s">
        <v>7954</v>
      </c>
      <c r="B11" s="76" t="s">
        <v>7955</v>
      </c>
      <c r="C11" s="26" t="s">
        <v>7845</v>
      </c>
      <c r="D11" s="132" t="s">
        <v>7956</v>
      </c>
      <c r="E11" s="246" t="s">
        <v>7957</v>
      </c>
      <c r="F11" s="241"/>
      <c r="G11" s="241"/>
      <c r="H11" s="241"/>
      <c r="I11" s="242"/>
    </row>
    <row r="12" spans="1:9" ht="31.95" customHeight="1" x14ac:dyDescent="0.3">
      <c r="A12" s="75" t="s">
        <v>7958</v>
      </c>
      <c r="B12" s="76" t="s">
        <v>8008</v>
      </c>
      <c r="C12" s="1" t="s">
        <v>7862</v>
      </c>
      <c r="D12" s="132" t="s">
        <v>6335</v>
      </c>
      <c r="E12" s="246" t="s">
        <v>7960</v>
      </c>
      <c r="F12" s="241"/>
      <c r="G12" s="241"/>
      <c r="H12" s="241"/>
      <c r="I12" s="242"/>
    </row>
    <row r="13" spans="1:9" ht="31.95" customHeight="1" x14ac:dyDescent="0.3">
      <c r="A13" s="75" t="s">
        <v>5968</v>
      </c>
      <c r="B13" s="76" t="s">
        <v>7961</v>
      </c>
      <c r="C13" s="1" t="s">
        <v>7862</v>
      </c>
      <c r="D13" s="132" t="s">
        <v>6335</v>
      </c>
      <c r="E13" s="246" t="s">
        <v>7962</v>
      </c>
      <c r="F13" s="241"/>
      <c r="G13" s="241"/>
      <c r="H13" s="241"/>
      <c r="I13" s="242"/>
    </row>
    <row r="14" spans="1:9" ht="31.95" customHeight="1" x14ac:dyDescent="0.3">
      <c r="A14" s="75" t="s">
        <v>7963</v>
      </c>
      <c r="B14" s="76" t="s">
        <v>8009</v>
      </c>
      <c r="C14" s="1" t="s">
        <v>7862</v>
      </c>
      <c r="D14" s="132" t="s">
        <v>6335</v>
      </c>
      <c r="E14" s="246" t="s">
        <v>7965</v>
      </c>
      <c r="F14" s="241"/>
      <c r="G14" s="241"/>
      <c r="H14" s="241"/>
      <c r="I14" s="242"/>
    </row>
    <row r="15" spans="1:9" ht="31.95" customHeight="1" x14ac:dyDescent="0.3">
      <c r="A15" s="75" t="s">
        <v>7966</v>
      </c>
      <c r="B15" s="76" t="s">
        <v>7967</v>
      </c>
      <c r="C15" s="45" t="s">
        <v>7968</v>
      </c>
      <c r="D15" s="132" t="s">
        <v>7969</v>
      </c>
      <c r="E15" s="246" t="s">
        <v>7970</v>
      </c>
      <c r="F15" s="241"/>
      <c r="G15" s="241"/>
      <c r="H15" s="241"/>
      <c r="I15" s="242"/>
    </row>
    <row r="16" spans="1:9" ht="22.05" customHeight="1" x14ac:dyDescent="0.35">
      <c r="A16" s="14" t="s">
        <v>7867</v>
      </c>
      <c r="B16" s="54" t="s">
        <v>8010</v>
      </c>
      <c r="C16" s="14" t="s">
        <v>7869</v>
      </c>
      <c r="D16" s="77">
        <v>1</v>
      </c>
      <c r="E16" s="14" t="s">
        <v>7870</v>
      </c>
      <c r="F16" s="54" t="s">
        <v>18</v>
      </c>
      <c r="G16" s="14" t="s">
        <v>7871</v>
      </c>
      <c r="H16" s="29" t="s">
        <v>8011</v>
      </c>
      <c r="I16" s="60" t="s">
        <v>7873</v>
      </c>
    </row>
    <row r="17" spans="1:9" ht="40.049999999999997" customHeight="1" x14ac:dyDescent="0.35">
      <c r="A17" s="14" t="s">
        <v>7874</v>
      </c>
      <c r="B17" s="282" t="str">
        <f>IF(I17&lt;&gt;"", I17, "Providing and laying in position reinforced cement concrete of grade " &amp; B10 &amp; ", " &amp; B11 &amp; ", " &amp; B12 &amp; ", " &amp; B13 &amp; ", " &amp; B14 &amp; ", " &amp; B15 &amp; ", complete as per CPWD specifications and directions of Engineer-in-charge.")</f>
        <v>Providing and laying in position reinforced cement concrete of grade 1:2:4, 20 mm nominal size, in plinth beams, excluding centering and shuttering, excluding reinforcement, no special finish, complete as per CPWD specifications and directions of Engineer-in-charge.</v>
      </c>
      <c r="C17" s="241"/>
      <c r="D17" s="241"/>
      <c r="E17" s="241"/>
      <c r="F17" s="241"/>
      <c r="G17" s="242"/>
      <c r="H17" s="60" t="s">
        <v>7875</v>
      </c>
      <c r="I17" s="133"/>
    </row>
    <row r="18" spans="1:9" ht="24" customHeight="1" x14ac:dyDescent="0.3">
      <c r="A18" s="239" t="s">
        <v>7876</v>
      </c>
      <c r="B18" s="228"/>
      <c r="C18" s="228"/>
      <c r="D18" s="228"/>
      <c r="E18" s="228"/>
      <c r="F18" s="228"/>
      <c r="G18" s="228"/>
      <c r="H18" s="228"/>
      <c r="I18" s="228"/>
    </row>
    <row r="19" spans="1:9" ht="25.95" customHeight="1" x14ac:dyDescent="0.3">
      <c r="A19" s="153" t="s">
        <v>7877</v>
      </c>
      <c r="B19" s="153" t="s">
        <v>6393</v>
      </c>
      <c r="C19" s="153" t="s">
        <v>6</v>
      </c>
      <c r="D19" s="153" t="s">
        <v>7878</v>
      </c>
      <c r="E19" s="247" t="s">
        <v>7879</v>
      </c>
      <c r="F19" s="248"/>
      <c r="G19" s="248"/>
      <c r="H19" s="248"/>
      <c r="I19" s="249"/>
    </row>
    <row r="20" spans="1:9" ht="30" customHeight="1" x14ac:dyDescent="0.3">
      <c r="A20" s="75" t="s">
        <v>7973</v>
      </c>
      <c r="B20" s="145">
        <v>7.4999999999999997E-2</v>
      </c>
      <c r="C20" s="16" t="s">
        <v>7974</v>
      </c>
      <c r="D20" s="132" t="s">
        <v>7975</v>
      </c>
      <c r="E20" s="246" t="s">
        <v>7976</v>
      </c>
      <c r="F20" s="241"/>
      <c r="G20" s="241"/>
      <c r="H20" s="241"/>
      <c r="I20" s="242"/>
    </row>
    <row r="21" spans="1:9" ht="30" customHeight="1" x14ac:dyDescent="0.3">
      <c r="A21" s="75" t="s">
        <v>7977</v>
      </c>
      <c r="B21" s="77">
        <v>0</v>
      </c>
      <c r="C21" s="16" t="s">
        <v>7978</v>
      </c>
      <c r="D21" s="132" t="s">
        <v>7858</v>
      </c>
      <c r="E21" s="246" t="s">
        <v>7979</v>
      </c>
      <c r="F21" s="241"/>
      <c r="G21" s="241"/>
      <c r="H21" s="241"/>
      <c r="I21" s="242"/>
    </row>
    <row r="22" spans="1:9" ht="30" customHeight="1" x14ac:dyDescent="0.3">
      <c r="A22" s="75" t="s">
        <v>7980</v>
      </c>
      <c r="B22" s="145">
        <v>7.0000000000000007E-2</v>
      </c>
      <c r="C22" s="16" t="s">
        <v>7981</v>
      </c>
      <c r="D22" s="132" t="s">
        <v>7982</v>
      </c>
      <c r="E22" s="246" t="s">
        <v>7983</v>
      </c>
      <c r="F22" s="241"/>
      <c r="G22" s="241"/>
      <c r="H22" s="241"/>
      <c r="I22" s="242"/>
    </row>
    <row r="23" spans="1:9" ht="30" customHeight="1" x14ac:dyDescent="0.3">
      <c r="A23" s="75" t="s">
        <v>7984</v>
      </c>
      <c r="B23" s="145">
        <v>7.0000000000000007E-2</v>
      </c>
      <c r="C23" s="16" t="s">
        <v>7981</v>
      </c>
      <c r="D23" s="132" t="s">
        <v>7982</v>
      </c>
      <c r="E23" s="246" t="s">
        <v>7985</v>
      </c>
      <c r="F23" s="241"/>
      <c r="G23" s="241"/>
      <c r="H23" s="241"/>
      <c r="I23" s="242"/>
    </row>
    <row r="24" spans="1:9" ht="43.95" customHeight="1" x14ac:dyDescent="0.3">
      <c r="A24" s="237" t="s">
        <v>7893</v>
      </c>
      <c r="B24" s="241"/>
      <c r="C24" s="241"/>
      <c r="D24" s="241"/>
      <c r="E24" s="241"/>
      <c r="F24" s="241"/>
      <c r="G24" s="241"/>
      <c r="H24" s="241"/>
      <c r="I24" s="242"/>
    </row>
    <row r="25" spans="1:9" ht="22.05" customHeight="1" x14ac:dyDescent="0.3">
      <c r="A25" s="92" t="s">
        <v>6500</v>
      </c>
      <c r="B25" s="93" t="str">
        <f>IF(AND(D25="OK", F25="OK", H25="OK"), "[PASS] ALL CHECKS OK", "[ALERT] CHECKS FAILED")</f>
        <v>[PASS] ALL CHECKS OK</v>
      </c>
      <c r="C25" s="94" t="s">
        <v>7894</v>
      </c>
      <c r="D25" s="48" t="str">
        <f>IF(D16&gt;0, "OK", "ERR: Qty&lt;=0")</f>
        <v>OK</v>
      </c>
      <c r="E25" s="94" t="s">
        <v>7895</v>
      </c>
      <c r="F25" s="48" t="str">
        <f>IF(G59&gt;0, "OK", "ERR: W&lt;=0")</f>
        <v>OK</v>
      </c>
      <c r="G25" s="94" t="s">
        <v>7896</v>
      </c>
      <c r="H25" s="48" t="str">
        <f>IF(AND(G59&lt;=G61, G61&lt;=G63, G63&lt;=G65, G39&lt;=G59), "OK", "ERR: Markups Broken")</f>
        <v>OK</v>
      </c>
      <c r="I25" s="132" t="str">
        <f>IF(G39&gt;0, "A-rule active", "No A imports")</f>
        <v>No A imports</v>
      </c>
    </row>
    <row r="26" spans="1:9" ht="24" customHeight="1" x14ac:dyDescent="0.3">
      <c r="A26" s="239" t="s">
        <v>7897</v>
      </c>
      <c r="B26" s="228"/>
      <c r="C26" s="228"/>
      <c r="D26" s="228"/>
      <c r="E26" s="228"/>
      <c r="F26" s="228"/>
      <c r="G26" s="228"/>
      <c r="H26" s="228"/>
      <c r="I26" s="228"/>
    </row>
    <row r="27" spans="1:9" ht="24" customHeight="1" x14ac:dyDescent="0.3">
      <c r="A27" s="153" t="s">
        <v>6313</v>
      </c>
      <c r="B27" s="153" t="s">
        <v>6314</v>
      </c>
      <c r="C27" s="153" t="s">
        <v>5</v>
      </c>
      <c r="D27" s="153" t="s">
        <v>6</v>
      </c>
      <c r="E27" s="153" t="s">
        <v>6315</v>
      </c>
      <c r="F27" s="153" t="s">
        <v>7</v>
      </c>
      <c r="G27" s="153" t="s">
        <v>6316</v>
      </c>
      <c r="H27" s="153" t="s">
        <v>6317</v>
      </c>
      <c r="I27" s="153" t="s">
        <v>6318</v>
      </c>
    </row>
    <row r="28" spans="1:9" ht="19.95" customHeight="1" x14ac:dyDescent="0.3">
      <c r="A28" s="16">
        <v>1</v>
      </c>
      <c r="B28" s="54" t="s">
        <v>335</v>
      </c>
      <c r="C28" s="72" t="str">
        <f>IF(B28="","", IFERROR(INDEX(Rates_Master!$C:$C, MATCH(B28, Rates_Master!$A:$A, 0)), "Custom / Intermediate Material"))</f>
        <v>Stone Aggregate (Single size) : 20 mm nominal size</v>
      </c>
      <c r="D28" s="56" t="str">
        <f>IF(B28="","", IFERROR(INDEX(Rates_Master!$D:$D, MATCH(B28, Rates_Master!$A:$A, 0)), ""))</f>
        <v>cum</v>
      </c>
      <c r="E28" s="57">
        <v>0.56999999999999995</v>
      </c>
      <c r="F28" s="58">
        <f>IF(B28="","", IFERROR(INDEX(Rates_Master!$E:$E, MATCH(B28, Rates_Master!$A:$A, 0)), 0))</f>
        <v>1350</v>
      </c>
      <c r="G28" s="37">
        <f t="shared" ref="G28:G37" si="0">IF(OR(B28="", E28=""), 0, ROUND(E28 * F28, 2))</f>
        <v>769.5</v>
      </c>
      <c r="H28" s="135" t="s">
        <v>7986</v>
      </c>
      <c r="I28" s="54"/>
    </row>
    <row r="29" spans="1:9" ht="19.95" customHeight="1" x14ac:dyDescent="0.3">
      <c r="A29" s="16">
        <v>2</v>
      </c>
      <c r="B29" s="54" t="s">
        <v>339</v>
      </c>
      <c r="C29" s="72" t="str">
        <f>IF(B29="","", IFERROR(INDEX(Rates_Master!$C:$C, MATCH(B29, Rates_Master!$A:$A, 0)), "Custom / Intermediate Material"))</f>
        <v>Stone Aggregate (Single size) : 10 mm nominal size</v>
      </c>
      <c r="D29" s="56" t="str">
        <f>IF(B29="","", IFERROR(INDEX(Rates_Master!$D:$D, MATCH(B29, Rates_Master!$A:$A, 0)), ""))</f>
        <v>cum</v>
      </c>
      <c r="E29" s="57">
        <v>0.28000000000000003</v>
      </c>
      <c r="F29" s="58">
        <f>IF(B29="","", IFERROR(INDEX(Rates_Master!$E:$E, MATCH(B29, Rates_Master!$A:$A, 0)), 0))</f>
        <v>1350</v>
      </c>
      <c r="G29" s="37">
        <f t="shared" si="0"/>
        <v>378</v>
      </c>
      <c r="H29" s="135" t="s">
        <v>7987</v>
      </c>
      <c r="I29" s="54"/>
    </row>
    <row r="30" spans="1:9" ht="19.95" customHeight="1" x14ac:dyDescent="0.3">
      <c r="A30" s="16">
        <v>3</v>
      </c>
      <c r="B30" s="54" t="s">
        <v>1628</v>
      </c>
      <c r="C30" s="72" t="str">
        <f>IF(B30="","", IFERROR(INDEX(Rates_Master!$C:$C, MATCH(B30, Rates_Master!$A:$A, 0)), "Custom / Intermediate Material"))</f>
        <v>Carriage of Stone aggregate below 40 mm nominal size</v>
      </c>
      <c r="D30" s="56" t="str">
        <f>IF(B30="","", IFERROR(INDEX(Rates_Master!$D:$D, MATCH(B30, Rates_Master!$A:$A, 0)), ""))</f>
        <v>cum</v>
      </c>
      <c r="E30" s="57">
        <v>0.85</v>
      </c>
      <c r="F30" s="58">
        <f>IF(B30="","", IFERROR(INDEX(Rates_Master!$E:$E, MATCH(B30, Rates_Master!$A:$A, 0)), 0))</f>
        <v>103.77</v>
      </c>
      <c r="G30" s="37">
        <f t="shared" si="0"/>
        <v>88.2</v>
      </c>
      <c r="H30" s="135" t="s">
        <v>8012</v>
      </c>
      <c r="I30" s="54"/>
    </row>
    <row r="31" spans="1:9" ht="19.95" customHeight="1" x14ac:dyDescent="0.3">
      <c r="A31" s="16">
        <v>4</v>
      </c>
      <c r="B31" s="54" t="s">
        <v>909</v>
      </c>
      <c r="C31" s="72" t="str">
        <f>IF(B31="","", IFERROR(INDEX(Rates_Master!$C:$C, MATCH(B31, Rates_Master!$A:$A, 0)), "Custom / Intermediate Material"))</f>
        <v>Coarse sand (zone III)</v>
      </c>
      <c r="D31" s="56" t="str">
        <f>IF(B31="","", IFERROR(INDEX(Rates_Master!$D:$D, MATCH(B31, Rates_Master!$A:$A, 0)), ""))</f>
        <v>cum</v>
      </c>
      <c r="E31" s="57">
        <v>0.42499999999999999</v>
      </c>
      <c r="F31" s="58">
        <f>IF(B31="","", IFERROR(INDEX(Rates_Master!$E:$E, MATCH(B31, Rates_Master!$A:$A, 0)), 0))</f>
        <v>1350</v>
      </c>
      <c r="G31" s="37">
        <f t="shared" si="0"/>
        <v>573.75</v>
      </c>
      <c r="H31" s="135" t="s">
        <v>910</v>
      </c>
      <c r="I31" s="54"/>
    </row>
    <row r="32" spans="1:9" ht="19.95" customHeight="1" x14ac:dyDescent="0.3">
      <c r="A32" s="16">
        <v>5</v>
      </c>
      <c r="B32" s="54" t="s">
        <v>1630</v>
      </c>
      <c r="C32" s="72" t="str">
        <f>IF(B32="","", IFERROR(INDEX(Rates_Master!$C:$C, MATCH(B32, Rates_Master!$A:$A, 0)), "Custom / Intermediate Material"))</f>
        <v>Carriage of Coarse sand</v>
      </c>
      <c r="D32" s="56" t="str">
        <f>IF(B32="","", IFERROR(INDEX(Rates_Master!$D:$D, MATCH(B32, Rates_Master!$A:$A, 0)), ""))</f>
        <v>cum</v>
      </c>
      <c r="E32" s="57">
        <v>0.42499999999999999</v>
      </c>
      <c r="F32" s="58">
        <f>IF(B32="","", IFERROR(INDEX(Rates_Master!$E:$E, MATCH(B32, Rates_Master!$A:$A, 0)), 0))</f>
        <v>103.77</v>
      </c>
      <c r="G32" s="37">
        <f t="shared" si="0"/>
        <v>44.1</v>
      </c>
      <c r="H32" s="135" t="s">
        <v>1631</v>
      </c>
      <c r="I32" s="54"/>
    </row>
    <row r="33" spans="1:9" ht="19.95" customHeight="1" x14ac:dyDescent="0.3">
      <c r="A33" s="16">
        <v>6</v>
      </c>
      <c r="B33" s="54" t="s">
        <v>424</v>
      </c>
      <c r="C33" s="72" t="str">
        <f>IF(B33="","", IFERROR(INDEX(Rates_Master!$C:$C, MATCH(B33, Rates_Master!$A:$A, 0)), "Custom / Intermediate Material"))</f>
        <v>Portland Cement (OPC-43 Grade)</v>
      </c>
      <c r="D33" s="56" t="str">
        <f>IF(B33="","", IFERROR(INDEX(Rates_Master!$D:$D, MATCH(B33, Rates_Master!$A:$A, 0)), ""))</f>
        <v>tonne</v>
      </c>
      <c r="E33" s="57">
        <v>0.4</v>
      </c>
      <c r="F33" s="58">
        <f>IF(B33="","", IFERROR(INDEX(Rates_Master!$E:$E, MATCH(B33, Rates_Master!$A:$A, 0)), 0))</f>
        <v>4940</v>
      </c>
      <c r="G33" s="37">
        <f t="shared" si="0"/>
        <v>1976</v>
      </c>
      <c r="H33" s="135" t="s">
        <v>7989</v>
      </c>
      <c r="I33" s="54"/>
    </row>
    <row r="34" spans="1:9" ht="19.95" customHeight="1" x14ac:dyDescent="0.3">
      <c r="A34" s="16">
        <v>7</v>
      </c>
      <c r="B34" s="54" t="s">
        <v>1642</v>
      </c>
      <c r="C34" s="72" t="str">
        <f>IF(B34="","", IFERROR(INDEX(Rates_Master!$C:$C, MATCH(B34, Rates_Master!$A:$A, 0)), "Custom / Intermediate Material"))</f>
        <v>Carriage of Cement</v>
      </c>
      <c r="D34" s="56" t="str">
        <f>IF(B34="","", IFERROR(INDEX(Rates_Master!$D:$D, MATCH(B34, Rates_Master!$A:$A, 0)), ""))</f>
        <v>tonne</v>
      </c>
      <c r="E34" s="57">
        <v>0.4</v>
      </c>
      <c r="F34" s="58">
        <f>IF(B34="","", IFERROR(INDEX(Rates_Master!$E:$E, MATCH(B34, Rates_Master!$A:$A, 0)), 0))</f>
        <v>92.24</v>
      </c>
      <c r="G34" s="37">
        <f t="shared" si="0"/>
        <v>36.9</v>
      </c>
      <c r="H34" s="135" t="s">
        <v>1643</v>
      </c>
      <c r="I34" s="54"/>
    </row>
    <row r="35" spans="1:9" ht="19.95" customHeight="1" x14ac:dyDescent="0.3">
      <c r="A35" s="16">
        <v>8</v>
      </c>
      <c r="B35" s="54"/>
      <c r="C35" s="72" t="str">
        <f>IF(B35="","", IFERROR(INDEX(Rates_Master!$C:$C, MATCH(B35, Rates_Master!$A:$A, 0)), "Custom / Intermediate Material"))</f>
        <v/>
      </c>
      <c r="D35" s="56" t="str">
        <f>IF(B35="","", IFERROR(INDEX(Rates_Master!$D:$D, MATCH(B35, Rates_Master!$A:$A, 0)), ""))</f>
        <v/>
      </c>
      <c r="E35" s="57"/>
      <c r="F35" s="58" t="str">
        <f>IF(B35="","", IFERROR(INDEX(Rates_Master!$E:$E, MATCH(B35, Rates_Master!$A:$A, 0)), 0))</f>
        <v/>
      </c>
      <c r="G35" s="37">
        <f t="shared" si="0"/>
        <v>0</v>
      </c>
      <c r="H35" s="135"/>
      <c r="I35" s="54"/>
    </row>
    <row r="36" spans="1:9" ht="19.95" customHeight="1" x14ac:dyDescent="0.3">
      <c r="A36" s="16">
        <v>9</v>
      </c>
      <c r="B36" s="54"/>
      <c r="C36" s="72" t="str">
        <f>IF(B36="","", IFERROR(INDEX(Rates_Master!$C:$C, MATCH(B36, Rates_Master!$A:$A, 0)), "Custom / Intermediate Material"))</f>
        <v/>
      </c>
      <c r="D36" s="56" t="str">
        <f>IF(B36="","", IFERROR(INDEX(Rates_Master!$D:$D, MATCH(B36, Rates_Master!$A:$A, 0)), ""))</f>
        <v/>
      </c>
      <c r="E36" s="57"/>
      <c r="F36" s="58" t="str">
        <f>IF(B36="","", IFERROR(INDEX(Rates_Master!$E:$E, MATCH(B36, Rates_Master!$A:$A, 0)), 0))</f>
        <v/>
      </c>
      <c r="G36" s="37">
        <f t="shared" si="0"/>
        <v>0</v>
      </c>
      <c r="H36" s="135"/>
      <c r="I36" s="54"/>
    </row>
    <row r="37" spans="1:9" ht="19.95" customHeight="1" x14ac:dyDescent="0.3">
      <c r="A37" s="16">
        <v>10</v>
      </c>
      <c r="B37" s="54"/>
      <c r="C37" s="72" t="str">
        <f>IF(B37="","", IFERROR(INDEX(Rates_Master!$C:$C, MATCH(B37, Rates_Master!$A:$A, 0)), "Custom / Intermediate Material"))</f>
        <v/>
      </c>
      <c r="D37" s="56" t="str">
        <f>IF(B37="","", IFERROR(INDEX(Rates_Master!$D:$D, MATCH(B37, Rates_Master!$A:$A, 0)), ""))</f>
        <v/>
      </c>
      <c r="E37" s="57"/>
      <c r="F37" s="58" t="str">
        <f>IF(B37="","", IFERROR(INDEX(Rates_Master!$E:$E, MATCH(B37, Rates_Master!$A:$A, 0)), 0))</f>
        <v/>
      </c>
      <c r="G37" s="37">
        <f t="shared" si="0"/>
        <v>0</v>
      </c>
      <c r="H37" s="135"/>
      <c r="I37" s="54"/>
    </row>
    <row r="38" spans="1:9" ht="22.05" customHeight="1" x14ac:dyDescent="0.3">
      <c r="A38" s="252" t="s">
        <v>7899</v>
      </c>
      <c r="B38" s="253"/>
      <c r="C38" s="253"/>
      <c r="D38" s="253"/>
      <c r="E38" s="253"/>
      <c r="F38" s="254"/>
      <c r="G38" s="100">
        <f>SUM(G28:G37)</f>
        <v>3866.4500000000003</v>
      </c>
      <c r="H38" s="99"/>
      <c r="I38" s="99"/>
    </row>
    <row r="39" spans="1:9" ht="30" customHeight="1" x14ac:dyDescent="0.3">
      <c r="A39" s="244" t="s">
        <v>7900</v>
      </c>
      <c r="B39" s="241"/>
      <c r="C39" s="241"/>
      <c r="D39" s="241"/>
      <c r="E39" s="241"/>
      <c r="F39" s="242"/>
      <c r="G39" s="41">
        <f>ROUND(SUMIF($I$28:$I$37, "A", $G$28:$G$37), 2)</f>
        <v>0</v>
      </c>
      <c r="H39" s="63" t="s">
        <v>7901</v>
      </c>
      <c r="I39" s="61"/>
    </row>
    <row r="40" spans="1:9" ht="24" customHeight="1" x14ac:dyDescent="0.3">
      <c r="A40" s="239" t="s">
        <v>7902</v>
      </c>
      <c r="B40" s="228"/>
      <c r="C40" s="228"/>
      <c r="D40" s="228"/>
      <c r="E40" s="228"/>
      <c r="F40" s="228"/>
      <c r="G40" s="228"/>
      <c r="H40" s="228"/>
      <c r="I40" s="228"/>
    </row>
    <row r="41" spans="1:9" ht="24" customHeight="1" x14ac:dyDescent="0.3">
      <c r="A41" s="153" t="s">
        <v>6313</v>
      </c>
      <c r="B41" s="153" t="s">
        <v>6314</v>
      </c>
      <c r="C41" s="153" t="s">
        <v>5</v>
      </c>
      <c r="D41" s="153" t="s">
        <v>6</v>
      </c>
      <c r="E41" s="153" t="s">
        <v>6315</v>
      </c>
      <c r="F41" s="153" t="s">
        <v>7</v>
      </c>
      <c r="G41" s="153" t="s">
        <v>6316</v>
      </c>
      <c r="H41" s="153" t="s">
        <v>6317</v>
      </c>
      <c r="I41" s="153" t="s">
        <v>6318</v>
      </c>
    </row>
    <row r="42" spans="1:9" ht="19.95" customHeight="1" x14ac:dyDescent="0.3">
      <c r="A42" s="16">
        <v>1</v>
      </c>
      <c r="B42" s="54" t="s">
        <v>255</v>
      </c>
      <c r="C42" s="72" t="str">
        <f>IF(B42="","", IFERROR(INDEX(Rates_Master!$C:$C, MATCH(B42, Rates_Master!$A:$A, 0)), "Custom Labour / Plant"))</f>
        <v>Mason (average)</v>
      </c>
      <c r="D42" s="56" t="str">
        <f>IF(B42="","", IFERROR(INDEX(Rates_Master!$D:$D, MATCH(B42, Rates_Master!$A:$A, 0)), ""))</f>
        <v>day</v>
      </c>
      <c r="E42" s="57">
        <v>0.17</v>
      </c>
      <c r="F42" s="58">
        <f>IF(B42="","", IFERROR(INDEX(Rates_Master!$E:$E, MATCH(B42, Rates_Master!$A:$A, 0)), 0))</f>
        <v>709</v>
      </c>
      <c r="G42" s="37">
        <f t="shared" ref="G42:G51" si="1">IF(OR(B42="", E42=""), 0, ROUND(E42 * F42, 2))</f>
        <v>120.53</v>
      </c>
      <c r="H42" s="135" t="s">
        <v>256</v>
      </c>
      <c r="I42" s="5"/>
    </row>
    <row r="43" spans="1:9" ht="19.95" customHeight="1" x14ac:dyDescent="0.3">
      <c r="A43" s="16">
        <v>2</v>
      </c>
      <c r="B43" s="54" t="s">
        <v>209</v>
      </c>
      <c r="C43" s="72" t="str">
        <f>IF(B43="","", IFERROR(INDEX(Rates_Master!$C:$C, MATCH(B43, Rates_Master!$A:$A, 0)), "Custom Labour / Plant"))</f>
        <v>Beldar</v>
      </c>
      <c r="D43" s="56" t="str">
        <f>IF(B43="","", IFERROR(INDEX(Rates_Master!$D:$D, MATCH(B43, Rates_Master!$A:$A, 0)), ""))</f>
        <v>day</v>
      </c>
      <c r="E43" s="57">
        <v>2</v>
      </c>
      <c r="F43" s="58">
        <f>IF(B43="","", IFERROR(INDEX(Rates_Master!$E:$E, MATCH(B43, Rates_Master!$A:$A, 0)), 0))</f>
        <v>558</v>
      </c>
      <c r="G43" s="37">
        <f t="shared" si="1"/>
        <v>1116</v>
      </c>
      <c r="H43" s="135" t="s">
        <v>8013</v>
      </c>
      <c r="I43" s="5"/>
    </row>
    <row r="44" spans="1:9" ht="19.95" customHeight="1" x14ac:dyDescent="0.3">
      <c r="A44" s="16">
        <v>3</v>
      </c>
      <c r="B44" s="54" t="s">
        <v>197</v>
      </c>
      <c r="C44" s="72" t="str">
        <f>IF(B44="","", IFERROR(INDEX(Rates_Master!$C:$C, MATCH(B44, Rates_Master!$A:$A, 0)), "Custom Labour / Plant"))</f>
        <v>Bhisti</v>
      </c>
      <c r="D44" s="56" t="str">
        <f>IF(B44="","", IFERROR(INDEX(Rates_Master!$D:$D, MATCH(B44, Rates_Master!$A:$A, 0)), ""))</f>
        <v>day</v>
      </c>
      <c r="E44" s="57">
        <v>0.9</v>
      </c>
      <c r="F44" s="58">
        <f>IF(B44="","", IFERROR(INDEX(Rates_Master!$E:$E, MATCH(B44, Rates_Master!$A:$A, 0)), 0))</f>
        <v>617</v>
      </c>
      <c r="G44" s="37">
        <f t="shared" si="1"/>
        <v>555.29999999999995</v>
      </c>
      <c r="H44" s="135" t="s">
        <v>7991</v>
      </c>
      <c r="I44" s="5"/>
    </row>
    <row r="45" spans="1:9" ht="19.95" customHeight="1" x14ac:dyDescent="0.3">
      <c r="A45" s="16">
        <v>4</v>
      </c>
      <c r="B45" s="54" t="s">
        <v>12</v>
      </c>
      <c r="C45" s="72" t="str">
        <f>IF(B45="","", IFERROR(INDEX(Rates_Master!$C:$C, MATCH(B45, Rates_Master!$A:$A, 0)), "Custom Labour / Plant"))</f>
        <v>Hire charges of Concrete Mixer 0.25 to 0.40 cum with Hopper</v>
      </c>
      <c r="D45" s="56" t="str">
        <f>IF(B45="","", IFERROR(INDEX(Rates_Master!$D:$D, MATCH(B45, Rates_Master!$A:$A, 0)), ""))</f>
        <v>day</v>
      </c>
      <c r="E45" s="57">
        <v>7.0000000000000007E-2</v>
      </c>
      <c r="F45" s="58">
        <f>IF(B45="","", IFERROR(INDEX(Rates_Master!$E:$E, MATCH(B45, Rates_Master!$A:$A, 0)), 0))</f>
        <v>800</v>
      </c>
      <c r="G45" s="37">
        <f t="shared" si="1"/>
        <v>56</v>
      </c>
      <c r="H45" s="135" t="s">
        <v>8014</v>
      </c>
      <c r="I45" s="5"/>
    </row>
    <row r="46" spans="1:9" ht="19.95" customHeight="1" x14ac:dyDescent="0.3">
      <c r="A46" s="16">
        <v>5</v>
      </c>
      <c r="B46" s="54" t="s">
        <v>33</v>
      </c>
      <c r="C46" s="72" t="str">
        <f>IF(B46="","", IFERROR(INDEX(Rates_Master!$C:$C, MATCH(B46, Rates_Master!$A:$A, 0)), "Custom Labour / Plant"))</f>
        <v>Vibrator (Needle type 40 mm)</v>
      </c>
      <c r="D46" s="56" t="str">
        <f>IF(B46="","", IFERROR(INDEX(Rates_Master!$D:$D, MATCH(B46, Rates_Master!$A:$A, 0)), ""))</f>
        <v>day</v>
      </c>
      <c r="E46" s="57">
        <v>7.0000000000000007E-2</v>
      </c>
      <c r="F46" s="58">
        <f>IF(B46="","", IFERROR(INDEX(Rates_Master!$E:$E, MATCH(B46, Rates_Master!$A:$A, 0)), 0))</f>
        <v>370</v>
      </c>
      <c r="G46" s="37">
        <f t="shared" si="1"/>
        <v>25.9</v>
      </c>
      <c r="H46" s="135" t="s">
        <v>8015</v>
      </c>
      <c r="I46" s="5"/>
    </row>
    <row r="47" spans="1:9" ht="19.95" customHeight="1" x14ac:dyDescent="0.3">
      <c r="A47" s="16">
        <v>6</v>
      </c>
      <c r="B47" s="54"/>
      <c r="C47" s="72" t="str">
        <f>IF(B47="","", IFERROR(INDEX(Rates_Master!$C:$C, MATCH(B47, Rates_Master!$A:$A, 0)), "Custom Labour / Plant"))</f>
        <v/>
      </c>
      <c r="D47" s="56" t="str">
        <f>IF(B47="","", IFERROR(INDEX(Rates_Master!$D:$D, MATCH(B47, Rates_Master!$A:$A, 0)), ""))</f>
        <v/>
      </c>
      <c r="E47" s="57"/>
      <c r="F47" s="58" t="str">
        <f>IF(B47="","", IFERROR(INDEX(Rates_Master!$E:$E, MATCH(B47, Rates_Master!$A:$A, 0)), 0))</f>
        <v/>
      </c>
      <c r="G47" s="37">
        <f t="shared" si="1"/>
        <v>0</v>
      </c>
      <c r="H47" s="135"/>
      <c r="I47" s="5"/>
    </row>
    <row r="48" spans="1:9" ht="19.95" customHeight="1" x14ac:dyDescent="0.3">
      <c r="A48" s="16">
        <v>7</v>
      </c>
      <c r="B48" s="54"/>
      <c r="C48" s="72" t="str">
        <f>IF(B48="","", IFERROR(INDEX(Rates_Master!$C:$C, MATCH(B48, Rates_Master!$A:$A, 0)), "Custom Labour / Plant"))</f>
        <v/>
      </c>
      <c r="D48" s="56" t="str">
        <f>IF(B48="","", IFERROR(INDEX(Rates_Master!$D:$D, MATCH(B48, Rates_Master!$A:$A, 0)), ""))</f>
        <v/>
      </c>
      <c r="E48" s="57"/>
      <c r="F48" s="58" t="str">
        <f>IF(B48="","", IFERROR(INDEX(Rates_Master!$E:$E, MATCH(B48, Rates_Master!$A:$A, 0)), 0))</f>
        <v/>
      </c>
      <c r="G48" s="37">
        <f t="shared" si="1"/>
        <v>0</v>
      </c>
      <c r="H48" s="135"/>
      <c r="I48" s="5"/>
    </row>
    <row r="49" spans="1:9" ht="19.95" customHeight="1" x14ac:dyDescent="0.3">
      <c r="A49" s="16">
        <v>8</v>
      </c>
      <c r="B49" s="54"/>
      <c r="C49" s="72" t="str">
        <f>IF(B49="","", IFERROR(INDEX(Rates_Master!$C:$C, MATCH(B49, Rates_Master!$A:$A, 0)), "Custom Labour / Plant"))</f>
        <v/>
      </c>
      <c r="D49" s="56" t="str">
        <f>IF(B49="","", IFERROR(INDEX(Rates_Master!$D:$D, MATCH(B49, Rates_Master!$A:$A, 0)), ""))</f>
        <v/>
      </c>
      <c r="E49" s="57"/>
      <c r="F49" s="58" t="str">
        <f>IF(B49="","", IFERROR(INDEX(Rates_Master!$E:$E, MATCH(B49, Rates_Master!$A:$A, 0)), 0))</f>
        <v/>
      </c>
      <c r="G49" s="37">
        <f t="shared" si="1"/>
        <v>0</v>
      </c>
      <c r="H49" s="135"/>
      <c r="I49" s="5"/>
    </row>
    <row r="50" spans="1:9" ht="19.95" customHeight="1" x14ac:dyDescent="0.3">
      <c r="A50" s="16">
        <v>9</v>
      </c>
      <c r="B50" s="54"/>
      <c r="C50" s="72" t="str">
        <f>IF(B50="","", IFERROR(INDEX(Rates_Master!$C:$C, MATCH(B50, Rates_Master!$A:$A, 0)), "Custom Labour / Plant"))</f>
        <v/>
      </c>
      <c r="D50" s="56" t="str">
        <f>IF(B50="","", IFERROR(INDEX(Rates_Master!$D:$D, MATCH(B50, Rates_Master!$A:$A, 0)), ""))</f>
        <v/>
      </c>
      <c r="E50" s="57"/>
      <c r="F50" s="58" t="str">
        <f>IF(B50="","", IFERROR(INDEX(Rates_Master!$E:$E, MATCH(B50, Rates_Master!$A:$A, 0)), 0))</f>
        <v/>
      </c>
      <c r="G50" s="37">
        <f t="shared" si="1"/>
        <v>0</v>
      </c>
      <c r="H50" s="135"/>
      <c r="I50" s="5"/>
    </row>
    <row r="51" spans="1:9" ht="19.95" customHeight="1" x14ac:dyDescent="0.3">
      <c r="A51" s="16">
        <v>10</v>
      </c>
      <c r="B51" s="54"/>
      <c r="C51" s="72" t="str">
        <f>IF(B51="","", IFERROR(INDEX(Rates_Master!$C:$C, MATCH(B51, Rates_Master!$A:$A, 0)), "Custom Labour / Plant"))</f>
        <v/>
      </c>
      <c r="D51" s="56" t="str">
        <f>IF(B51="","", IFERROR(INDEX(Rates_Master!$D:$D, MATCH(B51, Rates_Master!$A:$A, 0)), ""))</f>
        <v/>
      </c>
      <c r="E51" s="57"/>
      <c r="F51" s="58" t="str">
        <f>IF(B51="","", IFERROR(INDEX(Rates_Master!$E:$E, MATCH(B51, Rates_Master!$A:$A, 0)), 0))</f>
        <v/>
      </c>
      <c r="G51" s="37">
        <f t="shared" si="1"/>
        <v>0</v>
      </c>
      <c r="H51" s="135"/>
      <c r="I51" s="5"/>
    </row>
    <row r="52" spans="1:9" ht="22.05" customHeight="1" x14ac:dyDescent="0.3">
      <c r="A52" s="252" t="s">
        <v>7905</v>
      </c>
      <c r="B52" s="253"/>
      <c r="C52" s="253"/>
      <c r="D52" s="253"/>
      <c r="E52" s="253"/>
      <c r="F52" s="254"/>
      <c r="G52" s="100">
        <f>SUM(G42:G51)</f>
        <v>1873.73</v>
      </c>
      <c r="H52" s="99"/>
      <c r="I52" s="99"/>
    </row>
    <row r="54" spans="1:9" ht="24" customHeight="1" x14ac:dyDescent="0.3">
      <c r="A54" s="239" t="s">
        <v>7906</v>
      </c>
      <c r="B54" s="228"/>
      <c r="C54" s="228"/>
      <c r="D54" s="228"/>
      <c r="E54" s="228"/>
      <c r="F54" s="228"/>
      <c r="G54" s="228"/>
      <c r="H54" s="228"/>
      <c r="I54" s="228"/>
    </row>
    <row r="55" spans="1:9" ht="22.05" customHeight="1" x14ac:dyDescent="0.3">
      <c r="A55" s="16" t="s">
        <v>4390</v>
      </c>
      <c r="B55" s="48" t="s">
        <v>4269</v>
      </c>
      <c r="C55" s="53" t="s">
        <v>7907</v>
      </c>
      <c r="D55" s="16" t="s">
        <v>4266</v>
      </c>
      <c r="E55" s="22">
        <v>14.3</v>
      </c>
      <c r="F55" s="59">
        <f>Factor_Sundries</f>
        <v>2</v>
      </c>
      <c r="G55" s="65">
        <f>ROUND(E55 * F55, 2)</f>
        <v>28.6</v>
      </c>
      <c r="H55" s="60" t="s">
        <v>7908</v>
      </c>
      <c r="I55" s="53"/>
    </row>
    <row r="57" spans="1:9" ht="24" customHeight="1" x14ac:dyDescent="0.3">
      <c r="A57" s="239" t="s">
        <v>7909</v>
      </c>
      <c r="B57" s="228"/>
      <c r="C57" s="228"/>
      <c r="D57" s="228"/>
      <c r="E57" s="228"/>
      <c r="F57" s="228"/>
      <c r="G57" s="228"/>
      <c r="H57" s="228"/>
      <c r="I57" s="228"/>
    </row>
    <row r="58" spans="1:9" ht="24" customHeight="1" x14ac:dyDescent="0.3">
      <c r="A58" s="153" t="s">
        <v>6516</v>
      </c>
      <c r="B58" s="153" t="s">
        <v>6994</v>
      </c>
      <c r="C58" s="153" t="s">
        <v>6518</v>
      </c>
      <c r="D58" s="153" t="s">
        <v>6519</v>
      </c>
      <c r="E58" s="153" t="s">
        <v>6520</v>
      </c>
      <c r="F58" s="153" t="s">
        <v>6521</v>
      </c>
      <c r="G58" s="153" t="s">
        <v>6316</v>
      </c>
      <c r="H58" s="153" t="s">
        <v>6522</v>
      </c>
      <c r="I58" s="153" t="s">
        <v>7910</v>
      </c>
    </row>
    <row r="59" spans="1:9" ht="24" customHeight="1" x14ac:dyDescent="0.3">
      <c r="A59" s="1" t="s">
        <v>6523</v>
      </c>
      <c r="B59" s="67" t="s">
        <v>7911</v>
      </c>
      <c r="C59" s="66" t="s">
        <v>6335</v>
      </c>
      <c r="D59" s="66" t="s">
        <v>7001</v>
      </c>
      <c r="E59" s="102" t="s">
        <v>6335</v>
      </c>
      <c r="F59" s="102" t="s">
        <v>6335</v>
      </c>
      <c r="G59" s="41">
        <f>G38 + G52 + G55</f>
        <v>5768.7800000000007</v>
      </c>
      <c r="H59" s="63" t="s">
        <v>7912</v>
      </c>
      <c r="I59" s="136" t="s">
        <v>7913</v>
      </c>
    </row>
    <row r="60" spans="1:9" ht="24" customHeight="1" x14ac:dyDescent="0.3">
      <c r="A60" s="48" t="s">
        <v>6331</v>
      </c>
      <c r="B60" s="17" t="s">
        <v>6527</v>
      </c>
      <c r="C60" s="54" t="s">
        <v>4318</v>
      </c>
      <c r="D60" s="16" t="s">
        <v>7004</v>
      </c>
      <c r="E60" s="51">
        <f>G59 - G39</f>
        <v>5768.7800000000007</v>
      </c>
      <c r="F60" s="64">
        <f>Factor_Water</f>
        <v>0.01</v>
      </c>
      <c r="G60" s="65">
        <f>IF(C60="YES", ROUND(E60 * F60, 2), 0)</f>
        <v>57.69</v>
      </c>
      <c r="H60" s="152" t="s">
        <v>8016</v>
      </c>
      <c r="I60" s="132" t="s">
        <v>7915</v>
      </c>
    </row>
    <row r="61" spans="1:9" ht="24" customHeight="1" x14ac:dyDescent="0.3">
      <c r="A61" s="1" t="s">
        <v>6334</v>
      </c>
      <c r="B61" s="67" t="s">
        <v>6336</v>
      </c>
      <c r="C61" s="66" t="s">
        <v>6335</v>
      </c>
      <c r="D61" s="66" t="s">
        <v>6531</v>
      </c>
      <c r="E61" s="102" t="s">
        <v>6335</v>
      </c>
      <c r="F61" s="102" t="s">
        <v>6335</v>
      </c>
      <c r="G61" s="41">
        <f>G59 + G60</f>
        <v>5826.47</v>
      </c>
      <c r="H61" s="63" t="s">
        <v>7916</v>
      </c>
      <c r="I61" s="136" t="s">
        <v>7913</v>
      </c>
    </row>
    <row r="62" spans="1:9" ht="24" customHeight="1" x14ac:dyDescent="0.3">
      <c r="A62" s="48" t="s">
        <v>6338</v>
      </c>
      <c r="B62" s="17" t="s">
        <v>7917</v>
      </c>
      <c r="C62" s="54" t="s">
        <v>4318</v>
      </c>
      <c r="D62" s="16" t="s">
        <v>7009</v>
      </c>
      <c r="E62" s="51">
        <f>G61 - G39</f>
        <v>5826.47</v>
      </c>
      <c r="F62" s="64">
        <f>Factor_GST</f>
        <v>0.14050000000000001</v>
      </c>
      <c r="G62" s="65">
        <f>IF(C62="YES", ROUND(E62 * F62, 2), 0)</f>
        <v>818.62</v>
      </c>
      <c r="H62" s="152" t="s">
        <v>7995</v>
      </c>
      <c r="I62" s="132" t="s">
        <v>7915</v>
      </c>
    </row>
    <row r="63" spans="1:9" ht="24" customHeight="1" x14ac:dyDescent="0.3">
      <c r="A63" s="1" t="s">
        <v>6341</v>
      </c>
      <c r="B63" s="67" t="s">
        <v>6342</v>
      </c>
      <c r="C63" s="66" t="s">
        <v>6335</v>
      </c>
      <c r="D63" s="66" t="s">
        <v>6537</v>
      </c>
      <c r="E63" s="102" t="s">
        <v>6335</v>
      </c>
      <c r="F63" s="102" t="s">
        <v>6335</v>
      </c>
      <c r="G63" s="41">
        <f>G61 + G62</f>
        <v>6645.09</v>
      </c>
      <c r="H63" s="63" t="s">
        <v>7919</v>
      </c>
      <c r="I63" s="136" t="s">
        <v>7913</v>
      </c>
    </row>
    <row r="64" spans="1:9" ht="24" customHeight="1" x14ac:dyDescent="0.3">
      <c r="A64" s="48" t="s">
        <v>6343</v>
      </c>
      <c r="B64" s="17" t="s">
        <v>6539</v>
      </c>
      <c r="C64" s="54" t="s">
        <v>4318</v>
      </c>
      <c r="D64" s="16" t="s">
        <v>7013</v>
      </c>
      <c r="E64" s="51">
        <f>G63 - G39</f>
        <v>6645.09</v>
      </c>
      <c r="F64" s="64">
        <f>Factor_CPOH</f>
        <v>0.15</v>
      </c>
      <c r="G64" s="65">
        <f>IF(C64="YES", ROUND(E64 * F64, 2), 0)</f>
        <v>996.76</v>
      </c>
      <c r="H64" s="152" t="s">
        <v>7996</v>
      </c>
      <c r="I64" s="132" t="s">
        <v>7915</v>
      </c>
    </row>
    <row r="65" spans="1:9" ht="24" customHeight="1" x14ac:dyDescent="0.3">
      <c r="A65" s="1" t="s">
        <v>6346</v>
      </c>
      <c r="B65" s="67" t="s">
        <v>6347</v>
      </c>
      <c r="C65" s="66" t="s">
        <v>6335</v>
      </c>
      <c r="D65" s="66" t="s">
        <v>6543</v>
      </c>
      <c r="E65" s="102" t="s">
        <v>6335</v>
      </c>
      <c r="F65" s="102" t="s">
        <v>6335</v>
      </c>
      <c r="G65" s="41">
        <f>G63 + G64</f>
        <v>7641.85</v>
      </c>
      <c r="H65" s="63" t="s">
        <v>7921</v>
      </c>
      <c r="I65" s="136" t="s">
        <v>7913</v>
      </c>
    </row>
    <row r="66" spans="1:9" ht="24" customHeight="1" x14ac:dyDescent="0.3">
      <c r="A66" s="48" t="s">
        <v>6348</v>
      </c>
      <c r="B66" s="17" t="s">
        <v>7922</v>
      </c>
      <c r="C66" s="54" t="s">
        <v>4318</v>
      </c>
      <c r="D66" s="16" t="s">
        <v>7923</v>
      </c>
      <c r="E66" s="51">
        <f>G65 - G39</f>
        <v>7641.85</v>
      </c>
      <c r="F66" s="64">
        <f>Factor_Cess</f>
        <v>0.01</v>
      </c>
      <c r="G66" s="65">
        <f>IF(C66="YES", ROUND(E66 * F66, 2), 0)</f>
        <v>76.42</v>
      </c>
      <c r="H66" s="152" t="s">
        <v>7997</v>
      </c>
      <c r="I66" s="132" t="s">
        <v>7915</v>
      </c>
    </row>
    <row r="67" spans="1:9" ht="24" customHeight="1" x14ac:dyDescent="0.3">
      <c r="A67" s="26" t="s">
        <v>7018</v>
      </c>
      <c r="B67" s="103" t="str">
        <f>"Total Cost of Batch (" &amp; TEXT(D16, "0.00") &amp; " " &amp; F16 &amp; "):"</f>
        <v>Total Cost of Batch (1.00 cum):</v>
      </c>
      <c r="C67" s="104" t="s">
        <v>6335</v>
      </c>
      <c r="D67" s="104" t="s">
        <v>6550</v>
      </c>
      <c r="E67" s="105" t="s">
        <v>6335</v>
      </c>
      <c r="F67" s="105" t="s">
        <v>6335</v>
      </c>
      <c r="G67" s="69">
        <f>G65 + G66</f>
        <v>7718.27</v>
      </c>
      <c r="H67" s="106" t="s">
        <v>7925</v>
      </c>
      <c r="I67" s="107" t="s">
        <v>6335</v>
      </c>
    </row>
    <row r="68" spans="1:9" ht="24" customHeight="1" x14ac:dyDescent="0.3">
      <c r="A68" s="1" t="s">
        <v>7021</v>
      </c>
      <c r="B68" s="67" t="str">
        <f>"Analyzed Unit Rate per 1.00 " &amp; F16 &amp; ":"</f>
        <v>Analyzed Unit Rate per 1.00 cum:</v>
      </c>
      <c r="C68" s="66" t="s">
        <v>6335</v>
      </c>
      <c r="D68" s="66" t="s">
        <v>7926</v>
      </c>
      <c r="E68" s="102" t="s">
        <v>6335</v>
      </c>
      <c r="F68" s="102" t="s">
        <v>6335</v>
      </c>
      <c r="G68" s="41">
        <f>ROUND(G67 / D16, 2)</f>
        <v>7718.27</v>
      </c>
      <c r="H68" s="63" t="s">
        <v>7927</v>
      </c>
      <c r="I68" s="136" t="s">
        <v>6335</v>
      </c>
    </row>
    <row r="69" spans="1:9" ht="30" customHeight="1" x14ac:dyDescent="0.3">
      <c r="A69" s="46" t="s">
        <v>6423</v>
      </c>
      <c r="B69" s="109" t="str">
        <f>"OFFICIAL SAY RATE (Rs per " &amp; F16 &amp; "):"</f>
        <v>OFFICIAL SAY RATE (Rs per cum):</v>
      </c>
      <c r="C69" s="110" t="s">
        <v>6335</v>
      </c>
      <c r="D69" s="110" t="s">
        <v>6568</v>
      </c>
      <c r="E69" s="111" t="s">
        <v>6335</v>
      </c>
      <c r="F69" s="111" t="s">
        <v>6335</v>
      </c>
      <c r="G69" s="52">
        <f>MROUND(G68, 0.05)</f>
        <v>7718.25</v>
      </c>
      <c r="H69" s="71" t="s">
        <v>7928</v>
      </c>
      <c r="I69" s="112" t="s">
        <v>6335</v>
      </c>
    </row>
    <row r="70" spans="1:9" ht="43.95" customHeight="1" x14ac:dyDescent="0.3">
      <c r="A70" s="237" t="s">
        <v>6570</v>
      </c>
      <c r="B70" s="241"/>
      <c r="C70" s="241"/>
      <c r="D70" s="241"/>
      <c r="E70" s="241"/>
      <c r="F70" s="241"/>
      <c r="G70" s="241"/>
      <c r="H70" s="241"/>
      <c r="I70" s="242"/>
    </row>
    <row r="72" spans="1:9" ht="24" customHeight="1" x14ac:dyDescent="0.3">
      <c r="A72" s="239" t="s">
        <v>7929</v>
      </c>
      <c r="B72" s="228"/>
      <c r="C72" s="228"/>
      <c r="D72" s="228"/>
      <c r="E72" s="228"/>
      <c r="F72" s="228"/>
      <c r="G72" s="228"/>
      <c r="H72" s="228"/>
      <c r="I72" s="228"/>
    </row>
    <row r="73" spans="1:9" ht="19.95" customHeight="1" x14ac:dyDescent="0.3">
      <c r="A73" s="238" t="s">
        <v>7930</v>
      </c>
      <c r="B73" s="228"/>
      <c r="C73" s="228"/>
      <c r="D73" s="228"/>
      <c r="E73" s="228"/>
      <c r="F73" s="228"/>
      <c r="G73" s="228"/>
      <c r="H73" s="228"/>
      <c r="I73" s="228"/>
    </row>
    <row r="74" spans="1:9" ht="24" customHeight="1" x14ac:dyDescent="0.3">
      <c r="A74" s="153" t="s">
        <v>7931</v>
      </c>
      <c r="B74" s="153" t="s">
        <v>7932</v>
      </c>
      <c r="C74" s="153" t="s">
        <v>6</v>
      </c>
      <c r="D74" s="153" t="s">
        <v>4364</v>
      </c>
      <c r="E74" s="153" t="s">
        <v>7933</v>
      </c>
      <c r="F74" s="153" t="s">
        <v>7934</v>
      </c>
      <c r="G74" s="153" t="s">
        <v>7935</v>
      </c>
      <c r="H74" s="153" t="s">
        <v>7936</v>
      </c>
      <c r="I74" s="153" t="s">
        <v>7937</v>
      </c>
    </row>
    <row r="75" spans="1:9" ht="19.95" customHeight="1" x14ac:dyDescent="0.3">
      <c r="A75" s="137" t="s">
        <v>4686</v>
      </c>
      <c r="B75" s="138" t="s">
        <v>8017</v>
      </c>
      <c r="C75" s="139" t="s">
        <v>18</v>
      </c>
      <c r="D75" s="139">
        <v>1</v>
      </c>
      <c r="E75" s="140">
        <v>5768.78</v>
      </c>
      <c r="F75" s="139" t="s">
        <v>7943</v>
      </c>
      <c r="G75" s="140">
        <v>7717.15</v>
      </c>
      <c r="H75" s="8">
        <v>7717.15</v>
      </c>
      <c r="I75" s="140"/>
    </row>
    <row r="76" spans="1:9" ht="19.95" customHeight="1" x14ac:dyDescent="0.3">
      <c r="A76" s="141" t="s">
        <v>4688</v>
      </c>
      <c r="B76" s="142" t="s">
        <v>8018</v>
      </c>
      <c r="C76" s="143" t="s">
        <v>18</v>
      </c>
      <c r="D76" s="143">
        <v>1</v>
      </c>
      <c r="E76" s="144">
        <v>5373.98</v>
      </c>
      <c r="F76" s="143" t="s">
        <v>7943</v>
      </c>
      <c r="G76" s="144">
        <v>7189.02</v>
      </c>
      <c r="H76" s="4">
        <v>7189</v>
      </c>
      <c r="I76" s="144"/>
    </row>
    <row r="77" spans="1:9" ht="19.95" customHeight="1" x14ac:dyDescent="0.3">
      <c r="A77" s="137" t="s">
        <v>8019</v>
      </c>
      <c r="B77" s="138" t="s">
        <v>7942</v>
      </c>
      <c r="C77" s="139" t="s">
        <v>18</v>
      </c>
      <c r="D77" s="139">
        <v>1</v>
      </c>
      <c r="E77" s="140"/>
      <c r="F77" s="139" t="s">
        <v>7943</v>
      </c>
      <c r="G77" s="140"/>
      <c r="H77" s="8"/>
      <c r="I77" s="140"/>
    </row>
    <row r="78" spans="1:9" ht="19.95" customHeight="1" x14ac:dyDescent="0.3">
      <c r="A78" s="141" t="s">
        <v>8020</v>
      </c>
      <c r="B78" s="142" t="s">
        <v>7942</v>
      </c>
      <c r="C78" s="143" t="s">
        <v>18</v>
      </c>
      <c r="D78" s="143">
        <v>1</v>
      </c>
      <c r="E78" s="144"/>
      <c r="F78" s="143" t="s">
        <v>7943</v>
      </c>
      <c r="G78" s="144"/>
      <c r="H78" s="4"/>
      <c r="I78" s="144"/>
    </row>
    <row r="79" spans="1:9" ht="19.95" customHeight="1" x14ac:dyDescent="0.3">
      <c r="A79" s="137" t="s">
        <v>8021</v>
      </c>
      <c r="B79" s="138" t="s">
        <v>7942</v>
      </c>
      <c r="C79" s="139" t="s">
        <v>18</v>
      </c>
      <c r="D79" s="139">
        <v>1</v>
      </c>
      <c r="E79" s="140"/>
      <c r="F79" s="139" t="s">
        <v>7943</v>
      </c>
      <c r="G79" s="140"/>
      <c r="H79" s="8"/>
      <c r="I79" s="140"/>
    </row>
    <row r="80" spans="1:9" ht="19.95" customHeight="1" x14ac:dyDescent="0.3">
      <c r="A80" s="141" t="s">
        <v>8022</v>
      </c>
      <c r="B80" s="142" t="s">
        <v>7942</v>
      </c>
      <c r="C80" s="143" t="s">
        <v>18</v>
      </c>
      <c r="D80" s="143">
        <v>1</v>
      </c>
      <c r="E80" s="144"/>
      <c r="F80" s="143" t="s">
        <v>7943</v>
      </c>
      <c r="G80" s="144"/>
      <c r="H80" s="4"/>
      <c r="I80" s="144"/>
    </row>
    <row r="81" spans="1:9" ht="19.95" customHeight="1" x14ac:dyDescent="0.3">
      <c r="A81" s="137" t="s">
        <v>8023</v>
      </c>
      <c r="B81" s="138" t="s">
        <v>7942</v>
      </c>
      <c r="C81" s="139" t="s">
        <v>18</v>
      </c>
      <c r="D81" s="139">
        <v>1</v>
      </c>
      <c r="E81" s="140"/>
      <c r="F81" s="139" t="s">
        <v>7943</v>
      </c>
      <c r="G81" s="140"/>
      <c r="H81" s="8"/>
      <c r="I81" s="140"/>
    </row>
    <row r="82" spans="1:9" ht="19.95" customHeight="1" x14ac:dyDescent="0.3">
      <c r="A82" s="141" t="s">
        <v>8024</v>
      </c>
      <c r="B82" s="142" t="s">
        <v>7942</v>
      </c>
      <c r="C82" s="143" t="s">
        <v>18</v>
      </c>
      <c r="D82" s="143">
        <v>1</v>
      </c>
      <c r="E82" s="144"/>
      <c r="F82" s="143" t="s">
        <v>7943</v>
      </c>
      <c r="G82" s="144"/>
      <c r="H82" s="4"/>
      <c r="I82" s="144"/>
    </row>
  </sheetData>
  <sheetProtection sheet="1"/>
  <mergeCells count="31">
    <mergeCell ref="A73:I73"/>
    <mergeCell ref="A1:I1"/>
    <mergeCell ref="A70:I70"/>
    <mergeCell ref="A6:I6"/>
    <mergeCell ref="E22:I22"/>
    <mergeCell ref="A54:I54"/>
    <mergeCell ref="A72:I72"/>
    <mergeCell ref="A38:F38"/>
    <mergeCell ref="A52:F52"/>
    <mergeCell ref="E15:I15"/>
    <mergeCell ref="A40:I40"/>
    <mergeCell ref="A39:F39"/>
    <mergeCell ref="A24:I24"/>
    <mergeCell ref="E23:I23"/>
    <mergeCell ref="E14:I14"/>
    <mergeCell ref="A26:I26"/>
    <mergeCell ref="A57:I57"/>
    <mergeCell ref="E20:I20"/>
    <mergeCell ref="E19:I19"/>
    <mergeCell ref="E21:I21"/>
    <mergeCell ref="E12:I12"/>
    <mergeCell ref="B17:G17"/>
    <mergeCell ref="A18:I18"/>
    <mergeCell ref="A3:I3"/>
    <mergeCell ref="A5:I5"/>
    <mergeCell ref="E10:I10"/>
    <mergeCell ref="E13:I13"/>
    <mergeCell ref="A8:I8"/>
    <mergeCell ref="A4:I4"/>
    <mergeCell ref="E9:I9"/>
    <mergeCell ref="E11:I11"/>
  </mergeCells>
  <dataValidations count="9">
    <dataValidation type="list" sqref="C60 C62 C64 C66">
      <formula1>"YES,NO"</formula1>
    </dataValidation>
    <dataValidation type="list" allowBlank="1" promptTitle="CPWD A-tag" prompt="Enter A only if this line imports a rate that already includes Water, GST, CPOH and Cess. A-tagged lines are excluded from every markup base per the CPWD (W-A) convention." sqref="I28 I29 I30 I31 I32 I33 I34 I35 I36 I37">
      <formula1>"A,"</formula1>
    </dataValidation>
    <dataValidation type="list" allowBlank="1" promptTitle="Component picker" prompt="Pick a Rates_Master code, or type an intermediate source such as 03_Mortars or a Resolved_Cross_Volume_Items item number." sqref="B28 B29 B30 B31 B32 B33 B34 B35 B36 B37 B42 B43 B44 B45 B46 B47 B48 B49 B50 B51">
      <formula1>Master_Codes</formula1>
    </dataValidation>
    <dataValidation type="list" allowBlank="1" sqref="B10">
      <formula1>"1:1.5:3,1:2:4,1:3:6,1:4:8,1:5:10,M20 design mix,M25 design mix"</formula1>
    </dataValidation>
    <dataValidation type="list" allowBlank="1" sqref="B11">
      <formula1>"20 mm nominal size,40 mm nominal size,10 mm nominal size,graded 20 mm and 10 mm"</formula1>
    </dataValidation>
    <dataValidation type="list" allowBlank="1" sqref="B12">
      <formula1>"in plinth beams,in columns,in suspended slabs,in walls,in footings"</formula1>
    </dataValidation>
    <dataValidation type="list" allowBlank="1" sqref="B13">
      <formula1>"excluding centering and shuttering,including centering and shuttering (price separately)"</formula1>
    </dataValidation>
    <dataValidation type="list" allowBlank="1" sqref="B14">
      <formula1>"excluding reinforcement,including reinforcement (price separately)"</formula1>
    </dataValidation>
    <dataValidation type="list" allowBlank="1" sqref="B15">
      <formula1>"no special finish,float finish,trowel finish,concrete hardener topping"</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pane ySplit="3" topLeftCell="A4" activePane="bottomLeft" state="frozen"/>
      <selection pane="bottomLeft"/>
    </sheetView>
  </sheetViews>
  <sheetFormatPr defaultRowHeight="14.4" x14ac:dyDescent="0.3"/>
  <cols>
    <col min="1" max="1" width="34" style="151" customWidth="1"/>
    <col min="2" max="2" width="26" style="151" customWidth="1"/>
    <col min="3" max="3" width="46" style="151" customWidth="1"/>
    <col min="4" max="4" width="16" style="151" customWidth="1"/>
    <col min="5" max="6" width="18" style="151" customWidth="1"/>
    <col min="7" max="7" width="20" style="151" customWidth="1"/>
    <col min="8" max="8" width="44" style="151" customWidth="1"/>
    <col min="9" max="9" width="14" style="151" customWidth="1"/>
  </cols>
  <sheetData>
    <row r="1" spans="1:9" ht="30" customHeight="1" x14ac:dyDescent="0.3">
      <c r="A1" s="227" t="s">
        <v>8025</v>
      </c>
      <c r="B1" s="228"/>
      <c r="C1" s="228"/>
      <c r="D1" s="228"/>
      <c r="E1" s="228"/>
      <c r="F1" s="228"/>
      <c r="G1" s="228"/>
      <c r="H1" s="228"/>
      <c r="I1" s="228"/>
    </row>
    <row r="2" spans="1:9" ht="19.95" customHeight="1" x14ac:dyDescent="0.3">
      <c r="A2" s="73" t="s">
        <v>4272</v>
      </c>
      <c r="B2" s="45" t="s">
        <v>6379</v>
      </c>
      <c r="C2" s="74" t="s">
        <v>6380</v>
      </c>
      <c r="D2" s="28" t="s">
        <v>6381</v>
      </c>
      <c r="E2" s="7" t="s">
        <v>6382</v>
      </c>
      <c r="F2" s="26" t="s">
        <v>6383</v>
      </c>
      <c r="G2" s="46" t="s">
        <v>6384</v>
      </c>
      <c r="H2" s="47" t="s">
        <v>6385</v>
      </c>
      <c r="I2" s="3" t="s">
        <v>6386</v>
      </c>
    </row>
    <row r="3" spans="1:9" ht="30" customHeight="1" x14ac:dyDescent="0.3">
      <c r="A3" s="237" t="s">
        <v>8026</v>
      </c>
      <c r="B3" s="241"/>
      <c r="C3" s="241"/>
      <c r="D3" s="241"/>
      <c r="E3" s="241"/>
      <c r="F3" s="241"/>
      <c r="G3" s="241"/>
      <c r="H3" s="241"/>
      <c r="I3" s="242"/>
    </row>
    <row r="4" spans="1:9" ht="22.05" customHeight="1" x14ac:dyDescent="0.3">
      <c r="A4" s="239" t="s">
        <v>6388</v>
      </c>
      <c r="B4" s="228"/>
      <c r="C4" s="228"/>
      <c r="D4" s="228"/>
      <c r="E4" s="228"/>
      <c r="F4" s="228"/>
      <c r="G4" s="228"/>
      <c r="H4" s="228"/>
      <c r="I4" s="228"/>
    </row>
    <row r="5" spans="1:9" ht="46.05" customHeight="1" x14ac:dyDescent="0.3">
      <c r="A5" s="237" t="s">
        <v>6389</v>
      </c>
      <c r="B5" s="241"/>
      <c r="C5" s="241"/>
      <c r="D5" s="241"/>
      <c r="E5" s="241"/>
      <c r="F5" s="241"/>
      <c r="G5" s="241"/>
      <c r="H5" s="241"/>
      <c r="I5" s="242"/>
    </row>
    <row r="6" spans="1:9" ht="46.05" customHeight="1" x14ac:dyDescent="0.3">
      <c r="A6" s="237" t="s">
        <v>6390</v>
      </c>
      <c r="B6" s="241"/>
      <c r="C6" s="241"/>
      <c r="D6" s="241"/>
      <c r="E6" s="241"/>
      <c r="F6" s="241"/>
      <c r="G6" s="241"/>
      <c r="H6" s="241"/>
      <c r="I6" s="242"/>
    </row>
    <row r="8" spans="1:9" ht="24" customHeight="1" x14ac:dyDescent="0.3">
      <c r="A8" s="239" t="s">
        <v>7837</v>
      </c>
      <c r="B8" s="228"/>
      <c r="C8" s="228"/>
      <c r="D8" s="228"/>
      <c r="E8" s="228"/>
      <c r="F8" s="228"/>
      <c r="G8" s="228"/>
      <c r="H8" s="228"/>
      <c r="I8" s="228"/>
    </row>
    <row r="9" spans="1:9" ht="30" customHeight="1" x14ac:dyDescent="0.3">
      <c r="A9" s="153" t="s">
        <v>7838</v>
      </c>
      <c r="B9" s="153" t="s">
        <v>7839</v>
      </c>
      <c r="C9" s="153" t="s">
        <v>7840</v>
      </c>
      <c r="D9" s="153" t="s">
        <v>7841</v>
      </c>
      <c r="E9" s="247" t="s">
        <v>7842</v>
      </c>
      <c r="F9" s="248"/>
      <c r="G9" s="248"/>
      <c r="H9" s="248"/>
      <c r="I9" s="249"/>
    </row>
    <row r="10" spans="1:9" ht="31.95" customHeight="1" x14ac:dyDescent="0.3">
      <c r="A10" s="75" t="s">
        <v>8027</v>
      </c>
      <c r="B10" s="76" t="s">
        <v>8028</v>
      </c>
      <c r="C10" s="26" t="s">
        <v>7845</v>
      </c>
      <c r="D10" s="132" t="s">
        <v>7846</v>
      </c>
      <c r="E10" s="246" t="s">
        <v>8029</v>
      </c>
      <c r="F10" s="241"/>
      <c r="G10" s="241"/>
      <c r="H10" s="241"/>
      <c r="I10" s="242"/>
    </row>
    <row r="11" spans="1:9" ht="31.95" customHeight="1" x14ac:dyDescent="0.3">
      <c r="A11" s="75" t="s">
        <v>8030</v>
      </c>
      <c r="B11" s="76" t="s">
        <v>8031</v>
      </c>
      <c r="C11" s="26" t="s">
        <v>7845</v>
      </c>
      <c r="D11" s="132" t="s">
        <v>8032</v>
      </c>
      <c r="E11" s="246" t="s">
        <v>8033</v>
      </c>
      <c r="F11" s="241"/>
      <c r="G11" s="241"/>
      <c r="H11" s="241"/>
      <c r="I11" s="242"/>
    </row>
    <row r="12" spans="1:9" ht="31.95" customHeight="1" x14ac:dyDescent="0.3">
      <c r="A12" s="75" t="s">
        <v>8034</v>
      </c>
      <c r="B12" s="76" t="s">
        <v>7959</v>
      </c>
      <c r="C12" s="1" t="s">
        <v>7862</v>
      </c>
      <c r="D12" s="132" t="s">
        <v>6335</v>
      </c>
      <c r="E12" s="246" t="s">
        <v>8035</v>
      </c>
      <c r="F12" s="241"/>
      <c r="G12" s="241"/>
      <c r="H12" s="241"/>
      <c r="I12" s="242"/>
    </row>
    <row r="13" spans="1:9" ht="31.95" customHeight="1" x14ac:dyDescent="0.3">
      <c r="A13" s="75" t="s">
        <v>8036</v>
      </c>
      <c r="B13" s="76" t="s">
        <v>8037</v>
      </c>
      <c r="C13" s="1" t="s">
        <v>7862</v>
      </c>
      <c r="D13" s="132" t="s">
        <v>6335</v>
      </c>
      <c r="E13" s="246" t="s">
        <v>8038</v>
      </c>
      <c r="F13" s="241"/>
      <c r="G13" s="241"/>
      <c r="H13" s="241"/>
      <c r="I13" s="242"/>
    </row>
    <row r="14" spans="1:9" ht="31.95" customHeight="1" x14ac:dyDescent="0.3">
      <c r="A14" s="75" t="s">
        <v>8039</v>
      </c>
      <c r="B14" s="76" t="s">
        <v>8040</v>
      </c>
      <c r="C14" s="1" t="s">
        <v>7862</v>
      </c>
      <c r="D14" s="132" t="s">
        <v>6335</v>
      </c>
      <c r="E14" s="246" t="s">
        <v>8041</v>
      </c>
      <c r="F14" s="241"/>
      <c r="G14" s="241"/>
      <c r="H14" s="241"/>
      <c r="I14" s="242"/>
    </row>
    <row r="15" spans="1:9" ht="31.95" customHeight="1" x14ac:dyDescent="0.3">
      <c r="A15" s="75" t="s">
        <v>8042</v>
      </c>
      <c r="B15" s="76" t="s">
        <v>8043</v>
      </c>
      <c r="C15" s="45" t="s">
        <v>7968</v>
      </c>
      <c r="D15" s="132" t="s">
        <v>7969</v>
      </c>
      <c r="E15" s="246" t="s">
        <v>8044</v>
      </c>
      <c r="F15" s="241"/>
      <c r="G15" s="241"/>
      <c r="H15" s="241"/>
      <c r="I15" s="242"/>
    </row>
    <row r="16" spans="1:9" ht="22.05" customHeight="1" x14ac:dyDescent="0.35">
      <c r="A16" s="14" t="s">
        <v>7867</v>
      </c>
      <c r="B16" s="54" t="s">
        <v>8045</v>
      </c>
      <c r="C16" s="14" t="s">
        <v>7869</v>
      </c>
      <c r="D16" s="77">
        <v>1</v>
      </c>
      <c r="E16" s="14" t="s">
        <v>7870</v>
      </c>
      <c r="F16" s="54" t="s">
        <v>18</v>
      </c>
      <c r="G16" s="14" t="s">
        <v>7871</v>
      </c>
      <c r="H16" s="29" t="s">
        <v>8046</v>
      </c>
      <c r="I16" s="60" t="s">
        <v>7873</v>
      </c>
    </row>
    <row r="17" spans="1:9" ht="40.049999999999997" customHeight="1" x14ac:dyDescent="0.35">
      <c r="A17" s="14" t="s">
        <v>7874</v>
      </c>
      <c r="B17" s="282" t="str">
        <f>IF(I17&lt;&gt;"", I17, "Brick work with " &amp; B10 &amp; ", " &amp; B11 &amp; ", " &amp; B12 &amp; ", " &amp; B13 &amp; ", " &amp; B14 &amp; ", " &amp; B15 &amp; ", complete as per CPWD specifications and directions of Engineer-in-charge.")</f>
        <v>Brick work with common burnt clay F.P.S. (non modular) bricks class 7.5, cement mortar 1:4 (1 cement : 4 coarse sand), in foundation and plinth, one brick thick and above, including curing, not required, complete as per CPWD specifications and directions of Engineer-in-charge.</v>
      </c>
      <c r="C17" s="241"/>
      <c r="D17" s="241"/>
      <c r="E17" s="241"/>
      <c r="F17" s="241"/>
      <c r="G17" s="242"/>
      <c r="H17" s="60" t="s">
        <v>7875</v>
      </c>
      <c r="I17" s="133"/>
    </row>
    <row r="18" spans="1:9" ht="24" customHeight="1" x14ac:dyDescent="0.3">
      <c r="A18" s="239" t="s">
        <v>7876</v>
      </c>
      <c r="B18" s="228"/>
      <c r="C18" s="228"/>
      <c r="D18" s="228"/>
      <c r="E18" s="228"/>
      <c r="F18" s="228"/>
      <c r="G18" s="228"/>
      <c r="H18" s="228"/>
      <c r="I18" s="228"/>
    </row>
    <row r="19" spans="1:9" ht="25.95" customHeight="1" x14ac:dyDescent="0.3">
      <c r="A19" s="153" t="s">
        <v>7877</v>
      </c>
      <c r="B19" s="153" t="s">
        <v>6393</v>
      </c>
      <c r="C19" s="153" t="s">
        <v>6</v>
      </c>
      <c r="D19" s="153" t="s">
        <v>7878</v>
      </c>
      <c r="E19" s="247" t="s">
        <v>7879</v>
      </c>
      <c r="F19" s="248"/>
      <c r="G19" s="248"/>
      <c r="H19" s="248"/>
      <c r="I19" s="249"/>
    </row>
    <row r="20" spans="1:9" ht="30" customHeight="1" x14ac:dyDescent="0.3">
      <c r="A20" s="75" t="s">
        <v>8047</v>
      </c>
      <c r="B20" s="145">
        <v>0.49399999999999999</v>
      </c>
      <c r="C20" s="16" t="s">
        <v>8048</v>
      </c>
      <c r="D20" s="132" t="s">
        <v>7846</v>
      </c>
      <c r="E20" s="246" t="s">
        <v>8049</v>
      </c>
      <c r="F20" s="241"/>
      <c r="G20" s="241"/>
      <c r="H20" s="241"/>
      <c r="I20" s="242"/>
    </row>
    <row r="21" spans="1:9" ht="30" customHeight="1" x14ac:dyDescent="0.3">
      <c r="A21" s="75" t="s">
        <v>8050</v>
      </c>
      <c r="B21" s="145">
        <v>0.25</v>
      </c>
      <c r="C21" s="16" t="s">
        <v>8051</v>
      </c>
      <c r="D21" s="132" t="s">
        <v>8032</v>
      </c>
      <c r="E21" s="246" t="s">
        <v>8052</v>
      </c>
      <c r="F21" s="241"/>
      <c r="G21" s="241"/>
      <c r="H21" s="241"/>
      <c r="I21" s="242"/>
    </row>
    <row r="22" spans="1:9" ht="30" customHeight="1" x14ac:dyDescent="0.3">
      <c r="A22" s="75" t="s">
        <v>8053</v>
      </c>
      <c r="B22" s="77">
        <v>0</v>
      </c>
      <c r="C22" s="16" t="s">
        <v>7891</v>
      </c>
      <c r="D22" s="132" t="s">
        <v>7846</v>
      </c>
      <c r="E22" s="246" t="s">
        <v>8054</v>
      </c>
      <c r="F22" s="241"/>
      <c r="G22" s="241"/>
      <c r="H22" s="241"/>
      <c r="I22" s="242"/>
    </row>
    <row r="23" spans="1:9" ht="30" customHeight="1" x14ac:dyDescent="0.3">
      <c r="A23" s="75" t="s">
        <v>8055</v>
      </c>
      <c r="B23" s="77">
        <v>0</v>
      </c>
      <c r="C23" s="16" t="s">
        <v>8056</v>
      </c>
      <c r="D23" s="132" t="s">
        <v>7969</v>
      </c>
      <c r="E23" s="246" t="s">
        <v>8057</v>
      </c>
      <c r="F23" s="241"/>
      <c r="G23" s="241"/>
      <c r="H23" s="241"/>
      <c r="I23" s="242"/>
    </row>
    <row r="24" spans="1:9" ht="43.95" customHeight="1" x14ac:dyDescent="0.3">
      <c r="A24" s="237" t="s">
        <v>7893</v>
      </c>
      <c r="B24" s="241"/>
      <c r="C24" s="241"/>
      <c r="D24" s="241"/>
      <c r="E24" s="241"/>
      <c r="F24" s="241"/>
      <c r="G24" s="241"/>
      <c r="H24" s="241"/>
      <c r="I24" s="242"/>
    </row>
    <row r="25" spans="1:9" ht="22.05" customHeight="1" x14ac:dyDescent="0.3">
      <c r="A25" s="92" t="s">
        <v>6500</v>
      </c>
      <c r="B25" s="93" t="str">
        <f>IF(AND(D25="OK", F25="OK", H25="OK"), "[PASS] ALL CHECKS OK", "[ALERT] CHECKS FAILED")</f>
        <v>[PASS] ALL CHECKS OK</v>
      </c>
      <c r="C25" s="94" t="s">
        <v>7894</v>
      </c>
      <c r="D25" s="48" t="str">
        <f>IF(D16&gt;0, "OK", "ERR: Qty&lt;=0")</f>
        <v>OK</v>
      </c>
      <c r="E25" s="94" t="s">
        <v>7895</v>
      </c>
      <c r="F25" s="48" t="str">
        <f>IF(G59&gt;0, "OK", "ERR: W&lt;=0")</f>
        <v>OK</v>
      </c>
      <c r="G25" s="94" t="s">
        <v>7896</v>
      </c>
      <c r="H25" s="48" t="str">
        <f>IF(AND(G59&lt;=G61, G61&lt;=G63, G63&lt;=G65, G39&lt;=G59), "OK", "ERR: Markups Broken")</f>
        <v>OK</v>
      </c>
      <c r="I25" s="132" t="str">
        <f>IF(G39&gt;0, "A-rule active", "No A imports")</f>
        <v>No A imports</v>
      </c>
    </row>
    <row r="26" spans="1:9" ht="24" customHeight="1" x14ac:dyDescent="0.3">
      <c r="A26" s="239" t="s">
        <v>7897</v>
      </c>
      <c r="B26" s="228"/>
      <c r="C26" s="228"/>
      <c r="D26" s="228"/>
      <c r="E26" s="228"/>
      <c r="F26" s="228"/>
      <c r="G26" s="228"/>
      <c r="H26" s="228"/>
      <c r="I26" s="228"/>
    </row>
    <row r="27" spans="1:9" ht="24" customHeight="1" x14ac:dyDescent="0.3">
      <c r="A27" s="153" t="s">
        <v>6313</v>
      </c>
      <c r="B27" s="153" t="s">
        <v>6314</v>
      </c>
      <c r="C27" s="153" t="s">
        <v>5</v>
      </c>
      <c r="D27" s="153" t="s">
        <v>6</v>
      </c>
      <c r="E27" s="153" t="s">
        <v>6315</v>
      </c>
      <c r="F27" s="153" t="s">
        <v>7</v>
      </c>
      <c r="G27" s="153" t="s">
        <v>6316</v>
      </c>
      <c r="H27" s="153" t="s">
        <v>6317</v>
      </c>
      <c r="I27" s="153" t="s">
        <v>6318</v>
      </c>
    </row>
    <row r="28" spans="1:9" ht="19.95" customHeight="1" x14ac:dyDescent="0.3">
      <c r="A28" s="16">
        <v>1</v>
      </c>
      <c r="B28" s="54" t="s">
        <v>1904</v>
      </c>
      <c r="C28" s="72" t="str">
        <f>IF(B28="","", IFERROR(INDEX(Rates_Master!$C:$C, MATCH(B28, Rates_Master!$A:$A, 0)), "Custom / Intermediate Material"))</f>
        <v>Common burnt clay F.P.S. (non modular) bricks class designation 7.5</v>
      </c>
      <c r="D28" s="56" t="str">
        <f>IF(B28="","", IFERROR(INDEX(Rates_Master!$D:$D, MATCH(B28, Rates_Master!$A:$A, 0)), ""))</f>
        <v>1000 Nos</v>
      </c>
      <c r="E28" s="57">
        <v>0.49399999999999999</v>
      </c>
      <c r="F28" s="58">
        <f>IF(B28="","", IFERROR(INDEX(Rates_Master!$E:$E, MATCH(B28, Rates_Master!$A:$A, 0)), 0))</f>
        <v>4500</v>
      </c>
      <c r="G28" s="37">
        <f t="shared" ref="G28:G37" si="0">IF(OR(B28="", E28=""), 0, ROUND(E28 * F28, 2))</f>
        <v>2223</v>
      </c>
      <c r="H28" s="135" t="s">
        <v>8058</v>
      </c>
      <c r="I28" s="54"/>
    </row>
    <row r="29" spans="1:9" ht="19.95" customHeight="1" x14ac:dyDescent="0.3">
      <c r="A29" s="16">
        <v>2</v>
      </c>
      <c r="B29" s="54" t="s">
        <v>1626</v>
      </c>
      <c r="C29" s="72" t="str">
        <f>IF(B29="","", IFERROR(INDEX(Rates_Master!$C:$C, MATCH(B29, Rates_Master!$A:$A, 0)), "Custom / Intermediate Material"))</f>
        <v>Carriage of Bricks</v>
      </c>
      <c r="D29" s="56" t="str">
        <f>IF(B29="","", IFERROR(INDEX(Rates_Master!$D:$D, MATCH(B29, Rates_Master!$A:$A, 0)), ""))</f>
        <v>1000 Nos</v>
      </c>
      <c r="E29" s="57">
        <v>0.49399999999999999</v>
      </c>
      <c r="F29" s="58">
        <f>IF(B29="","", IFERROR(INDEX(Rates_Master!$E:$E, MATCH(B29, Rates_Master!$A:$A, 0)), 0))</f>
        <v>276.72000000000003</v>
      </c>
      <c r="G29" s="37">
        <f t="shared" si="0"/>
        <v>136.69999999999999</v>
      </c>
      <c r="H29" s="135" t="s">
        <v>8059</v>
      </c>
      <c r="I29" s="54"/>
    </row>
    <row r="30" spans="1:9" ht="19.95" customHeight="1" x14ac:dyDescent="0.3">
      <c r="A30" s="16">
        <v>3</v>
      </c>
      <c r="B30" s="54" t="s">
        <v>4572</v>
      </c>
      <c r="C30" s="72" t="s">
        <v>8060</v>
      </c>
      <c r="D30" s="56" t="s">
        <v>18</v>
      </c>
      <c r="E30" s="57">
        <v>0.25</v>
      </c>
      <c r="F30" s="58">
        <f>'03_Mortars'!G69</f>
        <v>3956.5</v>
      </c>
      <c r="G30" s="37">
        <f t="shared" si="0"/>
        <v>989.13</v>
      </c>
      <c r="H30" s="135" t="s">
        <v>8061</v>
      </c>
      <c r="I30" s="54"/>
    </row>
    <row r="31" spans="1:9" ht="19.95" customHeight="1" x14ac:dyDescent="0.3">
      <c r="A31" s="16">
        <v>4</v>
      </c>
      <c r="B31" s="54"/>
      <c r="C31" s="72" t="str">
        <f>IF(B31="","", IFERROR(INDEX(Rates_Master!$C:$C, MATCH(B31, Rates_Master!$A:$A, 0)), "Custom / Intermediate Material"))</f>
        <v/>
      </c>
      <c r="D31" s="56" t="str">
        <f>IF(B31="","", IFERROR(INDEX(Rates_Master!$D:$D, MATCH(B31, Rates_Master!$A:$A, 0)), ""))</f>
        <v/>
      </c>
      <c r="E31" s="57"/>
      <c r="F31" s="58" t="str">
        <f>IF(B31="","", IFERROR(INDEX(Rates_Master!$E:$E, MATCH(B31, Rates_Master!$A:$A, 0)), 0))</f>
        <v/>
      </c>
      <c r="G31" s="37">
        <f t="shared" si="0"/>
        <v>0</v>
      </c>
      <c r="H31" s="135"/>
      <c r="I31" s="54"/>
    </row>
    <row r="32" spans="1:9" ht="19.95" customHeight="1" x14ac:dyDescent="0.3">
      <c r="A32" s="16">
        <v>5</v>
      </c>
      <c r="B32" s="54"/>
      <c r="C32" s="72" t="str">
        <f>IF(B32="","", IFERROR(INDEX(Rates_Master!$C:$C, MATCH(B32, Rates_Master!$A:$A, 0)), "Custom / Intermediate Material"))</f>
        <v/>
      </c>
      <c r="D32" s="56" t="str">
        <f>IF(B32="","", IFERROR(INDEX(Rates_Master!$D:$D, MATCH(B32, Rates_Master!$A:$A, 0)), ""))</f>
        <v/>
      </c>
      <c r="E32" s="57"/>
      <c r="F32" s="58" t="str">
        <f>IF(B32="","", IFERROR(INDEX(Rates_Master!$E:$E, MATCH(B32, Rates_Master!$A:$A, 0)), 0))</f>
        <v/>
      </c>
      <c r="G32" s="37">
        <f t="shared" si="0"/>
        <v>0</v>
      </c>
      <c r="H32" s="135"/>
      <c r="I32" s="54"/>
    </row>
    <row r="33" spans="1:9" ht="19.95" customHeight="1" x14ac:dyDescent="0.3">
      <c r="A33" s="16">
        <v>6</v>
      </c>
      <c r="B33" s="54"/>
      <c r="C33" s="72" t="str">
        <f>IF(B33="","", IFERROR(INDEX(Rates_Master!$C:$C, MATCH(B33, Rates_Master!$A:$A, 0)), "Custom / Intermediate Material"))</f>
        <v/>
      </c>
      <c r="D33" s="56" t="str">
        <f>IF(B33="","", IFERROR(INDEX(Rates_Master!$D:$D, MATCH(B33, Rates_Master!$A:$A, 0)), ""))</f>
        <v/>
      </c>
      <c r="E33" s="57"/>
      <c r="F33" s="58" t="str">
        <f>IF(B33="","", IFERROR(INDEX(Rates_Master!$E:$E, MATCH(B33, Rates_Master!$A:$A, 0)), 0))</f>
        <v/>
      </c>
      <c r="G33" s="37">
        <f t="shared" si="0"/>
        <v>0</v>
      </c>
      <c r="H33" s="135"/>
      <c r="I33" s="54"/>
    </row>
    <row r="34" spans="1:9" ht="19.95" customHeight="1" x14ac:dyDescent="0.3">
      <c r="A34" s="16">
        <v>7</v>
      </c>
      <c r="B34" s="54"/>
      <c r="C34" s="72" t="str">
        <f>IF(B34="","", IFERROR(INDEX(Rates_Master!$C:$C, MATCH(B34, Rates_Master!$A:$A, 0)), "Custom / Intermediate Material"))</f>
        <v/>
      </c>
      <c r="D34" s="56" t="str">
        <f>IF(B34="","", IFERROR(INDEX(Rates_Master!$D:$D, MATCH(B34, Rates_Master!$A:$A, 0)), ""))</f>
        <v/>
      </c>
      <c r="E34" s="57"/>
      <c r="F34" s="58" t="str">
        <f>IF(B34="","", IFERROR(INDEX(Rates_Master!$E:$E, MATCH(B34, Rates_Master!$A:$A, 0)), 0))</f>
        <v/>
      </c>
      <c r="G34" s="37">
        <f t="shared" si="0"/>
        <v>0</v>
      </c>
      <c r="H34" s="135"/>
      <c r="I34" s="54"/>
    </row>
    <row r="35" spans="1:9" ht="19.95" customHeight="1" x14ac:dyDescent="0.3">
      <c r="A35" s="16">
        <v>8</v>
      </c>
      <c r="B35" s="54"/>
      <c r="C35" s="72" t="str">
        <f>IF(B35="","", IFERROR(INDEX(Rates_Master!$C:$C, MATCH(B35, Rates_Master!$A:$A, 0)), "Custom / Intermediate Material"))</f>
        <v/>
      </c>
      <c r="D35" s="56" t="str">
        <f>IF(B35="","", IFERROR(INDEX(Rates_Master!$D:$D, MATCH(B35, Rates_Master!$A:$A, 0)), ""))</f>
        <v/>
      </c>
      <c r="E35" s="57"/>
      <c r="F35" s="58" t="str">
        <f>IF(B35="","", IFERROR(INDEX(Rates_Master!$E:$E, MATCH(B35, Rates_Master!$A:$A, 0)), 0))</f>
        <v/>
      </c>
      <c r="G35" s="37">
        <f t="shared" si="0"/>
        <v>0</v>
      </c>
      <c r="H35" s="135"/>
      <c r="I35" s="54"/>
    </row>
    <row r="36" spans="1:9" ht="19.95" customHeight="1" x14ac:dyDescent="0.3">
      <c r="A36" s="16">
        <v>9</v>
      </c>
      <c r="B36" s="54"/>
      <c r="C36" s="72" t="str">
        <f>IF(B36="","", IFERROR(INDEX(Rates_Master!$C:$C, MATCH(B36, Rates_Master!$A:$A, 0)), "Custom / Intermediate Material"))</f>
        <v/>
      </c>
      <c r="D36" s="56" t="str">
        <f>IF(B36="","", IFERROR(INDEX(Rates_Master!$D:$D, MATCH(B36, Rates_Master!$A:$A, 0)), ""))</f>
        <v/>
      </c>
      <c r="E36" s="57"/>
      <c r="F36" s="58" t="str">
        <f>IF(B36="","", IFERROR(INDEX(Rates_Master!$E:$E, MATCH(B36, Rates_Master!$A:$A, 0)), 0))</f>
        <v/>
      </c>
      <c r="G36" s="37">
        <f t="shared" si="0"/>
        <v>0</v>
      </c>
      <c r="H36" s="135"/>
      <c r="I36" s="54"/>
    </row>
    <row r="37" spans="1:9" ht="19.95" customHeight="1" x14ac:dyDescent="0.3">
      <c r="A37" s="16">
        <v>10</v>
      </c>
      <c r="B37" s="54"/>
      <c r="C37" s="72" t="str">
        <f>IF(B37="","", IFERROR(INDEX(Rates_Master!$C:$C, MATCH(B37, Rates_Master!$A:$A, 0)), "Custom / Intermediate Material"))</f>
        <v/>
      </c>
      <c r="D37" s="56" t="str">
        <f>IF(B37="","", IFERROR(INDEX(Rates_Master!$D:$D, MATCH(B37, Rates_Master!$A:$A, 0)), ""))</f>
        <v/>
      </c>
      <c r="E37" s="57"/>
      <c r="F37" s="58" t="str">
        <f>IF(B37="","", IFERROR(INDEX(Rates_Master!$E:$E, MATCH(B37, Rates_Master!$A:$A, 0)), 0))</f>
        <v/>
      </c>
      <c r="G37" s="37">
        <f t="shared" si="0"/>
        <v>0</v>
      </c>
      <c r="H37" s="135"/>
      <c r="I37" s="54"/>
    </row>
    <row r="38" spans="1:9" ht="22.05" customHeight="1" x14ac:dyDescent="0.3">
      <c r="A38" s="252" t="s">
        <v>7899</v>
      </c>
      <c r="B38" s="253"/>
      <c r="C38" s="253"/>
      <c r="D38" s="253"/>
      <c r="E38" s="253"/>
      <c r="F38" s="254"/>
      <c r="G38" s="100">
        <f>SUM(G28:G37)</f>
        <v>3348.83</v>
      </c>
      <c r="H38" s="99"/>
      <c r="I38" s="99"/>
    </row>
    <row r="39" spans="1:9" ht="30" customHeight="1" x14ac:dyDescent="0.3">
      <c r="A39" s="244" t="s">
        <v>7900</v>
      </c>
      <c r="B39" s="241"/>
      <c r="C39" s="241"/>
      <c r="D39" s="241"/>
      <c r="E39" s="241"/>
      <c r="F39" s="242"/>
      <c r="G39" s="41">
        <f>ROUND(SUMIF($I$28:$I$37, "A", $G$28:$G$37), 2)</f>
        <v>0</v>
      </c>
      <c r="H39" s="63" t="s">
        <v>7901</v>
      </c>
      <c r="I39" s="61"/>
    </row>
    <row r="40" spans="1:9" ht="24" customHeight="1" x14ac:dyDescent="0.3">
      <c r="A40" s="239" t="s">
        <v>7902</v>
      </c>
      <c r="B40" s="228"/>
      <c r="C40" s="228"/>
      <c r="D40" s="228"/>
      <c r="E40" s="228"/>
      <c r="F40" s="228"/>
      <c r="G40" s="228"/>
      <c r="H40" s="228"/>
      <c r="I40" s="228"/>
    </row>
    <row r="41" spans="1:9" ht="24" customHeight="1" x14ac:dyDescent="0.3">
      <c r="A41" s="153" t="s">
        <v>6313</v>
      </c>
      <c r="B41" s="153" t="s">
        <v>6314</v>
      </c>
      <c r="C41" s="153" t="s">
        <v>5</v>
      </c>
      <c r="D41" s="153" t="s">
        <v>6</v>
      </c>
      <c r="E41" s="153" t="s">
        <v>6315</v>
      </c>
      <c r="F41" s="153" t="s">
        <v>7</v>
      </c>
      <c r="G41" s="153" t="s">
        <v>6316</v>
      </c>
      <c r="H41" s="153" t="s">
        <v>6317</v>
      </c>
      <c r="I41" s="153" t="s">
        <v>6318</v>
      </c>
    </row>
    <row r="42" spans="1:9" ht="19.95" customHeight="1" x14ac:dyDescent="0.3">
      <c r="A42" s="16">
        <v>1</v>
      </c>
      <c r="B42" s="54" t="s">
        <v>221</v>
      </c>
      <c r="C42" s="72" t="str">
        <f>IF(B42="","", IFERROR(INDEX(Rates_Master!$C:$C, MATCH(B42, Rates_Master!$A:$A, 0)), "Custom Labour / Plant"))</f>
        <v>Mason (brick layer) 1st class</v>
      </c>
      <c r="D42" s="56" t="str">
        <f>IF(B42="","", IFERROR(INDEX(Rates_Master!$D:$D, MATCH(B42, Rates_Master!$A:$A, 0)), ""))</f>
        <v>day</v>
      </c>
      <c r="E42" s="57">
        <v>0.36</v>
      </c>
      <c r="F42" s="58">
        <f>IF(B42="","", IFERROR(INDEX(Rates_Master!$E:$E, MATCH(B42, Rates_Master!$A:$A, 0)), 0))</f>
        <v>738</v>
      </c>
      <c r="G42" s="37">
        <f t="shared" ref="G42:G51" si="1">IF(OR(B42="", E42=""), 0, ROUND(E42 * F42, 2))</f>
        <v>265.68</v>
      </c>
      <c r="H42" s="135" t="s">
        <v>222</v>
      </c>
      <c r="I42" s="5"/>
    </row>
    <row r="43" spans="1:9" ht="19.95" customHeight="1" x14ac:dyDescent="0.3">
      <c r="A43" s="16">
        <v>2</v>
      </c>
      <c r="B43" s="54" t="s">
        <v>223</v>
      </c>
      <c r="C43" s="72" t="str">
        <f>IF(B43="","", IFERROR(INDEX(Rates_Master!$C:$C, MATCH(B43, Rates_Master!$A:$A, 0)), "Custom Labour / Plant"))</f>
        <v>Mason (brick layer) 2nd class</v>
      </c>
      <c r="D43" s="56" t="str">
        <f>IF(B43="","", IFERROR(INDEX(Rates_Master!$D:$D, MATCH(B43, Rates_Master!$A:$A, 0)), ""))</f>
        <v>day</v>
      </c>
      <c r="E43" s="57">
        <v>0.36</v>
      </c>
      <c r="F43" s="58">
        <f>IF(B43="","", IFERROR(INDEX(Rates_Master!$E:$E, MATCH(B43, Rates_Master!$A:$A, 0)), 0))</f>
        <v>679</v>
      </c>
      <c r="G43" s="37">
        <f t="shared" si="1"/>
        <v>244.44</v>
      </c>
      <c r="H43" s="135" t="s">
        <v>224</v>
      </c>
      <c r="I43" s="5"/>
    </row>
    <row r="44" spans="1:9" ht="19.95" customHeight="1" x14ac:dyDescent="0.3">
      <c r="A44" s="16">
        <v>3</v>
      </c>
      <c r="B44" s="54" t="s">
        <v>211</v>
      </c>
      <c r="C44" s="72" t="str">
        <f>IF(B44="","", IFERROR(INDEX(Rates_Master!$C:$C, MATCH(B44, Rates_Master!$A:$A, 0)), "Custom Labour / Plant"))</f>
        <v>Coolie</v>
      </c>
      <c r="D44" s="56" t="str">
        <f>IF(B44="","", IFERROR(INDEX(Rates_Master!$D:$D, MATCH(B44, Rates_Master!$A:$A, 0)), ""))</f>
        <v>day</v>
      </c>
      <c r="E44" s="57">
        <v>1.37</v>
      </c>
      <c r="F44" s="58">
        <f>IF(B44="","", IFERROR(INDEX(Rates_Master!$E:$E, MATCH(B44, Rates_Master!$A:$A, 0)), 0))</f>
        <v>558</v>
      </c>
      <c r="G44" s="37">
        <f t="shared" si="1"/>
        <v>764.46</v>
      </c>
      <c r="H44" s="135" t="s">
        <v>212</v>
      </c>
      <c r="I44" s="5"/>
    </row>
    <row r="45" spans="1:9" ht="19.95" customHeight="1" x14ac:dyDescent="0.3">
      <c r="A45" s="16">
        <v>4</v>
      </c>
      <c r="B45" s="54" t="s">
        <v>197</v>
      </c>
      <c r="C45" s="72" t="str">
        <f>IF(B45="","", IFERROR(INDEX(Rates_Master!$C:$C, MATCH(B45, Rates_Master!$A:$A, 0)), "Custom Labour / Plant"))</f>
        <v>Bhisti</v>
      </c>
      <c r="D45" s="56" t="str">
        <f>IF(B45="","", IFERROR(INDEX(Rates_Master!$D:$D, MATCH(B45, Rates_Master!$A:$A, 0)), ""))</f>
        <v>day</v>
      </c>
      <c r="E45" s="57">
        <v>0.2</v>
      </c>
      <c r="F45" s="58">
        <f>IF(B45="","", IFERROR(INDEX(Rates_Master!$E:$E, MATCH(B45, Rates_Master!$A:$A, 0)), 0))</f>
        <v>617</v>
      </c>
      <c r="G45" s="37">
        <f t="shared" si="1"/>
        <v>123.4</v>
      </c>
      <c r="H45" s="135" t="s">
        <v>198</v>
      </c>
      <c r="I45" s="5"/>
    </row>
    <row r="46" spans="1:9" ht="19.95" customHeight="1" x14ac:dyDescent="0.3">
      <c r="A46" s="16">
        <v>5</v>
      </c>
      <c r="B46" s="54"/>
      <c r="C46" s="72" t="str">
        <f>IF(B46="","", IFERROR(INDEX(Rates_Master!$C:$C, MATCH(B46, Rates_Master!$A:$A, 0)), "Custom Labour / Plant"))</f>
        <v/>
      </c>
      <c r="D46" s="56" t="str">
        <f>IF(B46="","", IFERROR(INDEX(Rates_Master!$D:$D, MATCH(B46, Rates_Master!$A:$A, 0)), ""))</f>
        <v/>
      </c>
      <c r="E46" s="57"/>
      <c r="F46" s="58" t="str">
        <f>IF(B46="","", IFERROR(INDEX(Rates_Master!$E:$E, MATCH(B46, Rates_Master!$A:$A, 0)), 0))</f>
        <v/>
      </c>
      <c r="G46" s="37">
        <f t="shared" si="1"/>
        <v>0</v>
      </c>
      <c r="H46" s="135"/>
      <c r="I46" s="5"/>
    </row>
    <row r="47" spans="1:9" ht="19.95" customHeight="1" x14ac:dyDescent="0.3">
      <c r="A47" s="16">
        <v>6</v>
      </c>
      <c r="B47" s="54"/>
      <c r="C47" s="72" t="str">
        <f>IF(B47="","", IFERROR(INDEX(Rates_Master!$C:$C, MATCH(B47, Rates_Master!$A:$A, 0)), "Custom Labour / Plant"))</f>
        <v/>
      </c>
      <c r="D47" s="56" t="str">
        <f>IF(B47="","", IFERROR(INDEX(Rates_Master!$D:$D, MATCH(B47, Rates_Master!$A:$A, 0)), ""))</f>
        <v/>
      </c>
      <c r="E47" s="57"/>
      <c r="F47" s="58" t="str">
        <f>IF(B47="","", IFERROR(INDEX(Rates_Master!$E:$E, MATCH(B47, Rates_Master!$A:$A, 0)), 0))</f>
        <v/>
      </c>
      <c r="G47" s="37">
        <f t="shared" si="1"/>
        <v>0</v>
      </c>
      <c r="H47" s="135"/>
      <c r="I47" s="5"/>
    </row>
    <row r="48" spans="1:9" ht="19.95" customHeight="1" x14ac:dyDescent="0.3">
      <c r="A48" s="16">
        <v>7</v>
      </c>
      <c r="B48" s="54"/>
      <c r="C48" s="72" t="str">
        <f>IF(B48="","", IFERROR(INDEX(Rates_Master!$C:$C, MATCH(B48, Rates_Master!$A:$A, 0)), "Custom Labour / Plant"))</f>
        <v/>
      </c>
      <c r="D48" s="56" t="str">
        <f>IF(B48="","", IFERROR(INDEX(Rates_Master!$D:$D, MATCH(B48, Rates_Master!$A:$A, 0)), ""))</f>
        <v/>
      </c>
      <c r="E48" s="57"/>
      <c r="F48" s="58" t="str">
        <f>IF(B48="","", IFERROR(INDEX(Rates_Master!$E:$E, MATCH(B48, Rates_Master!$A:$A, 0)), 0))</f>
        <v/>
      </c>
      <c r="G48" s="37">
        <f t="shared" si="1"/>
        <v>0</v>
      </c>
      <c r="H48" s="135"/>
      <c r="I48" s="5"/>
    </row>
    <row r="49" spans="1:9" ht="19.95" customHeight="1" x14ac:dyDescent="0.3">
      <c r="A49" s="16">
        <v>8</v>
      </c>
      <c r="B49" s="54"/>
      <c r="C49" s="72" t="str">
        <f>IF(B49="","", IFERROR(INDEX(Rates_Master!$C:$C, MATCH(B49, Rates_Master!$A:$A, 0)), "Custom Labour / Plant"))</f>
        <v/>
      </c>
      <c r="D49" s="56" t="str">
        <f>IF(B49="","", IFERROR(INDEX(Rates_Master!$D:$D, MATCH(B49, Rates_Master!$A:$A, 0)), ""))</f>
        <v/>
      </c>
      <c r="E49" s="57"/>
      <c r="F49" s="58" t="str">
        <f>IF(B49="","", IFERROR(INDEX(Rates_Master!$E:$E, MATCH(B49, Rates_Master!$A:$A, 0)), 0))</f>
        <v/>
      </c>
      <c r="G49" s="37">
        <f t="shared" si="1"/>
        <v>0</v>
      </c>
      <c r="H49" s="135"/>
      <c r="I49" s="5"/>
    </row>
    <row r="50" spans="1:9" ht="19.95" customHeight="1" x14ac:dyDescent="0.3">
      <c r="A50" s="16">
        <v>9</v>
      </c>
      <c r="B50" s="54"/>
      <c r="C50" s="72" t="str">
        <f>IF(B50="","", IFERROR(INDEX(Rates_Master!$C:$C, MATCH(B50, Rates_Master!$A:$A, 0)), "Custom Labour / Plant"))</f>
        <v/>
      </c>
      <c r="D50" s="56" t="str">
        <f>IF(B50="","", IFERROR(INDEX(Rates_Master!$D:$D, MATCH(B50, Rates_Master!$A:$A, 0)), ""))</f>
        <v/>
      </c>
      <c r="E50" s="57"/>
      <c r="F50" s="58" t="str">
        <f>IF(B50="","", IFERROR(INDEX(Rates_Master!$E:$E, MATCH(B50, Rates_Master!$A:$A, 0)), 0))</f>
        <v/>
      </c>
      <c r="G50" s="37">
        <f t="shared" si="1"/>
        <v>0</v>
      </c>
      <c r="H50" s="135"/>
      <c r="I50" s="5"/>
    </row>
    <row r="51" spans="1:9" ht="19.95" customHeight="1" x14ac:dyDescent="0.3">
      <c r="A51" s="16">
        <v>10</v>
      </c>
      <c r="B51" s="54"/>
      <c r="C51" s="72" t="str">
        <f>IF(B51="","", IFERROR(INDEX(Rates_Master!$C:$C, MATCH(B51, Rates_Master!$A:$A, 0)), "Custom Labour / Plant"))</f>
        <v/>
      </c>
      <c r="D51" s="56" t="str">
        <f>IF(B51="","", IFERROR(INDEX(Rates_Master!$D:$D, MATCH(B51, Rates_Master!$A:$A, 0)), ""))</f>
        <v/>
      </c>
      <c r="E51" s="57"/>
      <c r="F51" s="58" t="str">
        <f>IF(B51="","", IFERROR(INDEX(Rates_Master!$E:$E, MATCH(B51, Rates_Master!$A:$A, 0)), 0))</f>
        <v/>
      </c>
      <c r="G51" s="37">
        <f t="shared" si="1"/>
        <v>0</v>
      </c>
      <c r="H51" s="135"/>
      <c r="I51" s="5"/>
    </row>
    <row r="52" spans="1:9" ht="22.05" customHeight="1" x14ac:dyDescent="0.3">
      <c r="A52" s="252" t="s">
        <v>7905</v>
      </c>
      <c r="B52" s="253"/>
      <c r="C52" s="253"/>
      <c r="D52" s="253"/>
      <c r="E52" s="253"/>
      <c r="F52" s="254"/>
      <c r="G52" s="100">
        <f>SUM(G42:G51)</f>
        <v>1397.98</v>
      </c>
      <c r="H52" s="99"/>
      <c r="I52" s="99"/>
    </row>
    <row r="54" spans="1:9" ht="24" customHeight="1" x14ac:dyDescent="0.3">
      <c r="A54" s="239" t="s">
        <v>7906</v>
      </c>
      <c r="B54" s="228"/>
      <c r="C54" s="228"/>
      <c r="D54" s="228"/>
      <c r="E54" s="228"/>
      <c r="F54" s="228"/>
      <c r="G54" s="228"/>
      <c r="H54" s="228"/>
      <c r="I54" s="228"/>
    </row>
    <row r="55" spans="1:9" ht="22.05" customHeight="1" x14ac:dyDescent="0.3">
      <c r="A55" s="16" t="s">
        <v>4390</v>
      </c>
      <c r="B55" s="48" t="s">
        <v>4269</v>
      </c>
      <c r="C55" s="53" t="s">
        <v>7907</v>
      </c>
      <c r="D55" s="16" t="s">
        <v>4266</v>
      </c>
      <c r="E55" s="22">
        <v>2.73</v>
      </c>
      <c r="F55" s="59">
        <f>Factor_Sundries</f>
        <v>2</v>
      </c>
      <c r="G55" s="65">
        <f>ROUND(E55 * F55, 2)</f>
        <v>5.46</v>
      </c>
      <c r="H55" s="60" t="s">
        <v>7908</v>
      </c>
      <c r="I55" s="53"/>
    </row>
    <row r="57" spans="1:9" ht="24" customHeight="1" x14ac:dyDescent="0.3">
      <c r="A57" s="239" t="s">
        <v>7909</v>
      </c>
      <c r="B57" s="228"/>
      <c r="C57" s="228"/>
      <c r="D57" s="228"/>
      <c r="E57" s="228"/>
      <c r="F57" s="228"/>
      <c r="G57" s="228"/>
      <c r="H57" s="228"/>
      <c r="I57" s="228"/>
    </row>
    <row r="58" spans="1:9" ht="24" customHeight="1" x14ac:dyDescent="0.3">
      <c r="A58" s="153" t="s">
        <v>6516</v>
      </c>
      <c r="B58" s="153" t="s">
        <v>6994</v>
      </c>
      <c r="C58" s="153" t="s">
        <v>6518</v>
      </c>
      <c r="D58" s="153" t="s">
        <v>6519</v>
      </c>
      <c r="E58" s="153" t="s">
        <v>6520</v>
      </c>
      <c r="F58" s="153" t="s">
        <v>6521</v>
      </c>
      <c r="G58" s="153" t="s">
        <v>6316</v>
      </c>
      <c r="H58" s="153" t="s">
        <v>6522</v>
      </c>
      <c r="I58" s="153" t="s">
        <v>7910</v>
      </c>
    </row>
    <row r="59" spans="1:9" ht="24" customHeight="1" x14ac:dyDescent="0.3">
      <c r="A59" s="1" t="s">
        <v>6523</v>
      </c>
      <c r="B59" s="67" t="s">
        <v>7911</v>
      </c>
      <c r="C59" s="66" t="s">
        <v>6335</v>
      </c>
      <c r="D59" s="66" t="s">
        <v>7001</v>
      </c>
      <c r="E59" s="102" t="s">
        <v>6335</v>
      </c>
      <c r="F59" s="102" t="s">
        <v>6335</v>
      </c>
      <c r="G59" s="41">
        <f>G38 + G52 + G55</f>
        <v>4752.2699999999995</v>
      </c>
      <c r="H59" s="63" t="s">
        <v>7912</v>
      </c>
      <c r="I59" s="136" t="s">
        <v>7913</v>
      </c>
    </row>
    <row r="60" spans="1:9" ht="24" customHeight="1" x14ac:dyDescent="0.3">
      <c r="A60" s="48" t="s">
        <v>6331</v>
      </c>
      <c r="B60" s="17" t="s">
        <v>6527</v>
      </c>
      <c r="C60" s="54" t="s">
        <v>4318</v>
      </c>
      <c r="D60" s="16" t="s">
        <v>7004</v>
      </c>
      <c r="E60" s="51">
        <f>G59 - G39</f>
        <v>4752.2699999999995</v>
      </c>
      <c r="F60" s="64">
        <f>Factor_Water</f>
        <v>0.01</v>
      </c>
      <c r="G60" s="65">
        <f>IF(C60="YES", ROUND(E60 * F60, 2), 0)</f>
        <v>47.52</v>
      </c>
      <c r="H60" s="152" t="s">
        <v>8062</v>
      </c>
      <c r="I60" s="132" t="s">
        <v>7915</v>
      </c>
    </row>
    <row r="61" spans="1:9" ht="24" customHeight="1" x14ac:dyDescent="0.3">
      <c r="A61" s="1" t="s">
        <v>6334</v>
      </c>
      <c r="B61" s="67" t="s">
        <v>6336</v>
      </c>
      <c r="C61" s="66" t="s">
        <v>6335</v>
      </c>
      <c r="D61" s="66" t="s">
        <v>6531</v>
      </c>
      <c r="E61" s="102" t="s">
        <v>6335</v>
      </c>
      <c r="F61" s="102" t="s">
        <v>6335</v>
      </c>
      <c r="G61" s="41">
        <f>G59 + G60</f>
        <v>4799.79</v>
      </c>
      <c r="H61" s="63" t="s">
        <v>7916</v>
      </c>
      <c r="I61" s="136" t="s">
        <v>7913</v>
      </c>
    </row>
    <row r="62" spans="1:9" ht="24" customHeight="1" x14ac:dyDescent="0.3">
      <c r="A62" s="48" t="s">
        <v>6338</v>
      </c>
      <c r="B62" s="17" t="s">
        <v>7917</v>
      </c>
      <c r="C62" s="54" t="s">
        <v>4318</v>
      </c>
      <c r="D62" s="16" t="s">
        <v>7009</v>
      </c>
      <c r="E62" s="51">
        <f>G61 - G39</f>
        <v>4799.79</v>
      </c>
      <c r="F62" s="64">
        <f>Factor_GST</f>
        <v>0.14050000000000001</v>
      </c>
      <c r="G62" s="65">
        <f>IF(C62="YES", ROUND(E62 * F62, 2), 0)</f>
        <v>674.37</v>
      </c>
      <c r="H62" s="152" t="s">
        <v>7995</v>
      </c>
      <c r="I62" s="132" t="s">
        <v>7915</v>
      </c>
    </row>
    <row r="63" spans="1:9" ht="24" customHeight="1" x14ac:dyDescent="0.3">
      <c r="A63" s="1" t="s">
        <v>6341</v>
      </c>
      <c r="B63" s="67" t="s">
        <v>6342</v>
      </c>
      <c r="C63" s="66" t="s">
        <v>6335</v>
      </c>
      <c r="D63" s="66" t="s">
        <v>6537</v>
      </c>
      <c r="E63" s="102" t="s">
        <v>6335</v>
      </c>
      <c r="F63" s="102" t="s">
        <v>6335</v>
      </c>
      <c r="G63" s="41">
        <f>G61 + G62</f>
        <v>5474.16</v>
      </c>
      <c r="H63" s="63" t="s">
        <v>7919</v>
      </c>
      <c r="I63" s="136" t="s">
        <v>7913</v>
      </c>
    </row>
    <row r="64" spans="1:9" ht="24" customHeight="1" x14ac:dyDescent="0.3">
      <c r="A64" s="48" t="s">
        <v>6343</v>
      </c>
      <c r="B64" s="17" t="s">
        <v>6539</v>
      </c>
      <c r="C64" s="54" t="s">
        <v>4318</v>
      </c>
      <c r="D64" s="16" t="s">
        <v>7013</v>
      </c>
      <c r="E64" s="51">
        <f>G63 - G39</f>
        <v>5474.16</v>
      </c>
      <c r="F64" s="64">
        <f>Factor_CPOH</f>
        <v>0.15</v>
      </c>
      <c r="G64" s="65">
        <f>IF(C64="YES", ROUND(E64 * F64, 2), 0)</f>
        <v>821.12</v>
      </c>
      <c r="H64" s="152" t="s">
        <v>7996</v>
      </c>
      <c r="I64" s="132" t="s">
        <v>7915</v>
      </c>
    </row>
    <row r="65" spans="1:9" ht="24" customHeight="1" x14ac:dyDescent="0.3">
      <c r="A65" s="1" t="s">
        <v>6346</v>
      </c>
      <c r="B65" s="67" t="s">
        <v>6347</v>
      </c>
      <c r="C65" s="66" t="s">
        <v>6335</v>
      </c>
      <c r="D65" s="66" t="s">
        <v>6543</v>
      </c>
      <c r="E65" s="102" t="s">
        <v>6335</v>
      </c>
      <c r="F65" s="102" t="s">
        <v>6335</v>
      </c>
      <c r="G65" s="41">
        <f>G63 + G64</f>
        <v>6295.28</v>
      </c>
      <c r="H65" s="63" t="s">
        <v>7921</v>
      </c>
      <c r="I65" s="136" t="s">
        <v>7913</v>
      </c>
    </row>
    <row r="66" spans="1:9" ht="24" customHeight="1" x14ac:dyDescent="0.3">
      <c r="A66" s="48" t="s">
        <v>6348</v>
      </c>
      <c r="B66" s="17" t="s">
        <v>7922</v>
      </c>
      <c r="C66" s="54" t="s">
        <v>4318</v>
      </c>
      <c r="D66" s="16" t="s">
        <v>7923</v>
      </c>
      <c r="E66" s="51">
        <f>G65 - G39</f>
        <v>6295.28</v>
      </c>
      <c r="F66" s="64">
        <f>Factor_Cess</f>
        <v>0.01</v>
      </c>
      <c r="G66" s="65">
        <f>IF(C66="YES", ROUND(E66 * F66, 2), 0)</f>
        <v>62.95</v>
      </c>
      <c r="H66" s="152" t="s">
        <v>7997</v>
      </c>
      <c r="I66" s="132" t="s">
        <v>7915</v>
      </c>
    </row>
    <row r="67" spans="1:9" ht="24" customHeight="1" x14ac:dyDescent="0.3">
      <c r="A67" s="26" t="s">
        <v>7018</v>
      </c>
      <c r="B67" s="103" t="str">
        <f>"Total Cost of Batch (" &amp; TEXT(D16, "0.00") &amp; " " &amp; F16 &amp; "):"</f>
        <v>Total Cost of Batch (1.00 cum):</v>
      </c>
      <c r="C67" s="104" t="s">
        <v>6335</v>
      </c>
      <c r="D67" s="104" t="s">
        <v>6550</v>
      </c>
      <c r="E67" s="105" t="s">
        <v>6335</v>
      </c>
      <c r="F67" s="105" t="s">
        <v>6335</v>
      </c>
      <c r="G67" s="69">
        <f>G65 + G66</f>
        <v>6358.23</v>
      </c>
      <c r="H67" s="106" t="s">
        <v>7925</v>
      </c>
      <c r="I67" s="107" t="s">
        <v>6335</v>
      </c>
    </row>
    <row r="68" spans="1:9" ht="24" customHeight="1" x14ac:dyDescent="0.3">
      <c r="A68" s="1" t="s">
        <v>7021</v>
      </c>
      <c r="B68" s="67" t="str">
        <f>"Analyzed Unit Rate per 1.00 " &amp; F16 &amp; ":"</f>
        <v>Analyzed Unit Rate per 1.00 cum:</v>
      </c>
      <c r="C68" s="66" t="s">
        <v>6335</v>
      </c>
      <c r="D68" s="66" t="s">
        <v>7926</v>
      </c>
      <c r="E68" s="102" t="s">
        <v>6335</v>
      </c>
      <c r="F68" s="102" t="s">
        <v>6335</v>
      </c>
      <c r="G68" s="41">
        <f>ROUND(G67 / D16, 2)</f>
        <v>6358.23</v>
      </c>
      <c r="H68" s="63" t="s">
        <v>7927</v>
      </c>
      <c r="I68" s="136" t="s">
        <v>6335</v>
      </c>
    </row>
    <row r="69" spans="1:9" ht="30" customHeight="1" x14ac:dyDescent="0.3">
      <c r="A69" s="46" t="s">
        <v>6423</v>
      </c>
      <c r="B69" s="109" t="str">
        <f>"OFFICIAL SAY RATE (Rs per " &amp; F16 &amp; "):"</f>
        <v>OFFICIAL SAY RATE (Rs per cum):</v>
      </c>
      <c r="C69" s="110" t="s">
        <v>6335</v>
      </c>
      <c r="D69" s="110" t="s">
        <v>6568</v>
      </c>
      <c r="E69" s="111" t="s">
        <v>6335</v>
      </c>
      <c r="F69" s="111" t="s">
        <v>6335</v>
      </c>
      <c r="G69" s="52">
        <f>MROUND(G68, 0.05)</f>
        <v>6358.25</v>
      </c>
      <c r="H69" s="71" t="s">
        <v>7928</v>
      </c>
      <c r="I69" s="112" t="s">
        <v>6335</v>
      </c>
    </row>
    <row r="70" spans="1:9" ht="43.95" customHeight="1" x14ac:dyDescent="0.3">
      <c r="A70" s="237" t="s">
        <v>6570</v>
      </c>
      <c r="B70" s="241"/>
      <c r="C70" s="241"/>
      <c r="D70" s="241"/>
      <c r="E70" s="241"/>
      <c r="F70" s="241"/>
      <c r="G70" s="241"/>
      <c r="H70" s="241"/>
      <c r="I70" s="242"/>
    </row>
    <row r="72" spans="1:9" ht="24" customHeight="1" x14ac:dyDescent="0.3">
      <c r="A72" s="239" t="s">
        <v>7929</v>
      </c>
      <c r="B72" s="228"/>
      <c r="C72" s="228"/>
      <c r="D72" s="228"/>
      <c r="E72" s="228"/>
      <c r="F72" s="228"/>
      <c r="G72" s="228"/>
      <c r="H72" s="228"/>
      <c r="I72" s="228"/>
    </row>
    <row r="73" spans="1:9" ht="19.95" customHeight="1" x14ac:dyDescent="0.3">
      <c r="A73" s="238" t="s">
        <v>7930</v>
      </c>
      <c r="B73" s="228"/>
      <c r="C73" s="228"/>
      <c r="D73" s="228"/>
      <c r="E73" s="228"/>
      <c r="F73" s="228"/>
      <c r="G73" s="228"/>
      <c r="H73" s="228"/>
      <c r="I73" s="228"/>
    </row>
    <row r="74" spans="1:9" ht="24" customHeight="1" x14ac:dyDescent="0.3">
      <c r="A74" s="153" t="s">
        <v>7931</v>
      </c>
      <c r="B74" s="153" t="s">
        <v>7932</v>
      </c>
      <c r="C74" s="153" t="s">
        <v>6</v>
      </c>
      <c r="D74" s="153" t="s">
        <v>4364</v>
      </c>
      <c r="E74" s="153" t="s">
        <v>7933</v>
      </c>
      <c r="F74" s="153" t="s">
        <v>7934</v>
      </c>
      <c r="G74" s="153" t="s">
        <v>7935</v>
      </c>
      <c r="H74" s="153" t="s">
        <v>7936</v>
      </c>
      <c r="I74" s="153" t="s">
        <v>7937</v>
      </c>
    </row>
    <row r="75" spans="1:9" ht="19.95" customHeight="1" x14ac:dyDescent="0.3">
      <c r="A75" s="137" t="s">
        <v>8063</v>
      </c>
      <c r="B75" s="138" t="s">
        <v>8064</v>
      </c>
      <c r="C75" s="139" t="s">
        <v>18</v>
      </c>
      <c r="D75" s="139">
        <v>1</v>
      </c>
      <c r="E75" s="140">
        <v>4765.7299999999996</v>
      </c>
      <c r="F75" s="139" t="s">
        <v>7943</v>
      </c>
      <c r="G75" s="140">
        <v>6375.31</v>
      </c>
      <c r="H75" s="8">
        <v>6375.3</v>
      </c>
      <c r="I75" s="140"/>
    </row>
    <row r="76" spans="1:9" ht="19.95" customHeight="1" x14ac:dyDescent="0.3">
      <c r="A76" s="141" t="s">
        <v>8065</v>
      </c>
      <c r="B76" s="142" t="s">
        <v>8066</v>
      </c>
      <c r="C76" s="143" t="s">
        <v>18</v>
      </c>
      <c r="D76" s="143">
        <v>1</v>
      </c>
      <c r="E76" s="144">
        <v>4539.0600000000004</v>
      </c>
      <c r="F76" s="143" t="s">
        <v>7943</v>
      </c>
      <c r="G76" s="144">
        <v>6072.07</v>
      </c>
      <c r="H76" s="4">
        <v>6072.05</v>
      </c>
      <c r="I76" s="144"/>
    </row>
    <row r="77" spans="1:9" ht="19.95" customHeight="1" x14ac:dyDescent="0.3">
      <c r="A77" s="137" t="s">
        <v>8067</v>
      </c>
      <c r="B77" s="138" t="s">
        <v>7942</v>
      </c>
      <c r="C77" s="139" t="s">
        <v>18</v>
      </c>
      <c r="D77" s="139">
        <v>1</v>
      </c>
      <c r="E77" s="140"/>
      <c r="F77" s="139" t="s">
        <v>7943</v>
      </c>
      <c r="G77" s="140"/>
      <c r="H77" s="8"/>
      <c r="I77" s="140"/>
    </row>
    <row r="78" spans="1:9" ht="19.95" customHeight="1" x14ac:dyDescent="0.3">
      <c r="A78" s="141" t="s">
        <v>8068</v>
      </c>
      <c r="B78" s="142" t="s">
        <v>7942</v>
      </c>
      <c r="C78" s="143" t="s">
        <v>18</v>
      </c>
      <c r="D78" s="143">
        <v>1</v>
      </c>
      <c r="E78" s="144"/>
      <c r="F78" s="143" t="s">
        <v>7943</v>
      </c>
      <c r="G78" s="144"/>
      <c r="H78" s="4"/>
      <c r="I78" s="144"/>
    </row>
    <row r="79" spans="1:9" ht="19.95" customHeight="1" x14ac:dyDescent="0.3">
      <c r="A79" s="137" t="s">
        <v>8069</v>
      </c>
      <c r="B79" s="138" t="s">
        <v>7942</v>
      </c>
      <c r="C79" s="139" t="s">
        <v>18</v>
      </c>
      <c r="D79" s="139">
        <v>1</v>
      </c>
      <c r="E79" s="140"/>
      <c r="F79" s="139" t="s">
        <v>7943</v>
      </c>
      <c r="G79" s="140"/>
      <c r="H79" s="8"/>
      <c r="I79" s="140"/>
    </row>
    <row r="80" spans="1:9" ht="19.95" customHeight="1" x14ac:dyDescent="0.3">
      <c r="A80" s="141" t="s">
        <v>8070</v>
      </c>
      <c r="B80" s="142" t="s">
        <v>7942</v>
      </c>
      <c r="C80" s="143" t="s">
        <v>18</v>
      </c>
      <c r="D80" s="143">
        <v>1</v>
      </c>
      <c r="E80" s="144"/>
      <c r="F80" s="143" t="s">
        <v>7943</v>
      </c>
      <c r="G80" s="144"/>
      <c r="H80" s="4"/>
      <c r="I80" s="144"/>
    </row>
    <row r="81" spans="1:9" ht="19.95" customHeight="1" x14ac:dyDescent="0.3">
      <c r="A81" s="137" t="s">
        <v>8071</v>
      </c>
      <c r="B81" s="138" t="s">
        <v>7942</v>
      </c>
      <c r="C81" s="139" t="s">
        <v>18</v>
      </c>
      <c r="D81" s="139">
        <v>1</v>
      </c>
      <c r="E81" s="140"/>
      <c r="F81" s="139" t="s">
        <v>7943</v>
      </c>
      <c r="G81" s="140"/>
      <c r="H81" s="8"/>
      <c r="I81" s="140"/>
    </row>
    <row r="82" spans="1:9" ht="19.95" customHeight="1" x14ac:dyDescent="0.3">
      <c r="A82" s="141" t="s">
        <v>8072</v>
      </c>
      <c r="B82" s="142" t="s">
        <v>7942</v>
      </c>
      <c r="C82" s="143" t="s">
        <v>18</v>
      </c>
      <c r="D82" s="143">
        <v>1</v>
      </c>
      <c r="E82" s="144"/>
      <c r="F82" s="143" t="s">
        <v>7943</v>
      </c>
      <c r="G82" s="144"/>
      <c r="H82" s="4"/>
      <c r="I82" s="144"/>
    </row>
  </sheetData>
  <sheetProtection sheet="1"/>
  <mergeCells count="31">
    <mergeCell ref="A73:I73"/>
    <mergeCell ref="A1:I1"/>
    <mergeCell ref="A70:I70"/>
    <mergeCell ref="A6:I6"/>
    <mergeCell ref="E22:I22"/>
    <mergeCell ref="A54:I54"/>
    <mergeCell ref="A72:I72"/>
    <mergeCell ref="A38:F38"/>
    <mergeCell ref="A52:F52"/>
    <mergeCell ref="E15:I15"/>
    <mergeCell ref="A40:I40"/>
    <mergeCell ref="A39:F39"/>
    <mergeCell ref="A24:I24"/>
    <mergeCell ref="E23:I23"/>
    <mergeCell ref="E14:I14"/>
    <mergeCell ref="A26:I26"/>
    <mergeCell ref="A57:I57"/>
    <mergeCell ref="E20:I20"/>
    <mergeCell ref="E19:I19"/>
    <mergeCell ref="E21:I21"/>
    <mergeCell ref="E12:I12"/>
    <mergeCell ref="B17:G17"/>
    <mergeCell ref="A18:I18"/>
    <mergeCell ref="A3:I3"/>
    <mergeCell ref="A5:I5"/>
    <mergeCell ref="E10:I10"/>
    <mergeCell ref="E13:I13"/>
    <mergeCell ref="A8:I8"/>
    <mergeCell ref="A4:I4"/>
    <mergeCell ref="E9:I9"/>
    <mergeCell ref="E11:I11"/>
  </mergeCells>
  <dataValidations count="9">
    <dataValidation type="list" sqref="C60 C62 C64 C66">
      <formula1>"YES,NO"</formula1>
    </dataValidation>
    <dataValidation type="list" allowBlank="1" promptTitle="CPWD A-tag" prompt="Enter A only if this line imports a rate that already includes Water, GST, CPOH and Cess. A-tagged lines are excluded from every markup base per the CPWD (W-A) convention." sqref="I28 I29 I30 I31 I32 I33 I34 I35 I36 I37">
      <formula1>"A,"</formula1>
    </dataValidation>
    <dataValidation type="list" allowBlank="1" promptTitle="Component picker" prompt="Pick a Rates_Master code, or type an intermediate source such as 03_Mortars or a Resolved_Cross_Volume_Items item number." sqref="B28 B29 B30 B31 B32 B33 B34 B35 B36 B37 B42 B43 B44 B45 B46 B47 B48 B49 B50 B51">
      <formula1>Master_Codes</formula1>
    </dataValidation>
    <dataValidation type="list" allowBlank="1" sqref="B10">
      <formula1>"common burnt clay F.P.S. (non modular) bricks class 7.5,common burnt clay modular bricks class 7.5,machine moulded perforated bricks class 12.5,fly ash lime bricks,concrete solid blocks,AAC blocks"</formula1>
    </dataValidation>
    <dataValidation type="list" allowBlank="1" sqref="B11">
      <formula1>"cement mortar 1:3 (1 cement : 3 coarse sand),cement mortar 1:4 (1 cement : 4 coarse sand),cement mortar 1:5 (1 cement : 5 coarse sand),cement mortar 1:6 (1 cement : 6 coarse sand),lime mortar,mud mortar"</formula1>
    </dataValidation>
    <dataValidation type="list" allowBlank="1" sqref="B12">
      <formula1>"in foundation and plinth,in superstructure upto floor V level,in superstructure above floor V level"</formula1>
    </dataValidation>
    <dataValidation type="list" allowBlank="1" sqref="B13">
      <formula1>"one brick thick and above,half brick thick (separate per-sqm item)"</formula1>
    </dataValidation>
    <dataValidation type="list" allowBlank="1" sqref="B14">
      <formula1>"including curing,excluding curing"</formula1>
    </dataValidation>
    <dataValidation type="list" allowBlank="1" sqref="B15">
      <formula1>"not required,joints raked for plaster"</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pane ySplit="3" topLeftCell="A4" activePane="bottomLeft" state="frozen"/>
      <selection pane="bottomLeft"/>
    </sheetView>
  </sheetViews>
  <sheetFormatPr defaultRowHeight="14.4" x14ac:dyDescent="0.3"/>
  <cols>
    <col min="1" max="1" width="34" style="151" customWidth="1"/>
    <col min="2" max="2" width="26" style="151" customWidth="1"/>
    <col min="3" max="3" width="46" style="151" customWidth="1"/>
    <col min="4" max="4" width="16" style="151" customWidth="1"/>
    <col min="5" max="6" width="18" style="151" customWidth="1"/>
    <col min="7" max="7" width="20" style="151" customWidth="1"/>
    <col min="8" max="8" width="44" style="151" customWidth="1"/>
    <col min="9" max="9" width="14" style="151" customWidth="1"/>
  </cols>
  <sheetData>
    <row r="1" spans="1:9" ht="30" customHeight="1" x14ac:dyDescent="0.3">
      <c r="A1" s="227" t="s">
        <v>8073</v>
      </c>
      <c r="B1" s="228"/>
      <c r="C1" s="228"/>
      <c r="D1" s="228"/>
      <c r="E1" s="228"/>
      <c r="F1" s="228"/>
      <c r="G1" s="228"/>
      <c r="H1" s="228"/>
      <c r="I1" s="228"/>
    </row>
    <row r="2" spans="1:9" ht="19.95" customHeight="1" x14ac:dyDescent="0.3">
      <c r="A2" s="73" t="s">
        <v>4272</v>
      </c>
      <c r="B2" s="45" t="s">
        <v>6379</v>
      </c>
      <c r="C2" s="74" t="s">
        <v>6380</v>
      </c>
      <c r="D2" s="28" t="s">
        <v>6381</v>
      </c>
      <c r="E2" s="7" t="s">
        <v>6382</v>
      </c>
      <c r="F2" s="26" t="s">
        <v>6383</v>
      </c>
      <c r="G2" s="46" t="s">
        <v>6384</v>
      </c>
      <c r="H2" s="47" t="s">
        <v>6385</v>
      </c>
      <c r="I2" s="3" t="s">
        <v>6386</v>
      </c>
    </row>
    <row r="3" spans="1:9" ht="30" customHeight="1" x14ac:dyDescent="0.3">
      <c r="A3" s="237" t="s">
        <v>8074</v>
      </c>
      <c r="B3" s="241"/>
      <c r="C3" s="241"/>
      <c r="D3" s="241"/>
      <c r="E3" s="241"/>
      <c r="F3" s="241"/>
      <c r="G3" s="241"/>
      <c r="H3" s="241"/>
      <c r="I3" s="242"/>
    </row>
    <row r="4" spans="1:9" ht="22.05" customHeight="1" x14ac:dyDescent="0.3">
      <c r="A4" s="239" t="s">
        <v>6388</v>
      </c>
      <c r="B4" s="228"/>
      <c r="C4" s="228"/>
      <c r="D4" s="228"/>
      <c r="E4" s="228"/>
      <c r="F4" s="228"/>
      <c r="G4" s="228"/>
      <c r="H4" s="228"/>
      <c r="I4" s="228"/>
    </row>
    <row r="5" spans="1:9" ht="46.05" customHeight="1" x14ac:dyDescent="0.3">
      <c r="A5" s="237" t="s">
        <v>6389</v>
      </c>
      <c r="B5" s="241"/>
      <c r="C5" s="241"/>
      <c r="D5" s="241"/>
      <c r="E5" s="241"/>
      <c r="F5" s="241"/>
      <c r="G5" s="241"/>
      <c r="H5" s="241"/>
      <c r="I5" s="242"/>
    </row>
    <row r="6" spans="1:9" ht="46.05" customHeight="1" x14ac:dyDescent="0.3">
      <c r="A6" s="237" t="s">
        <v>6390</v>
      </c>
      <c r="B6" s="241"/>
      <c r="C6" s="241"/>
      <c r="D6" s="241"/>
      <c r="E6" s="241"/>
      <c r="F6" s="241"/>
      <c r="G6" s="241"/>
      <c r="H6" s="241"/>
      <c r="I6" s="242"/>
    </row>
    <row r="8" spans="1:9" ht="24" customHeight="1" x14ac:dyDescent="0.3">
      <c r="A8" s="239" t="s">
        <v>7837</v>
      </c>
      <c r="B8" s="228"/>
      <c r="C8" s="228"/>
      <c r="D8" s="228"/>
      <c r="E8" s="228"/>
      <c r="F8" s="228"/>
      <c r="G8" s="228"/>
      <c r="H8" s="228"/>
      <c r="I8" s="228"/>
    </row>
    <row r="9" spans="1:9" ht="30" customHeight="1" x14ac:dyDescent="0.3">
      <c r="A9" s="153" t="s">
        <v>7838</v>
      </c>
      <c r="B9" s="153" t="s">
        <v>7839</v>
      </c>
      <c r="C9" s="153" t="s">
        <v>7840</v>
      </c>
      <c r="D9" s="153" t="s">
        <v>7841</v>
      </c>
      <c r="E9" s="247" t="s">
        <v>7842</v>
      </c>
      <c r="F9" s="248"/>
      <c r="G9" s="248"/>
      <c r="H9" s="248"/>
      <c r="I9" s="249"/>
    </row>
    <row r="10" spans="1:9" ht="31.95" customHeight="1" x14ac:dyDescent="0.3">
      <c r="A10" s="75" t="s">
        <v>8075</v>
      </c>
      <c r="B10" s="76" t="s">
        <v>8076</v>
      </c>
      <c r="C10" s="26" t="s">
        <v>7845</v>
      </c>
      <c r="D10" s="132" t="s">
        <v>7858</v>
      </c>
      <c r="E10" s="246" t="s">
        <v>8077</v>
      </c>
      <c r="F10" s="241"/>
      <c r="G10" s="241"/>
      <c r="H10" s="241"/>
      <c r="I10" s="242"/>
    </row>
    <row r="11" spans="1:9" ht="31.95" customHeight="1" x14ac:dyDescent="0.3">
      <c r="A11" s="75" t="s">
        <v>8078</v>
      </c>
      <c r="B11" s="76" t="s">
        <v>8079</v>
      </c>
      <c r="C11" s="26" t="s">
        <v>7845</v>
      </c>
      <c r="D11" s="132" t="s">
        <v>7846</v>
      </c>
      <c r="E11" s="246" t="s">
        <v>8080</v>
      </c>
      <c r="F11" s="241"/>
      <c r="G11" s="241"/>
      <c r="H11" s="241"/>
      <c r="I11" s="242"/>
    </row>
    <row r="12" spans="1:9" ht="31.95" customHeight="1" x14ac:dyDescent="0.3">
      <c r="A12" s="75" t="s">
        <v>8030</v>
      </c>
      <c r="B12" s="76" t="s">
        <v>8081</v>
      </c>
      <c r="C12" s="26" t="s">
        <v>7845</v>
      </c>
      <c r="D12" s="132" t="s">
        <v>8032</v>
      </c>
      <c r="E12" s="246" t="s">
        <v>8082</v>
      </c>
      <c r="F12" s="241"/>
      <c r="G12" s="241"/>
      <c r="H12" s="241"/>
      <c r="I12" s="242"/>
    </row>
    <row r="13" spans="1:9" ht="31.95" customHeight="1" x14ac:dyDescent="0.3">
      <c r="A13" s="75" t="s">
        <v>8083</v>
      </c>
      <c r="B13" s="76" t="s">
        <v>8084</v>
      </c>
      <c r="C13" s="26" t="s">
        <v>7845</v>
      </c>
      <c r="D13" s="132" t="s">
        <v>7858</v>
      </c>
      <c r="E13" s="246" t="s">
        <v>8085</v>
      </c>
      <c r="F13" s="241"/>
      <c r="G13" s="241"/>
      <c r="H13" s="241"/>
      <c r="I13" s="242"/>
    </row>
    <row r="14" spans="1:9" ht="31.95" customHeight="1" x14ac:dyDescent="0.3">
      <c r="A14" s="75" t="s">
        <v>8086</v>
      </c>
      <c r="B14" s="76" t="s">
        <v>8087</v>
      </c>
      <c r="C14" s="26" t="s">
        <v>7845</v>
      </c>
      <c r="D14" s="132" t="s">
        <v>7854</v>
      </c>
      <c r="E14" s="246" t="s">
        <v>8088</v>
      </c>
      <c r="F14" s="241"/>
      <c r="G14" s="241"/>
      <c r="H14" s="241"/>
      <c r="I14" s="242"/>
    </row>
    <row r="15" spans="1:9" ht="31.95" customHeight="1" x14ac:dyDescent="0.3">
      <c r="A15" s="75" t="s">
        <v>8089</v>
      </c>
      <c r="B15" s="76" t="s">
        <v>8043</v>
      </c>
      <c r="C15" s="45" t="s">
        <v>7968</v>
      </c>
      <c r="D15" s="132" t="s">
        <v>7969</v>
      </c>
      <c r="E15" s="246" t="s">
        <v>8090</v>
      </c>
      <c r="F15" s="241"/>
      <c r="G15" s="241"/>
      <c r="H15" s="241"/>
      <c r="I15" s="242"/>
    </row>
    <row r="16" spans="1:9" ht="22.05" customHeight="1" x14ac:dyDescent="0.35">
      <c r="A16" s="14" t="s">
        <v>7867</v>
      </c>
      <c r="B16" s="54" t="s">
        <v>8091</v>
      </c>
      <c r="C16" s="14" t="s">
        <v>7869</v>
      </c>
      <c r="D16" s="77">
        <v>1</v>
      </c>
      <c r="E16" s="14" t="s">
        <v>7870</v>
      </c>
      <c r="F16" s="54" t="s">
        <v>18</v>
      </c>
      <c r="G16" s="14" t="s">
        <v>7871</v>
      </c>
      <c r="H16" s="29" t="s">
        <v>8092</v>
      </c>
      <c r="I16" s="60" t="s">
        <v>7873</v>
      </c>
    </row>
    <row r="17" spans="1:9" ht="40.049999999999997" customHeight="1" x14ac:dyDescent="0.35">
      <c r="A17" s="14" t="s">
        <v>7874</v>
      </c>
      <c r="B17" s="282" t="str">
        <f>IF(I17&lt;&gt;"", I17, "Stone work - " &amp; B10 &amp; ", " &amp; B11 &amp; ", " &amp; B12 &amp; ", " &amp; B13 &amp; ", " &amp; B14 &amp; ", " &amp; B15 &amp; ", complete as per CPWD specifications and directions of Engineer-in-charge.")</f>
        <v>Stone work - random rubble masonry, stone for masonry (rubble), cement mortar 1:6 (1 cement : 6 coarse sand), hammer dressed, including through stones, not required, complete as per CPWD specifications and directions of Engineer-in-charge.</v>
      </c>
      <c r="C17" s="241"/>
      <c r="D17" s="241"/>
      <c r="E17" s="241"/>
      <c r="F17" s="241"/>
      <c r="G17" s="242"/>
      <c r="H17" s="60" t="s">
        <v>7875</v>
      </c>
      <c r="I17" s="133"/>
    </row>
    <row r="18" spans="1:9" ht="24" customHeight="1" x14ac:dyDescent="0.3">
      <c r="A18" s="239" t="s">
        <v>7876</v>
      </c>
      <c r="B18" s="228"/>
      <c r="C18" s="228"/>
      <c r="D18" s="228"/>
      <c r="E18" s="228"/>
      <c r="F18" s="228"/>
      <c r="G18" s="228"/>
      <c r="H18" s="228"/>
      <c r="I18" s="228"/>
    </row>
    <row r="19" spans="1:9" ht="25.95" customHeight="1" x14ac:dyDescent="0.3">
      <c r="A19" s="153" t="s">
        <v>7877</v>
      </c>
      <c r="B19" s="153" t="s">
        <v>6393</v>
      </c>
      <c r="C19" s="153" t="s">
        <v>6</v>
      </c>
      <c r="D19" s="153" t="s">
        <v>7878</v>
      </c>
      <c r="E19" s="247" t="s">
        <v>7879</v>
      </c>
      <c r="F19" s="248"/>
      <c r="G19" s="248"/>
      <c r="H19" s="248"/>
      <c r="I19" s="249"/>
    </row>
    <row r="20" spans="1:9" ht="30" customHeight="1" x14ac:dyDescent="0.3">
      <c r="A20" s="75" t="s">
        <v>8093</v>
      </c>
      <c r="B20" s="145">
        <v>1.05</v>
      </c>
      <c r="C20" s="16" t="s">
        <v>8051</v>
      </c>
      <c r="D20" s="132" t="s">
        <v>7846</v>
      </c>
      <c r="E20" s="246" t="s">
        <v>8094</v>
      </c>
      <c r="F20" s="241"/>
      <c r="G20" s="241"/>
      <c r="H20" s="241"/>
      <c r="I20" s="242"/>
    </row>
    <row r="21" spans="1:9" ht="30" customHeight="1" x14ac:dyDescent="0.3">
      <c r="A21" s="75" t="s">
        <v>8050</v>
      </c>
      <c r="B21" s="145">
        <v>0.34</v>
      </c>
      <c r="C21" s="16" t="s">
        <v>8051</v>
      </c>
      <c r="D21" s="132" t="s">
        <v>8032</v>
      </c>
      <c r="E21" s="246" t="s">
        <v>8095</v>
      </c>
      <c r="F21" s="241"/>
      <c r="G21" s="241"/>
      <c r="H21" s="241"/>
      <c r="I21" s="242"/>
    </row>
    <row r="22" spans="1:9" ht="30" customHeight="1" x14ac:dyDescent="0.3">
      <c r="A22" s="75" t="s">
        <v>8096</v>
      </c>
      <c r="B22" s="77">
        <v>1.5</v>
      </c>
      <c r="C22" s="16" t="s">
        <v>7145</v>
      </c>
      <c r="D22" s="132" t="s">
        <v>7854</v>
      </c>
      <c r="E22" s="246" t="s">
        <v>8097</v>
      </c>
      <c r="F22" s="241"/>
      <c r="G22" s="241"/>
      <c r="H22" s="241"/>
      <c r="I22" s="242"/>
    </row>
    <row r="23" spans="1:9" ht="30" customHeight="1" x14ac:dyDescent="0.3">
      <c r="A23" s="75" t="s">
        <v>8055</v>
      </c>
      <c r="B23" s="77">
        <v>0</v>
      </c>
      <c r="C23" s="16" t="s">
        <v>8056</v>
      </c>
      <c r="D23" s="132" t="s">
        <v>7969</v>
      </c>
      <c r="E23" s="246" t="s">
        <v>8098</v>
      </c>
      <c r="F23" s="241"/>
      <c r="G23" s="241"/>
      <c r="H23" s="241"/>
      <c r="I23" s="242"/>
    </row>
    <row r="24" spans="1:9" ht="43.95" customHeight="1" x14ac:dyDescent="0.3">
      <c r="A24" s="237" t="s">
        <v>7893</v>
      </c>
      <c r="B24" s="241"/>
      <c r="C24" s="241"/>
      <c r="D24" s="241"/>
      <c r="E24" s="241"/>
      <c r="F24" s="241"/>
      <c r="G24" s="241"/>
      <c r="H24" s="241"/>
      <c r="I24" s="242"/>
    </row>
    <row r="25" spans="1:9" ht="22.05" customHeight="1" x14ac:dyDescent="0.3">
      <c r="A25" s="92" t="s">
        <v>6500</v>
      </c>
      <c r="B25" s="93" t="str">
        <f>IF(AND(D25="OK", F25="OK", H25="OK"), "[PASS] ALL CHECKS OK", "[ALERT] CHECKS FAILED")</f>
        <v>[PASS] ALL CHECKS OK</v>
      </c>
      <c r="C25" s="94" t="s">
        <v>7894</v>
      </c>
      <c r="D25" s="48" t="str">
        <f>IF(D16&gt;0, "OK", "ERR: Qty&lt;=0")</f>
        <v>OK</v>
      </c>
      <c r="E25" s="94" t="s">
        <v>7895</v>
      </c>
      <c r="F25" s="48" t="str">
        <f>IF(G59&gt;0, "OK", "ERR: W&lt;=0")</f>
        <v>OK</v>
      </c>
      <c r="G25" s="94" t="s">
        <v>7896</v>
      </c>
      <c r="H25" s="48" t="str">
        <f>IF(AND(G59&lt;=G61, G61&lt;=G63, G63&lt;=G65, G39&lt;=G59), "OK", "ERR: Markups Broken")</f>
        <v>OK</v>
      </c>
      <c r="I25" s="132" t="str">
        <f>IF(G39&gt;0, "A-rule active", "No A imports")</f>
        <v>No A imports</v>
      </c>
    </row>
    <row r="26" spans="1:9" ht="24" customHeight="1" x14ac:dyDescent="0.3">
      <c r="A26" s="239" t="s">
        <v>7897</v>
      </c>
      <c r="B26" s="228"/>
      <c r="C26" s="228"/>
      <c r="D26" s="228"/>
      <c r="E26" s="228"/>
      <c r="F26" s="228"/>
      <c r="G26" s="228"/>
      <c r="H26" s="228"/>
      <c r="I26" s="228"/>
    </row>
    <row r="27" spans="1:9" ht="24" customHeight="1" x14ac:dyDescent="0.3">
      <c r="A27" s="153" t="s">
        <v>6313</v>
      </c>
      <c r="B27" s="153" t="s">
        <v>6314</v>
      </c>
      <c r="C27" s="153" t="s">
        <v>5</v>
      </c>
      <c r="D27" s="153" t="s">
        <v>6</v>
      </c>
      <c r="E27" s="153" t="s">
        <v>6315</v>
      </c>
      <c r="F27" s="153" t="s">
        <v>7</v>
      </c>
      <c r="G27" s="153" t="s">
        <v>6316</v>
      </c>
      <c r="H27" s="153" t="s">
        <v>6317</v>
      </c>
      <c r="I27" s="153" t="s">
        <v>6318</v>
      </c>
    </row>
    <row r="28" spans="1:9" ht="19.95" customHeight="1" x14ac:dyDescent="0.3">
      <c r="A28" s="16">
        <v>1</v>
      </c>
      <c r="B28" s="54" t="s">
        <v>8099</v>
      </c>
      <c r="C28" s="72" t="str">
        <f>IF(B28="","", IFERROR(INDEX(Rates_Master!$C:$C, MATCH(B28, Rates_Master!$A:$A, 0)), "Custom / Intermediate Material"))</f>
        <v>Custom / Intermediate Material</v>
      </c>
      <c r="D28" s="56" t="str">
        <f>IF(B28="","", IFERROR(INDEX(Rates_Master!$D:$D, MATCH(B28, Rates_Master!$A:$A, 0)), ""))</f>
        <v/>
      </c>
      <c r="E28" s="57">
        <v>1</v>
      </c>
      <c r="F28" s="58">
        <f>IF(B28="","", IFERROR(INDEX(Rates_Master!$E:$E, MATCH(B28, Rates_Master!$A:$A, 0)), 0))</f>
        <v>0</v>
      </c>
      <c r="G28" s="37">
        <f t="shared" ref="G28:G37" si="0">IF(OR(B28="", E28=""), 0, ROUND(E28 * F28, 2))</f>
        <v>0</v>
      </c>
      <c r="H28" s="135" t="s">
        <v>8100</v>
      </c>
      <c r="I28" s="54"/>
    </row>
    <row r="29" spans="1:9" ht="19.95" customHeight="1" x14ac:dyDescent="0.3">
      <c r="A29" s="16">
        <v>2</v>
      </c>
      <c r="B29" s="54" t="s">
        <v>1628</v>
      </c>
      <c r="C29" s="72" t="str">
        <f>IF(B29="","", IFERROR(INDEX(Rates_Master!$C:$C, MATCH(B29, Rates_Master!$A:$A, 0)), "Custom / Intermediate Material"))</f>
        <v>Carriage of Stone aggregate below 40 mm nominal size</v>
      </c>
      <c r="D29" s="56" t="str">
        <f>IF(B29="","", IFERROR(INDEX(Rates_Master!$D:$D, MATCH(B29, Rates_Master!$A:$A, 0)), ""))</f>
        <v>cum</v>
      </c>
      <c r="E29" s="57">
        <v>1</v>
      </c>
      <c r="F29" s="58">
        <f>IF(B29="","", IFERROR(INDEX(Rates_Master!$E:$E, MATCH(B29, Rates_Master!$A:$A, 0)), 0))</f>
        <v>103.77</v>
      </c>
      <c r="G29" s="37">
        <f t="shared" si="0"/>
        <v>103.77</v>
      </c>
      <c r="H29" s="135" t="s">
        <v>8101</v>
      </c>
      <c r="I29" s="54"/>
    </row>
    <row r="30" spans="1:9" ht="19.95" customHeight="1" x14ac:dyDescent="0.3">
      <c r="A30" s="16">
        <v>3</v>
      </c>
      <c r="B30" s="54" t="s">
        <v>8102</v>
      </c>
      <c r="C30" s="72" t="str">
        <f>IF(B30="","", IFERROR(INDEX(Rates_Master!$C:$C, MATCH(B30, Rates_Master!$A:$A, 0)), "Custom / Intermediate Material"))</f>
        <v>Custom / Intermediate Material</v>
      </c>
      <c r="D30" s="56" t="str">
        <f>IF(B30="","", IFERROR(INDEX(Rates_Master!$D:$D, MATCH(B30, Rates_Master!$A:$A, 0)), ""))</f>
        <v/>
      </c>
      <c r="E30" s="57">
        <v>0.1</v>
      </c>
      <c r="F30" s="58">
        <f>IF(B30="","", IFERROR(INDEX(Rates_Master!$E:$E, MATCH(B30, Rates_Master!$A:$A, 0)), 0))</f>
        <v>0</v>
      </c>
      <c r="G30" s="37">
        <f t="shared" si="0"/>
        <v>0</v>
      </c>
      <c r="H30" s="135" t="s">
        <v>8103</v>
      </c>
      <c r="I30" s="54"/>
    </row>
    <row r="31" spans="1:9" ht="19.95" customHeight="1" x14ac:dyDescent="0.3">
      <c r="A31" s="16">
        <v>4</v>
      </c>
      <c r="B31" s="54" t="s">
        <v>4572</v>
      </c>
      <c r="C31" s="72" t="s">
        <v>8104</v>
      </c>
      <c r="D31" s="56" t="s">
        <v>18</v>
      </c>
      <c r="E31" s="57">
        <v>0.3</v>
      </c>
      <c r="F31" s="58">
        <f>'03_Mortars'!G69</f>
        <v>3956.5</v>
      </c>
      <c r="G31" s="37">
        <f t="shared" si="0"/>
        <v>1186.95</v>
      </c>
      <c r="H31" s="135" t="s">
        <v>8105</v>
      </c>
      <c r="I31" s="54"/>
    </row>
    <row r="32" spans="1:9" ht="19.95" customHeight="1" x14ac:dyDescent="0.3">
      <c r="A32" s="16">
        <v>5</v>
      </c>
      <c r="B32" s="54"/>
      <c r="C32" s="72" t="str">
        <f>IF(B32="","", IFERROR(INDEX(Rates_Master!$C:$C, MATCH(B32, Rates_Master!$A:$A, 0)), "Custom / Intermediate Material"))</f>
        <v/>
      </c>
      <c r="D32" s="56" t="str">
        <f>IF(B32="","", IFERROR(INDEX(Rates_Master!$D:$D, MATCH(B32, Rates_Master!$A:$A, 0)), ""))</f>
        <v/>
      </c>
      <c r="E32" s="57"/>
      <c r="F32" s="58" t="str">
        <f>IF(B32="","", IFERROR(INDEX(Rates_Master!$E:$E, MATCH(B32, Rates_Master!$A:$A, 0)), 0))</f>
        <v/>
      </c>
      <c r="G32" s="37">
        <f t="shared" si="0"/>
        <v>0</v>
      </c>
      <c r="H32" s="135"/>
      <c r="I32" s="54"/>
    </row>
    <row r="33" spans="1:9" ht="19.95" customHeight="1" x14ac:dyDescent="0.3">
      <c r="A33" s="16">
        <v>6</v>
      </c>
      <c r="B33" s="54"/>
      <c r="C33" s="72" t="str">
        <f>IF(B33="","", IFERROR(INDEX(Rates_Master!$C:$C, MATCH(B33, Rates_Master!$A:$A, 0)), "Custom / Intermediate Material"))</f>
        <v/>
      </c>
      <c r="D33" s="56" t="str">
        <f>IF(B33="","", IFERROR(INDEX(Rates_Master!$D:$D, MATCH(B33, Rates_Master!$A:$A, 0)), ""))</f>
        <v/>
      </c>
      <c r="E33" s="57"/>
      <c r="F33" s="58" t="str">
        <f>IF(B33="","", IFERROR(INDEX(Rates_Master!$E:$E, MATCH(B33, Rates_Master!$A:$A, 0)), 0))</f>
        <v/>
      </c>
      <c r="G33" s="37">
        <f t="shared" si="0"/>
        <v>0</v>
      </c>
      <c r="H33" s="135"/>
      <c r="I33" s="54"/>
    </row>
    <row r="34" spans="1:9" ht="19.95" customHeight="1" x14ac:dyDescent="0.3">
      <c r="A34" s="16">
        <v>7</v>
      </c>
      <c r="B34" s="54"/>
      <c r="C34" s="72" t="str">
        <f>IF(B34="","", IFERROR(INDEX(Rates_Master!$C:$C, MATCH(B34, Rates_Master!$A:$A, 0)), "Custom / Intermediate Material"))</f>
        <v/>
      </c>
      <c r="D34" s="56" t="str">
        <f>IF(B34="","", IFERROR(INDEX(Rates_Master!$D:$D, MATCH(B34, Rates_Master!$A:$A, 0)), ""))</f>
        <v/>
      </c>
      <c r="E34" s="57"/>
      <c r="F34" s="58" t="str">
        <f>IF(B34="","", IFERROR(INDEX(Rates_Master!$E:$E, MATCH(B34, Rates_Master!$A:$A, 0)), 0))</f>
        <v/>
      </c>
      <c r="G34" s="37">
        <f t="shared" si="0"/>
        <v>0</v>
      </c>
      <c r="H34" s="135"/>
      <c r="I34" s="54"/>
    </row>
    <row r="35" spans="1:9" ht="19.95" customHeight="1" x14ac:dyDescent="0.3">
      <c r="A35" s="16">
        <v>8</v>
      </c>
      <c r="B35" s="54"/>
      <c r="C35" s="72" t="str">
        <f>IF(B35="","", IFERROR(INDEX(Rates_Master!$C:$C, MATCH(B35, Rates_Master!$A:$A, 0)), "Custom / Intermediate Material"))</f>
        <v/>
      </c>
      <c r="D35" s="56" t="str">
        <f>IF(B35="","", IFERROR(INDEX(Rates_Master!$D:$D, MATCH(B35, Rates_Master!$A:$A, 0)), ""))</f>
        <v/>
      </c>
      <c r="E35" s="57"/>
      <c r="F35" s="58" t="str">
        <f>IF(B35="","", IFERROR(INDEX(Rates_Master!$E:$E, MATCH(B35, Rates_Master!$A:$A, 0)), 0))</f>
        <v/>
      </c>
      <c r="G35" s="37">
        <f t="shared" si="0"/>
        <v>0</v>
      </c>
      <c r="H35" s="135"/>
      <c r="I35" s="54"/>
    </row>
    <row r="36" spans="1:9" ht="19.95" customHeight="1" x14ac:dyDescent="0.3">
      <c r="A36" s="16">
        <v>9</v>
      </c>
      <c r="B36" s="54"/>
      <c r="C36" s="72" t="str">
        <f>IF(B36="","", IFERROR(INDEX(Rates_Master!$C:$C, MATCH(B36, Rates_Master!$A:$A, 0)), "Custom / Intermediate Material"))</f>
        <v/>
      </c>
      <c r="D36" s="56" t="str">
        <f>IF(B36="","", IFERROR(INDEX(Rates_Master!$D:$D, MATCH(B36, Rates_Master!$A:$A, 0)), ""))</f>
        <v/>
      </c>
      <c r="E36" s="57"/>
      <c r="F36" s="58" t="str">
        <f>IF(B36="","", IFERROR(INDEX(Rates_Master!$E:$E, MATCH(B36, Rates_Master!$A:$A, 0)), 0))</f>
        <v/>
      </c>
      <c r="G36" s="37">
        <f t="shared" si="0"/>
        <v>0</v>
      </c>
      <c r="H36" s="135"/>
      <c r="I36" s="54"/>
    </row>
    <row r="37" spans="1:9" ht="19.95" customHeight="1" x14ac:dyDescent="0.3">
      <c r="A37" s="16">
        <v>10</v>
      </c>
      <c r="B37" s="54"/>
      <c r="C37" s="72" t="str">
        <f>IF(B37="","", IFERROR(INDEX(Rates_Master!$C:$C, MATCH(B37, Rates_Master!$A:$A, 0)), "Custom / Intermediate Material"))</f>
        <v/>
      </c>
      <c r="D37" s="56" t="str">
        <f>IF(B37="","", IFERROR(INDEX(Rates_Master!$D:$D, MATCH(B37, Rates_Master!$A:$A, 0)), ""))</f>
        <v/>
      </c>
      <c r="E37" s="57"/>
      <c r="F37" s="58" t="str">
        <f>IF(B37="","", IFERROR(INDEX(Rates_Master!$E:$E, MATCH(B37, Rates_Master!$A:$A, 0)), 0))</f>
        <v/>
      </c>
      <c r="G37" s="37">
        <f t="shared" si="0"/>
        <v>0</v>
      </c>
      <c r="H37" s="135"/>
      <c r="I37" s="54"/>
    </row>
    <row r="38" spans="1:9" ht="22.05" customHeight="1" x14ac:dyDescent="0.3">
      <c r="A38" s="252" t="s">
        <v>7899</v>
      </c>
      <c r="B38" s="253"/>
      <c r="C38" s="253"/>
      <c r="D38" s="253"/>
      <c r="E38" s="253"/>
      <c r="F38" s="254"/>
      <c r="G38" s="100">
        <f>SUM(G28:G37)</f>
        <v>1290.72</v>
      </c>
      <c r="H38" s="99"/>
      <c r="I38" s="99"/>
    </row>
    <row r="39" spans="1:9" ht="30" customHeight="1" x14ac:dyDescent="0.3">
      <c r="A39" s="244" t="s">
        <v>7900</v>
      </c>
      <c r="B39" s="241"/>
      <c r="C39" s="241"/>
      <c r="D39" s="241"/>
      <c r="E39" s="241"/>
      <c r="F39" s="242"/>
      <c r="G39" s="41">
        <f>ROUND(SUMIF($I$28:$I$37, "A", $G$28:$G$37), 2)</f>
        <v>0</v>
      </c>
      <c r="H39" s="63" t="s">
        <v>7901</v>
      </c>
      <c r="I39" s="61"/>
    </row>
    <row r="40" spans="1:9" ht="24" customHeight="1" x14ac:dyDescent="0.3">
      <c r="A40" s="239" t="s">
        <v>7902</v>
      </c>
      <c r="B40" s="228"/>
      <c r="C40" s="228"/>
      <c r="D40" s="228"/>
      <c r="E40" s="228"/>
      <c r="F40" s="228"/>
      <c r="G40" s="228"/>
      <c r="H40" s="228"/>
      <c r="I40" s="228"/>
    </row>
    <row r="41" spans="1:9" ht="24" customHeight="1" x14ac:dyDescent="0.3">
      <c r="A41" s="153" t="s">
        <v>6313</v>
      </c>
      <c r="B41" s="153" t="s">
        <v>6314</v>
      </c>
      <c r="C41" s="153" t="s">
        <v>5</v>
      </c>
      <c r="D41" s="153" t="s">
        <v>6</v>
      </c>
      <c r="E41" s="153" t="s">
        <v>6315</v>
      </c>
      <c r="F41" s="153" t="s">
        <v>7</v>
      </c>
      <c r="G41" s="153" t="s">
        <v>6316</v>
      </c>
      <c r="H41" s="153" t="s">
        <v>6317</v>
      </c>
      <c r="I41" s="153" t="s">
        <v>6318</v>
      </c>
    </row>
    <row r="42" spans="1:9" ht="19.95" customHeight="1" x14ac:dyDescent="0.3">
      <c r="A42" s="16">
        <v>1</v>
      </c>
      <c r="B42" s="54" t="s">
        <v>255</v>
      </c>
      <c r="C42" s="72" t="str">
        <f>IF(B42="","", IFERROR(INDEX(Rates_Master!$C:$C, MATCH(B42, Rates_Master!$A:$A, 0)), "Custom Labour / Plant"))</f>
        <v>Mason (average)</v>
      </c>
      <c r="D42" s="56" t="str">
        <f>IF(B42="","", IFERROR(INDEX(Rates_Master!$D:$D, MATCH(B42, Rates_Master!$A:$A, 0)), ""))</f>
        <v>day</v>
      </c>
      <c r="E42" s="57">
        <v>0.7</v>
      </c>
      <c r="F42" s="58">
        <f>IF(B42="","", IFERROR(INDEX(Rates_Master!$E:$E, MATCH(B42, Rates_Master!$A:$A, 0)), 0))</f>
        <v>709</v>
      </c>
      <c r="G42" s="37">
        <f t="shared" ref="G42:G51" si="1">IF(OR(B42="", E42=""), 0, ROUND(E42 * F42, 2))</f>
        <v>496.3</v>
      </c>
      <c r="H42" s="135" t="s">
        <v>8106</v>
      </c>
      <c r="I42" s="5"/>
    </row>
    <row r="43" spans="1:9" ht="19.95" customHeight="1" x14ac:dyDescent="0.3">
      <c r="A43" s="16">
        <v>2</v>
      </c>
      <c r="B43" s="54" t="s">
        <v>211</v>
      </c>
      <c r="C43" s="72" t="str">
        <f>IF(B43="","", IFERROR(INDEX(Rates_Master!$C:$C, MATCH(B43, Rates_Master!$A:$A, 0)), "Custom Labour / Plant"))</f>
        <v>Coolie</v>
      </c>
      <c r="D43" s="56" t="str">
        <f>IF(B43="","", IFERROR(INDEX(Rates_Master!$D:$D, MATCH(B43, Rates_Master!$A:$A, 0)), ""))</f>
        <v>day</v>
      </c>
      <c r="E43" s="57">
        <v>1.4</v>
      </c>
      <c r="F43" s="58">
        <f>IF(B43="","", IFERROR(INDEX(Rates_Master!$E:$E, MATCH(B43, Rates_Master!$A:$A, 0)), 0))</f>
        <v>558</v>
      </c>
      <c r="G43" s="37">
        <f t="shared" si="1"/>
        <v>781.2</v>
      </c>
      <c r="H43" s="135" t="s">
        <v>212</v>
      </c>
      <c r="I43" s="5"/>
    </row>
    <row r="44" spans="1:9" ht="19.95" customHeight="1" x14ac:dyDescent="0.3">
      <c r="A44" s="16">
        <v>3</v>
      </c>
      <c r="B44" s="54" t="s">
        <v>197</v>
      </c>
      <c r="C44" s="72" t="str">
        <f>IF(B44="","", IFERROR(INDEX(Rates_Master!$C:$C, MATCH(B44, Rates_Master!$A:$A, 0)), "Custom Labour / Plant"))</f>
        <v>Bhisti</v>
      </c>
      <c r="D44" s="56" t="str">
        <f>IF(B44="","", IFERROR(INDEX(Rates_Master!$D:$D, MATCH(B44, Rates_Master!$A:$A, 0)), ""))</f>
        <v>day</v>
      </c>
      <c r="E44" s="57">
        <v>0.2</v>
      </c>
      <c r="F44" s="58">
        <f>IF(B44="","", IFERROR(INDEX(Rates_Master!$E:$E, MATCH(B44, Rates_Master!$A:$A, 0)), 0))</f>
        <v>617</v>
      </c>
      <c r="G44" s="37">
        <f t="shared" si="1"/>
        <v>123.4</v>
      </c>
      <c r="H44" s="135" t="s">
        <v>198</v>
      </c>
      <c r="I44" s="5"/>
    </row>
    <row r="45" spans="1:9" ht="19.95" customHeight="1" x14ac:dyDescent="0.3">
      <c r="A45" s="16">
        <v>4</v>
      </c>
      <c r="B45" s="54"/>
      <c r="C45" s="72" t="str">
        <f>IF(B45="","", IFERROR(INDEX(Rates_Master!$C:$C, MATCH(B45, Rates_Master!$A:$A, 0)), "Custom Labour / Plant"))</f>
        <v/>
      </c>
      <c r="D45" s="56" t="str">
        <f>IF(B45="","", IFERROR(INDEX(Rates_Master!$D:$D, MATCH(B45, Rates_Master!$A:$A, 0)), ""))</f>
        <v/>
      </c>
      <c r="E45" s="57"/>
      <c r="F45" s="58" t="str">
        <f>IF(B45="","", IFERROR(INDEX(Rates_Master!$E:$E, MATCH(B45, Rates_Master!$A:$A, 0)), 0))</f>
        <v/>
      </c>
      <c r="G45" s="37">
        <f t="shared" si="1"/>
        <v>0</v>
      </c>
      <c r="H45" s="135"/>
      <c r="I45" s="5"/>
    </row>
    <row r="46" spans="1:9" ht="19.95" customHeight="1" x14ac:dyDescent="0.3">
      <c r="A46" s="16">
        <v>5</v>
      </c>
      <c r="B46" s="54"/>
      <c r="C46" s="72" t="str">
        <f>IF(B46="","", IFERROR(INDEX(Rates_Master!$C:$C, MATCH(B46, Rates_Master!$A:$A, 0)), "Custom Labour / Plant"))</f>
        <v/>
      </c>
      <c r="D46" s="56" t="str">
        <f>IF(B46="","", IFERROR(INDEX(Rates_Master!$D:$D, MATCH(B46, Rates_Master!$A:$A, 0)), ""))</f>
        <v/>
      </c>
      <c r="E46" s="57"/>
      <c r="F46" s="58" t="str">
        <f>IF(B46="","", IFERROR(INDEX(Rates_Master!$E:$E, MATCH(B46, Rates_Master!$A:$A, 0)), 0))</f>
        <v/>
      </c>
      <c r="G46" s="37">
        <f t="shared" si="1"/>
        <v>0</v>
      </c>
      <c r="H46" s="135"/>
      <c r="I46" s="5"/>
    </row>
    <row r="47" spans="1:9" ht="19.95" customHeight="1" x14ac:dyDescent="0.3">
      <c r="A47" s="16">
        <v>6</v>
      </c>
      <c r="B47" s="54"/>
      <c r="C47" s="72" t="str">
        <f>IF(B47="","", IFERROR(INDEX(Rates_Master!$C:$C, MATCH(B47, Rates_Master!$A:$A, 0)), "Custom Labour / Plant"))</f>
        <v/>
      </c>
      <c r="D47" s="56" t="str">
        <f>IF(B47="","", IFERROR(INDEX(Rates_Master!$D:$D, MATCH(B47, Rates_Master!$A:$A, 0)), ""))</f>
        <v/>
      </c>
      <c r="E47" s="57"/>
      <c r="F47" s="58" t="str">
        <f>IF(B47="","", IFERROR(INDEX(Rates_Master!$E:$E, MATCH(B47, Rates_Master!$A:$A, 0)), 0))</f>
        <v/>
      </c>
      <c r="G47" s="37">
        <f t="shared" si="1"/>
        <v>0</v>
      </c>
      <c r="H47" s="135"/>
      <c r="I47" s="5"/>
    </row>
    <row r="48" spans="1:9" ht="19.95" customHeight="1" x14ac:dyDescent="0.3">
      <c r="A48" s="16">
        <v>7</v>
      </c>
      <c r="B48" s="54"/>
      <c r="C48" s="72" t="str">
        <f>IF(B48="","", IFERROR(INDEX(Rates_Master!$C:$C, MATCH(B48, Rates_Master!$A:$A, 0)), "Custom Labour / Plant"))</f>
        <v/>
      </c>
      <c r="D48" s="56" t="str">
        <f>IF(B48="","", IFERROR(INDEX(Rates_Master!$D:$D, MATCH(B48, Rates_Master!$A:$A, 0)), ""))</f>
        <v/>
      </c>
      <c r="E48" s="57"/>
      <c r="F48" s="58" t="str">
        <f>IF(B48="","", IFERROR(INDEX(Rates_Master!$E:$E, MATCH(B48, Rates_Master!$A:$A, 0)), 0))</f>
        <v/>
      </c>
      <c r="G48" s="37">
        <f t="shared" si="1"/>
        <v>0</v>
      </c>
      <c r="H48" s="135"/>
      <c r="I48" s="5"/>
    </row>
    <row r="49" spans="1:9" ht="19.95" customHeight="1" x14ac:dyDescent="0.3">
      <c r="A49" s="16">
        <v>8</v>
      </c>
      <c r="B49" s="54"/>
      <c r="C49" s="72" t="str">
        <f>IF(B49="","", IFERROR(INDEX(Rates_Master!$C:$C, MATCH(B49, Rates_Master!$A:$A, 0)), "Custom Labour / Plant"))</f>
        <v/>
      </c>
      <c r="D49" s="56" t="str">
        <f>IF(B49="","", IFERROR(INDEX(Rates_Master!$D:$D, MATCH(B49, Rates_Master!$A:$A, 0)), ""))</f>
        <v/>
      </c>
      <c r="E49" s="57"/>
      <c r="F49" s="58" t="str">
        <f>IF(B49="","", IFERROR(INDEX(Rates_Master!$E:$E, MATCH(B49, Rates_Master!$A:$A, 0)), 0))</f>
        <v/>
      </c>
      <c r="G49" s="37">
        <f t="shared" si="1"/>
        <v>0</v>
      </c>
      <c r="H49" s="135"/>
      <c r="I49" s="5"/>
    </row>
    <row r="50" spans="1:9" ht="19.95" customHeight="1" x14ac:dyDescent="0.3">
      <c r="A50" s="16">
        <v>9</v>
      </c>
      <c r="B50" s="54"/>
      <c r="C50" s="72" t="str">
        <f>IF(B50="","", IFERROR(INDEX(Rates_Master!$C:$C, MATCH(B50, Rates_Master!$A:$A, 0)), "Custom Labour / Plant"))</f>
        <v/>
      </c>
      <c r="D50" s="56" t="str">
        <f>IF(B50="","", IFERROR(INDEX(Rates_Master!$D:$D, MATCH(B50, Rates_Master!$A:$A, 0)), ""))</f>
        <v/>
      </c>
      <c r="E50" s="57"/>
      <c r="F50" s="58" t="str">
        <f>IF(B50="","", IFERROR(INDEX(Rates_Master!$E:$E, MATCH(B50, Rates_Master!$A:$A, 0)), 0))</f>
        <v/>
      </c>
      <c r="G50" s="37">
        <f t="shared" si="1"/>
        <v>0</v>
      </c>
      <c r="H50" s="135"/>
      <c r="I50" s="5"/>
    </row>
    <row r="51" spans="1:9" ht="19.95" customHeight="1" x14ac:dyDescent="0.3">
      <c r="A51" s="16">
        <v>10</v>
      </c>
      <c r="B51" s="54"/>
      <c r="C51" s="72" t="str">
        <f>IF(B51="","", IFERROR(INDEX(Rates_Master!$C:$C, MATCH(B51, Rates_Master!$A:$A, 0)), "Custom Labour / Plant"))</f>
        <v/>
      </c>
      <c r="D51" s="56" t="str">
        <f>IF(B51="","", IFERROR(INDEX(Rates_Master!$D:$D, MATCH(B51, Rates_Master!$A:$A, 0)), ""))</f>
        <v/>
      </c>
      <c r="E51" s="57"/>
      <c r="F51" s="58" t="str">
        <f>IF(B51="","", IFERROR(INDEX(Rates_Master!$E:$E, MATCH(B51, Rates_Master!$A:$A, 0)), 0))</f>
        <v/>
      </c>
      <c r="G51" s="37">
        <f t="shared" si="1"/>
        <v>0</v>
      </c>
      <c r="H51" s="135"/>
      <c r="I51" s="5"/>
    </row>
    <row r="52" spans="1:9" ht="22.05" customHeight="1" x14ac:dyDescent="0.3">
      <c r="A52" s="252" t="s">
        <v>7905</v>
      </c>
      <c r="B52" s="253"/>
      <c r="C52" s="253"/>
      <c r="D52" s="253"/>
      <c r="E52" s="253"/>
      <c r="F52" s="254"/>
      <c r="G52" s="100">
        <f>SUM(G42:G51)</f>
        <v>1400.9</v>
      </c>
      <c r="H52" s="99"/>
      <c r="I52" s="99"/>
    </row>
    <row r="54" spans="1:9" ht="24" customHeight="1" x14ac:dyDescent="0.3">
      <c r="A54" s="239" t="s">
        <v>7906</v>
      </c>
      <c r="B54" s="228"/>
      <c r="C54" s="228"/>
      <c r="D54" s="228"/>
      <c r="E54" s="228"/>
      <c r="F54" s="228"/>
      <c r="G54" s="228"/>
      <c r="H54" s="228"/>
      <c r="I54" s="228"/>
    </row>
    <row r="55" spans="1:9" ht="22.05" customHeight="1" x14ac:dyDescent="0.3">
      <c r="A55" s="16" t="s">
        <v>4390</v>
      </c>
      <c r="B55" s="48" t="s">
        <v>4269</v>
      </c>
      <c r="C55" s="53" t="s">
        <v>7907</v>
      </c>
      <c r="D55" s="16" t="s">
        <v>4266</v>
      </c>
      <c r="E55" s="22">
        <v>3.5</v>
      </c>
      <c r="F55" s="59">
        <f>Factor_Sundries</f>
        <v>2</v>
      </c>
      <c r="G55" s="65">
        <f>ROUND(E55 * F55, 2)</f>
        <v>7</v>
      </c>
      <c r="H55" s="60" t="s">
        <v>7908</v>
      </c>
      <c r="I55" s="53"/>
    </row>
    <row r="57" spans="1:9" ht="24" customHeight="1" x14ac:dyDescent="0.3">
      <c r="A57" s="239" t="s">
        <v>7909</v>
      </c>
      <c r="B57" s="228"/>
      <c r="C57" s="228"/>
      <c r="D57" s="228"/>
      <c r="E57" s="228"/>
      <c r="F57" s="228"/>
      <c r="G57" s="228"/>
      <c r="H57" s="228"/>
      <c r="I57" s="228"/>
    </row>
    <row r="58" spans="1:9" ht="24" customHeight="1" x14ac:dyDescent="0.3">
      <c r="A58" s="153" t="s">
        <v>6516</v>
      </c>
      <c r="B58" s="153" t="s">
        <v>6994</v>
      </c>
      <c r="C58" s="153" t="s">
        <v>6518</v>
      </c>
      <c r="D58" s="153" t="s">
        <v>6519</v>
      </c>
      <c r="E58" s="153" t="s">
        <v>6520</v>
      </c>
      <c r="F58" s="153" t="s">
        <v>6521</v>
      </c>
      <c r="G58" s="153" t="s">
        <v>6316</v>
      </c>
      <c r="H58" s="153" t="s">
        <v>6522</v>
      </c>
      <c r="I58" s="153" t="s">
        <v>7910</v>
      </c>
    </row>
    <row r="59" spans="1:9" ht="24" customHeight="1" x14ac:dyDescent="0.3">
      <c r="A59" s="1" t="s">
        <v>6523</v>
      </c>
      <c r="B59" s="67" t="s">
        <v>7911</v>
      </c>
      <c r="C59" s="66" t="s">
        <v>6335</v>
      </c>
      <c r="D59" s="66" t="s">
        <v>7001</v>
      </c>
      <c r="E59" s="102" t="s">
        <v>6335</v>
      </c>
      <c r="F59" s="102" t="s">
        <v>6335</v>
      </c>
      <c r="G59" s="41">
        <f>G38 + G52 + G55</f>
        <v>2698.62</v>
      </c>
      <c r="H59" s="63" t="s">
        <v>7912</v>
      </c>
      <c r="I59" s="136" t="s">
        <v>7913</v>
      </c>
    </row>
    <row r="60" spans="1:9" ht="24" customHeight="1" x14ac:dyDescent="0.3">
      <c r="A60" s="48" t="s">
        <v>6331</v>
      </c>
      <c r="B60" s="17" t="s">
        <v>6527</v>
      </c>
      <c r="C60" s="54" t="s">
        <v>4318</v>
      </c>
      <c r="D60" s="16" t="s">
        <v>7004</v>
      </c>
      <c r="E60" s="51">
        <f>G59 - G39</f>
        <v>2698.62</v>
      </c>
      <c r="F60" s="64">
        <f>Factor_Water</f>
        <v>0.01</v>
      </c>
      <c r="G60" s="65">
        <f>IF(C60="YES", ROUND(E60 * F60, 2), 0)</f>
        <v>26.99</v>
      </c>
      <c r="H60" s="152" t="s">
        <v>8107</v>
      </c>
      <c r="I60" s="132" t="s">
        <v>7915</v>
      </c>
    </row>
    <row r="61" spans="1:9" ht="24" customHeight="1" x14ac:dyDescent="0.3">
      <c r="A61" s="1" t="s">
        <v>6334</v>
      </c>
      <c r="B61" s="67" t="s">
        <v>6336</v>
      </c>
      <c r="C61" s="66" t="s">
        <v>6335</v>
      </c>
      <c r="D61" s="66" t="s">
        <v>6531</v>
      </c>
      <c r="E61" s="102" t="s">
        <v>6335</v>
      </c>
      <c r="F61" s="102" t="s">
        <v>6335</v>
      </c>
      <c r="G61" s="41">
        <f>G59 + G60</f>
        <v>2725.6099999999997</v>
      </c>
      <c r="H61" s="63" t="s">
        <v>7916</v>
      </c>
      <c r="I61" s="136" t="s">
        <v>7913</v>
      </c>
    </row>
    <row r="62" spans="1:9" ht="24" customHeight="1" x14ac:dyDescent="0.3">
      <c r="A62" s="48" t="s">
        <v>6338</v>
      </c>
      <c r="B62" s="17" t="s">
        <v>7917</v>
      </c>
      <c r="C62" s="54" t="s">
        <v>4318</v>
      </c>
      <c r="D62" s="16" t="s">
        <v>7009</v>
      </c>
      <c r="E62" s="51">
        <f>G61 - G39</f>
        <v>2725.6099999999997</v>
      </c>
      <c r="F62" s="64">
        <f>Factor_GST</f>
        <v>0.14050000000000001</v>
      </c>
      <c r="G62" s="65">
        <f>IF(C62="YES", ROUND(E62 * F62, 2), 0)</f>
        <v>382.95</v>
      </c>
      <c r="H62" s="152" t="s">
        <v>8108</v>
      </c>
      <c r="I62" s="132" t="s">
        <v>7915</v>
      </c>
    </row>
    <row r="63" spans="1:9" ht="24" customHeight="1" x14ac:dyDescent="0.3">
      <c r="A63" s="1" t="s">
        <v>6341</v>
      </c>
      <c r="B63" s="67" t="s">
        <v>6342</v>
      </c>
      <c r="C63" s="66" t="s">
        <v>6335</v>
      </c>
      <c r="D63" s="66" t="s">
        <v>6537</v>
      </c>
      <c r="E63" s="102" t="s">
        <v>6335</v>
      </c>
      <c r="F63" s="102" t="s">
        <v>6335</v>
      </c>
      <c r="G63" s="41">
        <f>G61 + G62</f>
        <v>3108.5599999999995</v>
      </c>
      <c r="H63" s="63" t="s">
        <v>7919</v>
      </c>
      <c r="I63" s="136" t="s">
        <v>7913</v>
      </c>
    </row>
    <row r="64" spans="1:9" ht="24" customHeight="1" x14ac:dyDescent="0.3">
      <c r="A64" s="48" t="s">
        <v>6343</v>
      </c>
      <c r="B64" s="17" t="s">
        <v>6539</v>
      </c>
      <c r="C64" s="54" t="s">
        <v>4318</v>
      </c>
      <c r="D64" s="16" t="s">
        <v>7013</v>
      </c>
      <c r="E64" s="51">
        <f>G63 - G39</f>
        <v>3108.5599999999995</v>
      </c>
      <c r="F64" s="64">
        <f>Factor_CPOH</f>
        <v>0.15</v>
      </c>
      <c r="G64" s="65">
        <f>IF(C64="YES", ROUND(E64 * F64, 2), 0)</f>
        <v>466.28</v>
      </c>
      <c r="H64" s="152" t="s">
        <v>8109</v>
      </c>
      <c r="I64" s="132" t="s">
        <v>7915</v>
      </c>
    </row>
    <row r="65" spans="1:9" ht="24" customHeight="1" x14ac:dyDescent="0.3">
      <c r="A65" s="1" t="s">
        <v>6346</v>
      </c>
      <c r="B65" s="67" t="s">
        <v>6347</v>
      </c>
      <c r="C65" s="66" t="s">
        <v>6335</v>
      </c>
      <c r="D65" s="66" t="s">
        <v>6543</v>
      </c>
      <c r="E65" s="102" t="s">
        <v>6335</v>
      </c>
      <c r="F65" s="102" t="s">
        <v>6335</v>
      </c>
      <c r="G65" s="41">
        <f>G63 + G64</f>
        <v>3574.8399999999992</v>
      </c>
      <c r="H65" s="63" t="s">
        <v>7921</v>
      </c>
      <c r="I65" s="136" t="s">
        <v>7913</v>
      </c>
    </row>
    <row r="66" spans="1:9" ht="24" customHeight="1" x14ac:dyDescent="0.3">
      <c r="A66" s="48" t="s">
        <v>6348</v>
      </c>
      <c r="B66" s="17" t="s">
        <v>7922</v>
      </c>
      <c r="C66" s="54" t="s">
        <v>4318</v>
      </c>
      <c r="D66" s="16" t="s">
        <v>7923</v>
      </c>
      <c r="E66" s="51">
        <f>G65 - G39</f>
        <v>3574.8399999999992</v>
      </c>
      <c r="F66" s="64">
        <f>Factor_Cess</f>
        <v>0.01</v>
      </c>
      <c r="G66" s="65">
        <f>IF(C66="YES", ROUND(E66 * F66, 2), 0)</f>
        <v>35.75</v>
      </c>
      <c r="H66" s="152" t="s">
        <v>8110</v>
      </c>
      <c r="I66" s="132" t="s">
        <v>7915</v>
      </c>
    </row>
    <row r="67" spans="1:9" ht="24" customHeight="1" x14ac:dyDescent="0.3">
      <c r="A67" s="26" t="s">
        <v>7018</v>
      </c>
      <c r="B67" s="103" t="str">
        <f>"Total Cost of Batch (" &amp; TEXT(D16, "0.00") &amp; " " &amp; F16 &amp; "):"</f>
        <v>Total Cost of Batch (1.00 cum):</v>
      </c>
      <c r="C67" s="104" t="s">
        <v>6335</v>
      </c>
      <c r="D67" s="104" t="s">
        <v>6550</v>
      </c>
      <c r="E67" s="105" t="s">
        <v>6335</v>
      </c>
      <c r="F67" s="105" t="s">
        <v>6335</v>
      </c>
      <c r="G67" s="69">
        <f>G65 + G66</f>
        <v>3610.5899999999992</v>
      </c>
      <c r="H67" s="106" t="s">
        <v>7925</v>
      </c>
      <c r="I67" s="107" t="s">
        <v>6335</v>
      </c>
    </row>
    <row r="68" spans="1:9" ht="24" customHeight="1" x14ac:dyDescent="0.3">
      <c r="A68" s="1" t="s">
        <v>7021</v>
      </c>
      <c r="B68" s="67" t="str">
        <f>"Analyzed Unit Rate per 1.00 " &amp; F16 &amp; ":"</f>
        <v>Analyzed Unit Rate per 1.00 cum:</v>
      </c>
      <c r="C68" s="66" t="s">
        <v>6335</v>
      </c>
      <c r="D68" s="66" t="s">
        <v>7926</v>
      </c>
      <c r="E68" s="102" t="s">
        <v>6335</v>
      </c>
      <c r="F68" s="102" t="s">
        <v>6335</v>
      </c>
      <c r="G68" s="41">
        <f>ROUND(G67 / D16, 2)</f>
        <v>3610.59</v>
      </c>
      <c r="H68" s="63" t="s">
        <v>7927</v>
      </c>
      <c r="I68" s="136" t="s">
        <v>6335</v>
      </c>
    </row>
    <row r="69" spans="1:9" ht="30" customHeight="1" x14ac:dyDescent="0.3">
      <c r="A69" s="46" t="s">
        <v>6423</v>
      </c>
      <c r="B69" s="109" t="str">
        <f>"OFFICIAL SAY RATE (Rs per " &amp; F16 &amp; "):"</f>
        <v>OFFICIAL SAY RATE (Rs per cum):</v>
      </c>
      <c r="C69" s="110" t="s">
        <v>6335</v>
      </c>
      <c r="D69" s="110" t="s">
        <v>6568</v>
      </c>
      <c r="E69" s="111" t="s">
        <v>6335</v>
      </c>
      <c r="F69" s="111" t="s">
        <v>6335</v>
      </c>
      <c r="G69" s="52">
        <f>MROUND(G68, 0.05)</f>
        <v>3610.6000000000004</v>
      </c>
      <c r="H69" s="71" t="s">
        <v>7928</v>
      </c>
      <c r="I69" s="112" t="s">
        <v>6335</v>
      </c>
    </row>
    <row r="70" spans="1:9" ht="43.95" customHeight="1" x14ac:dyDescent="0.3">
      <c r="A70" s="237" t="s">
        <v>6570</v>
      </c>
      <c r="B70" s="241"/>
      <c r="C70" s="241"/>
      <c r="D70" s="241"/>
      <c r="E70" s="241"/>
      <c r="F70" s="241"/>
      <c r="G70" s="241"/>
      <c r="H70" s="241"/>
      <c r="I70" s="242"/>
    </row>
    <row r="72" spans="1:9" ht="24" customHeight="1" x14ac:dyDescent="0.3">
      <c r="A72" s="239" t="s">
        <v>7929</v>
      </c>
      <c r="B72" s="228"/>
      <c r="C72" s="228"/>
      <c r="D72" s="228"/>
      <c r="E72" s="228"/>
      <c r="F72" s="228"/>
      <c r="G72" s="228"/>
      <c r="H72" s="228"/>
      <c r="I72" s="228"/>
    </row>
    <row r="73" spans="1:9" ht="19.95" customHeight="1" x14ac:dyDescent="0.3">
      <c r="A73" s="238" t="s">
        <v>7930</v>
      </c>
      <c r="B73" s="228"/>
      <c r="C73" s="228"/>
      <c r="D73" s="228"/>
      <c r="E73" s="228"/>
      <c r="F73" s="228"/>
      <c r="G73" s="228"/>
      <c r="H73" s="228"/>
      <c r="I73" s="228"/>
    </row>
    <row r="74" spans="1:9" ht="24" customHeight="1" x14ac:dyDescent="0.3">
      <c r="A74" s="153" t="s">
        <v>7931</v>
      </c>
      <c r="B74" s="153" t="s">
        <v>7932</v>
      </c>
      <c r="C74" s="153" t="s">
        <v>6</v>
      </c>
      <c r="D74" s="153" t="s">
        <v>4364</v>
      </c>
      <c r="E74" s="153" t="s">
        <v>7933</v>
      </c>
      <c r="F74" s="153" t="s">
        <v>7934</v>
      </c>
      <c r="G74" s="153" t="s">
        <v>7935</v>
      </c>
      <c r="H74" s="153" t="s">
        <v>7936</v>
      </c>
      <c r="I74" s="153" t="s">
        <v>7937</v>
      </c>
    </row>
    <row r="75" spans="1:9" ht="19.95" customHeight="1" x14ac:dyDescent="0.3">
      <c r="A75" s="137" t="s">
        <v>8111</v>
      </c>
      <c r="B75" s="138" t="s">
        <v>8112</v>
      </c>
      <c r="C75" s="139" t="s">
        <v>18</v>
      </c>
      <c r="D75" s="139">
        <v>1</v>
      </c>
      <c r="E75" s="140">
        <v>4150.2</v>
      </c>
      <c r="F75" s="139" t="s">
        <v>7943</v>
      </c>
      <c r="G75" s="140">
        <v>5552</v>
      </c>
      <c r="H75" s="8">
        <v>5552</v>
      </c>
      <c r="I75" s="140"/>
    </row>
    <row r="76" spans="1:9" ht="19.95" customHeight="1" x14ac:dyDescent="0.3">
      <c r="A76" s="141" t="s">
        <v>8113</v>
      </c>
      <c r="B76" s="142" t="s">
        <v>7942</v>
      </c>
      <c r="C76" s="143" t="s">
        <v>18</v>
      </c>
      <c r="D76" s="143">
        <v>1</v>
      </c>
      <c r="E76" s="144"/>
      <c r="F76" s="143" t="s">
        <v>7943</v>
      </c>
      <c r="G76" s="144"/>
      <c r="H76" s="4"/>
      <c r="I76" s="144"/>
    </row>
    <row r="77" spans="1:9" ht="19.95" customHeight="1" x14ac:dyDescent="0.3">
      <c r="A77" s="137" t="s">
        <v>8114</v>
      </c>
      <c r="B77" s="138" t="s">
        <v>7942</v>
      </c>
      <c r="C77" s="139" t="s">
        <v>18</v>
      </c>
      <c r="D77" s="139">
        <v>1</v>
      </c>
      <c r="E77" s="140"/>
      <c r="F77" s="139" t="s">
        <v>7943</v>
      </c>
      <c r="G77" s="140"/>
      <c r="H77" s="8"/>
      <c r="I77" s="140"/>
    </row>
    <row r="78" spans="1:9" ht="19.95" customHeight="1" x14ac:dyDescent="0.3">
      <c r="A78" s="141" t="s">
        <v>8115</v>
      </c>
      <c r="B78" s="142" t="s">
        <v>7942</v>
      </c>
      <c r="C78" s="143" t="s">
        <v>18</v>
      </c>
      <c r="D78" s="143">
        <v>1</v>
      </c>
      <c r="E78" s="144"/>
      <c r="F78" s="143" t="s">
        <v>7943</v>
      </c>
      <c r="G78" s="144"/>
      <c r="H78" s="4"/>
      <c r="I78" s="144"/>
    </row>
    <row r="79" spans="1:9" ht="19.95" customHeight="1" x14ac:dyDescent="0.3">
      <c r="A79" s="137" t="s">
        <v>8116</v>
      </c>
      <c r="B79" s="138" t="s">
        <v>7942</v>
      </c>
      <c r="C79" s="139" t="s">
        <v>18</v>
      </c>
      <c r="D79" s="139">
        <v>1</v>
      </c>
      <c r="E79" s="140"/>
      <c r="F79" s="139" t="s">
        <v>7943</v>
      </c>
      <c r="G79" s="140"/>
      <c r="H79" s="8"/>
      <c r="I79" s="140"/>
    </row>
    <row r="80" spans="1:9" ht="19.95" customHeight="1" x14ac:dyDescent="0.3">
      <c r="A80" s="141" t="s">
        <v>8117</v>
      </c>
      <c r="B80" s="142" t="s">
        <v>7942</v>
      </c>
      <c r="C80" s="143" t="s">
        <v>18</v>
      </c>
      <c r="D80" s="143">
        <v>1</v>
      </c>
      <c r="E80" s="144"/>
      <c r="F80" s="143" t="s">
        <v>7943</v>
      </c>
      <c r="G80" s="144"/>
      <c r="H80" s="4"/>
      <c r="I80" s="144"/>
    </row>
    <row r="81" spans="1:9" ht="19.95" customHeight="1" x14ac:dyDescent="0.3">
      <c r="A81" s="137" t="s">
        <v>8118</v>
      </c>
      <c r="B81" s="138" t="s">
        <v>7942</v>
      </c>
      <c r="C81" s="139" t="s">
        <v>18</v>
      </c>
      <c r="D81" s="139">
        <v>1</v>
      </c>
      <c r="E81" s="140"/>
      <c r="F81" s="139" t="s">
        <v>7943</v>
      </c>
      <c r="G81" s="140"/>
      <c r="H81" s="8"/>
      <c r="I81" s="140"/>
    </row>
    <row r="82" spans="1:9" ht="19.95" customHeight="1" x14ac:dyDescent="0.3">
      <c r="A82" s="141" t="s">
        <v>8119</v>
      </c>
      <c r="B82" s="142" t="s">
        <v>7942</v>
      </c>
      <c r="C82" s="143" t="s">
        <v>18</v>
      </c>
      <c r="D82" s="143">
        <v>1</v>
      </c>
      <c r="E82" s="144"/>
      <c r="F82" s="143" t="s">
        <v>7943</v>
      </c>
      <c r="G82" s="144"/>
      <c r="H82" s="4"/>
      <c r="I82" s="144"/>
    </row>
  </sheetData>
  <sheetProtection sheet="1"/>
  <mergeCells count="31">
    <mergeCell ref="A73:I73"/>
    <mergeCell ref="A1:I1"/>
    <mergeCell ref="A70:I70"/>
    <mergeCell ref="A6:I6"/>
    <mergeCell ref="E22:I22"/>
    <mergeCell ref="A54:I54"/>
    <mergeCell ref="A72:I72"/>
    <mergeCell ref="A38:F38"/>
    <mergeCell ref="A52:F52"/>
    <mergeCell ref="E15:I15"/>
    <mergeCell ref="A40:I40"/>
    <mergeCell ref="A39:F39"/>
    <mergeCell ref="A24:I24"/>
    <mergeCell ref="E23:I23"/>
    <mergeCell ref="E14:I14"/>
    <mergeCell ref="A26:I26"/>
    <mergeCell ref="A57:I57"/>
    <mergeCell ref="E20:I20"/>
    <mergeCell ref="E19:I19"/>
    <mergeCell ref="E21:I21"/>
    <mergeCell ref="E12:I12"/>
    <mergeCell ref="B17:G17"/>
    <mergeCell ref="A18:I18"/>
    <mergeCell ref="A3:I3"/>
    <mergeCell ref="A5:I5"/>
    <mergeCell ref="E10:I10"/>
    <mergeCell ref="E13:I13"/>
    <mergeCell ref="A8:I8"/>
    <mergeCell ref="A4:I4"/>
    <mergeCell ref="E9:I9"/>
    <mergeCell ref="E11:I11"/>
  </mergeCells>
  <dataValidations count="9">
    <dataValidation type="list" sqref="C60 C62 C64 C66">
      <formula1>"YES,NO"</formula1>
    </dataValidation>
    <dataValidation type="list" allowBlank="1" promptTitle="CPWD A-tag" prompt="Enter A only if this line imports a rate that already includes Water, GST, CPOH and Cess. A-tagged lines are excluded from every markup base per the CPWD (W-A) convention." sqref="I28 I29 I30 I31 I32 I33 I34 I35 I36 I37">
      <formula1>"A,"</formula1>
    </dataValidation>
    <dataValidation type="list" allowBlank="1" promptTitle="Component picker" prompt="Pick a Rates_Master code, or type an intermediate source such as 03_Mortars or a Resolved_Cross_Volume_Items item number." sqref="B28 B29 B30 B31 B32 B33 B34 B35 B36 B37 B42 B43 B44 B45 B46 B47 B48 B49 B50 B51">
      <formula1>Master_Codes</formula1>
    </dataValidation>
    <dataValidation type="list" allowBlank="1" sqref="B10">
      <formula1>"random rubble masonry,coursed rubble masonry (first sort),coursed rubble masonry (second sort),ashlar masonry"</formula1>
    </dataValidation>
    <dataValidation type="list" allowBlank="1" sqref="B11">
      <formula1>"stone for masonry (rubble),sand stone,granite,quartzite,lime stone"</formula1>
    </dataValidation>
    <dataValidation type="list" allowBlank="1" sqref="B12">
      <formula1>"cement mortar 1:3 (1 cement : 3 coarse sand),cement mortar 1:4 (1 cement : 4 coarse sand),cement mortar 1:6 (1 cement : 6 coarse sand),lime mortar"</formula1>
    </dataValidation>
    <dataValidation type="list" allowBlank="1" sqref="B13">
      <formula1>"undressed,hammer dressed,chisel dressed,fine dressed / polished"</formula1>
    </dataValidation>
    <dataValidation type="list" allowBlank="1" sqref="B14">
      <formula1>"including through stones,without through stones"</formula1>
    </dataValidation>
    <dataValidation type="list" allowBlank="1" sqref="B15">
      <formula1>"not required,cement concrete 1:6:12 backing,cement concrete 1:5:10 backing"</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pane ySplit="3" topLeftCell="A4" activePane="bottomLeft" state="frozen"/>
      <selection pane="bottomLeft"/>
    </sheetView>
  </sheetViews>
  <sheetFormatPr defaultRowHeight="14.4" x14ac:dyDescent="0.3"/>
  <cols>
    <col min="1" max="1" width="34" style="151" customWidth="1"/>
    <col min="2" max="2" width="26" style="151" customWidth="1"/>
    <col min="3" max="3" width="46" style="151" customWidth="1"/>
    <col min="4" max="4" width="16" style="151" customWidth="1"/>
    <col min="5" max="6" width="18" style="151" customWidth="1"/>
    <col min="7" max="7" width="20" style="151" customWidth="1"/>
    <col min="8" max="8" width="44" style="151" customWidth="1"/>
    <col min="9" max="9" width="14" style="151" customWidth="1"/>
  </cols>
  <sheetData>
    <row r="1" spans="1:9" ht="30" customHeight="1" x14ac:dyDescent="0.3">
      <c r="A1" s="227" t="s">
        <v>8120</v>
      </c>
      <c r="B1" s="228"/>
      <c r="C1" s="228"/>
      <c r="D1" s="228"/>
      <c r="E1" s="228"/>
      <c r="F1" s="228"/>
      <c r="G1" s="228"/>
      <c r="H1" s="228"/>
      <c r="I1" s="228"/>
    </row>
    <row r="2" spans="1:9" ht="19.95" customHeight="1" x14ac:dyDescent="0.3">
      <c r="A2" s="73" t="s">
        <v>4272</v>
      </c>
      <c r="B2" s="45" t="s">
        <v>6379</v>
      </c>
      <c r="C2" s="74" t="s">
        <v>6380</v>
      </c>
      <c r="D2" s="28" t="s">
        <v>6381</v>
      </c>
      <c r="E2" s="7" t="s">
        <v>6382</v>
      </c>
      <c r="F2" s="26" t="s">
        <v>6383</v>
      </c>
      <c r="G2" s="46" t="s">
        <v>6384</v>
      </c>
      <c r="H2" s="47" t="s">
        <v>6385</v>
      </c>
      <c r="I2" s="3" t="s">
        <v>6386</v>
      </c>
    </row>
    <row r="3" spans="1:9" ht="30" customHeight="1" x14ac:dyDescent="0.3">
      <c r="A3" s="237" t="s">
        <v>8121</v>
      </c>
      <c r="B3" s="241"/>
      <c r="C3" s="241"/>
      <c r="D3" s="241"/>
      <c r="E3" s="241"/>
      <c r="F3" s="241"/>
      <c r="G3" s="241"/>
      <c r="H3" s="241"/>
      <c r="I3" s="242"/>
    </row>
    <row r="4" spans="1:9" ht="22.05" customHeight="1" x14ac:dyDescent="0.3">
      <c r="A4" s="239" t="s">
        <v>6388</v>
      </c>
      <c r="B4" s="228"/>
      <c r="C4" s="228"/>
      <c r="D4" s="228"/>
      <c r="E4" s="228"/>
      <c r="F4" s="228"/>
      <c r="G4" s="228"/>
      <c r="H4" s="228"/>
      <c r="I4" s="228"/>
    </row>
    <row r="5" spans="1:9" ht="46.05" customHeight="1" x14ac:dyDescent="0.3">
      <c r="A5" s="237" t="s">
        <v>6389</v>
      </c>
      <c r="B5" s="241"/>
      <c r="C5" s="241"/>
      <c r="D5" s="241"/>
      <c r="E5" s="241"/>
      <c r="F5" s="241"/>
      <c r="G5" s="241"/>
      <c r="H5" s="241"/>
      <c r="I5" s="242"/>
    </row>
    <row r="6" spans="1:9" ht="46.05" customHeight="1" x14ac:dyDescent="0.3">
      <c r="A6" s="237" t="s">
        <v>6390</v>
      </c>
      <c r="B6" s="241"/>
      <c r="C6" s="241"/>
      <c r="D6" s="241"/>
      <c r="E6" s="241"/>
      <c r="F6" s="241"/>
      <c r="G6" s="241"/>
      <c r="H6" s="241"/>
      <c r="I6" s="242"/>
    </row>
    <row r="8" spans="1:9" ht="24" customHeight="1" x14ac:dyDescent="0.3">
      <c r="A8" s="239" t="s">
        <v>7837</v>
      </c>
      <c r="B8" s="228"/>
      <c r="C8" s="228"/>
      <c r="D8" s="228"/>
      <c r="E8" s="228"/>
      <c r="F8" s="228"/>
      <c r="G8" s="228"/>
      <c r="H8" s="228"/>
      <c r="I8" s="228"/>
    </row>
    <row r="9" spans="1:9" ht="30" customHeight="1" x14ac:dyDescent="0.3">
      <c r="A9" s="153" t="s">
        <v>7838</v>
      </c>
      <c r="B9" s="153" t="s">
        <v>7839</v>
      </c>
      <c r="C9" s="153" t="s">
        <v>7840</v>
      </c>
      <c r="D9" s="153" t="s">
        <v>7841</v>
      </c>
      <c r="E9" s="247" t="s">
        <v>7842</v>
      </c>
      <c r="F9" s="248"/>
      <c r="G9" s="248"/>
      <c r="H9" s="248"/>
      <c r="I9" s="249"/>
    </row>
    <row r="10" spans="1:9" ht="31.95" customHeight="1" x14ac:dyDescent="0.3">
      <c r="A10" s="75" t="s">
        <v>8122</v>
      </c>
      <c r="B10" s="76" t="s">
        <v>8123</v>
      </c>
      <c r="C10" s="26" t="s">
        <v>7845</v>
      </c>
      <c r="D10" s="132" t="s">
        <v>7888</v>
      </c>
      <c r="E10" s="246" t="s">
        <v>8124</v>
      </c>
      <c r="F10" s="241"/>
      <c r="G10" s="241"/>
      <c r="H10" s="241"/>
      <c r="I10" s="242"/>
    </row>
    <row r="11" spans="1:9" ht="31.95" customHeight="1" x14ac:dyDescent="0.3">
      <c r="A11" s="75" t="s">
        <v>8125</v>
      </c>
      <c r="B11" s="76" t="s">
        <v>8126</v>
      </c>
      <c r="C11" s="26" t="s">
        <v>7845</v>
      </c>
      <c r="D11" s="132" t="s">
        <v>7846</v>
      </c>
      <c r="E11" s="246" t="s">
        <v>8127</v>
      </c>
      <c r="F11" s="241"/>
      <c r="G11" s="241"/>
      <c r="H11" s="241"/>
      <c r="I11" s="242"/>
    </row>
    <row r="12" spans="1:9" ht="31.95" customHeight="1" x14ac:dyDescent="0.3">
      <c r="A12" s="75" t="s">
        <v>8128</v>
      </c>
      <c r="B12" s="76" t="s">
        <v>8129</v>
      </c>
      <c r="C12" s="26" t="s">
        <v>7845</v>
      </c>
      <c r="D12" s="132" t="s">
        <v>8130</v>
      </c>
      <c r="E12" s="246" t="s">
        <v>8131</v>
      </c>
      <c r="F12" s="241"/>
      <c r="G12" s="241"/>
      <c r="H12" s="241"/>
      <c r="I12" s="242"/>
    </row>
    <row r="13" spans="1:9" ht="31.95" customHeight="1" x14ac:dyDescent="0.3">
      <c r="A13" s="75" t="s">
        <v>8132</v>
      </c>
      <c r="B13" s="76" t="s">
        <v>8133</v>
      </c>
      <c r="C13" s="26" t="s">
        <v>7845</v>
      </c>
      <c r="D13" s="132" t="s">
        <v>8134</v>
      </c>
      <c r="E13" s="246" t="s">
        <v>8135</v>
      </c>
      <c r="F13" s="241"/>
      <c r="G13" s="241"/>
      <c r="H13" s="241"/>
      <c r="I13" s="242"/>
    </row>
    <row r="14" spans="1:9" ht="31.95" customHeight="1" x14ac:dyDescent="0.3">
      <c r="A14" s="75" t="s">
        <v>8136</v>
      </c>
      <c r="B14" s="76" t="s">
        <v>8137</v>
      </c>
      <c r="C14" s="26" t="s">
        <v>7845</v>
      </c>
      <c r="D14" s="132" t="s">
        <v>7846</v>
      </c>
      <c r="E14" s="246" t="s">
        <v>8138</v>
      </c>
      <c r="F14" s="241"/>
      <c r="G14" s="241"/>
      <c r="H14" s="241"/>
      <c r="I14" s="242"/>
    </row>
    <row r="15" spans="1:9" ht="31.95" customHeight="1" x14ac:dyDescent="0.3">
      <c r="A15" s="75" t="s">
        <v>8139</v>
      </c>
      <c r="B15" s="76" t="s">
        <v>8043</v>
      </c>
      <c r="C15" s="26" t="s">
        <v>7845</v>
      </c>
      <c r="D15" s="132" t="s">
        <v>8140</v>
      </c>
      <c r="E15" s="246" t="s">
        <v>8141</v>
      </c>
      <c r="F15" s="241"/>
      <c r="G15" s="241"/>
      <c r="H15" s="241"/>
      <c r="I15" s="242"/>
    </row>
    <row r="16" spans="1:9" ht="22.05" customHeight="1" x14ac:dyDescent="0.35">
      <c r="A16" s="14" t="s">
        <v>7867</v>
      </c>
      <c r="B16" s="54" t="s">
        <v>8142</v>
      </c>
      <c r="C16" s="14" t="s">
        <v>7869</v>
      </c>
      <c r="D16" s="77">
        <v>10</v>
      </c>
      <c r="E16" s="14" t="s">
        <v>7870</v>
      </c>
      <c r="F16" s="54" t="s">
        <v>169</v>
      </c>
      <c r="G16" s="14" t="s">
        <v>7871</v>
      </c>
      <c r="H16" s="29" t="s">
        <v>8143</v>
      </c>
      <c r="I16" s="60" t="s">
        <v>7873</v>
      </c>
    </row>
    <row r="17" spans="1:9" ht="40.049999999999997" customHeight="1" x14ac:dyDescent="0.35">
      <c r="A17" s="14" t="s">
        <v>7874</v>
      </c>
      <c r="B17" s="282" t="str">
        <f>IF(I17&lt;&gt;"", I17, "Stone / marble cladding - " &amp; B10 &amp; ", " &amp; B11 &amp; ", " &amp; B12 &amp; ", " &amp; B13 &amp; ", " &amp; B14 &amp; ", " &amp; B15 &amp; ", complete as per CPWD specifications and directions of Engineer-in-charge.")</f>
        <v>Stone / marble cladding - area of slab over 0.50 sqm, Raj Nagar plain white marble, cement mortar 1:3 (1 cement : 3 coarse sand), white cement mortar 1:2 (1 white cement : 2 marble dust), 18 mm gang saw cut, mirror polished, not required, complete as per CPWD specifications and directions of Engineer-in-charge.</v>
      </c>
      <c r="C17" s="241"/>
      <c r="D17" s="241"/>
      <c r="E17" s="241"/>
      <c r="F17" s="241"/>
      <c r="G17" s="242"/>
      <c r="H17" s="60" t="s">
        <v>7875</v>
      </c>
      <c r="I17" s="133"/>
    </row>
    <row r="18" spans="1:9" ht="24" customHeight="1" x14ac:dyDescent="0.3">
      <c r="A18" s="239" t="s">
        <v>7876</v>
      </c>
      <c r="B18" s="228"/>
      <c r="C18" s="228"/>
      <c r="D18" s="228"/>
      <c r="E18" s="228"/>
      <c r="F18" s="228"/>
      <c r="G18" s="228"/>
      <c r="H18" s="228"/>
      <c r="I18" s="228"/>
    </row>
    <row r="19" spans="1:9" ht="25.95" customHeight="1" x14ac:dyDescent="0.3">
      <c r="A19" s="153" t="s">
        <v>7877</v>
      </c>
      <c r="B19" s="153" t="s">
        <v>6393</v>
      </c>
      <c r="C19" s="153" t="s">
        <v>6</v>
      </c>
      <c r="D19" s="153" t="s">
        <v>7878</v>
      </c>
      <c r="E19" s="247" t="s">
        <v>7879</v>
      </c>
      <c r="F19" s="248"/>
      <c r="G19" s="248"/>
      <c r="H19" s="248"/>
      <c r="I19" s="249"/>
    </row>
    <row r="20" spans="1:9" ht="30" customHeight="1" x14ac:dyDescent="0.3">
      <c r="A20" s="75" t="s">
        <v>8144</v>
      </c>
      <c r="B20" s="77">
        <v>5</v>
      </c>
      <c r="C20" s="16" t="s">
        <v>7891</v>
      </c>
      <c r="D20" s="132" t="s">
        <v>7846</v>
      </c>
      <c r="E20" s="246" t="s">
        <v>8145</v>
      </c>
      <c r="F20" s="241"/>
      <c r="G20" s="241"/>
      <c r="H20" s="241"/>
      <c r="I20" s="242"/>
    </row>
    <row r="21" spans="1:9" ht="30" customHeight="1" x14ac:dyDescent="0.3">
      <c r="A21" s="75" t="s">
        <v>8146</v>
      </c>
      <c r="B21" s="77">
        <v>12</v>
      </c>
      <c r="C21" s="16" t="s">
        <v>2094</v>
      </c>
      <c r="D21" s="132" t="s">
        <v>8130</v>
      </c>
      <c r="E21" s="246" t="s">
        <v>8147</v>
      </c>
      <c r="F21" s="241"/>
      <c r="G21" s="241"/>
      <c r="H21" s="241"/>
      <c r="I21" s="242"/>
    </row>
    <row r="22" spans="1:9" ht="30" customHeight="1" x14ac:dyDescent="0.3">
      <c r="A22" s="75" t="s">
        <v>8148</v>
      </c>
      <c r="B22" s="145">
        <v>0</v>
      </c>
      <c r="C22" s="16" t="s">
        <v>8149</v>
      </c>
      <c r="D22" s="132" t="s">
        <v>8140</v>
      </c>
      <c r="E22" s="246" t="s">
        <v>8150</v>
      </c>
      <c r="F22" s="241"/>
      <c r="G22" s="241"/>
      <c r="H22" s="241"/>
      <c r="I22" s="242"/>
    </row>
    <row r="23" spans="1:9" ht="30" customHeight="1" x14ac:dyDescent="0.3">
      <c r="A23" s="75" t="s">
        <v>8055</v>
      </c>
      <c r="B23" s="77">
        <v>0</v>
      </c>
      <c r="C23" s="16" t="s">
        <v>8056</v>
      </c>
      <c r="D23" s="132" t="s">
        <v>7969</v>
      </c>
      <c r="E23" s="246" t="s">
        <v>8151</v>
      </c>
      <c r="F23" s="241"/>
      <c r="G23" s="241"/>
      <c r="H23" s="241"/>
      <c r="I23" s="242"/>
    </row>
    <row r="24" spans="1:9" ht="43.95" customHeight="1" x14ac:dyDescent="0.3">
      <c r="A24" s="237" t="s">
        <v>7893</v>
      </c>
      <c r="B24" s="241"/>
      <c r="C24" s="241"/>
      <c r="D24" s="241"/>
      <c r="E24" s="241"/>
      <c r="F24" s="241"/>
      <c r="G24" s="241"/>
      <c r="H24" s="241"/>
      <c r="I24" s="242"/>
    </row>
    <row r="25" spans="1:9" ht="22.05" customHeight="1" x14ac:dyDescent="0.3">
      <c r="A25" s="92" t="s">
        <v>6500</v>
      </c>
      <c r="B25" s="93" t="str">
        <f>IF(AND(D25="OK", F25="OK", H25="OK"), "[PASS] ALL CHECKS OK", "[ALERT] CHECKS FAILED")</f>
        <v>[PASS] ALL CHECKS OK</v>
      </c>
      <c r="C25" s="94" t="s">
        <v>7894</v>
      </c>
      <c r="D25" s="48" t="str">
        <f>IF(D16&gt;0, "OK", "ERR: Qty&lt;=0")</f>
        <v>OK</v>
      </c>
      <c r="E25" s="94" t="s">
        <v>7895</v>
      </c>
      <c r="F25" s="48" t="str">
        <f>IF(G59&gt;0, "OK", "ERR: W&lt;=0")</f>
        <v>OK</v>
      </c>
      <c r="G25" s="94" t="s">
        <v>7896</v>
      </c>
      <c r="H25" s="48" t="str">
        <f>IF(AND(G59&lt;=G61, G61&lt;=G63, G63&lt;=G65, G39&lt;=G59), "OK", "ERR: Markups Broken")</f>
        <v>OK</v>
      </c>
      <c r="I25" s="132" t="str">
        <f>IF(G39&gt;0, "A-rule active", "No A imports")</f>
        <v>No A imports</v>
      </c>
    </row>
    <row r="26" spans="1:9" ht="24" customHeight="1" x14ac:dyDescent="0.3">
      <c r="A26" s="239" t="s">
        <v>7897</v>
      </c>
      <c r="B26" s="228"/>
      <c r="C26" s="228"/>
      <c r="D26" s="228"/>
      <c r="E26" s="228"/>
      <c r="F26" s="228"/>
      <c r="G26" s="228"/>
      <c r="H26" s="228"/>
      <c r="I26" s="228"/>
    </row>
    <row r="27" spans="1:9" ht="24" customHeight="1" x14ac:dyDescent="0.3">
      <c r="A27" s="153" t="s">
        <v>6313</v>
      </c>
      <c r="B27" s="153" t="s">
        <v>6314</v>
      </c>
      <c r="C27" s="153" t="s">
        <v>5</v>
      </c>
      <c r="D27" s="153" t="s">
        <v>6</v>
      </c>
      <c r="E27" s="153" t="s">
        <v>6315</v>
      </c>
      <c r="F27" s="153" t="s">
        <v>7</v>
      </c>
      <c r="G27" s="153" t="s">
        <v>6316</v>
      </c>
      <c r="H27" s="153" t="s">
        <v>6317</v>
      </c>
      <c r="I27" s="153" t="s">
        <v>6318</v>
      </c>
    </row>
    <row r="28" spans="1:9" ht="19.95" customHeight="1" x14ac:dyDescent="0.3">
      <c r="A28" s="16">
        <v>1</v>
      </c>
      <c r="B28" s="54" t="s">
        <v>352</v>
      </c>
      <c r="C28" s="72" t="str">
        <f>IF(B28="","", IFERROR(INDEX(Rates_Master!$C:$C, MATCH(B28, Rates_Master!$A:$A, 0)), "Custom / Intermediate Material"))</f>
        <v>Bhusa</v>
      </c>
      <c r="D28" s="56" t="str">
        <f>IF(B28="","", IFERROR(INDEX(Rates_Master!$D:$D, MATCH(B28, Rates_Master!$A:$A, 0)), ""))</f>
        <v>quintal</v>
      </c>
      <c r="E28" s="57">
        <v>10.5</v>
      </c>
      <c r="F28" s="58">
        <f>IF(B28="","", IFERROR(INDEX(Rates_Master!$E:$E, MATCH(B28, Rates_Master!$A:$A, 0)), 0))</f>
        <v>500</v>
      </c>
      <c r="G28" s="37">
        <f t="shared" ref="G28:G37" si="0">IF(OR(B28="", E28=""), 0, ROUND(E28 * F28, 2))</f>
        <v>5250</v>
      </c>
      <c r="H28" s="135" t="s">
        <v>8152</v>
      </c>
      <c r="I28" s="54"/>
    </row>
    <row r="29" spans="1:9" ht="19.95" customHeight="1" x14ac:dyDescent="0.3">
      <c r="A29" s="16">
        <v>2</v>
      </c>
      <c r="B29" s="54" t="s">
        <v>1628</v>
      </c>
      <c r="C29" s="72" t="str">
        <f>IF(B29="","", IFERROR(INDEX(Rates_Master!$C:$C, MATCH(B29, Rates_Master!$A:$A, 0)), "Custom / Intermediate Material"))</f>
        <v>Carriage of Stone aggregate below 40 mm nominal size</v>
      </c>
      <c r="D29" s="56" t="str">
        <f>IF(B29="","", IFERROR(INDEX(Rates_Master!$D:$D, MATCH(B29, Rates_Master!$A:$A, 0)), ""))</f>
        <v>cum</v>
      </c>
      <c r="E29" s="57">
        <v>0.315</v>
      </c>
      <c r="F29" s="58">
        <f>IF(B29="","", IFERROR(INDEX(Rates_Master!$E:$E, MATCH(B29, Rates_Master!$A:$A, 0)), 0))</f>
        <v>103.77</v>
      </c>
      <c r="G29" s="37">
        <f t="shared" si="0"/>
        <v>32.69</v>
      </c>
      <c r="H29" s="135" t="s">
        <v>8153</v>
      </c>
      <c r="I29" s="54"/>
    </row>
    <row r="30" spans="1:9" ht="19.95" customHeight="1" x14ac:dyDescent="0.3">
      <c r="A30" s="16">
        <v>3</v>
      </c>
      <c r="B30" s="54" t="s">
        <v>4572</v>
      </c>
      <c r="C30" s="72" t="s">
        <v>8154</v>
      </c>
      <c r="D30" s="56" t="s">
        <v>18</v>
      </c>
      <c r="E30" s="57">
        <v>0.2</v>
      </c>
      <c r="F30" s="58">
        <f>'03_Mortars'!G69</f>
        <v>3956.5</v>
      </c>
      <c r="G30" s="37">
        <f t="shared" si="0"/>
        <v>791.3</v>
      </c>
      <c r="H30" s="135" t="s">
        <v>8155</v>
      </c>
      <c r="I30" s="54"/>
    </row>
    <row r="31" spans="1:9" ht="19.95" customHeight="1" x14ac:dyDescent="0.3">
      <c r="A31" s="16">
        <v>4</v>
      </c>
      <c r="B31" s="54" t="s">
        <v>4585</v>
      </c>
      <c r="C31" s="72" t="s">
        <v>8156</v>
      </c>
      <c r="D31" s="56" t="s">
        <v>18</v>
      </c>
      <c r="E31" s="57">
        <v>4.0000000000000001E-3</v>
      </c>
      <c r="F31" s="58">
        <f>'03_Mortars'!H76</f>
        <v>4010.35</v>
      </c>
      <c r="G31" s="37">
        <f t="shared" si="0"/>
        <v>16.04</v>
      </c>
      <c r="H31" s="135" t="s">
        <v>8157</v>
      </c>
      <c r="I31" s="54"/>
    </row>
    <row r="32" spans="1:9" ht="19.95" customHeight="1" x14ac:dyDescent="0.3">
      <c r="A32" s="16">
        <v>5</v>
      </c>
      <c r="B32" s="54" t="s">
        <v>4928</v>
      </c>
      <c r="C32" s="72" t="s">
        <v>8158</v>
      </c>
      <c r="D32" s="56" t="s">
        <v>283</v>
      </c>
      <c r="E32" s="57">
        <v>0</v>
      </c>
      <c r="F32" s="58">
        <f>XV_18_78</f>
        <v>154.15</v>
      </c>
      <c r="G32" s="37">
        <f t="shared" si="0"/>
        <v>0</v>
      </c>
      <c r="H32" s="135" t="s">
        <v>8159</v>
      </c>
      <c r="I32" s="146" t="s">
        <v>6373</v>
      </c>
    </row>
    <row r="33" spans="1:9" ht="19.95" customHeight="1" x14ac:dyDescent="0.3">
      <c r="A33" s="16">
        <v>6</v>
      </c>
      <c r="B33" s="54"/>
      <c r="C33" s="72" t="str">
        <f>IF(B33="","", IFERROR(INDEX(Rates_Master!$C:$C, MATCH(B33, Rates_Master!$A:$A, 0)), "Custom / Intermediate Material"))</f>
        <v/>
      </c>
      <c r="D33" s="56" t="str">
        <f>IF(B33="","", IFERROR(INDEX(Rates_Master!$D:$D, MATCH(B33, Rates_Master!$A:$A, 0)), ""))</f>
        <v/>
      </c>
      <c r="E33" s="57"/>
      <c r="F33" s="58" t="str">
        <f>IF(B33="","", IFERROR(INDEX(Rates_Master!$E:$E, MATCH(B33, Rates_Master!$A:$A, 0)), 0))</f>
        <v/>
      </c>
      <c r="G33" s="37">
        <f t="shared" si="0"/>
        <v>0</v>
      </c>
      <c r="H33" s="135"/>
      <c r="I33" s="54"/>
    </row>
    <row r="34" spans="1:9" ht="19.95" customHeight="1" x14ac:dyDescent="0.3">
      <c r="A34" s="16">
        <v>7</v>
      </c>
      <c r="B34" s="54"/>
      <c r="C34" s="72" t="str">
        <f>IF(B34="","", IFERROR(INDEX(Rates_Master!$C:$C, MATCH(B34, Rates_Master!$A:$A, 0)), "Custom / Intermediate Material"))</f>
        <v/>
      </c>
      <c r="D34" s="56" t="str">
        <f>IF(B34="","", IFERROR(INDEX(Rates_Master!$D:$D, MATCH(B34, Rates_Master!$A:$A, 0)), ""))</f>
        <v/>
      </c>
      <c r="E34" s="57"/>
      <c r="F34" s="58" t="str">
        <f>IF(B34="","", IFERROR(INDEX(Rates_Master!$E:$E, MATCH(B34, Rates_Master!$A:$A, 0)), 0))</f>
        <v/>
      </c>
      <c r="G34" s="37">
        <f t="shared" si="0"/>
        <v>0</v>
      </c>
      <c r="H34" s="135"/>
      <c r="I34" s="54"/>
    </row>
    <row r="35" spans="1:9" ht="19.95" customHeight="1" x14ac:dyDescent="0.3">
      <c r="A35" s="16">
        <v>8</v>
      </c>
      <c r="B35" s="54"/>
      <c r="C35" s="72" t="str">
        <f>IF(B35="","", IFERROR(INDEX(Rates_Master!$C:$C, MATCH(B35, Rates_Master!$A:$A, 0)), "Custom / Intermediate Material"))</f>
        <v/>
      </c>
      <c r="D35" s="56" t="str">
        <f>IF(B35="","", IFERROR(INDEX(Rates_Master!$D:$D, MATCH(B35, Rates_Master!$A:$A, 0)), ""))</f>
        <v/>
      </c>
      <c r="E35" s="57"/>
      <c r="F35" s="58" t="str">
        <f>IF(B35="","", IFERROR(INDEX(Rates_Master!$E:$E, MATCH(B35, Rates_Master!$A:$A, 0)), 0))</f>
        <v/>
      </c>
      <c r="G35" s="37">
        <f t="shared" si="0"/>
        <v>0</v>
      </c>
      <c r="H35" s="135"/>
      <c r="I35" s="54"/>
    </row>
    <row r="36" spans="1:9" ht="19.95" customHeight="1" x14ac:dyDescent="0.3">
      <c r="A36" s="16">
        <v>9</v>
      </c>
      <c r="B36" s="54"/>
      <c r="C36" s="72" t="str">
        <f>IF(B36="","", IFERROR(INDEX(Rates_Master!$C:$C, MATCH(B36, Rates_Master!$A:$A, 0)), "Custom / Intermediate Material"))</f>
        <v/>
      </c>
      <c r="D36" s="56" t="str">
        <f>IF(B36="","", IFERROR(INDEX(Rates_Master!$D:$D, MATCH(B36, Rates_Master!$A:$A, 0)), ""))</f>
        <v/>
      </c>
      <c r="E36" s="57"/>
      <c r="F36" s="58" t="str">
        <f>IF(B36="","", IFERROR(INDEX(Rates_Master!$E:$E, MATCH(B36, Rates_Master!$A:$A, 0)), 0))</f>
        <v/>
      </c>
      <c r="G36" s="37">
        <f t="shared" si="0"/>
        <v>0</v>
      </c>
      <c r="H36" s="135"/>
      <c r="I36" s="54"/>
    </row>
    <row r="37" spans="1:9" ht="19.95" customHeight="1" x14ac:dyDescent="0.3">
      <c r="A37" s="16">
        <v>10</v>
      </c>
      <c r="B37" s="54"/>
      <c r="C37" s="72" t="str">
        <f>IF(B37="","", IFERROR(INDEX(Rates_Master!$C:$C, MATCH(B37, Rates_Master!$A:$A, 0)), "Custom / Intermediate Material"))</f>
        <v/>
      </c>
      <c r="D37" s="56" t="str">
        <f>IF(B37="","", IFERROR(INDEX(Rates_Master!$D:$D, MATCH(B37, Rates_Master!$A:$A, 0)), ""))</f>
        <v/>
      </c>
      <c r="E37" s="57"/>
      <c r="F37" s="58" t="str">
        <f>IF(B37="","", IFERROR(INDEX(Rates_Master!$E:$E, MATCH(B37, Rates_Master!$A:$A, 0)), 0))</f>
        <v/>
      </c>
      <c r="G37" s="37">
        <f t="shared" si="0"/>
        <v>0</v>
      </c>
      <c r="H37" s="135"/>
      <c r="I37" s="54"/>
    </row>
    <row r="38" spans="1:9" ht="22.05" customHeight="1" x14ac:dyDescent="0.3">
      <c r="A38" s="252" t="s">
        <v>7899</v>
      </c>
      <c r="B38" s="253"/>
      <c r="C38" s="253"/>
      <c r="D38" s="253"/>
      <c r="E38" s="253"/>
      <c r="F38" s="254"/>
      <c r="G38" s="100">
        <f>SUM(G28:G37)</f>
        <v>6090.03</v>
      </c>
      <c r="H38" s="99"/>
      <c r="I38" s="99"/>
    </row>
    <row r="39" spans="1:9" ht="30" customHeight="1" x14ac:dyDescent="0.3">
      <c r="A39" s="244" t="s">
        <v>7900</v>
      </c>
      <c r="B39" s="241"/>
      <c r="C39" s="241"/>
      <c r="D39" s="241"/>
      <c r="E39" s="241"/>
      <c r="F39" s="242"/>
      <c r="G39" s="41">
        <f>ROUND(SUMIF($I$28:$I$37, "A", $G$28:$G$37), 2)</f>
        <v>0</v>
      </c>
      <c r="H39" s="63" t="s">
        <v>7901</v>
      </c>
      <c r="I39" s="61"/>
    </row>
    <row r="40" spans="1:9" ht="24" customHeight="1" x14ac:dyDescent="0.3">
      <c r="A40" s="239" t="s">
        <v>7902</v>
      </c>
      <c r="B40" s="228"/>
      <c r="C40" s="228"/>
      <c r="D40" s="228"/>
      <c r="E40" s="228"/>
      <c r="F40" s="228"/>
      <c r="G40" s="228"/>
      <c r="H40" s="228"/>
      <c r="I40" s="228"/>
    </row>
    <row r="41" spans="1:9" ht="24" customHeight="1" x14ac:dyDescent="0.3">
      <c r="A41" s="153" t="s">
        <v>6313</v>
      </c>
      <c r="B41" s="153" t="s">
        <v>6314</v>
      </c>
      <c r="C41" s="153" t="s">
        <v>5</v>
      </c>
      <c r="D41" s="153" t="s">
        <v>6</v>
      </c>
      <c r="E41" s="153" t="s">
        <v>6315</v>
      </c>
      <c r="F41" s="153" t="s">
        <v>7</v>
      </c>
      <c r="G41" s="153" t="s">
        <v>6316</v>
      </c>
      <c r="H41" s="153" t="s">
        <v>6317</v>
      </c>
      <c r="I41" s="153" t="s">
        <v>6318</v>
      </c>
    </row>
    <row r="42" spans="1:9" ht="19.95" customHeight="1" x14ac:dyDescent="0.3">
      <c r="A42" s="16">
        <v>1</v>
      </c>
      <c r="B42" s="54" t="s">
        <v>255</v>
      </c>
      <c r="C42" s="72" t="str">
        <f>IF(B42="","", IFERROR(INDEX(Rates_Master!$C:$C, MATCH(B42, Rates_Master!$A:$A, 0)), "Custom Labour / Plant"))</f>
        <v>Mason (average)</v>
      </c>
      <c r="D42" s="56" t="str">
        <f>IF(B42="","", IFERROR(INDEX(Rates_Master!$D:$D, MATCH(B42, Rates_Master!$A:$A, 0)), ""))</f>
        <v>day</v>
      </c>
      <c r="E42" s="57">
        <v>1.5</v>
      </c>
      <c r="F42" s="58">
        <f>IF(B42="","", IFERROR(INDEX(Rates_Master!$E:$E, MATCH(B42, Rates_Master!$A:$A, 0)), 0))</f>
        <v>709</v>
      </c>
      <c r="G42" s="37">
        <f t="shared" ref="G42:G51" si="1">IF(OR(B42="", E42=""), 0, ROUND(E42 * F42, 2))</f>
        <v>1063.5</v>
      </c>
      <c r="H42" s="135" t="s">
        <v>8160</v>
      </c>
      <c r="I42" s="5"/>
    </row>
    <row r="43" spans="1:9" ht="19.95" customHeight="1" x14ac:dyDescent="0.3">
      <c r="A43" s="16">
        <v>2</v>
      </c>
      <c r="B43" s="54" t="s">
        <v>211</v>
      </c>
      <c r="C43" s="72" t="str">
        <f>IF(B43="","", IFERROR(INDEX(Rates_Master!$C:$C, MATCH(B43, Rates_Master!$A:$A, 0)), "Custom Labour / Plant"))</f>
        <v>Coolie</v>
      </c>
      <c r="D43" s="56" t="str">
        <f>IF(B43="","", IFERROR(INDEX(Rates_Master!$D:$D, MATCH(B43, Rates_Master!$A:$A, 0)), ""))</f>
        <v>day</v>
      </c>
      <c r="E43" s="57">
        <v>1.8</v>
      </c>
      <c r="F43" s="58">
        <f>IF(B43="","", IFERROR(INDEX(Rates_Master!$E:$E, MATCH(B43, Rates_Master!$A:$A, 0)), 0))</f>
        <v>558</v>
      </c>
      <c r="G43" s="37">
        <f t="shared" si="1"/>
        <v>1004.4</v>
      </c>
      <c r="H43" s="135" t="s">
        <v>212</v>
      </c>
      <c r="I43" s="5"/>
    </row>
    <row r="44" spans="1:9" ht="19.95" customHeight="1" x14ac:dyDescent="0.3">
      <c r="A44" s="16">
        <v>3</v>
      </c>
      <c r="B44" s="54" t="s">
        <v>197</v>
      </c>
      <c r="C44" s="72" t="str">
        <f>IF(B44="","", IFERROR(INDEX(Rates_Master!$C:$C, MATCH(B44, Rates_Master!$A:$A, 0)), "Custom Labour / Plant"))</f>
        <v>Bhisti</v>
      </c>
      <c r="D44" s="56" t="str">
        <f>IF(B44="","", IFERROR(INDEX(Rates_Master!$D:$D, MATCH(B44, Rates_Master!$A:$A, 0)), ""))</f>
        <v>day</v>
      </c>
      <c r="E44" s="57">
        <v>0.3</v>
      </c>
      <c r="F44" s="58">
        <f>IF(B44="","", IFERROR(INDEX(Rates_Master!$E:$E, MATCH(B44, Rates_Master!$A:$A, 0)), 0))</f>
        <v>617</v>
      </c>
      <c r="G44" s="37">
        <f t="shared" si="1"/>
        <v>185.1</v>
      </c>
      <c r="H44" s="135" t="s">
        <v>198</v>
      </c>
      <c r="I44" s="5"/>
    </row>
    <row r="45" spans="1:9" ht="19.95" customHeight="1" x14ac:dyDescent="0.3">
      <c r="A45" s="16">
        <v>4</v>
      </c>
      <c r="B45" s="54"/>
      <c r="C45" s="72" t="str">
        <f>IF(B45="","", IFERROR(INDEX(Rates_Master!$C:$C, MATCH(B45, Rates_Master!$A:$A, 0)), "Custom Labour / Plant"))</f>
        <v/>
      </c>
      <c r="D45" s="56" t="str">
        <f>IF(B45="","", IFERROR(INDEX(Rates_Master!$D:$D, MATCH(B45, Rates_Master!$A:$A, 0)), ""))</f>
        <v/>
      </c>
      <c r="E45" s="57"/>
      <c r="F45" s="58" t="str">
        <f>IF(B45="","", IFERROR(INDEX(Rates_Master!$E:$E, MATCH(B45, Rates_Master!$A:$A, 0)), 0))</f>
        <v/>
      </c>
      <c r="G45" s="37">
        <f t="shared" si="1"/>
        <v>0</v>
      </c>
      <c r="H45" s="135"/>
      <c r="I45" s="5"/>
    </row>
    <row r="46" spans="1:9" ht="19.95" customHeight="1" x14ac:dyDescent="0.3">
      <c r="A46" s="16">
        <v>5</v>
      </c>
      <c r="B46" s="54"/>
      <c r="C46" s="72" t="str">
        <f>IF(B46="","", IFERROR(INDEX(Rates_Master!$C:$C, MATCH(B46, Rates_Master!$A:$A, 0)), "Custom Labour / Plant"))</f>
        <v/>
      </c>
      <c r="D46" s="56" t="str">
        <f>IF(B46="","", IFERROR(INDEX(Rates_Master!$D:$D, MATCH(B46, Rates_Master!$A:$A, 0)), ""))</f>
        <v/>
      </c>
      <c r="E46" s="57"/>
      <c r="F46" s="58" t="str">
        <f>IF(B46="","", IFERROR(INDEX(Rates_Master!$E:$E, MATCH(B46, Rates_Master!$A:$A, 0)), 0))</f>
        <v/>
      </c>
      <c r="G46" s="37">
        <f t="shared" si="1"/>
        <v>0</v>
      </c>
      <c r="H46" s="135"/>
      <c r="I46" s="5"/>
    </row>
    <row r="47" spans="1:9" ht="19.95" customHeight="1" x14ac:dyDescent="0.3">
      <c r="A47" s="16">
        <v>6</v>
      </c>
      <c r="B47" s="54"/>
      <c r="C47" s="72" t="str">
        <f>IF(B47="","", IFERROR(INDEX(Rates_Master!$C:$C, MATCH(B47, Rates_Master!$A:$A, 0)), "Custom Labour / Plant"))</f>
        <v/>
      </c>
      <c r="D47" s="56" t="str">
        <f>IF(B47="","", IFERROR(INDEX(Rates_Master!$D:$D, MATCH(B47, Rates_Master!$A:$A, 0)), ""))</f>
        <v/>
      </c>
      <c r="E47" s="57"/>
      <c r="F47" s="58" t="str">
        <f>IF(B47="","", IFERROR(INDEX(Rates_Master!$E:$E, MATCH(B47, Rates_Master!$A:$A, 0)), 0))</f>
        <v/>
      </c>
      <c r="G47" s="37">
        <f t="shared" si="1"/>
        <v>0</v>
      </c>
      <c r="H47" s="135"/>
      <c r="I47" s="5"/>
    </row>
    <row r="48" spans="1:9" ht="19.95" customHeight="1" x14ac:dyDescent="0.3">
      <c r="A48" s="16">
        <v>7</v>
      </c>
      <c r="B48" s="54"/>
      <c r="C48" s="72" t="str">
        <f>IF(B48="","", IFERROR(INDEX(Rates_Master!$C:$C, MATCH(B48, Rates_Master!$A:$A, 0)), "Custom Labour / Plant"))</f>
        <v/>
      </c>
      <c r="D48" s="56" t="str">
        <f>IF(B48="","", IFERROR(INDEX(Rates_Master!$D:$D, MATCH(B48, Rates_Master!$A:$A, 0)), ""))</f>
        <v/>
      </c>
      <c r="E48" s="57"/>
      <c r="F48" s="58" t="str">
        <f>IF(B48="","", IFERROR(INDEX(Rates_Master!$E:$E, MATCH(B48, Rates_Master!$A:$A, 0)), 0))</f>
        <v/>
      </c>
      <c r="G48" s="37">
        <f t="shared" si="1"/>
        <v>0</v>
      </c>
      <c r="H48" s="135"/>
      <c r="I48" s="5"/>
    </row>
    <row r="49" spans="1:9" ht="19.95" customHeight="1" x14ac:dyDescent="0.3">
      <c r="A49" s="16">
        <v>8</v>
      </c>
      <c r="B49" s="54"/>
      <c r="C49" s="72" t="str">
        <f>IF(B49="","", IFERROR(INDEX(Rates_Master!$C:$C, MATCH(B49, Rates_Master!$A:$A, 0)), "Custom Labour / Plant"))</f>
        <v/>
      </c>
      <c r="D49" s="56" t="str">
        <f>IF(B49="","", IFERROR(INDEX(Rates_Master!$D:$D, MATCH(B49, Rates_Master!$A:$A, 0)), ""))</f>
        <v/>
      </c>
      <c r="E49" s="57"/>
      <c r="F49" s="58" t="str">
        <f>IF(B49="","", IFERROR(INDEX(Rates_Master!$E:$E, MATCH(B49, Rates_Master!$A:$A, 0)), 0))</f>
        <v/>
      </c>
      <c r="G49" s="37">
        <f t="shared" si="1"/>
        <v>0</v>
      </c>
      <c r="H49" s="135"/>
      <c r="I49" s="5"/>
    </row>
    <row r="50" spans="1:9" ht="19.95" customHeight="1" x14ac:dyDescent="0.3">
      <c r="A50" s="16">
        <v>9</v>
      </c>
      <c r="B50" s="54"/>
      <c r="C50" s="72" t="str">
        <f>IF(B50="","", IFERROR(INDEX(Rates_Master!$C:$C, MATCH(B50, Rates_Master!$A:$A, 0)), "Custom Labour / Plant"))</f>
        <v/>
      </c>
      <c r="D50" s="56" t="str">
        <f>IF(B50="","", IFERROR(INDEX(Rates_Master!$D:$D, MATCH(B50, Rates_Master!$A:$A, 0)), ""))</f>
        <v/>
      </c>
      <c r="E50" s="57"/>
      <c r="F50" s="58" t="str">
        <f>IF(B50="","", IFERROR(INDEX(Rates_Master!$E:$E, MATCH(B50, Rates_Master!$A:$A, 0)), 0))</f>
        <v/>
      </c>
      <c r="G50" s="37">
        <f t="shared" si="1"/>
        <v>0</v>
      </c>
      <c r="H50" s="135"/>
      <c r="I50" s="5"/>
    </row>
    <row r="51" spans="1:9" ht="19.95" customHeight="1" x14ac:dyDescent="0.3">
      <c r="A51" s="16">
        <v>10</v>
      </c>
      <c r="B51" s="54"/>
      <c r="C51" s="72" t="str">
        <f>IF(B51="","", IFERROR(INDEX(Rates_Master!$C:$C, MATCH(B51, Rates_Master!$A:$A, 0)), "Custom Labour / Plant"))</f>
        <v/>
      </c>
      <c r="D51" s="56" t="str">
        <f>IF(B51="","", IFERROR(INDEX(Rates_Master!$D:$D, MATCH(B51, Rates_Master!$A:$A, 0)), ""))</f>
        <v/>
      </c>
      <c r="E51" s="57"/>
      <c r="F51" s="58" t="str">
        <f>IF(B51="","", IFERROR(INDEX(Rates_Master!$E:$E, MATCH(B51, Rates_Master!$A:$A, 0)), 0))</f>
        <v/>
      </c>
      <c r="G51" s="37">
        <f t="shared" si="1"/>
        <v>0</v>
      </c>
      <c r="H51" s="135"/>
      <c r="I51" s="5"/>
    </row>
    <row r="52" spans="1:9" ht="22.05" customHeight="1" x14ac:dyDescent="0.3">
      <c r="A52" s="252" t="s">
        <v>7905</v>
      </c>
      <c r="B52" s="253"/>
      <c r="C52" s="253"/>
      <c r="D52" s="253"/>
      <c r="E52" s="253"/>
      <c r="F52" s="254"/>
      <c r="G52" s="100">
        <f>SUM(G42:G51)</f>
        <v>2253</v>
      </c>
      <c r="H52" s="99"/>
      <c r="I52" s="99"/>
    </row>
    <row r="54" spans="1:9" ht="24" customHeight="1" x14ac:dyDescent="0.3">
      <c r="A54" s="239" t="s">
        <v>7906</v>
      </c>
      <c r="B54" s="228"/>
      <c r="C54" s="228"/>
      <c r="D54" s="228"/>
      <c r="E54" s="228"/>
      <c r="F54" s="228"/>
      <c r="G54" s="228"/>
      <c r="H54" s="228"/>
      <c r="I54" s="228"/>
    </row>
    <row r="55" spans="1:9" ht="22.05" customHeight="1" x14ac:dyDescent="0.3">
      <c r="A55" s="16" t="s">
        <v>4390</v>
      </c>
      <c r="B55" s="48" t="s">
        <v>4269</v>
      </c>
      <c r="C55" s="53" t="s">
        <v>7907</v>
      </c>
      <c r="D55" s="16" t="s">
        <v>4266</v>
      </c>
      <c r="E55" s="22">
        <v>12</v>
      </c>
      <c r="F55" s="59">
        <f>Factor_Sundries</f>
        <v>2</v>
      </c>
      <c r="G55" s="65">
        <f>ROUND(E55 * F55, 2)</f>
        <v>24</v>
      </c>
      <c r="H55" s="60" t="s">
        <v>7908</v>
      </c>
      <c r="I55" s="53"/>
    </row>
    <row r="57" spans="1:9" ht="24" customHeight="1" x14ac:dyDescent="0.3">
      <c r="A57" s="239" t="s">
        <v>7909</v>
      </c>
      <c r="B57" s="228"/>
      <c r="C57" s="228"/>
      <c r="D57" s="228"/>
      <c r="E57" s="228"/>
      <c r="F57" s="228"/>
      <c r="G57" s="228"/>
      <c r="H57" s="228"/>
      <c r="I57" s="228"/>
    </row>
    <row r="58" spans="1:9" ht="24" customHeight="1" x14ac:dyDescent="0.3">
      <c r="A58" s="153" t="s">
        <v>6516</v>
      </c>
      <c r="B58" s="153" t="s">
        <v>6994</v>
      </c>
      <c r="C58" s="153" t="s">
        <v>6518</v>
      </c>
      <c r="D58" s="153" t="s">
        <v>6519</v>
      </c>
      <c r="E58" s="153" t="s">
        <v>6520</v>
      </c>
      <c r="F58" s="153" t="s">
        <v>6521</v>
      </c>
      <c r="G58" s="153" t="s">
        <v>6316</v>
      </c>
      <c r="H58" s="153" t="s">
        <v>6522</v>
      </c>
      <c r="I58" s="153" t="s">
        <v>7910</v>
      </c>
    </row>
    <row r="59" spans="1:9" ht="24" customHeight="1" x14ac:dyDescent="0.3">
      <c r="A59" s="1" t="s">
        <v>6523</v>
      </c>
      <c r="B59" s="67" t="s">
        <v>7911</v>
      </c>
      <c r="C59" s="66" t="s">
        <v>6335</v>
      </c>
      <c r="D59" s="66" t="s">
        <v>7001</v>
      </c>
      <c r="E59" s="102" t="s">
        <v>6335</v>
      </c>
      <c r="F59" s="102" t="s">
        <v>6335</v>
      </c>
      <c r="G59" s="41">
        <f>G38 + G52 + G55</f>
        <v>8367.0299999999988</v>
      </c>
      <c r="H59" s="63" t="s">
        <v>7912</v>
      </c>
      <c r="I59" s="136" t="s">
        <v>7913</v>
      </c>
    </row>
    <row r="60" spans="1:9" ht="24" customHeight="1" x14ac:dyDescent="0.3">
      <c r="A60" s="48" t="s">
        <v>6331</v>
      </c>
      <c r="B60" s="17" t="s">
        <v>6527</v>
      </c>
      <c r="C60" s="54" t="s">
        <v>4318</v>
      </c>
      <c r="D60" s="16" t="s">
        <v>7004</v>
      </c>
      <c r="E60" s="51">
        <f>G59 - G39</f>
        <v>8367.0299999999988</v>
      </c>
      <c r="F60" s="64">
        <f>Factor_Water</f>
        <v>0.01</v>
      </c>
      <c r="G60" s="65">
        <f>IF(C60="YES", ROUND(E60 * F60, 2), 0)</f>
        <v>83.67</v>
      </c>
      <c r="H60" s="152" t="s">
        <v>8107</v>
      </c>
      <c r="I60" s="132" t="s">
        <v>7915</v>
      </c>
    </row>
    <row r="61" spans="1:9" ht="24" customHeight="1" x14ac:dyDescent="0.3">
      <c r="A61" s="1" t="s">
        <v>6334</v>
      </c>
      <c r="B61" s="67" t="s">
        <v>6336</v>
      </c>
      <c r="C61" s="66" t="s">
        <v>6335</v>
      </c>
      <c r="D61" s="66" t="s">
        <v>6531</v>
      </c>
      <c r="E61" s="102" t="s">
        <v>6335</v>
      </c>
      <c r="F61" s="102" t="s">
        <v>6335</v>
      </c>
      <c r="G61" s="41">
        <f>G59 + G60</f>
        <v>8450.6999999999989</v>
      </c>
      <c r="H61" s="63" t="s">
        <v>7916</v>
      </c>
      <c r="I61" s="136" t="s">
        <v>7913</v>
      </c>
    </row>
    <row r="62" spans="1:9" ht="24" customHeight="1" x14ac:dyDescent="0.3">
      <c r="A62" s="48" t="s">
        <v>6338</v>
      </c>
      <c r="B62" s="17" t="s">
        <v>7917</v>
      </c>
      <c r="C62" s="54" t="s">
        <v>4318</v>
      </c>
      <c r="D62" s="16" t="s">
        <v>7009</v>
      </c>
      <c r="E62" s="51">
        <f>G61 - G39</f>
        <v>8450.6999999999989</v>
      </c>
      <c r="F62" s="64">
        <f>Factor_GST</f>
        <v>0.14050000000000001</v>
      </c>
      <c r="G62" s="65">
        <f>IF(C62="YES", ROUND(E62 * F62, 2), 0)</f>
        <v>1187.32</v>
      </c>
      <c r="H62" s="152" t="s">
        <v>8108</v>
      </c>
      <c r="I62" s="132" t="s">
        <v>7915</v>
      </c>
    </row>
    <row r="63" spans="1:9" ht="24" customHeight="1" x14ac:dyDescent="0.3">
      <c r="A63" s="1" t="s">
        <v>6341</v>
      </c>
      <c r="B63" s="67" t="s">
        <v>6342</v>
      </c>
      <c r="C63" s="66" t="s">
        <v>6335</v>
      </c>
      <c r="D63" s="66" t="s">
        <v>6537</v>
      </c>
      <c r="E63" s="102" t="s">
        <v>6335</v>
      </c>
      <c r="F63" s="102" t="s">
        <v>6335</v>
      </c>
      <c r="G63" s="41">
        <f>G61 + G62</f>
        <v>9638.0199999999986</v>
      </c>
      <c r="H63" s="63" t="s">
        <v>7919</v>
      </c>
      <c r="I63" s="136" t="s">
        <v>7913</v>
      </c>
    </row>
    <row r="64" spans="1:9" ht="24" customHeight="1" x14ac:dyDescent="0.3">
      <c r="A64" s="48" t="s">
        <v>6343</v>
      </c>
      <c r="B64" s="17" t="s">
        <v>6539</v>
      </c>
      <c r="C64" s="54" t="s">
        <v>4318</v>
      </c>
      <c r="D64" s="16" t="s">
        <v>7013</v>
      </c>
      <c r="E64" s="51">
        <f>G63 - G39</f>
        <v>9638.0199999999986</v>
      </c>
      <c r="F64" s="64">
        <f>Factor_CPOH</f>
        <v>0.15</v>
      </c>
      <c r="G64" s="65">
        <f>IF(C64="YES", ROUND(E64 * F64, 2), 0)</f>
        <v>1445.7</v>
      </c>
      <c r="H64" s="152" t="s">
        <v>8109</v>
      </c>
      <c r="I64" s="132" t="s">
        <v>7915</v>
      </c>
    </row>
    <row r="65" spans="1:9" ht="24" customHeight="1" x14ac:dyDescent="0.3">
      <c r="A65" s="1" t="s">
        <v>6346</v>
      </c>
      <c r="B65" s="67" t="s">
        <v>6347</v>
      </c>
      <c r="C65" s="66" t="s">
        <v>6335</v>
      </c>
      <c r="D65" s="66" t="s">
        <v>6543</v>
      </c>
      <c r="E65" s="102" t="s">
        <v>6335</v>
      </c>
      <c r="F65" s="102" t="s">
        <v>6335</v>
      </c>
      <c r="G65" s="41">
        <f>G63 + G64</f>
        <v>11083.72</v>
      </c>
      <c r="H65" s="63" t="s">
        <v>7921</v>
      </c>
      <c r="I65" s="136" t="s">
        <v>7913</v>
      </c>
    </row>
    <row r="66" spans="1:9" ht="24" customHeight="1" x14ac:dyDescent="0.3">
      <c r="A66" s="48" t="s">
        <v>6348</v>
      </c>
      <c r="B66" s="17" t="s">
        <v>7922</v>
      </c>
      <c r="C66" s="54" t="s">
        <v>4318</v>
      </c>
      <c r="D66" s="16" t="s">
        <v>7923</v>
      </c>
      <c r="E66" s="51">
        <f>G65 - G39</f>
        <v>11083.72</v>
      </c>
      <c r="F66" s="64">
        <f>Factor_Cess</f>
        <v>0.01</v>
      </c>
      <c r="G66" s="65">
        <f>IF(C66="YES", ROUND(E66 * F66, 2), 0)</f>
        <v>110.84</v>
      </c>
      <c r="H66" s="152" t="s">
        <v>8110</v>
      </c>
      <c r="I66" s="132" t="s">
        <v>7915</v>
      </c>
    </row>
    <row r="67" spans="1:9" ht="24" customHeight="1" x14ac:dyDescent="0.3">
      <c r="A67" s="26" t="s">
        <v>7018</v>
      </c>
      <c r="B67" s="103" t="str">
        <f>"Total Cost of Batch (" &amp; TEXT(D16, "0.00") &amp; " " &amp; F16 &amp; "):"</f>
        <v>Total Cost of Batch (10.00 sqm):</v>
      </c>
      <c r="C67" s="104" t="s">
        <v>6335</v>
      </c>
      <c r="D67" s="104" t="s">
        <v>6550</v>
      </c>
      <c r="E67" s="105" t="s">
        <v>6335</v>
      </c>
      <c r="F67" s="105" t="s">
        <v>6335</v>
      </c>
      <c r="G67" s="69">
        <f>G65 + G66</f>
        <v>11194.56</v>
      </c>
      <c r="H67" s="106" t="s">
        <v>7925</v>
      </c>
      <c r="I67" s="107" t="s">
        <v>6335</v>
      </c>
    </row>
    <row r="68" spans="1:9" ht="24" customHeight="1" x14ac:dyDescent="0.3">
      <c r="A68" s="1" t="s">
        <v>7021</v>
      </c>
      <c r="B68" s="67" t="str">
        <f>"Analyzed Unit Rate per 1.00 " &amp; F16 &amp; ":"</f>
        <v>Analyzed Unit Rate per 1.00 sqm:</v>
      </c>
      <c r="C68" s="66" t="s">
        <v>6335</v>
      </c>
      <c r="D68" s="66" t="s">
        <v>7926</v>
      </c>
      <c r="E68" s="102" t="s">
        <v>6335</v>
      </c>
      <c r="F68" s="102" t="s">
        <v>6335</v>
      </c>
      <c r="G68" s="41">
        <f>ROUND(G67 / D16, 2)</f>
        <v>1119.46</v>
      </c>
      <c r="H68" s="63" t="s">
        <v>7927</v>
      </c>
      <c r="I68" s="136" t="s">
        <v>6335</v>
      </c>
    </row>
    <row r="69" spans="1:9" ht="30" customHeight="1" x14ac:dyDescent="0.3">
      <c r="A69" s="46" t="s">
        <v>6423</v>
      </c>
      <c r="B69" s="109" t="str">
        <f>"OFFICIAL SAY RATE (Rs per " &amp; F16 &amp; "):"</f>
        <v>OFFICIAL SAY RATE (Rs per sqm):</v>
      </c>
      <c r="C69" s="110" t="s">
        <v>6335</v>
      </c>
      <c r="D69" s="110" t="s">
        <v>6568</v>
      </c>
      <c r="E69" s="111" t="s">
        <v>6335</v>
      </c>
      <c r="F69" s="111" t="s">
        <v>6335</v>
      </c>
      <c r="G69" s="52">
        <f>MROUND(G68, 0.05)</f>
        <v>1119.45</v>
      </c>
      <c r="H69" s="71" t="s">
        <v>7928</v>
      </c>
      <c r="I69" s="112" t="s">
        <v>6335</v>
      </c>
    </row>
    <row r="70" spans="1:9" ht="43.95" customHeight="1" x14ac:dyDescent="0.3">
      <c r="A70" s="237" t="s">
        <v>6570</v>
      </c>
      <c r="B70" s="241"/>
      <c r="C70" s="241"/>
      <c r="D70" s="241"/>
      <c r="E70" s="241"/>
      <c r="F70" s="241"/>
      <c r="G70" s="241"/>
      <c r="H70" s="241"/>
      <c r="I70" s="242"/>
    </row>
    <row r="72" spans="1:9" ht="24" customHeight="1" x14ac:dyDescent="0.3">
      <c r="A72" s="239" t="s">
        <v>7929</v>
      </c>
      <c r="B72" s="228"/>
      <c r="C72" s="228"/>
      <c r="D72" s="228"/>
      <c r="E72" s="228"/>
      <c r="F72" s="228"/>
      <c r="G72" s="228"/>
      <c r="H72" s="228"/>
      <c r="I72" s="228"/>
    </row>
    <row r="73" spans="1:9" ht="19.95" customHeight="1" x14ac:dyDescent="0.3">
      <c r="A73" s="238" t="s">
        <v>7930</v>
      </c>
      <c r="B73" s="228"/>
      <c r="C73" s="228"/>
      <c r="D73" s="228"/>
      <c r="E73" s="228"/>
      <c r="F73" s="228"/>
      <c r="G73" s="228"/>
      <c r="H73" s="228"/>
      <c r="I73" s="228"/>
    </row>
    <row r="74" spans="1:9" ht="24" customHeight="1" x14ac:dyDescent="0.3">
      <c r="A74" s="153" t="s">
        <v>7931</v>
      </c>
      <c r="B74" s="153" t="s">
        <v>7932</v>
      </c>
      <c r="C74" s="153" t="s">
        <v>6</v>
      </c>
      <c r="D74" s="153" t="s">
        <v>4364</v>
      </c>
      <c r="E74" s="153" t="s">
        <v>7933</v>
      </c>
      <c r="F74" s="153" t="s">
        <v>7934</v>
      </c>
      <c r="G74" s="153" t="s">
        <v>7935</v>
      </c>
      <c r="H74" s="153" t="s">
        <v>7936</v>
      </c>
      <c r="I74" s="153" t="s">
        <v>7937</v>
      </c>
    </row>
    <row r="75" spans="1:9" ht="19.95" customHeight="1" x14ac:dyDescent="0.3">
      <c r="A75" s="137" t="s">
        <v>8161</v>
      </c>
      <c r="B75" s="138" t="s">
        <v>8162</v>
      </c>
      <c r="C75" s="139" t="s">
        <v>169</v>
      </c>
      <c r="D75" s="139">
        <v>10</v>
      </c>
      <c r="E75" s="140">
        <v>11250</v>
      </c>
      <c r="F75" s="139" t="s">
        <v>7943</v>
      </c>
      <c r="G75" s="140">
        <v>1505.2</v>
      </c>
      <c r="H75" s="8">
        <v>1505.2</v>
      </c>
      <c r="I75" s="140"/>
    </row>
    <row r="76" spans="1:9" ht="19.95" customHeight="1" x14ac:dyDescent="0.3">
      <c r="A76" s="141" t="s">
        <v>8163</v>
      </c>
      <c r="B76" s="142" t="s">
        <v>7942</v>
      </c>
      <c r="C76" s="143" t="s">
        <v>169</v>
      </c>
      <c r="D76" s="143">
        <v>10</v>
      </c>
      <c r="E76" s="144"/>
      <c r="F76" s="143" t="s">
        <v>7943</v>
      </c>
      <c r="G76" s="144"/>
      <c r="H76" s="4"/>
      <c r="I76" s="144"/>
    </row>
    <row r="77" spans="1:9" ht="19.95" customHeight="1" x14ac:dyDescent="0.3">
      <c r="A77" s="137" t="s">
        <v>8164</v>
      </c>
      <c r="B77" s="138" t="s">
        <v>7942</v>
      </c>
      <c r="C77" s="139" t="s">
        <v>169</v>
      </c>
      <c r="D77" s="139">
        <v>10</v>
      </c>
      <c r="E77" s="140"/>
      <c r="F77" s="139" t="s">
        <v>7943</v>
      </c>
      <c r="G77" s="140"/>
      <c r="H77" s="8"/>
      <c r="I77" s="140"/>
    </row>
    <row r="78" spans="1:9" ht="19.95" customHeight="1" x14ac:dyDescent="0.3">
      <c r="A78" s="141" t="s">
        <v>8165</v>
      </c>
      <c r="B78" s="142" t="s">
        <v>7942</v>
      </c>
      <c r="C78" s="143" t="s">
        <v>169</v>
      </c>
      <c r="D78" s="143">
        <v>10</v>
      </c>
      <c r="E78" s="144"/>
      <c r="F78" s="143" t="s">
        <v>7943</v>
      </c>
      <c r="G78" s="144"/>
      <c r="H78" s="4"/>
      <c r="I78" s="144"/>
    </row>
    <row r="79" spans="1:9" ht="19.95" customHeight="1" x14ac:dyDescent="0.3">
      <c r="A79" s="137" t="s">
        <v>8166</v>
      </c>
      <c r="B79" s="138" t="s">
        <v>7942</v>
      </c>
      <c r="C79" s="139" t="s">
        <v>169</v>
      </c>
      <c r="D79" s="139">
        <v>10</v>
      </c>
      <c r="E79" s="140"/>
      <c r="F79" s="139" t="s">
        <v>7943</v>
      </c>
      <c r="G79" s="140"/>
      <c r="H79" s="8"/>
      <c r="I79" s="140"/>
    </row>
    <row r="80" spans="1:9" ht="19.95" customHeight="1" x14ac:dyDescent="0.3">
      <c r="A80" s="141" t="s">
        <v>8167</v>
      </c>
      <c r="B80" s="142" t="s">
        <v>7942</v>
      </c>
      <c r="C80" s="143" t="s">
        <v>169</v>
      </c>
      <c r="D80" s="143">
        <v>10</v>
      </c>
      <c r="E80" s="144"/>
      <c r="F80" s="143" t="s">
        <v>7943</v>
      </c>
      <c r="G80" s="144"/>
      <c r="H80" s="4"/>
      <c r="I80" s="144"/>
    </row>
    <row r="81" spans="1:9" ht="19.95" customHeight="1" x14ac:dyDescent="0.3">
      <c r="A81" s="137" t="s">
        <v>8168</v>
      </c>
      <c r="B81" s="138" t="s">
        <v>7942</v>
      </c>
      <c r="C81" s="139" t="s">
        <v>169</v>
      </c>
      <c r="D81" s="139">
        <v>10</v>
      </c>
      <c r="E81" s="140"/>
      <c r="F81" s="139" t="s">
        <v>7943</v>
      </c>
      <c r="G81" s="140"/>
      <c r="H81" s="8"/>
      <c r="I81" s="140"/>
    </row>
    <row r="82" spans="1:9" ht="19.95" customHeight="1" x14ac:dyDescent="0.3">
      <c r="A82" s="141" t="s">
        <v>8169</v>
      </c>
      <c r="B82" s="142" t="s">
        <v>7942</v>
      </c>
      <c r="C82" s="143" t="s">
        <v>169</v>
      </c>
      <c r="D82" s="143">
        <v>10</v>
      </c>
      <c r="E82" s="144"/>
      <c r="F82" s="143" t="s">
        <v>7943</v>
      </c>
      <c r="G82" s="144"/>
      <c r="H82" s="4"/>
      <c r="I82" s="144"/>
    </row>
  </sheetData>
  <sheetProtection sheet="1"/>
  <mergeCells count="31">
    <mergeCell ref="A73:I73"/>
    <mergeCell ref="A1:I1"/>
    <mergeCell ref="A70:I70"/>
    <mergeCell ref="A6:I6"/>
    <mergeCell ref="E22:I22"/>
    <mergeCell ref="A54:I54"/>
    <mergeCell ref="A72:I72"/>
    <mergeCell ref="A38:F38"/>
    <mergeCell ref="A52:F52"/>
    <mergeCell ref="E15:I15"/>
    <mergeCell ref="A40:I40"/>
    <mergeCell ref="A39:F39"/>
    <mergeCell ref="A24:I24"/>
    <mergeCell ref="E23:I23"/>
    <mergeCell ref="E14:I14"/>
    <mergeCell ref="A26:I26"/>
    <mergeCell ref="A57:I57"/>
    <mergeCell ref="E20:I20"/>
    <mergeCell ref="E19:I19"/>
    <mergeCell ref="E21:I21"/>
    <mergeCell ref="E12:I12"/>
    <mergeCell ref="B17:G17"/>
    <mergeCell ref="A18:I18"/>
    <mergeCell ref="A3:I3"/>
    <mergeCell ref="A5:I5"/>
    <mergeCell ref="E10:I10"/>
    <mergeCell ref="E13:I13"/>
    <mergeCell ref="A8:I8"/>
    <mergeCell ref="A4:I4"/>
    <mergeCell ref="E9:I9"/>
    <mergeCell ref="E11:I11"/>
  </mergeCells>
  <dataValidations count="9">
    <dataValidation type="list" sqref="C60 C62 C64 C66">
      <formula1>"YES,NO"</formula1>
    </dataValidation>
    <dataValidation type="list" allowBlank="1" promptTitle="CPWD A-tag" prompt="Enter A only if this line imports a rate that already includes Water, GST, CPOH and Cess. A-tagged lines are excluded from every markup base per the CPWD (W-A) convention." sqref="I28 I29 I30 I31 I32 I33 I34 I35 I36 I37">
      <formula1>"A,"</formula1>
    </dataValidation>
    <dataValidation type="list" allowBlank="1" promptTitle="Component picker" prompt="Pick a Rates_Master code, or type an intermediate source such as 03_Mortars or a Resolved_Cross_Volume_Items item number." sqref="B28 B29 B30 B31 B32 B33 B34 B35 B36 B37 B42 B43 B44 B45 B46 B47 B48 B49 B50 B51">
      <formula1>Master_Codes</formula1>
    </dataValidation>
    <dataValidation type="list" allowBlank="1" sqref="B10">
      <formula1>"area of slab upto 0.50 sqm,area of slab over 0.50 sqm"</formula1>
    </dataValidation>
    <dataValidation type="list" allowBlank="1" sqref="B11">
      <formula1>"Raj Nagar plain white marble,Udaipur green marble,Zebra black marble,red sand stone,Kota stone,granite"</formula1>
    </dataValidation>
    <dataValidation type="list" allowBlank="1" sqref="B12">
      <formula1>"cement mortar 1:3 (1 cement : 3 coarse sand),cement mortar 1:4 (1 cement : 4 coarse sand),cement mortar 1:6 (1 cement : 6 coarse sand)"</formula1>
    </dataValidation>
    <dataValidation type="list" allowBlank="1" sqref="B13">
      <formula1>"white cement mortar 1:2 (1 white cement : 2 marble dust),white cement mortar 1:3 (1 white cement : 3 marble dust),cement mortar 1:3 (1 cement : 3 coarse sand),no pointing"</formula1>
    </dataValidation>
    <dataValidation type="list" allowBlank="1" sqref="B14">
      <formula1>"18 mm gang saw cut, mirror polished,18 mm premoulded and prepolished,20 mm thick,25 mm thick,30 mm thick"</formula1>
    </dataValidation>
    <dataValidation type="list" allowBlank="1" sqref="B15">
      <formula1>"not required,chases upto 7.5 x 7.5 cm in walls (DAR 18.78)"</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pane ySplit="3" topLeftCell="A4" activePane="bottomLeft" state="frozen"/>
      <selection pane="bottomLeft"/>
    </sheetView>
  </sheetViews>
  <sheetFormatPr defaultRowHeight="14.4" x14ac:dyDescent="0.3"/>
  <cols>
    <col min="1" max="1" width="34" style="151" customWidth="1"/>
    <col min="2" max="2" width="26" style="151" customWidth="1"/>
    <col min="3" max="3" width="46" style="151" customWidth="1"/>
    <col min="4" max="4" width="16" style="151" customWidth="1"/>
    <col min="5" max="6" width="18" style="151" customWidth="1"/>
    <col min="7" max="7" width="20" style="151" customWidth="1"/>
    <col min="8" max="8" width="44" style="151" customWidth="1"/>
    <col min="9" max="9" width="14" style="151" customWidth="1"/>
  </cols>
  <sheetData>
    <row r="1" spans="1:9" ht="30" customHeight="1" x14ac:dyDescent="0.3">
      <c r="A1" s="227" t="s">
        <v>8170</v>
      </c>
      <c r="B1" s="228"/>
      <c r="C1" s="228"/>
      <c r="D1" s="228"/>
      <c r="E1" s="228"/>
      <c r="F1" s="228"/>
      <c r="G1" s="228"/>
      <c r="H1" s="228"/>
      <c r="I1" s="228"/>
    </row>
    <row r="2" spans="1:9" ht="19.95" customHeight="1" x14ac:dyDescent="0.3">
      <c r="A2" s="73" t="s">
        <v>4272</v>
      </c>
      <c r="B2" s="45" t="s">
        <v>6379</v>
      </c>
      <c r="C2" s="74" t="s">
        <v>6380</v>
      </c>
      <c r="D2" s="28" t="s">
        <v>6381</v>
      </c>
      <c r="E2" s="7" t="s">
        <v>6382</v>
      </c>
      <c r="F2" s="26" t="s">
        <v>6383</v>
      </c>
      <c r="G2" s="46" t="s">
        <v>6384</v>
      </c>
      <c r="H2" s="47" t="s">
        <v>6385</v>
      </c>
      <c r="I2" s="3" t="s">
        <v>6386</v>
      </c>
    </row>
    <row r="3" spans="1:9" ht="30" customHeight="1" x14ac:dyDescent="0.3">
      <c r="A3" s="237" t="s">
        <v>8171</v>
      </c>
      <c r="B3" s="241"/>
      <c r="C3" s="241"/>
      <c r="D3" s="241"/>
      <c r="E3" s="241"/>
      <c r="F3" s="241"/>
      <c r="G3" s="241"/>
      <c r="H3" s="241"/>
      <c r="I3" s="242"/>
    </row>
    <row r="4" spans="1:9" ht="22.05" customHeight="1" x14ac:dyDescent="0.3">
      <c r="A4" s="239" t="s">
        <v>6388</v>
      </c>
      <c r="B4" s="228"/>
      <c r="C4" s="228"/>
      <c r="D4" s="228"/>
      <c r="E4" s="228"/>
      <c r="F4" s="228"/>
      <c r="G4" s="228"/>
      <c r="H4" s="228"/>
      <c r="I4" s="228"/>
    </row>
    <row r="5" spans="1:9" ht="46.05" customHeight="1" x14ac:dyDescent="0.3">
      <c r="A5" s="237" t="s">
        <v>6389</v>
      </c>
      <c r="B5" s="241"/>
      <c r="C5" s="241"/>
      <c r="D5" s="241"/>
      <c r="E5" s="241"/>
      <c r="F5" s="241"/>
      <c r="G5" s="241"/>
      <c r="H5" s="241"/>
      <c r="I5" s="242"/>
    </row>
    <row r="6" spans="1:9" ht="46.05" customHeight="1" x14ac:dyDescent="0.3">
      <c r="A6" s="237" t="s">
        <v>6390</v>
      </c>
      <c r="B6" s="241"/>
      <c r="C6" s="241"/>
      <c r="D6" s="241"/>
      <c r="E6" s="241"/>
      <c r="F6" s="241"/>
      <c r="G6" s="241"/>
      <c r="H6" s="241"/>
      <c r="I6" s="242"/>
    </row>
    <row r="8" spans="1:9" ht="24" customHeight="1" x14ac:dyDescent="0.3">
      <c r="A8" s="239" t="s">
        <v>7837</v>
      </c>
      <c r="B8" s="228"/>
      <c r="C8" s="228"/>
      <c r="D8" s="228"/>
      <c r="E8" s="228"/>
      <c r="F8" s="228"/>
      <c r="G8" s="228"/>
      <c r="H8" s="228"/>
      <c r="I8" s="228"/>
    </row>
    <row r="9" spans="1:9" ht="30" customHeight="1" x14ac:dyDescent="0.3">
      <c r="A9" s="153" t="s">
        <v>7838</v>
      </c>
      <c r="B9" s="153" t="s">
        <v>7839</v>
      </c>
      <c r="C9" s="153" t="s">
        <v>7840</v>
      </c>
      <c r="D9" s="153" t="s">
        <v>7841</v>
      </c>
      <c r="E9" s="247" t="s">
        <v>7842</v>
      </c>
      <c r="F9" s="248"/>
      <c r="G9" s="248"/>
      <c r="H9" s="248"/>
      <c r="I9" s="249"/>
    </row>
    <row r="10" spans="1:9" ht="31.95" customHeight="1" x14ac:dyDescent="0.3">
      <c r="A10" s="75" t="s">
        <v>8172</v>
      </c>
      <c r="B10" s="76" t="s">
        <v>8173</v>
      </c>
      <c r="C10" s="26" t="s">
        <v>7845</v>
      </c>
      <c r="D10" s="132" t="s">
        <v>7846</v>
      </c>
      <c r="E10" s="246" t="s">
        <v>8174</v>
      </c>
      <c r="F10" s="241"/>
      <c r="G10" s="241"/>
      <c r="H10" s="241"/>
      <c r="I10" s="242"/>
    </row>
    <row r="11" spans="1:9" ht="31.95" customHeight="1" x14ac:dyDescent="0.3">
      <c r="A11" s="75" t="s">
        <v>8175</v>
      </c>
      <c r="B11" s="76" t="s">
        <v>8176</v>
      </c>
      <c r="C11" s="26" t="s">
        <v>7845</v>
      </c>
      <c r="D11" s="132" t="s">
        <v>7850</v>
      </c>
      <c r="E11" s="246" t="s">
        <v>8177</v>
      </c>
      <c r="F11" s="241"/>
      <c r="G11" s="241"/>
      <c r="H11" s="241"/>
      <c r="I11" s="242"/>
    </row>
    <row r="12" spans="1:9" ht="31.95" customHeight="1" x14ac:dyDescent="0.3">
      <c r="A12" s="75" t="s">
        <v>8178</v>
      </c>
      <c r="B12" s="76" t="s">
        <v>8179</v>
      </c>
      <c r="C12" s="26" t="s">
        <v>7845</v>
      </c>
      <c r="D12" s="132" t="s">
        <v>7858</v>
      </c>
      <c r="E12" s="246" t="s">
        <v>8180</v>
      </c>
      <c r="F12" s="241"/>
      <c r="G12" s="241"/>
      <c r="H12" s="241"/>
      <c r="I12" s="242"/>
    </row>
    <row r="13" spans="1:9" ht="31.95" customHeight="1" x14ac:dyDescent="0.3">
      <c r="A13" s="75" t="s">
        <v>8181</v>
      </c>
      <c r="B13" s="76" t="s">
        <v>8182</v>
      </c>
      <c r="C13" s="26" t="s">
        <v>7845</v>
      </c>
      <c r="D13" s="132" t="s">
        <v>7858</v>
      </c>
      <c r="E13" s="246" t="s">
        <v>8183</v>
      </c>
      <c r="F13" s="241"/>
      <c r="G13" s="241"/>
      <c r="H13" s="241"/>
      <c r="I13" s="242"/>
    </row>
    <row r="14" spans="1:9" ht="31.95" customHeight="1" x14ac:dyDescent="0.3">
      <c r="A14" s="75" t="s">
        <v>8184</v>
      </c>
      <c r="B14" s="76" t="s">
        <v>8185</v>
      </c>
      <c r="C14" s="26" t="s">
        <v>7845</v>
      </c>
      <c r="D14" s="132" t="s">
        <v>8186</v>
      </c>
      <c r="E14" s="246" t="s">
        <v>8187</v>
      </c>
      <c r="F14" s="241"/>
      <c r="G14" s="241"/>
      <c r="H14" s="241"/>
      <c r="I14" s="242"/>
    </row>
    <row r="15" spans="1:9" ht="31.95" customHeight="1" x14ac:dyDescent="0.3">
      <c r="A15" s="75" t="s">
        <v>8188</v>
      </c>
      <c r="B15" s="76" t="s">
        <v>8043</v>
      </c>
      <c r="C15" s="26" t="s">
        <v>7845</v>
      </c>
      <c r="D15" s="132" t="s">
        <v>8189</v>
      </c>
      <c r="E15" s="246" t="s">
        <v>8190</v>
      </c>
      <c r="F15" s="241"/>
      <c r="G15" s="241"/>
      <c r="H15" s="241"/>
      <c r="I15" s="242"/>
    </row>
    <row r="16" spans="1:9" ht="22.05" customHeight="1" x14ac:dyDescent="0.35">
      <c r="A16" s="14" t="s">
        <v>7867</v>
      </c>
      <c r="B16" s="54" t="s">
        <v>8191</v>
      </c>
      <c r="C16" s="14" t="s">
        <v>7869</v>
      </c>
      <c r="D16" s="77">
        <v>36</v>
      </c>
      <c r="E16" s="14" t="s">
        <v>7870</v>
      </c>
      <c r="F16" s="54" t="s">
        <v>8192</v>
      </c>
      <c r="G16" s="14" t="s">
        <v>7871</v>
      </c>
      <c r="H16" s="29" t="s">
        <v>8193</v>
      </c>
      <c r="I16" s="60" t="s">
        <v>7873</v>
      </c>
    </row>
    <row r="17" spans="1:9" ht="40.049999999999997" customHeight="1" x14ac:dyDescent="0.35">
      <c r="A17" s="14" t="s">
        <v>7874</v>
      </c>
      <c r="B17" s="282" t="str">
        <f>IF(I17&lt;&gt;"", I17, "Providing wood work in " &amp; B10 &amp; ", " &amp; B11 &amp; ", " &amp; B12 &amp; ", " &amp; B13 &amp; ", " &amp; B14 &amp; ", " &amp; B15 &amp; ", complete as per CPWD specifications and directions of Engineer-in-charge.")</f>
        <v>Providing wood work in second class teak wood, chowkhat / frame of door, wrought framed and fixed in position, straight work only, priming coat applied (DAR 13.50.1), not required, complete as per CPWD specifications and directions of Engineer-in-charge.</v>
      </c>
      <c r="C17" s="241"/>
      <c r="D17" s="241"/>
      <c r="E17" s="241"/>
      <c r="F17" s="241"/>
      <c r="G17" s="242"/>
      <c r="H17" s="60" t="s">
        <v>7875</v>
      </c>
      <c r="I17" s="133"/>
    </row>
    <row r="18" spans="1:9" ht="24" customHeight="1" x14ac:dyDescent="0.3">
      <c r="A18" s="239" t="s">
        <v>7876</v>
      </c>
      <c r="B18" s="228"/>
      <c r="C18" s="228"/>
      <c r="D18" s="228"/>
      <c r="E18" s="228"/>
      <c r="F18" s="228"/>
      <c r="G18" s="228"/>
      <c r="H18" s="228"/>
      <c r="I18" s="228"/>
    </row>
    <row r="19" spans="1:9" ht="25.95" customHeight="1" x14ac:dyDescent="0.3">
      <c r="A19" s="153" t="s">
        <v>7877</v>
      </c>
      <c r="B19" s="153" t="s">
        <v>6393</v>
      </c>
      <c r="C19" s="153" t="s">
        <v>6</v>
      </c>
      <c r="D19" s="153" t="s">
        <v>7878</v>
      </c>
      <c r="E19" s="247" t="s">
        <v>7879</v>
      </c>
      <c r="F19" s="248"/>
      <c r="G19" s="248"/>
      <c r="H19" s="248"/>
      <c r="I19" s="249"/>
    </row>
    <row r="20" spans="1:9" ht="30" customHeight="1" x14ac:dyDescent="0.3">
      <c r="A20" s="75" t="s">
        <v>8194</v>
      </c>
      <c r="B20" s="77">
        <v>5</v>
      </c>
      <c r="C20" s="16" t="s">
        <v>7891</v>
      </c>
      <c r="D20" s="132" t="s">
        <v>7846</v>
      </c>
      <c r="E20" s="246" t="s">
        <v>8195</v>
      </c>
      <c r="F20" s="241"/>
      <c r="G20" s="241"/>
      <c r="H20" s="241"/>
      <c r="I20" s="242"/>
    </row>
    <row r="21" spans="1:9" ht="30" customHeight="1" x14ac:dyDescent="0.3">
      <c r="A21" s="75" t="s">
        <v>8196</v>
      </c>
      <c r="B21" s="145">
        <v>3</v>
      </c>
      <c r="C21" s="16" t="s">
        <v>8197</v>
      </c>
      <c r="D21" s="132" t="s">
        <v>8186</v>
      </c>
      <c r="E21" s="246" t="s">
        <v>8198</v>
      </c>
      <c r="F21" s="241"/>
      <c r="G21" s="241"/>
      <c r="H21" s="241"/>
      <c r="I21" s="242"/>
    </row>
    <row r="22" spans="1:9" ht="30" customHeight="1" x14ac:dyDescent="0.3">
      <c r="A22" s="75" t="s">
        <v>8199</v>
      </c>
      <c r="B22" s="147">
        <v>3.7999999999999999E-2</v>
      </c>
      <c r="C22" s="16" t="s">
        <v>8200</v>
      </c>
      <c r="D22" s="132" t="s">
        <v>8201</v>
      </c>
      <c r="E22" s="246" t="s">
        <v>8202</v>
      </c>
      <c r="F22" s="241"/>
      <c r="G22" s="241"/>
      <c r="H22" s="241"/>
      <c r="I22" s="242"/>
    </row>
    <row r="23" spans="1:9" ht="30" customHeight="1" x14ac:dyDescent="0.3">
      <c r="A23" s="75" t="s">
        <v>8203</v>
      </c>
      <c r="B23" s="134">
        <v>6</v>
      </c>
      <c r="C23" s="16" t="s">
        <v>4205</v>
      </c>
      <c r="D23" s="132" t="s">
        <v>8204</v>
      </c>
      <c r="E23" s="246" t="s">
        <v>8205</v>
      </c>
      <c r="F23" s="241"/>
      <c r="G23" s="241"/>
      <c r="H23" s="241"/>
      <c r="I23" s="242"/>
    </row>
    <row r="24" spans="1:9" ht="43.95" customHeight="1" x14ac:dyDescent="0.3">
      <c r="A24" s="237" t="s">
        <v>7893</v>
      </c>
      <c r="B24" s="241"/>
      <c r="C24" s="241"/>
      <c r="D24" s="241"/>
      <c r="E24" s="241"/>
      <c r="F24" s="241"/>
      <c r="G24" s="241"/>
      <c r="H24" s="241"/>
      <c r="I24" s="242"/>
    </row>
    <row r="25" spans="1:9" ht="22.05" customHeight="1" x14ac:dyDescent="0.3">
      <c r="A25" s="92" t="s">
        <v>6500</v>
      </c>
      <c r="B25" s="93" t="str">
        <f>IF(AND(D25="OK", F25="OK", H25="OK"), "[PASS] ALL CHECKS OK", "[ALERT] CHECKS FAILED")</f>
        <v>[PASS] ALL CHECKS OK</v>
      </c>
      <c r="C25" s="94" t="s">
        <v>7894</v>
      </c>
      <c r="D25" s="48" t="str">
        <f>IF(D16&gt;0, "OK", "ERR: Qty&lt;=0")</f>
        <v>OK</v>
      </c>
      <c r="E25" s="94" t="s">
        <v>7895</v>
      </c>
      <c r="F25" s="48" t="str">
        <f>IF(G59&gt;0, "OK", "ERR: W&lt;=0")</f>
        <v>OK</v>
      </c>
      <c r="G25" s="94" t="s">
        <v>7896</v>
      </c>
      <c r="H25" s="48" t="str">
        <f>IF(AND(G59&lt;=G61, G61&lt;=G63, G63&lt;=G65, G39&lt;=G59), "OK", "ERR: Markups Broken")</f>
        <v>OK</v>
      </c>
      <c r="I25" s="132" t="str">
        <f>IF(G39&gt;0, "A-rule active", "No A imports")</f>
        <v>A-rule active</v>
      </c>
    </row>
    <row r="26" spans="1:9" ht="24" customHeight="1" x14ac:dyDescent="0.3">
      <c r="A26" s="239" t="s">
        <v>7897</v>
      </c>
      <c r="B26" s="228"/>
      <c r="C26" s="228"/>
      <c r="D26" s="228"/>
      <c r="E26" s="228"/>
      <c r="F26" s="228"/>
      <c r="G26" s="228"/>
      <c r="H26" s="228"/>
      <c r="I26" s="228"/>
    </row>
    <row r="27" spans="1:9" ht="24" customHeight="1" x14ac:dyDescent="0.3">
      <c r="A27" s="153" t="s">
        <v>6313</v>
      </c>
      <c r="B27" s="153" t="s">
        <v>6314</v>
      </c>
      <c r="C27" s="153" t="s">
        <v>5</v>
      </c>
      <c r="D27" s="153" t="s">
        <v>6</v>
      </c>
      <c r="E27" s="153" t="s">
        <v>6315</v>
      </c>
      <c r="F27" s="153" t="s">
        <v>7</v>
      </c>
      <c r="G27" s="153" t="s">
        <v>6316</v>
      </c>
      <c r="H27" s="153" t="s">
        <v>6317</v>
      </c>
      <c r="I27" s="153" t="s">
        <v>6318</v>
      </c>
    </row>
    <row r="28" spans="1:9" ht="19.95" customHeight="1" x14ac:dyDescent="0.3">
      <c r="A28" s="16">
        <v>1</v>
      </c>
      <c r="B28" s="54" t="s">
        <v>1034</v>
      </c>
      <c r="C28" s="72" t="str">
        <f>IF(B28="","", IFERROR(INDEX(Rates_Master!$C:$C, MATCH(B28, Rates_Master!$A:$A, 0)), "Custom / Intermediate Material"))</f>
        <v>Second class teak wood in scantling</v>
      </c>
      <c r="D28" s="56" t="str">
        <f>IF(B28="","", IFERROR(INDEX(Rates_Master!$D:$D, MATCH(B28, Rates_Master!$A:$A, 0)), ""))</f>
        <v>10 cudm</v>
      </c>
      <c r="E28" s="57">
        <v>3.8</v>
      </c>
      <c r="F28" s="58">
        <f>IF(B28="","", IFERROR(INDEX(Rates_Master!$E:$E, MATCH(B28, Rates_Master!$A:$A, 0)), 0))</f>
        <v>776</v>
      </c>
      <c r="G28" s="37">
        <f t="shared" ref="G28:G37" si="0">IF(OR(B28="", E28=""), 0, ROUND(E28 * F28, 2))</f>
        <v>2948.8</v>
      </c>
      <c r="H28" s="135" t="s">
        <v>8206</v>
      </c>
      <c r="I28" s="54"/>
    </row>
    <row r="29" spans="1:9" ht="19.95" customHeight="1" x14ac:dyDescent="0.3">
      <c r="A29" s="16">
        <v>2</v>
      </c>
      <c r="B29" s="54" t="s">
        <v>1632</v>
      </c>
      <c r="C29" s="72" t="str">
        <f>IF(B29="","", IFERROR(INDEX(Rates_Master!$C:$C, MATCH(B29, Rates_Master!$A:$A, 0)), "Custom / Intermediate Material"))</f>
        <v>Carriage of Timber</v>
      </c>
      <c r="D29" s="56" t="str">
        <f>IF(B29="","", IFERROR(INDEX(Rates_Master!$D:$D, MATCH(B29, Rates_Master!$A:$A, 0)), ""))</f>
        <v>cum</v>
      </c>
      <c r="E29" s="57">
        <v>3.7999999999999999E-2</v>
      </c>
      <c r="F29" s="58">
        <f>IF(B29="","", IFERROR(INDEX(Rates_Master!$E:$E, MATCH(B29, Rates_Master!$A:$A, 0)), 0))</f>
        <v>118.59</v>
      </c>
      <c r="G29" s="37">
        <f t="shared" si="0"/>
        <v>4.51</v>
      </c>
      <c r="H29" s="135" t="s">
        <v>1633</v>
      </c>
      <c r="I29" s="54"/>
    </row>
    <row r="30" spans="1:9" ht="19.95" customHeight="1" x14ac:dyDescent="0.3">
      <c r="A30" s="16">
        <v>3</v>
      </c>
      <c r="B30" s="54" t="s">
        <v>4926</v>
      </c>
      <c r="C30" s="72" t="s">
        <v>8207</v>
      </c>
      <c r="D30" s="56" t="s">
        <v>169</v>
      </c>
      <c r="E30" s="57">
        <v>3</v>
      </c>
      <c r="F30" s="58">
        <f>XV_13_50_1</f>
        <v>57.050000000000004</v>
      </c>
      <c r="G30" s="37">
        <f t="shared" si="0"/>
        <v>171.15</v>
      </c>
      <c r="H30" s="135" t="s">
        <v>8208</v>
      </c>
      <c r="I30" s="146" t="s">
        <v>6373</v>
      </c>
    </row>
    <row r="31" spans="1:9" ht="19.95" customHeight="1" x14ac:dyDescent="0.3">
      <c r="A31" s="16">
        <v>4</v>
      </c>
      <c r="B31" s="54" t="s">
        <v>4985</v>
      </c>
      <c r="C31" s="72" t="s">
        <v>8209</v>
      </c>
      <c r="D31" s="56" t="s">
        <v>169</v>
      </c>
      <c r="E31" s="57">
        <v>0</v>
      </c>
      <c r="F31" s="58">
        <f>XV_13_57_1</f>
        <v>44.5</v>
      </c>
      <c r="G31" s="37">
        <f t="shared" si="0"/>
        <v>0</v>
      </c>
      <c r="H31" s="135" t="s">
        <v>8210</v>
      </c>
      <c r="I31" s="146" t="s">
        <v>6373</v>
      </c>
    </row>
    <row r="32" spans="1:9" ht="19.95" customHeight="1" x14ac:dyDescent="0.3">
      <c r="A32" s="16">
        <v>5</v>
      </c>
      <c r="B32" s="54"/>
      <c r="C32" s="72" t="str">
        <f>IF(B32="","", IFERROR(INDEX(Rates_Master!$C:$C, MATCH(B32, Rates_Master!$A:$A, 0)), "Custom / Intermediate Material"))</f>
        <v/>
      </c>
      <c r="D32" s="56" t="str">
        <f>IF(B32="","", IFERROR(INDEX(Rates_Master!$D:$D, MATCH(B32, Rates_Master!$A:$A, 0)), ""))</f>
        <v/>
      </c>
      <c r="E32" s="57"/>
      <c r="F32" s="58" t="str">
        <f>IF(B32="","", IFERROR(INDEX(Rates_Master!$E:$E, MATCH(B32, Rates_Master!$A:$A, 0)), 0))</f>
        <v/>
      </c>
      <c r="G32" s="37">
        <f t="shared" si="0"/>
        <v>0</v>
      </c>
      <c r="H32" s="135"/>
      <c r="I32" s="54"/>
    </row>
    <row r="33" spans="1:9" ht="19.95" customHeight="1" x14ac:dyDescent="0.3">
      <c r="A33" s="16">
        <v>6</v>
      </c>
      <c r="B33" s="54"/>
      <c r="C33" s="72" t="str">
        <f>IF(B33="","", IFERROR(INDEX(Rates_Master!$C:$C, MATCH(B33, Rates_Master!$A:$A, 0)), "Custom / Intermediate Material"))</f>
        <v/>
      </c>
      <c r="D33" s="56" t="str">
        <f>IF(B33="","", IFERROR(INDEX(Rates_Master!$D:$D, MATCH(B33, Rates_Master!$A:$A, 0)), ""))</f>
        <v/>
      </c>
      <c r="E33" s="57"/>
      <c r="F33" s="58" t="str">
        <f>IF(B33="","", IFERROR(INDEX(Rates_Master!$E:$E, MATCH(B33, Rates_Master!$A:$A, 0)), 0))</f>
        <v/>
      </c>
      <c r="G33" s="37">
        <f t="shared" si="0"/>
        <v>0</v>
      </c>
      <c r="H33" s="135"/>
      <c r="I33" s="54"/>
    </row>
    <row r="34" spans="1:9" ht="19.95" customHeight="1" x14ac:dyDescent="0.3">
      <c r="A34" s="16">
        <v>7</v>
      </c>
      <c r="B34" s="54"/>
      <c r="C34" s="72" t="str">
        <f>IF(B34="","", IFERROR(INDEX(Rates_Master!$C:$C, MATCH(B34, Rates_Master!$A:$A, 0)), "Custom / Intermediate Material"))</f>
        <v/>
      </c>
      <c r="D34" s="56" t="str">
        <f>IF(B34="","", IFERROR(INDEX(Rates_Master!$D:$D, MATCH(B34, Rates_Master!$A:$A, 0)), ""))</f>
        <v/>
      </c>
      <c r="E34" s="57"/>
      <c r="F34" s="58" t="str">
        <f>IF(B34="","", IFERROR(INDEX(Rates_Master!$E:$E, MATCH(B34, Rates_Master!$A:$A, 0)), 0))</f>
        <v/>
      </c>
      <c r="G34" s="37">
        <f t="shared" si="0"/>
        <v>0</v>
      </c>
      <c r="H34" s="135"/>
      <c r="I34" s="54"/>
    </row>
    <row r="35" spans="1:9" ht="19.95" customHeight="1" x14ac:dyDescent="0.3">
      <c r="A35" s="16">
        <v>8</v>
      </c>
      <c r="B35" s="54"/>
      <c r="C35" s="72" t="str">
        <f>IF(B35="","", IFERROR(INDEX(Rates_Master!$C:$C, MATCH(B35, Rates_Master!$A:$A, 0)), "Custom / Intermediate Material"))</f>
        <v/>
      </c>
      <c r="D35" s="56" t="str">
        <f>IF(B35="","", IFERROR(INDEX(Rates_Master!$D:$D, MATCH(B35, Rates_Master!$A:$A, 0)), ""))</f>
        <v/>
      </c>
      <c r="E35" s="57"/>
      <c r="F35" s="58" t="str">
        <f>IF(B35="","", IFERROR(INDEX(Rates_Master!$E:$E, MATCH(B35, Rates_Master!$A:$A, 0)), 0))</f>
        <v/>
      </c>
      <c r="G35" s="37">
        <f t="shared" si="0"/>
        <v>0</v>
      </c>
      <c r="H35" s="135"/>
      <c r="I35" s="54"/>
    </row>
    <row r="36" spans="1:9" ht="19.95" customHeight="1" x14ac:dyDescent="0.3">
      <c r="A36" s="16">
        <v>9</v>
      </c>
      <c r="B36" s="54"/>
      <c r="C36" s="72" t="str">
        <f>IF(B36="","", IFERROR(INDEX(Rates_Master!$C:$C, MATCH(B36, Rates_Master!$A:$A, 0)), "Custom / Intermediate Material"))</f>
        <v/>
      </c>
      <c r="D36" s="56" t="str">
        <f>IF(B36="","", IFERROR(INDEX(Rates_Master!$D:$D, MATCH(B36, Rates_Master!$A:$A, 0)), ""))</f>
        <v/>
      </c>
      <c r="E36" s="57"/>
      <c r="F36" s="58" t="str">
        <f>IF(B36="","", IFERROR(INDEX(Rates_Master!$E:$E, MATCH(B36, Rates_Master!$A:$A, 0)), 0))</f>
        <v/>
      </c>
      <c r="G36" s="37">
        <f t="shared" si="0"/>
        <v>0</v>
      </c>
      <c r="H36" s="135"/>
      <c r="I36" s="54"/>
    </row>
    <row r="37" spans="1:9" ht="19.95" customHeight="1" x14ac:dyDescent="0.3">
      <c r="A37" s="16">
        <v>10</v>
      </c>
      <c r="B37" s="54"/>
      <c r="C37" s="72" t="str">
        <f>IF(B37="","", IFERROR(INDEX(Rates_Master!$C:$C, MATCH(B37, Rates_Master!$A:$A, 0)), "Custom / Intermediate Material"))</f>
        <v/>
      </c>
      <c r="D37" s="56" t="str">
        <f>IF(B37="","", IFERROR(INDEX(Rates_Master!$D:$D, MATCH(B37, Rates_Master!$A:$A, 0)), ""))</f>
        <v/>
      </c>
      <c r="E37" s="57"/>
      <c r="F37" s="58" t="str">
        <f>IF(B37="","", IFERROR(INDEX(Rates_Master!$E:$E, MATCH(B37, Rates_Master!$A:$A, 0)), 0))</f>
        <v/>
      </c>
      <c r="G37" s="37">
        <f t="shared" si="0"/>
        <v>0</v>
      </c>
      <c r="H37" s="135"/>
      <c r="I37" s="54"/>
    </row>
    <row r="38" spans="1:9" ht="22.05" customHeight="1" x14ac:dyDescent="0.3">
      <c r="A38" s="252" t="s">
        <v>7899</v>
      </c>
      <c r="B38" s="253"/>
      <c r="C38" s="253"/>
      <c r="D38" s="253"/>
      <c r="E38" s="253"/>
      <c r="F38" s="254"/>
      <c r="G38" s="100">
        <f>SUM(G28:G37)</f>
        <v>3124.4600000000005</v>
      </c>
      <c r="H38" s="99"/>
      <c r="I38" s="99"/>
    </row>
    <row r="39" spans="1:9" ht="30" customHeight="1" x14ac:dyDescent="0.3">
      <c r="A39" s="244" t="s">
        <v>7900</v>
      </c>
      <c r="B39" s="241"/>
      <c r="C39" s="241"/>
      <c r="D39" s="241"/>
      <c r="E39" s="241"/>
      <c r="F39" s="242"/>
      <c r="G39" s="41">
        <f>ROUND(SUMIF($I$28:$I$37, "A", $G$28:$G$37), 2)</f>
        <v>171.15</v>
      </c>
      <c r="H39" s="63" t="s">
        <v>7901</v>
      </c>
      <c r="I39" s="61"/>
    </row>
    <row r="40" spans="1:9" ht="24" customHeight="1" x14ac:dyDescent="0.3">
      <c r="A40" s="239" t="s">
        <v>7902</v>
      </c>
      <c r="B40" s="228"/>
      <c r="C40" s="228"/>
      <c r="D40" s="228"/>
      <c r="E40" s="228"/>
      <c r="F40" s="228"/>
      <c r="G40" s="228"/>
      <c r="H40" s="228"/>
      <c r="I40" s="228"/>
    </row>
    <row r="41" spans="1:9" ht="24" customHeight="1" x14ac:dyDescent="0.3">
      <c r="A41" s="153" t="s">
        <v>6313</v>
      </c>
      <c r="B41" s="153" t="s">
        <v>6314</v>
      </c>
      <c r="C41" s="153" t="s">
        <v>5</v>
      </c>
      <c r="D41" s="153" t="s">
        <v>6</v>
      </c>
      <c r="E41" s="153" t="s">
        <v>6315</v>
      </c>
      <c r="F41" s="153" t="s">
        <v>7</v>
      </c>
      <c r="G41" s="153" t="s">
        <v>6316</v>
      </c>
      <c r="H41" s="153" t="s">
        <v>6317</v>
      </c>
      <c r="I41" s="153" t="s">
        <v>6318</v>
      </c>
    </row>
    <row r="42" spans="1:9" ht="19.95" customHeight="1" x14ac:dyDescent="0.3">
      <c r="A42" s="16">
        <v>1</v>
      </c>
      <c r="B42" s="54" t="s">
        <v>257</v>
      </c>
      <c r="C42" s="72" t="str">
        <f>IF(B42="","", IFERROR(INDEX(Rates_Master!$C:$C, MATCH(B42, Rates_Master!$A:$A, 0)), "Custom Labour / Plant"))</f>
        <v>Carpenter (average)</v>
      </c>
      <c r="D42" s="56" t="str">
        <f>IF(B42="","", IFERROR(INDEX(Rates_Master!$D:$D, MATCH(B42, Rates_Master!$A:$A, 0)), ""))</f>
        <v>day</v>
      </c>
      <c r="E42" s="57">
        <v>0.72</v>
      </c>
      <c r="F42" s="58">
        <f>IF(B42="","", IFERROR(INDEX(Rates_Master!$E:$E, MATCH(B42, Rates_Master!$A:$A, 0)), 0))</f>
        <v>709</v>
      </c>
      <c r="G42" s="37">
        <f t="shared" ref="G42:G51" si="1">IF(OR(B42="", E42=""), 0, ROUND(E42 * F42, 2))</f>
        <v>510.48</v>
      </c>
      <c r="H42" s="135" t="s">
        <v>258</v>
      </c>
      <c r="I42" s="5"/>
    </row>
    <row r="43" spans="1:9" ht="19.95" customHeight="1" x14ac:dyDescent="0.3">
      <c r="A43" s="16">
        <v>2</v>
      </c>
      <c r="B43" s="54" t="s">
        <v>209</v>
      </c>
      <c r="C43" s="72" t="str">
        <f>IF(B43="","", IFERROR(INDEX(Rates_Master!$C:$C, MATCH(B43, Rates_Master!$A:$A, 0)), "Custom Labour / Plant"))</f>
        <v>Beldar</v>
      </c>
      <c r="D43" s="56" t="str">
        <f>IF(B43="","", IFERROR(INDEX(Rates_Master!$D:$D, MATCH(B43, Rates_Master!$A:$A, 0)), ""))</f>
        <v>day</v>
      </c>
      <c r="E43" s="57">
        <v>7.0000000000000007E-2</v>
      </c>
      <c r="F43" s="58">
        <f>IF(B43="","", IFERROR(INDEX(Rates_Master!$E:$E, MATCH(B43, Rates_Master!$A:$A, 0)), 0))</f>
        <v>558</v>
      </c>
      <c r="G43" s="37">
        <f t="shared" si="1"/>
        <v>39.06</v>
      </c>
      <c r="H43" s="135" t="s">
        <v>210</v>
      </c>
      <c r="I43" s="5"/>
    </row>
    <row r="44" spans="1:9" ht="19.95" customHeight="1" x14ac:dyDescent="0.3">
      <c r="A44" s="16">
        <v>3</v>
      </c>
      <c r="B44" s="54"/>
      <c r="C44" s="72" t="str">
        <f>IF(B44="","", IFERROR(INDEX(Rates_Master!$C:$C, MATCH(B44, Rates_Master!$A:$A, 0)), "Custom Labour / Plant"))</f>
        <v/>
      </c>
      <c r="D44" s="56" t="str">
        <f>IF(B44="","", IFERROR(INDEX(Rates_Master!$D:$D, MATCH(B44, Rates_Master!$A:$A, 0)), ""))</f>
        <v/>
      </c>
      <c r="E44" s="57"/>
      <c r="F44" s="58" t="str">
        <f>IF(B44="","", IFERROR(INDEX(Rates_Master!$E:$E, MATCH(B44, Rates_Master!$A:$A, 0)), 0))</f>
        <v/>
      </c>
      <c r="G44" s="37">
        <f t="shared" si="1"/>
        <v>0</v>
      </c>
      <c r="H44" s="135"/>
      <c r="I44" s="5"/>
    </row>
    <row r="45" spans="1:9" ht="19.95" customHeight="1" x14ac:dyDescent="0.3">
      <c r="A45" s="16">
        <v>4</v>
      </c>
      <c r="B45" s="54"/>
      <c r="C45" s="72" t="str">
        <f>IF(B45="","", IFERROR(INDEX(Rates_Master!$C:$C, MATCH(B45, Rates_Master!$A:$A, 0)), "Custom Labour / Plant"))</f>
        <v/>
      </c>
      <c r="D45" s="56" t="str">
        <f>IF(B45="","", IFERROR(INDEX(Rates_Master!$D:$D, MATCH(B45, Rates_Master!$A:$A, 0)), ""))</f>
        <v/>
      </c>
      <c r="E45" s="57"/>
      <c r="F45" s="58" t="str">
        <f>IF(B45="","", IFERROR(INDEX(Rates_Master!$E:$E, MATCH(B45, Rates_Master!$A:$A, 0)), 0))</f>
        <v/>
      </c>
      <c r="G45" s="37">
        <f t="shared" si="1"/>
        <v>0</v>
      </c>
      <c r="H45" s="135"/>
      <c r="I45" s="5"/>
    </row>
    <row r="46" spans="1:9" ht="19.95" customHeight="1" x14ac:dyDescent="0.3">
      <c r="A46" s="16">
        <v>5</v>
      </c>
      <c r="B46" s="54"/>
      <c r="C46" s="72" t="str">
        <f>IF(B46="","", IFERROR(INDEX(Rates_Master!$C:$C, MATCH(B46, Rates_Master!$A:$A, 0)), "Custom Labour / Plant"))</f>
        <v/>
      </c>
      <c r="D46" s="56" t="str">
        <f>IF(B46="","", IFERROR(INDEX(Rates_Master!$D:$D, MATCH(B46, Rates_Master!$A:$A, 0)), ""))</f>
        <v/>
      </c>
      <c r="E46" s="57"/>
      <c r="F46" s="58" t="str">
        <f>IF(B46="","", IFERROR(INDEX(Rates_Master!$E:$E, MATCH(B46, Rates_Master!$A:$A, 0)), 0))</f>
        <v/>
      </c>
      <c r="G46" s="37">
        <f t="shared" si="1"/>
        <v>0</v>
      </c>
      <c r="H46" s="135"/>
      <c r="I46" s="5"/>
    </row>
    <row r="47" spans="1:9" ht="19.95" customHeight="1" x14ac:dyDescent="0.3">
      <c r="A47" s="16">
        <v>6</v>
      </c>
      <c r="B47" s="54"/>
      <c r="C47" s="72" t="str">
        <f>IF(B47="","", IFERROR(INDEX(Rates_Master!$C:$C, MATCH(B47, Rates_Master!$A:$A, 0)), "Custom Labour / Plant"))</f>
        <v/>
      </c>
      <c r="D47" s="56" t="str">
        <f>IF(B47="","", IFERROR(INDEX(Rates_Master!$D:$D, MATCH(B47, Rates_Master!$A:$A, 0)), ""))</f>
        <v/>
      </c>
      <c r="E47" s="57"/>
      <c r="F47" s="58" t="str">
        <f>IF(B47="","", IFERROR(INDEX(Rates_Master!$E:$E, MATCH(B47, Rates_Master!$A:$A, 0)), 0))</f>
        <v/>
      </c>
      <c r="G47" s="37">
        <f t="shared" si="1"/>
        <v>0</v>
      </c>
      <c r="H47" s="135"/>
      <c r="I47" s="5"/>
    </row>
    <row r="48" spans="1:9" ht="19.95" customHeight="1" x14ac:dyDescent="0.3">
      <c r="A48" s="16">
        <v>7</v>
      </c>
      <c r="B48" s="54"/>
      <c r="C48" s="72" t="str">
        <f>IF(B48="","", IFERROR(INDEX(Rates_Master!$C:$C, MATCH(B48, Rates_Master!$A:$A, 0)), "Custom Labour / Plant"))</f>
        <v/>
      </c>
      <c r="D48" s="56" t="str">
        <f>IF(B48="","", IFERROR(INDEX(Rates_Master!$D:$D, MATCH(B48, Rates_Master!$A:$A, 0)), ""))</f>
        <v/>
      </c>
      <c r="E48" s="57"/>
      <c r="F48" s="58" t="str">
        <f>IF(B48="","", IFERROR(INDEX(Rates_Master!$E:$E, MATCH(B48, Rates_Master!$A:$A, 0)), 0))</f>
        <v/>
      </c>
      <c r="G48" s="37">
        <f t="shared" si="1"/>
        <v>0</v>
      </c>
      <c r="H48" s="135"/>
      <c r="I48" s="5"/>
    </row>
    <row r="49" spans="1:9" ht="19.95" customHeight="1" x14ac:dyDescent="0.3">
      <c r="A49" s="16">
        <v>8</v>
      </c>
      <c r="B49" s="54"/>
      <c r="C49" s="72" t="str">
        <f>IF(B49="","", IFERROR(INDEX(Rates_Master!$C:$C, MATCH(B49, Rates_Master!$A:$A, 0)), "Custom Labour / Plant"))</f>
        <v/>
      </c>
      <c r="D49" s="56" t="str">
        <f>IF(B49="","", IFERROR(INDEX(Rates_Master!$D:$D, MATCH(B49, Rates_Master!$A:$A, 0)), ""))</f>
        <v/>
      </c>
      <c r="E49" s="57"/>
      <c r="F49" s="58" t="str">
        <f>IF(B49="","", IFERROR(INDEX(Rates_Master!$E:$E, MATCH(B49, Rates_Master!$A:$A, 0)), 0))</f>
        <v/>
      </c>
      <c r="G49" s="37">
        <f t="shared" si="1"/>
        <v>0</v>
      </c>
      <c r="H49" s="135"/>
      <c r="I49" s="5"/>
    </row>
    <row r="50" spans="1:9" ht="19.95" customHeight="1" x14ac:dyDescent="0.3">
      <c r="A50" s="16">
        <v>9</v>
      </c>
      <c r="B50" s="54"/>
      <c r="C50" s="72" t="str">
        <f>IF(B50="","", IFERROR(INDEX(Rates_Master!$C:$C, MATCH(B50, Rates_Master!$A:$A, 0)), "Custom Labour / Plant"))</f>
        <v/>
      </c>
      <c r="D50" s="56" t="str">
        <f>IF(B50="","", IFERROR(INDEX(Rates_Master!$D:$D, MATCH(B50, Rates_Master!$A:$A, 0)), ""))</f>
        <v/>
      </c>
      <c r="E50" s="57"/>
      <c r="F50" s="58" t="str">
        <f>IF(B50="","", IFERROR(INDEX(Rates_Master!$E:$E, MATCH(B50, Rates_Master!$A:$A, 0)), 0))</f>
        <v/>
      </c>
      <c r="G50" s="37">
        <f t="shared" si="1"/>
        <v>0</v>
      </c>
      <c r="H50" s="135"/>
      <c r="I50" s="5"/>
    </row>
    <row r="51" spans="1:9" ht="19.95" customHeight="1" x14ac:dyDescent="0.3">
      <c r="A51" s="16">
        <v>10</v>
      </c>
      <c r="B51" s="54"/>
      <c r="C51" s="72" t="str">
        <f>IF(B51="","", IFERROR(INDEX(Rates_Master!$C:$C, MATCH(B51, Rates_Master!$A:$A, 0)), "Custom Labour / Plant"))</f>
        <v/>
      </c>
      <c r="D51" s="56" t="str">
        <f>IF(B51="","", IFERROR(INDEX(Rates_Master!$D:$D, MATCH(B51, Rates_Master!$A:$A, 0)), ""))</f>
        <v/>
      </c>
      <c r="E51" s="57"/>
      <c r="F51" s="58" t="str">
        <f>IF(B51="","", IFERROR(INDEX(Rates_Master!$E:$E, MATCH(B51, Rates_Master!$A:$A, 0)), 0))</f>
        <v/>
      </c>
      <c r="G51" s="37">
        <f t="shared" si="1"/>
        <v>0</v>
      </c>
      <c r="H51" s="135"/>
      <c r="I51" s="5"/>
    </row>
    <row r="52" spans="1:9" ht="22.05" customHeight="1" x14ac:dyDescent="0.3">
      <c r="A52" s="252" t="s">
        <v>7905</v>
      </c>
      <c r="B52" s="253"/>
      <c r="C52" s="253"/>
      <c r="D52" s="253"/>
      <c r="E52" s="253"/>
      <c r="F52" s="254"/>
      <c r="G52" s="100">
        <f>SUM(G42:G51)</f>
        <v>549.54</v>
      </c>
      <c r="H52" s="99"/>
      <c r="I52" s="99"/>
    </row>
    <row r="54" spans="1:9" ht="24" customHeight="1" x14ac:dyDescent="0.3">
      <c r="A54" s="239" t="s">
        <v>7906</v>
      </c>
      <c r="B54" s="228"/>
      <c r="C54" s="228"/>
      <c r="D54" s="228"/>
      <c r="E54" s="228"/>
      <c r="F54" s="228"/>
      <c r="G54" s="228"/>
      <c r="H54" s="228"/>
      <c r="I54" s="228"/>
    </row>
    <row r="55" spans="1:9" ht="22.05" customHeight="1" x14ac:dyDescent="0.3">
      <c r="A55" s="16" t="s">
        <v>4390</v>
      </c>
      <c r="B55" s="48" t="s">
        <v>4269</v>
      </c>
      <c r="C55" s="53" t="s">
        <v>7907</v>
      </c>
      <c r="D55" s="16" t="s">
        <v>4266</v>
      </c>
      <c r="E55" s="22">
        <v>0</v>
      </c>
      <c r="F55" s="59">
        <f>Factor_Sundries</f>
        <v>2</v>
      </c>
      <c r="G55" s="65">
        <f>ROUND(E55 * F55, 2)</f>
        <v>0</v>
      </c>
      <c r="H55" s="60" t="s">
        <v>7908</v>
      </c>
      <c r="I55" s="53"/>
    </row>
    <row r="57" spans="1:9" ht="24" customHeight="1" x14ac:dyDescent="0.3">
      <c r="A57" s="239" t="s">
        <v>7909</v>
      </c>
      <c r="B57" s="228"/>
      <c r="C57" s="228"/>
      <c r="D57" s="228"/>
      <c r="E57" s="228"/>
      <c r="F57" s="228"/>
      <c r="G57" s="228"/>
      <c r="H57" s="228"/>
      <c r="I57" s="228"/>
    </row>
    <row r="58" spans="1:9" ht="24" customHeight="1" x14ac:dyDescent="0.3">
      <c r="A58" s="153" t="s">
        <v>6516</v>
      </c>
      <c r="B58" s="153" t="s">
        <v>6994</v>
      </c>
      <c r="C58" s="153" t="s">
        <v>6518</v>
      </c>
      <c r="D58" s="153" t="s">
        <v>6519</v>
      </c>
      <c r="E58" s="153" t="s">
        <v>6520</v>
      </c>
      <c r="F58" s="153" t="s">
        <v>6521</v>
      </c>
      <c r="G58" s="153" t="s">
        <v>6316</v>
      </c>
      <c r="H58" s="153" t="s">
        <v>6522</v>
      </c>
      <c r="I58" s="153" t="s">
        <v>7910</v>
      </c>
    </row>
    <row r="59" spans="1:9" ht="24" customHeight="1" x14ac:dyDescent="0.3">
      <c r="A59" s="1" t="s">
        <v>6523</v>
      </c>
      <c r="B59" s="67" t="s">
        <v>7911</v>
      </c>
      <c r="C59" s="66" t="s">
        <v>6335</v>
      </c>
      <c r="D59" s="66" t="s">
        <v>7001</v>
      </c>
      <c r="E59" s="102" t="s">
        <v>6335</v>
      </c>
      <c r="F59" s="102" t="s">
        <v>6335</v>
      </c>
      <c r="G59" s="41">
        <f>G38 + G52 + G55</f>
        <v>3674.0000000000005</v>
      </c>
      <c r="H59" s="63" t="s">
        <v>7912</v>
      </c>
      <c r="I59" s="136" t="s">
        <v>7913</v>
      </c>
    </row>
    <row r="60" spans="1:9" ht="24" customHeight="1" x14ac:dyDescent="0.3">
      <c r="A60" s="48" t="s">
        <v>6331</v>
      </c>
      <c r="B60" s="17" t="s">
        <v>6527</v>
      </c>
      <c r="C60" s="54" t="s">
        <v>4318</v>
      </c>
      <c r="D60" s="16" t="s">
        <v>7004</v>
      </c>
      <c r="E60" s="51">
        <f>G59 - G39</f>
        <v>3502.8500000000004</v>
      </c>
      <c r="F60" s="64">
        <f>Factor_Water</f>
        <v>0.01</v>
      </c>
      <c r="G60" s="65">
        <f>IF(C60="YES", ROUND(E60 * F60, 2), 0)</f>
        <v>35.03</v>
      </c>
      <c r="H60" s="152" t="s">
        <v>8107</v>
      </c>
      <c r="I60" s="132" t="s">
        <v>7915</v>
      </c>
    </row>
    <row r="61" spans="1:9" ht="24" customHeight="1" x14ac:dyDescent="0.3">
      <c r="A61" s="1" t="s">
        <v>6334</v>
      </c>
      <c r="B61" s="67" t="s">
        <v>6336</v>
      </c>
      <c r="C61" s="66" t="s">
        <v>6335</v>
      </c>
      <c r="D61" s="66" t="s">
        <v>6531</v>
      </c>
      <c r="E61" s="102" t="s">
        <v>6335</v>
      </c>
      <c r="F61" s="102" t="s">
        <v>6335</v>
      </c>
      <c r="G61" s="41">
        <f>G59 + G60</f>
        <v>3709.0300000000007</v>
      </c>
      <c r="H61" s="63" t="s">
        <v>7916</v>
      </c>
      <c r="I61" s="136" t="s">
        <v>7913</v>
      </c>
    </row>
    <row r="62" spans="1:9" ht="24" customHeight="1" x14ac:dyDescent="0.3">
      <c r="A62" s="48" t="s">
        <v>6338</v>
      </c>
      <c r="B62" s="17" t="s">
        <v>7917</v>
      </c>
      <c r="C62" s="54" t="s">
        <v>4318</v>
      </c>
      <c r="D62" s="16" t="s">
        <v>7009</v>
      </c>
      <c r="E62" s="51">
        <f>G61 - G39</f>
        <v>3537.8800000000006</v>
      </c>
      <c r="F62" s="64">
        <f>Factor_GST</f>
        <v>0.14050000000000001</v>
      </c>
      <c r="G62" s="65">
        <f>IF(C62="YES", ROUND(E62 * F62, 2), 0)</f>
        <v>497.07</v>
      </c>
      <c r="H62" s="152" t="s">
        <v>8108</v>
      </c>
      <c r="I62" s="132" t="s">
        <v>7915</v>
      </c>
    </row>
    <row r="63" spans="1:9" ht="24" customHeight="1" x14ac:dyDescent="0.3">
      <c r="A63" s="1" t="s">
        <v>6341</v>
      </c>
      <c r="B63" s="67" t="s">
        <v>6342</v>
      </c>
      <c r="C63" s="66" t="s">
        <v>6335</v>
      </c>
      <c r="D63" s="66" t="s">
        <v>6537</v>
      </c>
      <c r="E63" s="102" t="s">
        <v>6335</v>
      </c>
      <c r="F63" s="102" t="s">
        <v>6335</v>
      </c>
      <c r="G63" s="41">
        <f>G61 + G62</f>
        <v>4206.1000000000004</v>
      </c>
      <c r="H63" s="63" t="s">
        <v>7919</v>
      </c>
      <c r="I63" s="136" t="s">
        <v>7913</v>
      </c>
    </row>
    <row r="64" spans="1:9" ht="24" customHeight="1" x14ac:dyDescent="0.3">
      <c r="A64" s="48" t="s">
        <v>6343</v>
      </c>
      <c r="B64" s="17" t="s">
        <v>6539</v>
      </c>
      <c r="C64" s="54" t="s">
        <v>4318</v>
      </c>
      <c r="D64" s="16" t="s">
        <v>7013</v>
      </c>
      <c r="E64" s="51">
        <f>G63 - G39</f>
        <v>4034.9500000000003</v>
      </c>
      <c r="F64" s="64">
        <f>Factor_CPOH</f>
        <v>0.15</v>
      </c>
      <c r="G64" s="65">
        <f>IF(C64="YES", ROUND(E64 * F64, 2), 0)</f>
        <v>605.24</v>
      </c>
      <c r="H64" s="152" t="s">
        <v>8109</v>
      </c>
      <c r="I64" s="132" t="s">
        <v>7915</v>
      </c>
    </row>
    <row r="65" spans="1:9" ht="24" customHeight="1" x14ac:dyDescent="0.3">
      <c r="A65" s="1" t="s">
        <v>6346</v>
      </c>
      <c r="B65" s="67" t="s">
        <v>6347</v>
      </c>
      <c r="C65" s="66" t="s">
        <v>6335</v>
      </c>
      <c r="D65" s="66" t="s">
        <v>6543</v>
      </c>
      <c r="E65" s="102" t="s">
        <v>6335</v>
      </c>
      <c r="F65" s="102" t="s">
        <v>6335</v>
      </c>
      <c r="G65" s="41">
        <f>G63 + G64</f>
        <v>4811.34</v>
      </c>
      <c r="H65" s="63" t="s">
        <v>7921</v>
      </c>
      <c r="I65" s="136" t="s">
        <v>7913</v>
      </c>
    </row>
    <row r="66" spans="1:9" ht="24" customHeight="1" x14ac:dyDescent="0.3">
      <c r="A66" s="48" t="s">
        <v>6348</v>
      </c>
      <c r="B66" s="17" t="s">
        <v>7922</v>
      </c>
      <c r="C66" s="54" t="s">
        <v>4318</v>
      </c>
      <c r="D66" s="16" t="s">
        <v>7923</v>
      </c>
      <c r="E66" s="51">
        <f>G65 - G39</f>
        <v>4640.1900000000005</v>
      </c>
      <c r="F66" s="64">
        <f>Factor_Cess</f>
        <v>0.01</v>
      </c>
      <c r="G66" s="65">
        <f>IF(C66="YES", ROUND(E66 * F66, 2), 0)</f>
        <v>46.4</v>
      </c>
      <c r="H66" s="152" t="s">
        <v>8110</v>
      </c>
      <c r="I66" s="132" t="s">
        <v>7915</v>
      </c>
    </row>
    <row r="67" spans="1:9" ht="24" customHeight="1" x14ac:dyDescent="0.3">
      <c r="A67" s="26" t="s">
        <v>7018</v>
      </c>
      <c r="B67" s="103" t="str">
        <f>"Total Cost of Batch (" &amp; TEXT(D16, "0.00") &amp; " " &amp; F16 &amp; "):"</f>
        <v>Total Cost of Batch (36.00 cudm):</v>
      </c>
      <c r="C67" s="104" t="s">
        <v>6335</v>
      </c>
      <c r="D67" s="104" t="s">
        <v>6550</v>
      </c>
      <c r="E67" s="105" t="s">
        <v>6335</v>
      </c>
      <c r="F67" s="105" t="s">
        <v>6335</v>
      </c>
      <c r="G67" s="69">
        <f>G65 + G66</f>
        <v>4857.74</v>
      </c>
      <c r="H67" s="106" t="s">
        <v>7925</v>
      </c>
      <c r="I67" s="107" t="s">
        <v>6335</v>
      </c>
    </row>
    <row r="68" spans="1:9" ht="24" customHeight="1" x14ac:dyDescent="0.3">
      <c r="A68" s="1" t="s">
        <v>7021</v>
      </c>
      <c r="B68" s="67" t="str">
        <f>"Analyzed Unit Rate per 1.00 " &amp; F16 &amp; ":"</f>
        <v>Analyzed Unit Rate per 1.00 cudm:</v>
      </c>
      <c r="C68" s="66" t="s">
        <v>6335</v>
      </c>
      <c r="D68" s="66" t="s">
        <v>7926</v>
      </c>
      <c r="E68" s="102" t="s">
        <v>6335</v>
      </c>
      <c r="F68" s="102" t="s">
        <v>6335</v>
      </c>
      <c r="G68" s="41">
        <f>ROUND(G67 / D16, 2)</f>
        <v>134.94</v>
      </c>
      <c r="H68" s="63" t="s">
        <v>7927</v>
      </c>
      <c r="I68" s="136" t="s">
        <v>6335</v>
      </c>
    </row>
    <row r="69" spans="1:9" ht="30" customHeight="1" x14ac:dyDescent="0.3">
      <c r="A69" s="46" t="s">
        <v>6423</v>
      </c>
      <c r="B69" s="109" t="str">
        <f>"OFFICIAL SAY RATE (Rs per " &amp; F16 &amp; "):"</f>
        <v>OFFICIAL SAY RATE (Rs per cudm):</v>
      </c>
      <c r="C69" s="110" t="s">
        <v>6335</v>
      </c>
      <c r="D69" s="110" t="s">
        <v>6568</v>
      </c>
      <c r="E69" s="111" t="s">
        <v>6335</v>
      </c>
      <c r="F69" s="111" t="s">
        <v>6335</v>
      </c>
      <c r="G69" s="52">
        <f>MROUND(G68, 0.05)</f>
        <v>134.95000000000002</v>
      </c>
      <c r="H69" s="71" t="s">
        <v>7928</v>
      </c>
      <c r="I69" s="112" t="s">
        <v>6335</v>
      </c>
    </row>
    <row r="70" spans="1:9" ht="43.95" customHeight="1" x14ac:dyDescent="0.3">
      <c r="A70" s="237" t="s">
        <v>6570</v>
      </c>
      <c r="B70" s="241"/>
      <c r="C70" s="241"/>
      <c r="D70" s="241"/>
      <c r="E70" s="241"/>
      <c r="F70" s="241"/>
      <c r="G70" s="241"/>
      <c r="H70" s="241"/>
      <c r="I70" s="242"/>
    </row>
    <row r="72" spans="1:9" ht="24" customHeight="1" x14ac:dyDescent="0.3">
      <c r="A72" s="239" t="s">
        <v>7929</v>
      </c>
      <c r="B72" s="228"/>
      <c r="C72" s="228"/>
      <c r="D72" s="228"/>
      <c r="E72" s="228"/>
      <c r="F72" s="228"/>
      <c r="G72" s="228"/>
      <c r="H72" s="228"/>
      <c r="I72" s="228"/>
    </row>
    <row r="73" spans="1:9" ht="19.95" customHeight="1" x14ac:dyDescent="0.3">
      <c r="A73" s="238" t="s">
        <v>7930</v>
      </c>
      <c r="B73" s="228"/>
      <c r="C73" s="228"/>
      <c r="D73" s="228"/>
      <c r="E73" s="228"/>
      <c r="F73" s="228"/>
      <c r="G73" s="228"/>
      <c r="H73" s="228"/>
      <c r="I73" s="228"/>
    </row>
    <row r="74" spans="1:9" ht="24" customHeight="1" x14ac:dyDescent="0.3">
      <c r="A74" s="153" t="s">
        <v>7931</v>
      </c>
      <c r="B74" s="153" t="s">
        <v>7932</v>
      </c>
      <c r="C74" s="153" t="s">
        <v>6</v>
      </c>
      <c r="D74" s="153" t="s">
        <v>4364</v>
      </c>
      <c r="E74" s="153" t="s">
        <v>7933</v>
      </c>
      <c r="F74" s="153" t="s">
        <v>7934</v>
      </c>
      <c r="G74" s="153" t="s">
        <v>7935</v>
      </c>
      <c r="H74" s="153" t="s">
        <v>7936</v>
      </c>
      <c r="I74" s="153" t="s">
        <v>7937</v>
      </c>
    </row>
    <row r="75" spans="1:9" ht="19.95" customHeight="1" x14ac:dyDescent="0.3">
      <c r="A75" s="137" t="s">
        <v>4988</v>
      </c>
      <c r="B75" s="138" t="s">
        <v>8211</v>
      </c>
      <c r="C75" s="139" t="s">
        <v>18</v>
      </c>
      <c r="D75" s="139">
        <v>36</v>
      </c>
      <c r="E75" s="140">
        <v>3502.85</v>
      </c>
      <c r="F75" s="139" t="s">
        <v>7943</v>
      </c>
      <c r="G75" s="140">
        <v>130183.06</v>
      </c>
      <c r="H75" s="8">
        <v>130183.05</v>
      </c>
      <c r="I75" s="140"/>
    </row>
    <row r="76" spans="1:9" ht="19.95" customHeight="1" x14ac:dyDescent="0.3">
      <c r="A76" s="141" t="s">
        <v>8212</v>
      </c>
      <c r="B76" s="142" t="s">
        <v>7942</v>
      </c>
      <c r="C76" s="143" t="s">
        <v>8192</v>
      </c>
      <c r="D76" s="143">
        <v>36</v>
      </c>
      <c r="E76" s="144"/>
      <c r="F76" s="143" t="s">
        <v>7943</v>
      </c>
      <c r="G76" s="144"/>
      <c r="H76" s="4"/>
      <c r="I76" s="144"/>
    </row>
    <row r="77" spans="1:9" ht="19.95" customHeight="1" x14ac:dyDescent="0.3">
      <c r="A77" s="137" t="s">
        <v>8213</v>
      </c>
      <c r="B77" s="138" t="s">
        <v>7942</v>
      </c>
      <c r="C77" s="139" t="s">
        <v>8192</v>
      </c>
      <c r="D77" s="139">
        <v>36</v>
      </c>
      <c r="E77" s="140"/>
      <c r="F77" s="139" t="s">
        <v>7943</v>
      </c>
      <c r="G77" s="140"/>
      <c r="H77" s="8"/>
      <c r="I77" s="140"/>
    </row>
    <row r="78" spans="1:9" ht="19.95" customHeight="1" x14ac:dyDescent="0.3">
      <c r="A78" s="141" t="s">
        <v>8214</v>
      </c>
      <c r="B78" s="142" t="s">
        <v>7942</v>
      </c>
      <c r="C78" s="143" t="s">
        <v>8192</v>
      </c>
      <c r="D78" s="143">
        <v>36</v>
      </c>
      <c r="E78" s="144"/>
      <c r="F78" s="143" t="s">
        <v>7943</v>
      </c>
      <c r="G78" s="144"/>
      <c r="H78" s="4"/>
      <c r="I78" s="144"/>
    </row>
    <row r="79" spans="1:9" ht="19.95" customHeight="1" x14ac:dyDescent="0.3">
      <c r="A79" s="137" t="s">
        <v>8215</v>
      </c>
      <c r="B79" s="138" t="s">
        <v>7942</v>
      </c>
      <c r="C79" s="139" t="s">
        <v>8192</v>
      </c>
      <c r="D79" s="139">
        <v>36</v>
      </c>
      <c r="E79" s="140"/>
      <c r="F79" s="139" t="s">
        <v>7943</v>
      </c>
      <c r="G79" s="140"/>
      <c r="H79" s="8"/>
      <c r="I79" s="140"/>
    </row>
    <row r="80" spans="1:9" ht="19.95" customHeight="1" x14ac:dyDescent="0.3">
      <c r="A80" s="141" t="s">
        <v>8216</v>
      </c>
      <c r="B80" s="142" t="s">
        <v>7942</v>
      </c>
      <c r="C80" s="143" t="s">
        <v>8192</v>
      </c>
      <c r="D80" s="143">
        <v>36</v>
      </c>
      <c r="E80" s="144"/>
      <c r="F80" s="143" t="s">
        <v>7943</v>
      </c>
      <c r="G80" s="144"/>
      <c r="H80" s="4"/>
      <c r="I80" s="144"/>
    </row>
    <row r="81" spans="1:9" ht="19.95" customHeight="1" x14ac:dyDescent="0.3">
      <c r="A81" s="137" t="s">
        <v>8217</v>
      </c>
      <c r="B81" s="138" t="s">
        <v>7942</v>
      </c>
      <c r="C81" s="139" t="s">
        <v>8192</v>
      </c>
      <c r="D81" s="139">
        <v>36</v>
      </c>
      <c r="E81" s="140"/>
      <c r="F81" s="139" t="s">
        <v>7943</v>
      </c>
      <c r="G81" s="140"/>
      <c r="H81" s="8"/>
      <c r="I81" s="140"/>
    </row>
    <row r="82" spans="1:9" ht="19.95" customHeight="1" x14ac:dyDescent="0.3">
      <c r="A82" s="141" t="s">
        <v>8218</v>
      </c>
      <c r="B82" s="142" t="s">
        <v>7942</v>
      </c>
      <c r="C82" s="143" t="s">
        <v>8192</v>
      </c>
      <c r="D82" s="143">
        <v>36</v>
      </c>
      <c r="E82" s="144"/>
      <c r="F82" s="143" t="s">
        <v>7943</v>
      </c>
      <c r="G82" s="144"/>
      <c r="H82" s="4"/>
      <c r="I82" s="144"/>
    </row>
  </sheetData>
  <sheetProtection sheet="1"/>
  <mergeCells count="31">
    <mergeCell ref="A73:I73"/>
    <mergeCell ref="A1:I1"/>
    <mergeCell ref="A70:I70"/>
    <mergeCell ref="A6:I6"/>
    <mergeCell ref="E22:I22"/>
    <mergeCell ref="A54:I54"/>
    <mergeCell ref="A72:I72"/>
    <mergeCell ref="A38:F38"/>
    <mergeCell ref="A52:F52"/>
    <mergeCell ref="E15:I15"/>
    <mergeCell ref="A40:I40"/>
    <mergeCell ref="A39:F39"/>
    <mergeCell ref="A24:I24"/>
    <mergeCell ref="E23:I23"/>
    <mergeCell ref="E14:I14"/>
    <mergeCell ref="A26:I26"/>
    <mergeCell ref="A57:I57"/>
    <mergeCell ref="E20:I20"/>
    <mergeCell ref="E19:I19"/>
    <mergeCell ref="E21:I21"/>
    <mergeCell ref="E12:I12"/>
    <mergeCell ref="B17:G17"/>
    <mergeCell ref="A18:I18"/>
    <mergeCell ref="A3:I3"/>
    <mergeCell ref="A5:I5"/>
    <mergeCell ref="E10:I10"/>
    <mergeCell ref="E13:I13"/>
    <mergeCell ref="A8:I8"/>
    <mergeCell ref="A4:I4"/>
    <mergeCell ref="E9:I9"/>
    <mergeCell ref="E11:I11"/>
  </mergeCells>
  <dataValidations count="9">
    <dataValidation type="list" sqref="C60 C62 C64 C66">
      <formula1>"YES,NO"</formula1>
    </dataValidation>
    <dataValidation type="list" allowBlank="1" promptTitle="CPWD A-tag" prompt="Enter A only if this line imports a rate that already includes Water, GST, CPOH and Cess. A-tagged lines are excluded from every markup base per the CPWD (W-A) convention." sqref="I28 I29 I30 I31 I32 I33 I34 I35 I36 I37">
      <formula1>"A,"</formula1>
    </dataValidation>
    <dataValidation type="list" allowBlank="1" promptTitle="Component picker" prompt="Pick a Rates_Master code, or type an intermediate source such as 03_Mortars or a Resolved_Cross_Volume_Items item number." sqref="B28 B29 B30 B31 B32 B33 B34 B35 B36 B37 B42 B43 B44 B45 B46 B47 B48 B49 B50 B51">
      <formula1>Master_Codes</formula1>
    </dataValidation>
    <dataValidation type="list" allowBlank="1" sqref="B10">
      <formula1>"second class teak wood,sal wood,kiln seasoned and chemically treated hollock wood,laminated veneer lumber (LVL),PVC / plastic section"</formula1>
    </dataValidation>
    <dataValidation type="list" allowBlank="1" sqref="B11">
      <formula1>"chowkhat / frame of door,window frame,clerestory window frame,false ceiling / partition frame,shutter,beading / architrave"</formula1>
    </dataValidation>
    <dataValidation type="list" allowBlank="1" sqref="B12">
      <formula1>"wrought framed and fixed in position,sawn and fixed in position"</formula1>
    </dataValidation>
    <dataValidation type="list" allowBlank="1" sqref="B13">
      <formula1>"straight work only,circular work (DAR 9.4 extra labour applies)"</formula1>
    </dataValidation>
    <dataValidation type="list" allowBlank="1" sqref="B14">
      <formula1>"priming coat applied (DAR 13.50.1),no priming coat"</formula1>
    </dataValidation>
    <dataValidation type="list" allowBlank="1" sqref="B15">
      <formula1>"not required,oil type wood preservative, two or more coats (DAR 13.57.1)"</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pane ySplit="3" topLeftCell="A4" activePane="bottomLeft" state="frozen"/>
      <selection pane="bottomLeft"/>
    </sheetView>
  </sheetViews>
  <sheetFormatPr defaultRowHeight="14.4" x14ac:dyDescent="0.3"/>
  <cols>
    <col min="1" max="1" width="34" style="151" customWidth="1"/>
    <col min="2" max="2" width="26" style="151" customWidth="1"/>
    <col min="3" max="3" width="46" style="151" customWidth="1"/>
    <col min="4" max="4" width="16" style="151" customWidth="1"/>
    <col min="5" max="6" width="18" style="151" customWidth="1"/>
    <col min="7" max="7" width="20" style="151" customWidth="1"/>
    <col min="8" max="8" width="44" style="151" customWidth="1"/>
    <col min="9" max="9" width="14" style="151" customWidth="1"/>
  </cols>
  <sheetData>
    <row r="1" spans="1:9" ht="30" customHeight="1" x14ac:dyDescent="0.3">
      <c r="A1" s="227" t="s">
        <v>8219</v>
      </c>
      <c r="B1" s="228"/>
      <c r="C1" s="228"/>
      <c r="D1" s="228"/>
      <c r="E1" s="228"/>
      <c r="F1" s="228"/>
      <c r="G1" s="228"/>
      <c r="H1" s="228"/>
      <c r="I1" s="228"/>
    </row>
    <row r="2" spans="1:9" ht="19.95" customHeight="1" x14ac:dyDescent="0.3">
      <c r="A2" s="73" t="s">
        <v>4272</v>
      </c>
      <c r="B2" s="45" t="s">
        <v>6379</v>
      </c>
      <c r="C2" s="74" t="s">
        <v>6380</v>
      </c>
      <c r="D2" s="28" t="s">
        <v>6381</v>
      </c>
      <c r="E2" s="7" t="s">
        <v>6382</v>
      </c>
      <c r="F2" s="26" t="s">
        <v>6383</v>
      </c>
      <c r="G2" s="46" t="s">
        <v>6384</v>
      </c>
      <c r="H2" s="47" t="s">
        <v>6385</v>
      </c>
      <c r="I2" s="3" t="s">
        <v>6386</v>
      </c>
    </row>
    <row r="3" spans="1:9" ht="30" customHeight="1" x14ac:dyDescent="0.3">
      <c r="A3" s="237" t="s">
        <v>8220</v>
      </c>
      <c r="B3" s="241"/>
      <c r="C3" s="241"/>
      <c r="D3" s="241"/>
      <c r="E3" s="241"/>
      <c r="F3" s="241"/>
      <c r="G3" s="241"/>
      <c r="H3" s="241"/>
      <c r="I3" s="242"/>
    </row>
    <row r="4" spans="1:9" ht="22.05" customHeight="1" x14ac:dyDescent="0.3">
      <c r="A4" s="239" t="s">
        <v>6388</v>
      </c>
      <c r="B4" s="228"/>
      <c r="C4" s="228"/>
      <c r="D4" s="228"/>
      <c r="E4" s="228"/>
      <c r="F4" s="228"/>
      <c r="G4" s="228"/>
      <c r="H4" s="228"/>
      <c r="I4" s="228"/>
    </row>
    <row r="5" spans="1:9" ht="46.05" customHeight="1" x14ac:dyDescent="0.3">
      <c r="A5" s="237" t="s">
        <v>6389</v>
      </c>
      <c r="B5" s="241"/>
      <c r="C5" s="241"/>
      <c r="D5" s="241"/>
      <c r="E5" s="241"/>
      <c r="F5" s="241"/>
      <c r="G5" s="241"/>
      <c r="H5" s="241"/>
      <c r="I5" s="242"/>
    </row>
    <row r="6" spans="1:9" ht="46.05" customHeight="1" x14ac:dyDescent="0.3">
      <c r="A6" s="237" t="s">
        <v>6390</v>
      </c>
      <c r="B6" s="241"/>
      <c r="C6" s="241"/>
      <c r="D6" s="241"/>
      <c r="E6" s="241"/>
      <c r="F6" s="241"/>
      <c r="G6" s="241"/>
      <c r="H6" s="241"/>
      <c r="I6" s="242"/>
    </row>
    <row r="8" spans="1:9" ht="24" customHeight="1" x14ac:dyDescent="0.3">
      <c r="A8" s="239" t="s">
        <v>7837</v>
      </c>
      <c r="B8" s="228"/>
      <c r="C8" s="228"/>
      <c r="D8" s="228"/>
      <c r="E8" s="228"/>
      <c r="F8" s="228"/>
      <c r="G8" s="228"/>
      <c r="H8" s="228"/>
      <c r="I8" s="228"/>
    </row>
    <row r="9" spans="1:9" ht="30" customHeight="1" x14ac:dyDescent="0.3">
      <c r="A9" s="153" t="s">
        <v>7838</v>
      </c>
      <c r="B9" s="153" t="s">
        <v>7839</v>
      </c>
      <c r="C9" s="153" t="s">
        <v>7840</v>
      </c>
      <c r="D9" s="153" t="s">
        <v>7841</v>
      </c>
      <c r="E9" s="247" t="s">
        <v>7842</v>
      </c>
      <c r="F9" s="248"/>
      <c r="G9" s="248"/>
      <c r="H9" s="248"/>
      <c r="I9" s="249"/>
    </row>
    <row r="10" spans="1:9" ht="31.95" customHeight="1" x14ac:dyDescent="0.3">
      <c r="A10" s="75" t="s">
        <v>8221</v>
      </c>
      <c r="B10" s="76" t="s">
        <v>8222</v>
      </c>
      <c r="C10" s="26" t="s">
        <v>7845</v>
      </c>
      <c r="D10" s="132" t="s">
        <v>8223</v>
      </c>
      <c r="E10" s="246" t="s">
        <v>8224</v>
      </c>
      <c r="F10" s="241"/>
      <c r="G10" s="241"/>
      <c r="H10" s="241"/>
      <c r="I10" s="242"/>
    </row>
    <row r="11" spans="1:9" ht="31.95" customHeight="1" x14ac:dyDescent="0.3">
      <c r="A11" s="75" t="s">
        <v>8225</v>
      </c>
      <c r="B11" s="76" t="s">
        <v>8226</v>
      </c>
      <c r="C11" s="26" t="s">
        <v>7845</v>
      </c>
      <c r="D11" s="132" t="s">
        <v>7846</v>
      </c>
      <c r="E11" s="246" t="s">
        <v>8227</v>
      </c>
      <c r="F11" s="241"/>
      <c r="G11" s="241"/>
      <c r="H11" s="241"/>
      <c r="I11" s="242"/>
    </row>
    <row r="12" spans="1:9" ht="31.95" customHeight="1" x14ac:dyDescent="0.3">
      <c r="A12" s="75" t="s">
        <v>8228</v>
      </c>
      <c r="B12" s="76" t="s">
        <v>8229</v>
      </c>
      <c r="C12" s="26" t="s">
        <v>7845</v>
      </c>
      <c r="D12" s="132" t="s">
        <v>8230</v>
      </c>
      <c r="E12" s="246" t="s">
        <v>8231</v>
      </c>
      <c r="F12" s="241"/>
      <c r="G12" s="241"/>
      <c r="H12" s="241"/>
      <c r="I12" s="242"/>
    </row>
    <row r="13" spans="1:9" ht="31.95" customHeight="1" x14ac:dyDescent="0.3">
      <c r="A13" s="75" t="s">
        <v>8232</v>
      </c>
      <c r="B13" s="76" t="s">
        <v>8233</v>
      </c>
      <c r="C13" s="1" t="s">
        <v>7862</v>
      </c>
      <c r="D13" s="132" t="s">
        <v>6335</v>
      </c>
      <c r="E13" s="246" t="s">
        <v>8234</v>
      </c>
      <c r="F13" s="241"/>
      <c r="G13" s="241"/>
      <c r="H13" s="241"/>
      <c r="I13" s="242"/>
    </row>
    <row r="14" spans="1:9" ht="31.95" customHeight="1" x14ac:dyDescent="0.3">
      <c r="A14" s="75" t="s">
        <v>8235</v>
      </c>
      <c r="B14" s="76" t="s">
        <v>8236</v>
      </c>
      <c r="C14" s="1" t="s">
        <v>7862</v>
      </c>
      <c r="D14" s="132" t="s">
        <v>6335</v>
      </c>
      <c r="E14" s="246" t="s">
        <v>8237</v>
      </c>
      <c r="F14" s="241"/>
      <c r="G14" s="241"/>
      <c r="H14" s="241"/>
      <c r="I14" s="242"/>
    </row>
    <row r="15" spans="1:9" ht="31.95" customHeight="1" x14ac:dyDescent="0.3">
      <c r="A15" s="75" t="s">
        <v>8238</v>
      </c>
      <c r="B15" s="76" t="s">
        <v>8043</v>
      </c>
      <c r="C15" s="45" t="s">
        <v>7968</v>
      </c>
      <c r="D15" s="132" t="s">
        <v>7969</v>
      </c>
      <c r="E15" s="246" t="s">
        <v>8239</v>
      </c>
      <c r="F15" s="241"/>
      <c r="G15" s="241"/>
      <c r="H15" s="241"/>
      <c r="I15" s="242"/>
    </row>
    <row r="16" spans="1:9" ht="22.05" customHeight="1" x14ac:dyDescent="0.35">
      <c r="A16" s="14" t="s">
        <v>7867</v>
      </c>
      <c r="B16" s="54" t="s">
        <v>8240</v>
      </c>
      <c r="C16" s="14" t="s">
        <v>7869</v>
      </c>
      <c r="D16" s="77">
        <v>1</v>
      </c>
      <c r="E16" s="14" t="s">
        <v>7870</v>
      </c>
      <c r="F16" s="54" t="s">
        <v>354</v>
      </c>
      <c r="G16" s="14" t="s">
        <v>7871</v>
      </c>
      <c r="H16" s="29" t="s">
        <v>8241</v>
      </c>
      <c r="I16" s="60" t="s">
        <v>7873</v>
      </c>
    </row>
    <row r="17" spans="1:9" ht="40.049999999999997" customHeight="1" x14ac:dyDescent="0.35">
      <c r="A17" s="14" t="s">
        <v>7874</v>
      </c>
      <c r="B17" s="282" t="str">
        <f>IF(I17&lt;&gt;"", I17, "Structural steel work in " &amp; B10 &amp; ", " &amp; B11 &amp; ", " &amp; B12 &amp; ", " &amp; B13 &amp; ", " &amp; B14 &amp; ", " &amp; B15 &amp; ", complete as per CPWD specifications and directions of Engineer-in-charge.")</f>
        <v>Structural steel work in single section, tees, angles, channels and R.S. joists, red oxide zinc chromate primer (DAR 13.50.3), with or without connecting plate, for all heights, not required, complete as per CPWD specifications and directions of Engineer-in-charge.</v>
      </c>
      <c r="C17" s="241"/>
      <c r="D17" s="241"/>
      <c r="E17" s="241"/>
      <c r="F17" s="241"/>
      <c r="G17" s="242"/>
      <c r="H17" s="60" t="s">
        <v>7875</v>
      </c>
      <c r="I17" s="133"/>
    </row>
    <row r="18" spans="1:9" ht="24" customHeight="1" x14ac:dyDescent="0.3">
      <c r="A18" s="239" t="s">
        <v>7876</v>
      </c>
      <c r="B18" s="228"/>
      <c r="C18" s="228"/>
      <c r="D18" s="228"/>
      <c r="E18" s="228"/>
      <c r="F18" s="228"/>
      <c r="G18" s="228"/>
      <c r="H18" s="228"/>
      <c r="I18" s="228"/>
    </row>
    <row r="19" spans="1:9" ht="25.95" customHeight="1" x14ac:dyDescent="0.3">
      <c r="A19" s="153" t="s">
        <v>7877</v>
      </c>
      <c r="B19" s="153" t="s">
        <v>6393</v>
      </c>
      <c r="C19" s="153" t="s">
        <v>6</v>
      </c>
      <c r="D19" s="153" t="s">
        <v>7878</v>
      </c>
      <c r="E19" s="247" t="s">
        <v>7879</v>
      </c>
      <c r="F19" s="248"/>
      <c r="G19" s="248"/>
      <c r="H19" s="248"/>
      <c r="I19" s="249"/>
    </row>
    <row r="20" spans="1:9" ht="30" customHeight="1" x14ac:dyDescent="0.3">
      <c r="A20" s="75" t="s">
        <v>8242</v>
      </c>
      <c r="B20" s="77">
        <v>5</v>
      </c>
      <c r="C20" s="16" t="s">
        <v>7891</v>
      </c>
      <c r="D20" s="132" t="s">
        <v>7846</v>
      </c>
      <c r="E20" s="246" t="s">
        <v>8243</v>
      </c>
      <c r="F20" s="241"/>
      <c r="G20" s="241"/>
      <c r="H20" s="241"/>
      <c r="I20" s="242"/>
    </row>
    <row r="21" spans="1:9" ht="30" customHeight="1" x14ac:dyDescent="0.3">
      <c r="A21" s="75" t="s">
        <v>8244</v>
      </c>
      <c r="B21" s="145">
        <v>3</v>
      </c>
      <c r="C21" s="16" t="s">
        <v>8245</v>
      </c>
      <c r="D21" s="132" t="s">
        <v>8230</v>
      </c>
      <c r="E21" s="246" t="s">
        <v>8246</v>
      </c>
      <c r="F21" s="241"/>
      <c r="G21" s="241"/>
      <c r="H21" s="241"/>
      <c r="I21" s="242"/>
    </row>
    <row r="22" spans="1:9" ht="30" customHeight="1" x14ac:dyDescent="0.3">
      <c r="A22" s="75" t="s">
        <v>8247</v>
      </c>
      <c r="B22" s="77">
        <v>0</v>
      </c>
      <c r="C22" s="16" t="s">
        <v>8248</v>
      </c>
      <c r="D22" s="132" t="s">
        <v>8204</v>
      </c>
      <c r="E22" s="246" t="s">
        <v>8249</v>
      </c>
      <c r="F22" s="241"/>
      <c r="G22" s="241"/>
      <c r="H22" s="241"/>
      <c r="I22" s="242"/>
    </row>
    <row r="23" spans="1:9" ht="30" customHeight="1" x14ac:dyDescent="0.3">
      <c r="A23" s="75" t="s">
        <v>8199</v>
      </c>
      <c r="B23" s="77">
        <v>100</v>
      </c>
      <c r="C23" s="16" t="s">
        <v>8250</v>
      </c>
      <c r="D23" s="132" t="s">
        <v>8201</v>
      </c>
      <c r="E23" s="246" t="s">
        <v>8251</v>
      </c>
      <c r="F23" s="241"/>
      <c r="G23" s="241"/>
      <c r="H23" s="241"/>
      <c r="I23" s="242"/>
    </row>
    <row r="24" spans="1:9" ht="43.95" customHeight="1" x14ac:dyDescent="0.3">
      <c r="A24" s="237" t="s">
        <v>7893</v>
      </c>
      <c r="B24" s="241"/>
      <c r="C24" s="241"/>
      <c r="D24" s="241"/>
      <c r="E24" s="241"/>
      <c r="F24" s="241"/>
      <c r="G24" s="241"/>
      <c r="H24" s="241"/>
      <c r="I24" s="242"/>
    </row>
    <row r="25" spans="1:9" ht="22.05" customHeight="1" x14ac:dyDescent="0.3">
      <c r="A25" s="92" t="s">
        <v>6500</v>
      </c>
      <c r="B25" s="93" t="str">
        <f>IF(AND(D25="OK", F25="OK", H25="OK"), "[PASS] ALL CHECKS OK", "[ALERT] CHECKS FAILED")</f>
        <v>[PASS] ALL CHECKS OK</v>
      </c>
      <c r="C25" s="94" t="s">
        <v>7894</v>
      </c>
      <c r="D25" s="48" t="str">
        <f>IF(D16&gt;0, "OK", "ERR: Qty&lt;=0")</f>
        <v>OK</v>
      </c>
      <c r="E25" s="94" t="s">
        <v>7895</v>
      </c>
      <c r="F25" s="48" t="str">
        <f>IF(G59&gt;0, "OK", "ERR: W&lt;=0")</f>
        <v>OK</v>
      </c>
      <c r="G25" s="94" t="s">
        <v>7896</v>
      </c>
      <c r="H25" s="48" t="str">
        <f>IF(AND(G59&lt;=G61, G61&lt;=G63, G63&lt;=G65, G39&lt;=G59), "OK", "ERR: Markups Broken")</f>
        <v>OK</v>
      </c>
      <c r="I25" s="132" t="str">
        <f>IF(G39&gt;0, "A-rule active", "No A imports")</f>
        <v>A-rule active</v>
      </c>
    </row>
    <row r="26" spans="1:9" ht="24" customHeight="1" x14ac:dyDescent="0.3">
      <c r="A26" s="239" t="s">
        <v>7897</v>
      </c>
      <c r="B26" s="228"/>
      <c r="C26" s="228"/>
      <c r="D26" s="228"/>
      <c r="E26" s="228"/>
      <c r="F26" s="228"/>
      <c r="G26" s="228"/>
      <c r="H26" s="228"/>
      <c r="I26" s="228"/>
    </row>
    <row r="27" spans="1:9" ht="24" customHeight="1" x14ac:dyDescent="0.3">
      <c r="A27" s="153" t="s">
        <v>6313</v>
      </c>
      <c r="B27" s="153" t="s">
        <v>6314</v>
      </c>
      <c r="C27" s="153" t="s">
        <v>5</v>
      </c>
      <c r="D27" s="153" t="s">
        <v>6</v>
      </c>
      <c r="E27" s="153" t="s">
        <v>6315</v>
      </c>
      <c r="F27" s="153" t="s">
        <v>7</v>
      </c>
      <c r="G27" s="153" t="s">
        <v>6316</v>
      </c>
      <c r="H27" s="153" t="s">
        <v>6317</v>
      </c>
      <c r="I27" s="153" t="s">
        <v>6318</v>
      </c>
    </row>
    <row r="28" spans="1:9" ht="19.95" customHeight="1" x14ac:dyDescent="0.3">
      <c r="A28" s="16">
        <v>1</v>
      </c>
      <c r="B28" s="54" t="s">
        <v>937</v>
      </c>
      <c r="C28" s="72" t="str">
        <f>IF(B28="","", IFERROR(INDEX(Rates_Master!$C:$C, MATCH(B28, Rates_Master!$A:$A, 0)), "Custom / Intermediate Material"))</f>
        <v>Structural steel such as tees, angles channels and R.S. joist s</v>
      </c>
      <c r="D28" s="56" t="str">
        <f>IF(B28="","", IFERROR(INDEX(Rates_Master!$D:$D, MATCH(B28, Rates_Master!$A:$A, 0)), ""))</f>
        <v>quintal</v>
      </c>
      <c r="E28" s="57">
        <v>1.05</v>
      </c>
      <c r="F28" s="58">
        <f>IF(B28="","", IFERROR(INDEX(Rates_Master!$E:$E, MATCH(B28, Rates_Master!$A:$A, 0)), 0))</f>
        <v>4600</v>
      </c>
      <c r="G28" s="37">
        <f t="shared" ref="G28:G37" si="0">IF(OR(B28="", E28=""), 0, ROUND(E28 * F28, 2))</f>
        <v>4830</v>
      </c>
      <c r="H28" s="135" t="s">
        <v>8252</v>
      </c>
      <c r="I28" s="54"/>
    </row>
    <row r="29" spans="1:9" ht="19.95" customHeight="1" x14ac:dyDescent="0.3">
      <c r="A29" s="16">
        <v>2</v>
      </c>
      <c r="B29" s="54" t="s">
        <v>1634</v>
      </c>
      <c r="C29" s="72" t="str">
        <f>IF(B29="","", IFERROR(INDEX(Rates_Master!$C:$C, MATCH(B29, Rates_Master!$A:$A, 0)), "Custom / Intermediate Material"))</f>
        <v>Carriage of Steel</v>
      </c>
      <c r="D29" s="56" t="str">
        <f>IF(B29="","", IFERROR(INDEX(Rates_Master!$D:$D, MATCH(B29, Rates_Master!$A:$A, 0)), ""))</f>
        <v>tonne</v>
      </c>
      <c r="E29" s="57">
        <v>0.105</v>
      </c>
      <c r="F29" s="58">
        <f>IF(B29="","", IFERROR(INDEX(Rates_Master!$E:$E, MATCH(B29, Rates_Master!$A:$A, 0)), 0))</f>
        <v>92.24</v>
      </c>
      <c r="G29" s="37">
        <f t="shared" si="0"/>
        <v>9.69</v>
      </c>
      <c r="H29" s="135" t="s">
        <v>8253</v>
      </c>
      <c r="I29" s="54"/>
    </row>
    <row r="30" spans="1:9" ht="19.95" customHeight="1" x14ac:dyDescent="0.3">
      <c r="A30" s="16">
        <v>3</v>
      </c>
      <c r="B30" s="54" t="s">
        <v>4982</v>
      </c>
      <c r="C30" s="72" t="s">
        <v>8254</v>
      </c>
      <c r="D30" s="56" t="s">
        <v>169</v>
      </c>
      <c r="E30" s="57">
        <v>3</v>
      </c>
      <c r="F30" s="58">
        <f>XV_13_50_3</f>
        <v>50.7</v>
      </c>
      <c r="G30" s="37">
        <f t="shared" si="0"/>
        <v>152.1</v>
      </c>
      <c r="H30" s="135" t="s">
        <v>8255</v>
      </c>
      <c r="I30" s="146" t="s">
        <v>6373</v>
      </c>
    </row>
    <row r="31" spans="1:9" ht="19.95" customHeight="1" x14ac:dyDescent="0.3">
      <c r="A31" s="16">
        <v>4</v>
      </c>
      <c r="B31" s="54"/>
      <c r="C31" s="72" t="str">
        <f>IF(B31="","", IFERROR(INDEX(Rates_Master!$C:$C, MATCH(B31, Rates_Master!$A:$A, 0)), "Custom / Intermediate Material"))</f>
        <v/>
      </c>
      <c r="D31" s="56" t="str">
        <f>IF(B31="","", IFERROR(INDEX(Rates_Master!$D:$D, MATCH(B31, Rates_Master!$A:$A, 0)), ""))</f>
        <v/>
      </c>
      <c r="E31" s="57"/>
      <c r="F31" s="58" t="str">
        <f>IF(B31="","", IFERROR(INDEX(Rates_Master!$E:$E, MATCH(B31, Rates_Master!$A:$A, 0)), 0))</f>
        <v/>
      </c>
      <c r="G31" s="37">
        <f t="shared" si="0"/>
        <v>0</v>
      </c>
      <c r="H31" s="135"/>
      <c r="I31" s="54"/>
    </row>
    <row r="32" spans="1:9" ht="19.95" customHeight="1" x14ac:dyDescent="0.3">
      <c r="A32" s="16">
        <v>5</v>
      </c>
      <c r="B32" s="54"/>
      <c r="C32" s="72" t="str">
        <f>IF(B32="","", IFERROR(INDEX(Rates_Master!$C:$C, MATCH(B32, Rates_Master!$A:$A, 0)), "Custom / Intermediate Material"))</f>
        <v/>
      </c>
      <c r="D32" s="56" t="str">
        <f>IF(B32="","", IFERROR(INDEX(Rates_Master!$D:$D, MATCH(B32, Rates_Master!$A:$A, 0)), ""))</f>
        <v/>
      </c>
      <c r="E32" s="57"/>
      <c r="F32" s="58" t="str">
        <f>IF(B32="","", IFERROR(INDEX(Rates_Master!$E:$E, MATCH(B32, Rates_Master!$A:$A, 0)), 0))</f>
        <v/>
      </c>
      <c r="G32" s="37">
        <f t="shared" si="0"/>
        <v>0</v>
      </c>
      <c r="H32" s="135"/>
      <c r="I32" s="54"/>
    </row>
    <row r="33" spans="1:9" ht="19.95" customHeight="1" x14ac:dyDescent="0.3">
      <c r="A33" s="16">
        <v>6</v>
      </c>
      <c r="B33" s="54"/>
      <c r="C33" s="72" t="str">
        <f>IF(B33="","", IFERROR(INDEX(Rates_Master!$C:$C, MATCH(B33, Rates_Master!$A:$A, 0)), "Custom / Intermediate Material"))</f>
        <v/>
      </c>
      <c r="D33" s="56" t="str">
        <f>IF(B33="","", IFERROR(INDEX(Rates_Master!$D:$D, MATCH(B33, Rates_Master!$A:$A, 0)), ""))</f>
        <v/>
      </c>
      <c r="E33" s="57"/>
      <c r="F33" s="58" t="str">
        <f>IF(B33="","", IFERROR(INDEX(Rates_Master!$E:$E, MATCH(B33, Rates_Master!$A:$A, 0)), 0))</f>
        <v/>
      </c>
      <c r="G33" s="37">
        <f t="shared" si="0"/>
        <v>0</v>
      </c>
      <c r="H33" s="135"/>
      <c r="I33" s="54"/>
    </row>
    <row r="34" spans="1:9" ht="19.95" customHeight="1" x14ac:dyDescent="0.3">
      <c r="A34" s="16">
        <v>7</v>
      </c>
      <c r="B34" s="54"/>
      <c r="C34" s="72" t="str">
        <f>IF(B34="","", IFERROR(INDEX(Rates_Master!$C:$C, MATCH(B34, Rates_Master!$A:$A, 0)), "Custom / Intermediate Material"))</f>
        <v/>
      </c>
      <c r="D34" s="56" t="str">
        <f>IF(B34="","", IFERROR(INDEX(Rates_Master!$D:$D, MATCH(B34, Rates_Master!$A:$A, 0)), ""))</f>
        <v/>
      </c>
      <c r="E34" s="57"/>
      <c r="F34" s="58" t="str">
        <f>IF(B34="","", IFERROR(INDEX(Rates_Master!$E:$E, MATCH(B34, Rates_Master!$A:$A, 0)), 0))</f>
        <v/>
      </c>
      <c r="G34" s="37">
        <f t="shared" si="0"/>
        <v>0</v>
      </c>
      <c r="H34" s="135"/>
      <c r="I34" s="54"/>
    </row>
    <row r="35" spans="1:9" ht="19.95" customHeight="1" x14ac:dyDescent="0.3">
      <c r="A35" s="16">
        <v>8</v>
      </c>
      <c r="B35" s="54"/>
      <c r="C35" s="72" t="str">
        <f>IF(B35="","", IFERROR(INDEX(Rates_Master!$C:$C, MATCH(B35, Rates_Master!$A:$A, 0)), "Custom / Intermediate Material"))</f>
        <v/>
      </c>
      <c r="D35" s="56" t="str">
        <f>IF(B35="","", IFERROR(INDEX(Rates_Master!$D:$D, MATCH(B35, Rates_Master!$A:$A, 0)), ""))</f>
        <v/>
      </c>
      <c r="E35" s="57"/>
      <c r="F35" s="58" t="str">
        <f>IF(B35="","", IFERROR(INDEX(Rates_Master!$E:$E, MATCH(B35, Rates_Master!$A:$A, 0)), 0))</f>
        <v/>
      </c>
      <c r="G35" s="37">
        <f t="shared" si="0"/>
        <v>0</v>
      </c>
      <c r="H35" s="135"/>
      <c r="I35" s="54"/>
    </row>
    <row r="36" spans="1:9" ht="19.95" customHeight="1" x14ac:dyDescent="0.3">
      <c r="A36" s="16">
        <v>9</v>
      </c>
      <c r="B36" s="54"/>
      <c r="C36" s="72" t="str">
        <f>IF(B36="","", IFERROR(INDEX(Rates_Master!$C:$C, MATCH(B36, Rates_Master!$A:$A, 0)), "Custom / Intermediate Material"))</f>
        <v/>
      </c>
      <c r="D36" s="56" t="str">
        <f>IF(B36="","", IFERROR(INDEX(Rates_Master!$D:$D, MATCH(B36, Rates_Master!$A:$A, 0)), ""))</f>
        <v/>
      </c>
      <c r="E36" s="57"/>
      <c r="F36" s="58" t="str">
        <f>IF(B36="","", IFERROR(INDEX(Rates_Master!$E:$E, MATCH(B36, Rates_Master!$A:$A, 0)), 0))</f>
        <v/>
      </c>
      <c r="G36" s="37">
        <f t="shared" si="0"/>
        <v>0</v>
      </c>
      <c r="H36" s="135"/>
      <c r="I36" s="54"/>
    </row>
    <row r="37" spans="1:9" ht="19.95" customHeight="1" x14ac:dyDescent="0.3">
      <c r="A37" s="16">
        <v>10</v>
      </c>
      <c r="B37" s="54"/>
      <c r="C37" s="72" t="str">
        <f>IF(B37="","", IFERROR(INDEX(Rates_Master!$C:$C, MATCH(B37, Rates_Master!$A:$A, 0)), "Custom / Intermediate Material"))</f>
        <v/>
      </c>
      <c r="D37" s="56" t="str">
        <f>IF(B37="","", IFERROR(INDEX(Rates_Master!$D:$D, MATCH(B37, Rates_Master!$A:$A, 0)), ""))</f>
        <v/>
      </c>
      <c r="E37" s="57"/>
      <c r="F37" s="58" t="str">
        <f>IF(B37="","", IFERROR(INDEX(Rates_Master!$E:$E, MATCH(B37, Rates_Master!$A:$A, 0)), 0))</f>
        <v/>
      </c>
      <c r="G37" s="37">
        <f t="shared" si="0"/>
        <v>0</v>
      </c>
      <c r="H37" s="135"/>
      <c r="I37" s="54"/>
    </row>
    <row r="38" spans="1:9" ht="22.05" customHeight="1" x14ac:dyDescent="0.3">
      <c r="A38" s="252" t="s">
        <v>7899</v>
      </c>
      <c r="B38" s="253"/>
      <c r="C38" s="253"/>
      <c r="D38" s="253"/>
      <c r="E38" s="253"/>
      <c r="F38" s="254"/>
      <c r="G38" s="100">
        <f>SUM(G28:G37)</f>
        <v>4991.79</v>
      </c>
      <c r="H38" s="99"/>
      <c r="I38" s="99"/>
    </row>
    <row r="39" spans="1:9" ht="30" customHeight="1" x14ac:dyDescent="0.3">
      <c r="A39" s="244" t="s">
        <v>7900</v>
      </c>
      <c r="B39" s="241"/>
      <c r="C39" s="241"/>
      <c r="D39" s="241"/>
      <c r="E39" s="241"/>
      <c r="F39" s="242"/>
      <c r="G39" s="41">
        <f>ROUND(SUMIF($I$28:$I$37, "A", $G$28:$G$37), 2)</f>
        <v>152.1</v>
      </c>
      <c r="H39" s="63" t="s">
        <v>7901</v>
      </c>
      <c r="I39" s="61"/>
    </row>
    <row r="40" spans="1:9" ht="24" customHeight="1" x14ac:dyDescent="0.3">
      <c r="A40" s="239" t="s">
        <v>7902</v>
      </c>
      <c r="B40" s="228"/>
      <c r="C40" s="228"/>
      <c r="D40" s="228"/>
      <c r="E40" s="228"/>
      <c r="F40" s="228"/>
      <c r="G40" s="228"/>
      <c r="H40" s="228"/>
      <c r="I40" s="228"/>
    </row>
    <row r="41" spans="1:9" ht="24" customHeight="1" x14ac:dyDescent="0.3">
      <c r="A41" s="153" t="s">
        <v>6313</v>
      </c>
      <c r="B41" s="153" t="s">
        <v>6314</v>
      </c>
      <c r="C41" s="153" t="s">
        <v>5</v>
      </c>
      <c r="D41" s="153" t="s">
        <v>6</v>
      </c>
      <c r="E41" s="153" t="s">
        <v>6315</v>
      </c>
      <c r="F41" s="153" t="s">
        <v>7</v>
      </c>
      <c r="G41" s="153" t="s">
        <v>6316</v>
      </c>
      <c r="H41" s="153" t="s">
        <v>6317</v>
      </c>
      <c r="I41" s="153" t="s">
        <v>6318</v>
      </c>
    </row>
    <row r="42" spans="1:9" ht="19.95" customHeight="1" x14ac:dyDescent="0.3">
      <c r="A42" s="16">
        <v>1</v>
      </c>
      <c r="B42" s="54" t="s">
        <v>213</v>
      </c>
      <c r="C42" s="72" t="str">
        <f>IF(B42="","", IFERROR(INDEX(Rates_Master!$C:$C, MATCH(B42, Rates_Master!$A:$A, 0)), "Custom Labour / Plant"))</f>
        <v>Fitter (grade 1)</v>
      </c>
      <c r="D42" s="56" t="str">
        <f>IF(B42="","", IFERROR(INDEX(Rates_Master!$D:$D, MATCH(B42, Rates_Master!$A:$A, 0)), ""))</f>
        <v>day</v>
      </c>
      <c r="E42" s="57">
        <v>0.5</v>
      </c>
      <c r="F42" s="58">
        <f>IF(B42="","", IFERROR(INDEX(Rates_Master!$E:$E, MATCH(B42, Rates_Master!$A:$A, 0)), 0))</f>
        <v>738</v>
      </c>
      <c r="G42" s="37">
        <f t="shared" ref="G42:G51" si="1">IF(OR(B42="", E42=""), 0, ROUND(E42 * F42, 2))</f>
        <v>369</v>
      </c>
      <c r="H42" s="135" t="s">
        <v>214</v>
      </c>
      <c r="I42" s="5"/>
    </row>
    <row r="43" spans="1:9" ht="19.95" customHeight="1" x14ac:dyDescent="0.3">
      <c r="A43" s="16">
        <v>2</v>
      </c>
      <c r="B43" s="54" t="s">
        <v>201</v>
      </c>
      <c r="C43" s="72" t="str">
        <f>IF(B43="","", IFERROR(INDEX(Rates_Master!$C:$C, MATCH(B43, Rates_Master!$A:$A, 0)), "Custom Labour / Plant"))</f>
        <v>Blacksmith 2nd class</v>
      </c>
      <c r="D43" s="56" t="str">
        <f>IF(B43="","", IFERROR(INDEX(Rates_Master!$D:$D, MATCH(B43, Rates_Master!$A:$A, 0)), ""))</f>
        <v>day</v>
      </c>
      <c r="E43" s="57">
        <v>0.75</v>
      </c>
      <c r="F43" s="58">
        <f>IF(B43="","", IFERROR(INDEX(Rates_Master!$E:$E, MATCH(B43, Rates_Master!$A:$A, 0)), 0))</f>
        <v>679</v>
      </c>
      <c r="G43" s="37">
        <f t="shared" si="1"/>
        <v>509.25</v>
      </c>
      <c r="H43" s="135" t="s">
        <v>202</v>
      </c>
      <c r="I43" s="5"/>
    </row>
    <row r="44" spans="1:9" ht="19.95" customHeight="1" x14ac:dyDescent="0.3">
      <c r="A44" s="16">
        <v>3</v>
      </c>
      <c r="B44" s="54" t="s">
        <v>209</v>
      </c>
      <c r="C44" s="72" t="str">
        <f>IF(B44="","", IFERROR(INDEX(Rates_Master!$C:$C, MATCH(B44, Rates_Master!$A:$A, 0)), "Custom Labour / Plant"))</f>
        <v>Beldar</v>
      </c>
      <c r="D44" s="56" t="str">
        <f>IF(B44="","", IFERROR(INDEX(Rates_Master!$D:$D, MATCH(B44, Rates_Master!$A:$A, 0)), ""))</f>
        <v>day</v>
      </c>
      <c r="E44" s="57">
        <v>1</v>
      </c>
      <c r="F44" s="58">
        <f>IF(B44="","", IFERROR(INDEX(Rates_Master!$E:$E, MATCH(B44, Rates_Master!$A:$A, 0)), 0))</f>
        <v>558</v>
      </c>
      <c r="G44" s="37">
        <f t="shared" si="1"/>
        <v>558</v>
      </c>
      <c r="H44" s="135" t="s">
        <v>210</v>
      </c>
      <c r="I44" s="5"/>
    </row>
    <row r="45" spans="1:9" ht="19.95" customHeight="1" x14ac:dyDescent="0.3">
      <c r="A45" s="16">
        <v>4</v>
      </c>
      <c r="B45" s="54"/>
      <c r="C45" s="72" t="str">
        <f>IF(B45="","", IFERROR(INDEX(Rates_Master!$C:$C, MATCH(B45, Rates_Master!$A:$A, 0)), "Custom Labour / Plant"))</f>
        <v/>
      </c>
      <c r="D45" s="56" t="str">
        <f>IF(B45="","", IFERROR(INDEX(Rates_Master!$D:$D, MATCH(B45, Rates_Master!$A:$A, 0)), ""))</f>
        <v/>
      </c>
      <c r="E45" s="57"/>
      <c r="F45" s="58" t="str">
        <f>IF(B45="","", IFERROR(INDEX(Rates_Master!$E:$E, MATCH(B45, Rates_Master!$A:$A, 0)), 0))</f>
        <v/>
      </c>
      <c r="G45" s="37">
        <f t="shared" si="1"/>
        <v>0</v>
      </c>
      <c r="H45" s="135"/>
      <c r="I45" s="5"/>
    </row>
    <row r="46" spans="1:9" ht="19.95" customHeight="1" x14ac:dyDescent="0.3">
      <c r="A46" s="16">
        <v>5</v>
      </c>
      <c r="B46" s="54"/>
      <c r="C46" s="72" t="str">
        <f>IF(B46="","", IFERROR(INDEX(Rates_Master!$C:$C, MATCH(B46, Rates_Master!$A:$A, 0)), "Custom Labour / Plant"))</f>
        <v/>
      </c>
      <c r="D46" s="56" t="str">
        <f>IF(B46="","", IFERROR(INDEX(Rates_Master!$D:$D, MATCH(B46, Rates_Master!$A:$A, 0)), ""))</f>
        <v/>
      </c>
      <c r="E46" s="57"/>
      <c r="F46" s="58" t="str">
        <f>IF(B46="","", IFERROR(INDEX(Rates_Master!$E:$E, MATCH(B46, Rates_Master!$A:$A, 0)), 0))</f>
        <v/>
      </c>
      <c r="G46" s="37">
        <f t="shared" si="1"/>
        <v>0</v>
      </c>
      <c r="H46" s="135"/>
      <c r="I46" s="5"/>
    </row>
    <row r="47" spans="1:9" ht="19.95" customHeight="1" x14ac:dyDescent="0.3">
      <c r="A47" s="16">
        <v>6</v>
      </c>
      <c r="B47" s="54"/>
      <c r="C47" s="72" t="str">
        <f>IF(B47="","", IFERROR(INDEX(Rates_Master!$C:$C, MATCH(B47, Rates_Master!$A:$A, 0)), "Custom Labour / Plant"))</f>
        <v/>
      </c>
      <c r="D47" s="56" t="str">
        <f>IF(B47="","", IFERROR(INDEX(Rates_Master!$D:$D, MATCH(B47, Rates_Master!$A:$A, 0)), ""))</f>
        <v/>
      </c>
      <c r="E47" s="57"/>
      <c r="F47" s="58" t="str">
        <f>IF(B47="","", IFERROR(INDEX(Rates_Master!$E:$E, MATCH(B47, Rates_Master!$A:$A, 0)), 0))</f>
        <v/>
      </c>
      <c r="G47" s="37">
        <f t="shared" si="1"/>
        <v>0</v>
      </c>
      <c r="H47" s="135"/>
      <c r="I47" s="5"/>
    </row>
    <row r="48" spans="1:9" ht="19.95" customHeight="1" x14ac:dyDescent="0.3">
      <c r="A48" s="16">
        <v>7</v>
      </c>
      <c r="B48" s="54"/>
      <c r="C48" s="72" t="str">
        <f>IF(B48="","", IFERROR(INDEX(Rates_Master!$C:$C, MATCH(B48, Rates_Master!$A:$A, 0)), "Custom Labour / Plant"))</f>
        <v/>
      </c>
      <c r="D48" s="56" t="str">
        <f>IF(B48="","", IFERROR(INDEX(Rates_Master!$D:$D, MATCH(B48, Rates_Master!$A:$A, 0)), ""))</f>
        <v/>
      </c>
      <c r="E48" s="57"/>
      <c r="F48" s="58" t="str">
        <f>IF(B48="","", IFERROR(INDEX(Rates_Master!$E:$E, MATCH(B48, Rates_Master!$A:$A, 0)), 0))</f>
        <v/>
      </c>
      <c r="G48" s="37">
        <f t="shared" si="1"/>
        <v>0</v>
      </c>
      <c r="H48" s="135"/>
      <c r="I48" s="5"/>
    </row>
    <row r="49" spans="1:9" ht="19.95" customHeight="1" x14ac:dyDescent="0.3">
      <c r="A49" s="16">
        <v>8</v>
      </c>
      <c r="B49" s="54"/>
      <c r="C49" s="72" t="str">
        <f>IF(B49="","", IFERROR(INDEX(Rates_Master!$C:$C, MATCH(B49, Rates_Master!$A:$A, 0)), "Custom Labour / Plant"))</f>
        <v/>
      </c>
      <c r="D49" s="56" t="str">
        <f>IF(B49="","", IFERROR(INDEX(Rates_Master!$D:$D, MATCH(B49, Rates_Master!$A:$A, 0)), ""))</f>
        <v/>
      </c>
      <c r="E49" s="57"/>
      <c r="F49" s="58" t="str">
        <f>IF(B49="","", IFERROR(INDEX(Rates_Master!$E:$E, MATCH(B49, Rates_Master!$A:$A, 0)), 0))</f>
        <v/>
      </c>
      <c r="G49" s="37">
        <f t="shared" si="1"/>
        <v>0</v>
      </c>
      <c r="H49" s="135"/>
      <c r="I49" s="5"/>
    </row>
    <row r="50" spans="1:9" ht="19.95" customHeight="1" x14ac:dyDescent="0.3">
      <c r="A50" s="16">
        <v>9</v>
      </c>
      <c r="B50" s="54"/>
      <c r="C50" s="72" t="str">
        <f>IF(B50="","", IFERROR(INDEX(Rates_Master!$C:$C, MATCH(B50, Rates_Master!$A:$A, 0)), "Custom Labour / Plant"))</f>
        <v/>
      </c>
      <c r="D50" s="56" t="str">
        <f>IF(B50="","", IFERROR(INDEX(Rates_Master!$D:$D, MATCH(B50, Rates_Master!$A:$A, 0)), ""))</f>
        <v/>
      </c>
      <c r="E50" s="57"/>
      <c r="F50" s="58" t="str">
        <f>IF(B50="","", IFERROR(INDEX(Rates_Master!$E:$E, MATCH(B50, Rates_Master!$A:$A, 0)), 0))</f>
        <v/>
      </c>
      <c r="G50" s="37">
        <f t="shared" si="1"/>
        <v>0</v>
      </c>
      <c r="H50" s="135"/>
      <c r="I50" s="5"/>
    </row>
    <row r="51" spans="1:9" ht="19.95" customHeight="1" x14ac:dyDescent="0.3">
      <c r="A51" s="16">
        <v>10</v>
      </c>
      <c r="B51" s="54"/>
      <c r="C51" s="72" t="str">
        <f>IF(B51="","", IFERROR(INDEX(Rates_Master!$C:$C, MATCH(B51, Rates_Master!$A:$A, 0)), "Custom Labour / Plant"))</f>
        <v/>
      </c>
      <c r="D51" s="56" t="str">
        <f>IF(B51="","", IFERROR(INDEX(Rates_Master!$D:$D, MATCH(B51, Rates_Master!$A:$A, 0)), ""))</f>
        <v/>
      </c>
      <c r="E51" s="57"/>
      <c r="F51" s="58" t="str">
        <f>IF(B51="","", IFERROR(INDEX(Rates_Master!$E:$E, MATCH(B51, Rates_Master!$A:$A, 0)), 0))</f>
        <v/>
      </c>
      <c r="G51" s="37">
        <f t="shared" si="1"/>
        <v>0</v>
      </c>
      <c r="H51" s="135"/>
      <c r="I51" s="5"/>
    </row>
    <row r="52" spans="1:9" ht="22.05" customHeight="1" x14ac:dyDescent="0.3">
      <c r="A52" s="252" t="s">
        <v>7905</v>
      </c>
      <c r="B52" s="253"/>
      <c r="C52" s="253"/>
      <c r="D52" s="253"/>
      <c r="E52" s="253"/>
      <c r="F52" s="254"/>
      <c r="G52" s="100">
        <f>SUM(G42:G51)</f>
        <v>1436.25</v>
      </c>
      <c r="H52" s="99"/>
      <c r="I52" s="99"/>
    </row>
    <row r="54" spans="1:9" ht="24" customHeight="1" x14ac:dyDescent="0.3">
      <c r="A54" s="239" t="s">
        <v>7906</v>
      </c>
      <c r="B54" s="228"/>
      <c r="C54" s="228"/>
      <c r="D54" s="228"/>
      <c r="E54" s="228"/>
      <c r="F54" s="228"/>
      <c r="G54" s="228"/>
      <c r="H54" s="228"/>
      <c r="I54" s="228"/>
    </row>
    <row r="55" spans="1:9" ht="22.05" customHeight="1" x14ac:dyDescent="0.3">
      <c r="A55" s="16" t="s">
        <v>4390</v>
      </c>
      <c r="B55" s="48" t="s">
        <v>4269</v>
      </c>
      <c r="C55" s="53" t="s">
        <v>7907</v>
      </c>
      <c r="D55" s="16" t="s">
        <v>4266</v>
      </c>
      <c r="E55" s="22">
        <v>20.67</v>
      </c>
      <c r="F55" s="59">
        <f>Factor_Sundries</f>
        <v>2</v>
      </c>
      <c r="G55" s="65">
        <f>ROUND(E55 * F55, 2)</f>
        <v>41.34</v>
      </c>
      <c r="H55" s="60" t="s">
        <v>7908</v>
      </c>
      <c r="I55" s="53"/>
    </row>
    <row r="57" spans="1:9" ht="24" customHeight="1" x14ac:dyDescent="0.3">
      <c r="A57" s="239" t="s">
        <v>7909</v>
      </c>
      <c r="B57" s="228"/>
      <c r="C57" s="228"/>
      <c r="D57" s="228"/>
      <c r="E57" s="228"/>
      <c r="F57" s="228"/>
      <c r="G57" s="228"/>
      <c r="H57" s="228"/>
      <c r="I57" s="228"/>
    </row>
    <row r="58" spans="1:9" ht="24" customHeight="1" x14ac:dyDescent="0.3">
      <c r="A58" s="153" t="s">
        <v>6516</v>
      </c>
      <c r="B58" s="153" t="s">
        <v>6994</v>
      </c>
      <c r="C58" s="153" t="s">
        <v>6518</v>
      </c>
      <c r="D58" s="153" t="s">
        <v>6519</v>
      </c>
      <c r="E58" s="153" t="s">
        <v>6520</v>
      </c>
      <c r="F58" s="153" t="s">
        <v>6521</v>
      </c>
      <c r="G58" s="153" t="s">
        <v>6316</v>
      </c>
      <c r="H58" s="153" t="s">
        <v>6522</v>
      </c>
      <c r="I58" s="153" t="s">
        <v>7910</v>
      </c>
    </row>
    <row r="59" spans="1:9" ht="24" customHeight="1" x14ac:dyDescent="0.3">
      <c r="A59" s="1" t="s">
        <v>6523</v>
      </c>
      <c r="B59" s="67" t="s">
        <v>7911</v>
      </c>
      <c r="C59" s="66" t="s">
        <v>6335</v>
      </c>
      <c r="D59" s="66" t="s">
        <v>7001</v>
      </c>
      <c r="E59" s="102" t="s">
        <v>6335</v>
      </c>
      <c r="F59" s="102" t="s">
        <v>6335</v>
      </c>
      <c r="G59" s="41">
        <f>G38 + G52 + G55</f>
        <v>6469.38</v>
      </c>
      <c r="H59" s="63" t="s">
        <v>7912</v>
      </c>
      <c r="I59" s="136" t="s">
        <v>7913</v>
      </c>
    </row>
    <row r="60" spans="1:9" ht="24" customHeight="1" x14ac:dyDescent="0.3">
      <c r="A60" s="48" t="s">
        <v>6331</v>
      </c>
      <c r="B60" s="17" t="s">
        <v>6527</v>
      </c>
      <c r="C60" s="54" t="s">
        <v>4318</v>
      </c>
      <c r="D60" s="16" t="s">
        <v>7004</v>
      </c>
      <c r="E60" s="51">
        <f>G59 - G39</f>
        <v>6317.28</v>
      </c>
      <c r="F60" s="64">
        <f>Factor_Water</f>
        <v>0.01</v>
      </c>
      <c r="G60" s="65">
        <f>IF(C60="YES", ROUND(E60 * F60, 2), 0)</f>
        <v>63.17</v>
      </c>
      <c r="H60" s="152" t="s">
        <v>8256</v>
      </c>
      <c r="I60" s="132" t="s">
        <v>7915</v>
      </c>
    </row>
    <row r="61" spans="1:9" ht="24" customHeight="1" x14ac:dyDescent="0.3">
      <c r="A61" s="1" t="s">
        <v>6334</v>
      </c>
      <c r="B61" s="67" t="s">
        <v>6336</v>
      </c>
      <c r="C61" s="66" t="s">
        <v>6335</v>
      </c>
      <c r="D61" s="66" t="s">
        <v>6531</v>
      </c>
      <c r="E61" s="102" t="s">
        <v>6335</v>
      </c>
      <c r="F61" s="102" t="s">
        <v>6335</v>
      </c>
      <c r="G61" s="41">
        <f>G59 + G60</f>
        <v>6532.55</v>
      </c>
      <c r="H61" s="63" t="s">
        <v>7916</v>
      </c>
      <c r="I61" s="136" t="s">
        <v>7913</v>
      </c>
    </row>
    <row r="62" spans="1:9" ht="24" customHeight="1" x14ac:dyDescent="0.3">
      <c r="A62" s="48" t="s">
        <v>6338</v>
      </c>
      <c r="B62" s="17" t="s">
        <v>7917</v>
      </c>
      <c r="C62" s="54" t="s">
        <v>4318</v>
      </c>
      <c r="D62" s="16" t="s">
        <v>7009</v>
      </c>
      <c r="E62" s="51">
        <f>G61 - G39</f>
        <v>6380.45</v>
      </c>
      <c r="F62" s="64">
        <f>Factor_GST</f>
        <v>0.14050000000000001</v>
      </c>
      <c r="G62" s="65">
        <f>IF(C62="YES", ROUND(E62 * F62, 2), 0)</f>
        <v>896.45</v>
      </c>
      <c r="H62" s="152" t="s">
        <v>8257</v>
      </c>
      <c r="I62" s="132" t="s">
        <v>7915</v>
      </c>
    </row>
    <row r="63" spans="1:9" ht="24" customHeight="1" x14ac:dyDescent="0.3">
      <c r="A63" s="1" t="s">
        <v>6341</v>
      </c>
      <c r="B63" s="67" t="s">
        <v>6342</v>
      </c>
      <c r="C63" s="66" t="s">
        <v>6335</v>
      </c>
      <c r="D63" s="66" t="s">
        <v>6537</v>
      </c>
      <c r="E63" s="102" t="s">
        <v>6335</v>
      </c>
      <c r="F63" s="102" t="s">
        <v>6335</v>
      </c>
      <c r="G63" s="41">
        <f>G61 + G62</f>
        <v>7429</v>
      </c>
      <c r="H63" s="63" t="s">
        <v>7919</v>
      </c>
      <c r="I63" s="136" t="s">
        <v>7913</v>
      </c>
    </row>
    <row r="64" spans="1:9" ht="24" customHeight="1" x14ac:dyDescent="0.3">
      <c r="A64" s="48" t="s">
        <v>6343</v>
      </c>
      <c r="B64" s="17" t="s">
        <v>6539</v>
      </c>
      <c r="C64" s="54" t="s">
        <v>4318</v>
      </c>
      <c r="D64" s="16" t="s">
        <v>7013</v>
      </c>
      <c r="E64" s="51">
        <f>G63 - G39</f>
        <v>7276.9</v>
      </c>
      <c r="F64" s="64">
        <f>Factor_CPOH</f>
        <v>0.15</v>
      </c>
      <c r="G64" s="65">
        <f>IF(C64="YES", ROUND(E64 * F64, 2), 0)</f>
        <v>1091.54</v>
      </c>
      <c r="H64" s="152" t="s">
        <v>8258</v>
      </c>
      <c r="I64" s="132" t="s">
        <v>7915</v>
      </c>
    </row>
    <row r="65" spans="1:9" ht="24" customHeight="1" x14ac:dyDescent="0.3">
      <c r="A65" s="1" t="s">
        <v>6346</v>
      </c>
      <c r="B65" s="67" t="s">
        <v>6347</v>
      </c>
      <c r="C65" s="66" t="s">
        <v>6335</v>
      </c>
      <c r="D65" s="66" t="s">
        <v>6543</v>
      </c>
      <c r="E65" s="102" t="s">
        <v>6335</v>
      </c>
      <c r="F65" s="102" t="s">
        <v>6335</v>
      </c>
      <c r="G65" s="41">
        <f>G63 + G64</f>
        <v>8520.5400000000009</v>
      </c>
      <c r="H65" s="63" t="s">
        <v>7921</v>
      </c>
      <c r="I65" s="136" t="s">
        <v>7913</v>
      </c>
    </row>
    <row r="66" spans="1:9" ht="24" customHeight="1" x14ac:dyDescent="0.3">
      <c r="A66" s="48" t="s">
        <v>6348</v>
      </c>
      <c r="B66" s="17" t="s">
        <v>7922</v>
      </c>
      <c r="C66" s="54" t="s">
        <v>4318</v>
      </c>
      <c r="D66" s="16" t="s">
        <v>7923</v>
      </c>
      <c r="E66" s="51">
        <f>G65 - G39</f>
        <v>8368.44</v>
      </c>
      <c r="F66" s="64">
        <f>Factor_Cess</f>
        <v>0.01</v>
      </c>
      <c r="G66" s="65">
        <f>IF(C66="YES", ROUND(E66 * F66, 2), 0)</f>
        <v>83.68</v>
      </c>
      <c r="H66" s="152" t="s">
        <v>8259</v>
      </c>
      <c r="I66" s="132" t="s">
        <v>7915</v>
      </c>
    </row>
    <row r="67" spans="1:9" ht="24" customHeight="1" x14ac:dyDescent="0.3">
      <c r="A67" s="26" t="s">
        <v>7018</v>
      </c>
      <c r="B67" s="103" t="str">
        <f>"Total Cost of Batch (" &amp; TEXT(D16, "0.00") &amp; " " &amp; F16 &amp; "):"</f>
        <v>Total Cost of Batch (1.00 quintal):</v>
      </c>
      <c r="C67" s="104" t="s">
        <v>6335</v>
      </c>
      <c r="D67" s="104" t="s">
        <v>6550</v>
      </c>
      <c r="E67" s="105" t="s">
        <v>6335</v>
      </c>
      <c r="F67" s="105" t="s">
        <v>6335</v>
      </c>
      <c r="G67" s="69">
        <f>G65 + G66</f>
        <v>8604.2200000000012</v>
      </c>
      <c r="H67" s="106" t="s">
        <v>7925</v>
      </c>
      <c r="I67" s="107" t="s">
        <v>6335</v>
      </c>
    </row>
    <row r="68" spans="1:9" ht="24" customHeight="1" x14ac:dyDescent="0.3">
      <c r="A68" s="1" t="s">
        <v>7021</v>
      </c>
      <c r="B68" s="67" t="str">
        <f>"Analyzed Unit Rate per 1.00 " &amp; F16 &amp; ":"</f>
        <v>Analyzed Unit Rate per 1.00 quintal:</v>
      </c>
      <c r="C68" s="66" t="s">
        <v>6335</v>
      </c>
      <c r="D68" s="66" t="s">
        <v>7926</v>
      </c>
      <c r="E68" s="102" t="s">
        <v>6335</v>
      </c>
      <c r="F68" s="102" t="s">
        <v>6335</v>
      </c>
      <c r="G68" s="41">
        <f>ROUND(G67 / D16, 2)</f>
        <v>8604.2199999999993</v>
      </c>
      <c r="H68" s="63" t="s">
        <v>7927</v>
      </c>
      <c r="I68" s="136" t="s">
        <v>6335</v>
      </c>
    </row>
    <row r="69" spans="1:9" ht="30" customHeight="1" x14ac:dyDescent="0.3">
      <c r="A69" s="46" t="s">
        <v>6423</v>
      </c>
      <c r="B69" s="109" t="str">
        <f>"OFFICIAL SAY RATE (Rs per " &amp; F16 &amp; "):"</f>
        <v>OFFICIAL SAY RATE (Rs per quintal):</v>
      </c>
      <c r="C69" s="110" t="s">
        <v>6335</v>
      </c>
      <c r="D69" s="110" t="s">
        <v>6568</v>
      </c>
      <c r="E69" s="111" t="s">
        <v>6335</v>
      </c>
      <c r="F69" s="111" t="s">
        <v>6335</v>
      </c>
      <c r="G69" s="52">
        <f>MROUND(G68, 0.05)</f>
        <v>8604.2000000000007</v>
      </c>
      <c r="H69" s="71" t="s">
        <v>7928</v>
      </c>
      <c r="I69" s="112" t="s">
        <v>6335</v>
      </c>
    </row>
    <row r="70" spans="1:9" ht="43.95" customHeight="1" x14ac:dyDescent="0.3">
      <c r="A70" s="237" t="s">
        <v>6570</v>
      </c>
      <c r="B70" s="241"/>
      <c r="C70" s="241"/>
      <c r="D70" s="241"/>
      <c r="E70" s="241"/>
      <c r="F70" s="241"/>
      <c r="G70" s="241"/>
      <c r="H70" s="241"/>
      <c r="I70" s="242"/>
    </row>
    <row r="72" spans="1:9" ht="24" customHeight="1" x14ac:dyDescent="0.3">
      <c r="A72" s="239" t="s">
        <v>7929</v>
      </c>
      <c r="B72" s="228"/>
      <c r="C72" s="228"/>
      <c r="D72" s="228"/>
      <c r="E72" s="228"/>
      <c r="F72" s="228"/>
      <c r="G72" s="228"/>
      <c r="H72" s="228"/>
      <c r="I72" s="228"/>
    </row>
    <row r="73" spans="1:9" ht="19.95" customHeight="1" x14ac:dyDescent="0.3">
      <c r="A73" s="238" t="s">
        <v>7930</v>
      </c>
      <c r="B73" s="228"/>
      <c r="C73" s="228"/>
      <c r="D73" s="228"/>
      <c r="E73" s="228"/>
      <c r="F73" s="228"/>
      <c r="G73" s="228"/>
      <c r="H73" s="228"/>
      <c r="I73" s="228"/>
    </row>
    <row r="74" spans="1:9" ht="24" customHeight="1" x14ac:dyDescent="0.3">
      <c r="A74" s="153" t="s">
        <v>7931</v>
      </c>
      <c r="B74" s="153" t="s">
        <v>7932</v>
      </c>
      <c r="C74" s="153" t="s">
        <v>6</v>
      </c>
      <c r="D74" s="153" t="s">
        <v>4364</v>
      </c>
      <c r="E74" s="153" t="s">
        <v>7933</v>
      </c>
      <c r="F74" s="153" t="s">
        <v>7934</v>
      </c>
      <c r="G74" s="153" t="s">
        <v>7935</v>
      </c>
      <c r="H74" s="153" t="s">
        <v>7936</v>
      </c>
      <c r="I74" s="153" t="s">
        <v>7937</v>
      </c>
    </row>
    <row r="75" spans="1:9" ht="19.95" customHeight="1" x14ac:dyDescent="0.3">
      <c r="A75" s="137" t="s">
        <v>4669</v>
      </c>
      <c r="B75" s="138" t="s">
        <v>8260</v>
      </c>
      <c r="C75" s="139" t="s">
        <v>354</v>
      </c>
      <c r="D75" s="139">
        <v>1</v>
      </c>
      <c r="E75" s="140">
        <v>6469.38</v>
      </c>
      <c r="F75" s="139" t="s">
        <v>8261</v>
      </c>
      <c r="G75" s="140">
        <v>8604.2199999999993</v>
      </c>
      <c r="H75" s="8">
        <v>8604.2000000000007</v>
      </c>
      <c r="I75" s="140"/>
    </row>
    <row r="76" spans="1:9" ht="19.95" customHeight="1" x14ac:dyDescent="0.3">
      <c r="A76" s="141" t="s">
        <v>8262</v>
      </c>
      <c r="B76" s="142" t="s">
        <v>7942</v>
      </c>
      <c r="C76" s="143" t="s">
        <v>354</v>
      </c>
      <c r="D76" s="143">
        <v>1</v>
      </c>
      <c r="E76" s="144"/>
      <c r="F76" s="143" t="s">
        <v>7943</v>
      </c>
      <c r="G76" s="144"/>
      <c r="H76" s="4"/>
      <c r="I76" s="144"/>
    </row>
    <row r="77" spans="1:9" ht="19.95" customHeight="1" x14ac:dyDescent="0.3">
      <c r="A77" s="137" t="s">
        <v>8263</v>
      </c>
      <c r="B77" s="138" t="s">
        <v>7942</v>
      </c>
      <c r="C77" s="139" t="s">
        <v>354</v>
      </c>
      <c r="D77" s="139">
        <v>1</v>
      </c>
      <c r="E77" s="140"/>
      <c r="F77" s="139" t="s">
        <v>7943</v>
      </c>
      <c r="G77" s="140"/>
      <c r="H77" s="8"/>
      <c r="I77" s="140"/>
    </row>
    <row r="78" spans="1:9" ht="19.95" customHeight="1" x14ac:dyDescent="0.3">
      <c r="A78" s="141" t="s">
        <v>8264</v>
      </c>
      <c r="B78" s="142" t="s">
        <v>7942</v>
      </c>
      <c r="C78" s="143" t="s">
        <v>354</v>
      </c>
      <c r="D78" s="143">
        <v>1</v>
      </c>
      <c r="E78" s="144"/>
      <c r="F78" s="143" t="s">
        <v>7943</v>
      </c>
      <c r="G78" s="144"/>
      <c r="H78" s="4"/>
      <c r="I78" s="144"/>
    </row>
    <row r="79" spans="1:9" ht="19.95" customHeight="1" x14ac:dyDescent="0.3">
      <c r="A79" s="137" t="s">
        <v>8265</v>
      </c>
      <c r="B79" s="138" t="s">
        <v>7942</v>
      </c>
      <c r="C79" s="139" t="s">
        <v>354</v>
      </c>
      <c r="D79" s="139">
        <v>1</v>
      </c>
      <c r="E79" s="140"/>
      <c r="F79" s="139" t="s">
        <v>7943</v>
      </c>
      <c r="G79" s="140"/>
      <c r="H79" s="8"/>
      <c r="I79" s="140"/>
    </row>
    <row r="80" spans="1:9" ht="19.95" customHeight="1" x14ac:dyDescent="0.3">
      <c r="A80" s="141" t="s">
        <v>8266</v>
      </c>
      <c r="B80" s="142" t="s">
        <v>7942</v>
      </c>
      <c r="C80" s="143" t="s">
        <v>354</v>
      </c>
      <c r="D80" s="143">
        <v>1</v>
      </c>
      <c r="E80" s="144"/>
      <c r="F80" s="143" t="s">
        <v>7943</v>
      </c>
      <c r="G80" s="144"/>
      <c r="H80" s="4"/>
      <c r="I80" s="144"/>
    </row>
    <row r="81" spans="1:9" ht="19.95" customHeight="1" x14ac:dyDescent="0.3">
      <c r="A81" s="137" t="s">
        <v>8267</v>
      </c>
      <c r="B81" s="138" t="s">
        <v>7942</v>
      </c>
      <c r="C81" s="139" t="s">
        <v>354</v>
      </c>
      <c r="D81" s="139">
        <v>1</v>
      </c>
      <c r="E81" s="140"/>
      <c r="F81" s="139" t="s">
        <v>7943</v>
      </c>
      <c r="G81" s="140"/>
      <c r="H81" s="8"/>
      <c r="I81" s="140"/>
    </row>
    <row r="82" spans="1:9" ht="19.95" customHeight="1" x14ac:dyDescent="0.3">
      <c r="A82" s="141" t="s">
        <v>8268</v>
      </c>
      <c r="B82" s="142" t="s">
        <v>7942</v>
      </c>
      <c r="C82" s="143" t="s">
        <v>354</v>
      </c>
      <c r="D82" s="143">
        <v>1</v>
      </c>
      <c r="E82" s="144"/>
      <c r="F82" s="143" t="s">
        <v>7943</v>
      </c>
      <c r="G82" s="144"/>
      <c r="H82" s="4"/>
      <c r="I82" s="144"/>
    </row>
  </sheetData>
  <sheetProtection sheet="1"/>
  <mergeCells count="31">
    <mergeCell ref="A73:I73"/>
    <mergeCell ref="A1:I1"/>
    <mergeCell ref="A70:I70"/>
    <mergeCell ref="A6:I6"/>
    <mergeCell ref="E22:I22"/>
    <mergeCell ref="A54:I54"/>
    <mergeCell ref="A72:I72"/>
    <mergeCell ref="A38:F38"/>
    <mergeCell ref="A52:F52"/>
    <mergeCell ref="E15:I15"/>
    <mergeCell ref="A40:I40"/>
    <mergeCell ref="A39:F39"/>
    <mergeCell ref="A24:I24"/>
    <mergeCell ref="E23:I23"/>
    <mergeCell ref="E14:I14"/>
    <mergeCell ref="A26:I26"/>
    <mergeCell ref="A57:I57"/>
    <mergeCell ref="E20:I20"/>
    <mergeCell ref="E19:I19"/>
    <mergeCell ref="E21:I21"/>
    <mergeCell ref="E12:I12"/>
    <mergeCell ref="B17:G17"/>
    <mergeCell ref="A18:I18"/>
    <mergeCell ref="A3:I3"/>
    <mergeCell ref="A5:I5"/>
    <mergeCell ref="E10:I10"/>
    <mergeCell ref="E13:I13"/>
    <mergeCell ref="A8:I8"/>
    <mergeCell ref="A4:I4"/>
    <mergeCell ref="E9:I9"/>
    <mergeCell ref="E11:I11"/>
  </mergeCells>
  <dataValidations count="9">
    <dataValidation type="list" sqref="C60 C62 C64 C66">
      <formula1>"YES,NO"</formula1>
    </dataValidation>
    <dataValidation type="list" allowBlank="1" promptTitle="CPWD A-tag" prompt="Enter A only if this line imports a rate that already includes Water, GST, CPOH and Cess. A-tagged lines are excluded from every markup base per the CPWD (W-A) convention." sqref="I28 I29 I30 I31 I32 I33 I34 I35 I36 I37">
      <formula1>"A,"</formula1>
    </dataValidation>
    <dataValidation type="list" allowBlank="1" promptTitle="Component picker" prompt="Pick a Rates_Master code, or type an intermediate source such as 03_Mortars or a Resolved_Cross_Volume_Items item number." sqref="B28 B29 B30 B31 B32 B33 B34 B35 B36 B37 B42 B43 B44 B45 B46 B47 B48 B49 B50 B51">
      <formula1>Master_Codes</formula1>
    </dataValidation>
    <dataValidation type="list" allowBlank="1" sqref="B10">
      <formula1>"single section,built-up section, riveted / bolted / welded,truss / lattice girder,gusset plated connection"</formula1>
    </dataValidation>
    <dataValidation type="list" allowBlank="1" sqref="B11">
      <formula1>"tees, angles, channels and R.S. joists,flats exceeding 10 mm in thickness,flats upto 10 mm in thickness,plates / gussets,hollow sections"</formula1>
    </dataValidation>
    <dataValidation type="list" allowBlank="1" sqref="B12">
      <formula1>"red oxide zinc chromate primer (DAR 13.50.3),ready mixed pink / grey primer (DAR 13.50.1),no priming coat"</formula1>
    </dataValidation>
    <dataValidation type="list" allowBlank="1" sqref="B13">
      <formula1>"with or without connecting plate,with connecting plate,without connecting plate"</formula1>
    </dataValidation>
    <dataValidation type="list" allowBlank="1" sqref="B14">
      <formula1>"for all heights,upto floor V level,above floor V level"</formula1>
    </dataValidation>
    <dataValidation type="list" allowBlank="1" sqref="B15">
      <formula1>"not required,hot dip galvanised,epoxy coated"</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pane ySplit="3" topLeftCell="A4" activePane="bottomLeft" state="frozen"/>
      <selection pane="bottomLeft"/>
    </sheetView>
  </sheetViews>
  <sheetFormatPr defaultRowHeight="14.4" x14ac:dyDescent="0.3"/>
  <cols>
    <col min="1" max="1" width="34" style="151" customWidth="1"/>
    <col min="2" max="2" width="26" style="151" customWidth="1"/>
    <col min="3" max="3" width="46" style="151" customWidth="1"/>
    <col min="4" max="4" width="16" style="151" customWidth="1"/>
    <col min="5" max="6" width="18" style="151" customWidth="1"/>
    <col min="7" max="7" width="20" style="151" customWidth="1"/>
    <col min="8" max="8" width="44" style="151" customWidth="1"/>
    <col min="9" max="9" width="14" style="151" customWidth="1"/>
  </cols>
  <sheetData>
    <row r="1" spans="1:9" ht="30" customHeight="1" x14ac:dyDescent="0.3">
      <c r="A1" s="227" t="s">
        <v>8269</v>
      </c>
      <c r="B1" s="228"/>
      <c r="C1" s="228"/>
      <c r="D1" s="228"/>
      <c r="E1" s="228"/>
      <c r="F1" s="228"/>
      <c r="G1" s="228"/>
      <c r="H1" s="228"/>
      <c r="I1" s="228"/>
    </row>
    <row r="2" spans="1:9" ht="19.95" customHeight="1" x14ac:dyDescent="0.3">
      <c r="A2" s="73" t="s">
        <v>4272</v>
      </c>
      <c r="B2" s="45" t="s">
        <v>6379</v>
      </c>
      <c r="C2" s="74" t="s">
        <v>6380</v>
      </c>
      <c r="D2" s="28" t="s">
        <v>6381</v>
      </c>
      <c r="E2" s="7" t="s">
        <v>6382</v>
      </c>
      <c r="F2" s="26" t="s">
        <v>6383</v>
      </c>
      <c r="G2" s="46" t="s">
        <v>6384</v>
      </c>
      <c r="H2" s="47" t="s">
        <v>6385</v>
      </c>
      <c r="I2" s="3" t="s">
        <v>6386</v>
      </c>
    </row>
    <row r="3" spans="1:9" ht="30" customHeight="1" x14ac:dyDescent="0.3">
      <c r="A3" s="237" t="s">
        <v>8270</v>
      </c>
      <c r="B3" s="241"/>
      <c r="C3" s="241"/>
      <c r="D3" s="241"/>
      <c r="E3" s="241"/>
      <c r="F3" s="241"/>
      <c r="G3" s="241"/>
      <c r="H3" s="241"/>
      <c r="I3" s="242"/>
    </row>
    <row r="4" spans="1:9" ht="22.05" customHeight="1" x14ac:dyDescent="0.3">
      <c r="A4" s="239" t="s">
        <v>6388</v>
      </c>
      <c r="B4" s="228"/>
      <c r="C4" s="228"/>
      <c r="D4" s="228"/>
      <c r="E4" s="228"/>
      <c r="F4" s="228"/>
      <c r="G4" s="228"/>
      <c r="H4" s="228"/>
      <c r="I4" s="228"/>
    </row>
    <row r="5" spans="1:9" ht="46.05" customHeight="1" x14ac:dyDescent="0.3">
      <c r="A5" s="237" t="s">
        <v>6389</v>
      </c>
      <c r="B5" s="241"/>
      <c r="C5" s="241"/>
      <c r="D5" s="241"/>
      <c r="E5" s="241"/>
      <c r="F5" s="241"/>
      <c r="G5" s="241"/>
      <c r="H5" s="241"/>
      <c r="I5" s="242"/>
    </row>
    <row r="6" spans="1:9" ht="46.05" customHeight="1" x14ac:dyDescent="0.3">
      <c r="A6" s="237" t="s">
        <v>6390</v>
      </c>
      <c r="B6" s="241"/>
      <c r="C6" s="241"/>
      <c r="D6" s="241"/>
      <c r="E6" s="241"/>
      <c r="F6" s="241"/>
      <c r="G6" s="241"/>
      <c r="H6" s="241"/>
      <c r="I6" s="242"/>
    </row>
    <row r="8" spans="1:9" ht="24" customHeight="1" x14ac:dyDescent="0.3">
      <c r="A8" s="239" t="s">
        <v>7837</v>
      </c>
      <c r="B8" s="228"/>
      <c r="C8" s="228"/>
      <c r="D8" s="228"/>
      <c r="E8" s="228"/>
      <c r="F8" s="228"/>
      <c r="G8" s="228"/>
      <c r="H8" s="228"/>
      <c r="I8" s="228"/>
    </row>
    <row r="9" spans="1:9" ht="30" customHeight="1" x14ac:dyDescent="0.3">
      <c r="A9" s="153" t="s">
        <v>7838</v>
      </c>
      <c r="B9" s="153" t="s">
        <v>7839</v>
      </c>
      <c r="C9" s="153" t="s">
        <v>7840</v>
      </c>
      <c r="D9" s="153" t="s">
        <v>7841</v>
      </c>
      <c r="E9" s="247" t="s">
        <v>7842</v>
      </c>
      <c r="F9" s="248"/>
      <c r="G9" s="248"/>
      <c r="H9" s="248"/>
      <c r="I9" s="249"/>
    </row>
    <row r="10" spans="1:9" ht="31.95" customHeight="1" x14ac:dyDescent="0.3">
      <c r="A10" s="75" t="s">
        <v>8271</v>
      </c>
      <c r="B10" s="76" t="s">
        <v>8272</v>
      </c>
      <c r="C10" s="26" t="s">
        <v>7845</v>
      </c>
      <c r="D10" s="132" t="s">
        <v>7846</v>
      </c>
      <c r="E10" s="246" t="s">
        <v>8273</v>
      </c>
      <c r="F10" s="241"/>
      <c r="G10" s="241"/>
      <c r="H10" s="241"/>
      <c r="I10" s="242"/>
    </row>
    <row r="11" spans="1:9" ht="31.95" customHeight="1" x14ac:dyDescent="0.3">
      <c r="A11" s="75" t="s">
        <v>8128</v>
      </c>
      <c r="B11" s="76" t="s">
        <v>8031</v>
      </c>
      <c r="C11" s="26" t="s">
        <v>7845</v>
      </c>
      <c r="D11" s="132" t="s">
        <v>8032</v>
      </c>
      <c r="E11" s="246" t="s">
        <v>8274</v>
      </c>
      <c r="F11" s="241"/>
      <c r="G11" s="241"/>
      <c r="H11" s="241"/>
      <c r="I11" s="242"/>
    </row>
    <row r="12" spans="1:9" ht="31.95" customHeight="1" x14ac:dyDescent="0.3">
      <c r="A12" s="75" t="s">
        <v>8275</v>
      </c>
      <c r="B12" s="76" t="s">
        <v>8276</v>
      </c>
      <c r="C12" s="26" t="s">
        <v>7845</v>
      </c>
      <c r="D12" s="132" t="s">
        <v>7850</v>
      </c>
      <c r="E12" s="246" t="s">
        <v>8277</v>
      </c>
      <c r="F12" s="241"/>
      <c r="G12" s="241"/>
      <c r="H12" s="241"/>
      <c r="I12" s="242"/>
    </row>
    <row r="13" spans="1:9" ht="31.95" customHeight="1" x14ac:dyDescent="0.3">
      <c r="A13" s="75" t="s">
        <v>8278</v>
      </c>
      <c r="B13" s="76" t="s">
        <v>8279</v>
      </c>
      <c r="C13" s="26" t="s">
        <v>7845</v>
      </c>
      <c r="D13" s="132" t="s">
        <v>8280</v>
      </c>
      <c r="E13" s="246" t="s">
        <v>8281</v>
      </c>
      <c r="F13" s="241"/>
      <c r="G13" s="241"/>
      <c r="H13" s="241"/>
      <c r="I13" s="242"/>
    </row>
    <row r="14" spans="1:9" ht="31.95" customHeight="1" x14ac:dyDescent="0.3">
      <c r="A14" s="75" t="s">
        <v>8282</v>
      </c>
      <c r="B14" s="76" t="s">
        <v>8283</v>
      </c>
      <c r="C14" s="26" t="s">
        <v>7845</v>
      </c>
      <c r="D14" s="132" t="s">
        <v>8032</v>
      </c>
      <c r="E14" s="246" t="s">
        <v>8284</v>
      </c>
      <c r="F14" s="241"/>
      <c r="G14" s="241"/>
      <c r="H14" s="241"/>
      <c r="I14" s="242"/>
    </row>
    <row r="15" spans="1:9" ht="31.95" customHeight="1" x14ac:dyDescent="0.3">
      <c r="A15" s="75" t="s">
        <v>8285</v>
      </c>
      <c r="B15" s="76" t="s">
        <v>8286</v>
      </c>
      <c r="C15" s="1" t="s">
        <v>7862</v>
      </c>
      <c r="D15" s="132" t="s">
        <v>6335</v>
      </c>
      <c r="E15" s="246" t="s">
        <v>8287</v>
      </c>
      <c r="F15" s="241"/>
      <c r="G15" s="241"/>
      <c r="H15" s="241"/>
      <c r="I15" s="242"/>
    </row>
    <row r="16" spans="1:9" ht="22.05" customHeight="1" x14ac:dyDescent="0.35">
      <c r="A16" s="14" t="s">
        <v>7867</v>
      </c>
      <c r="B16" s="54" t="s">
        <v>8288</v>
      </c>
      <c r="C16" s="14" t="s">
        <v>7869</v>
      </c>
      <c r="D16" s="77">
        <v>10</v>
      </c>
      <c r="E16" s="14" t="s">
        <v>7870</v>
      </c>
      <c r="F16" s="54" t="s">
        <v>169</v>
      </c>
      <c r="G16" s="14" t="s">
        <v>7871</v>
      </c>
      <c r="H16" s="29" t="s">
        <v>8289</v>
      </c>
      <c r="I16" s="60" t="s">
        <v>7873</v>
      </c>
    </row>
    <row r="17" spans="1:9" ht="40.049999999999997" customHeight="1" x14ac:dyDescent="0.35">
      <c r="A17" s="14" t="s">
        <v>7874</v>
      </c>
      <c r="B17" s="282" t="str">
        <f>IF(I17&lt;&gt;"", I17, "Flooring with " &amp; B10 &amp; ", " &amp; B11 &amp; ", " &amp; B12 &amp; ", " &amp; B13 &amp; ", " &amp; B14 &amp; ", " &amp; B15 &amp; ", complete as per CPWD specifications and directions of Engineer-in-charge.")</f>
        <v>Flooring with precast terrazzo tiles, cement mortar 1:4 (1 cement : 4 coarse sand), 40 mm thick, finished with a floating coat of neat cement, on a bed of 12 mm cement mortar, in required pattern, complete as per CPWD specifications and directions of Engineer-in-charge.</v>
      </c>
      <c r="C17" s="241"/>
      <c r="D17" s="241"/>
      <c r="E17" s="241"/>
      <c r="F17" s="241"/>
      <c r="G17" s="242"/>
      <c r="H17" s="60" t="s">
        <v>7875</v>
      </c>
      <c r="I17" s="133"/>
    </row>
    <row r="18" spans="1:9" ht="24" customHeight="1" x14ac:dyDescent="0.3">
      <c r="A18" s="239" t="s">
        <v>7876</v>
      </c>
      <c r="B18" s="228"/>
      <c r="C18" s="228"/>
      <c r="D18" s="228"/>
      <c r="E18" s="228"/>
      <c r="F18" s="228"/>
      <c r="G18" s="228"/>
      <c r="H18" s="228"/>
      <c r="I18" s="228"/>
    </row>
    <row r="19" spans="1:9" ht="25.95" customHeight="1" x14ac:dyDescent="0.3">
      <c r="A19" s="153" t="s">
        <v>7877</v>
      </c>
      <c r="B19" s="153" t="s">
        <v>6393</v>
      </c>
      <c r="C19" s="153" t="s">
        <v>6</v>
      </c>
      <c r="D19" s="153" t="s">
        <v>7878</v>
      </c>
      <c r="E19" s="247" t="s">
        <v>7879</v>
      </c>
      <c r="F19" s="248"/>
      <c r="G19" s="248"/>
      <c r="H19" s="248"/>
      <c r="I19" s="249"/>
    </row>
    <row r="20" spans="1:9" ht="30" customHeight="1" x14ac:dyDescent="0.3">
      <c r="A20" s="75" t="s">
        <v>8290</v>
      </c>
      <c r="B20" s="77">
        <v>4.4000000000000004</v>
      </c>
      <c r="C20" s="16" t="s">
        <v>8291</v>
      </c>
      <c r="D20" s="132" t="s">
        <v>8292</v>
      </c>
      <c r="E20" s="246" t="s">
        <v>8293</v>
      </c>
      <c r="F20" s="241"/>
      <c r="G20" s="241"/>
      <c r="H20" s="241"/>
      <c r="I20" s="242"/>
    </row>
    <row r="21" spans="1:9" ht="30" customHeight="1" x14ac:dyDescent="0.3">
      <c r="A21" s="75" t="s">
        <v>8294</v>
      </c>
      <c r="B21" s="147">
        <v>1.2E-2</v>
      </c>
      <c r="C21" s="16" t="s">
        <v>8295</v>
      </c>
      <c r="D21" s="132" t="s">
        <v>8032</v>
      </c>
      <c r="E21" s="246" t="s">
        <v>8296</v>
      </c>
      <c r="F21" s="241"/>
      <c r="G21" s="241"/>
      <c r="H21" s="241"/>
      <c r="I21" s="242"/>
    </row>
    <row r="22" spans="1:9" ht="30" customHeight="1" x14ac:dyDescent="0.3">
      <c r="A22" s="75" t="s">
        <v>8297</v>
      </c>
      <c r="B22" s="77">
        <v>5</v>
      </c>
      <c r="C22" s="16" t="s">
        <v>7891</v>
      </c>
      <c r="D22" s="132" t="s">
        <v>7846</v>
      </c>
      <c r="E22" s="246" t="s">
        <v>8298</v>
      </c>
      <c r="F22" s="241"/>
      <c r="G22" s="241"/>
      <c r="H22" s="241"/>
      <c r="I22" s="242"/>
    </row>
    <row r="23" spans="1:9" ht="30" customHeight="1" x14ac:dyDescent="0.3">
      <c r="A23" s="75" t="s">
        <v>8299</v>
      </c>
      <c r="B23" s="145">
        <v>0.1</v>
      </c>
      <c r="C23" s="16" t="s">
        <v>8300</v>
      </c>
      <c r="D23" s="132" t="s">
        <v>7982</v>
      </c>
      <c r="E23" s="246" t="s">
        <v>8301</v>
      </c>
      <c r="F23" s="241"/>
      <c r="G23" s="241"/>
      <c r="H23" s="241"/>
      <c r="I23" s="242"/>
    </row>
    <row r="24" spans="1:9" ht="43.95" customHeight="1" x14ac:dyDescent="0.3">
      <c r="A24" s="237" t="s">
        <v>7893</v>
      </c>
      <c r="B24" s="241"/>
      <c r="C24" s="241"/>
      <c r="D24" s="241"/>
      <c r="E24" s="241"/>
      <c r="F24" s="241"/>
      <c r="G24" s="241"/>
      <c r="H24" s="241"/>
      <c r="I24" s="242"/>
    </row>
    <row r="25" spans="1:9" ht="22.05" customHeight="1" x14ac:dyDescent="0.3">
      <c r="A25" s="92" t="s">
        <v>6500</v>
      </c>
      <c r="B25" s="93" t="str">
        <f>IF(AND(D25="OK", F25="OK", H25="OK"), "[PASS] ALL CHECKS OK", "[ALERT] CHECKS FAILED")</f>
        <v>[PASS] ALL CHECKS OK</v>
      </c>
      <c r="C25" s="94" t="s">
        <v>7894</v>
      </c>
      <c r="D25" s="48" t="str">
        <f>IF(D16&gt;0, "OK", "ERR: Qty&lt;=0")</f>
        <v>OK</v>
      </c>
      <c r="E25" s="94" t="s">
        <v>7895</v>
      </c>
      <c r="F25" s="48" t="str">
        <f>IF(G59&gt;0, "OK", "ERR: W&lt;=0")</f>
        <v>OK</v>
      </c>
      <c r="G25" s="94" t="s">
        <v>7896</v>
      </c>
      <c r="H25" s="48" t="str">
        <f>IF(AND(G59&lt;=G61, G61&lt;=G63, G63&lt;=G65, G39&lt;=G59), "OK", "ERR: Markups Broken")</f>
        <v>OK</v>
      </c>
      <c r="I25" s="132" t="str">
        <f>IF(G39&gt;0, "A-rule active", "No A imports")</f>
        <v>No A imports</v>
      </c>
    </row>
    <row r="26" spans="1:9" ht="24" customHeight="1" x14ac:dyDescent="0.3">
      <c r="A26" s="239" t="s">
        <v>7897</v>
      </c>
      <c r="B26" s="228"/>
      <c r="C26" s="228"/>
      <c r="D26" s="228"/>
      <c r="E26" s="228"/>
      <c r="F26" s="228"/>
      <c r="G26" s="228"/>
      <c r="H26" s="228"/>
      <c r="I26" s="228"/>
    </row>
    <row r="27" spans="1:9" ht="24" customHeight="1" x14ac:dyDescent="0.3">
      <c r="A27" s="153" t="s">
        <v>6313</v>
      </c>
      <c r="B27" s="153" t="s">
        <v>6314</v>
      </c>
      <c r="C27" s="153" t="s">
        <v>5</v>
      </c>
      <c r="D27" s="153" t="s">
        <v>6</v>
      </c>
      <c r="E27" s="153" t="s">
        <v>6315</v>
      </c>
      <c r="F27" s="153" t="s">
        <v>7</v>
      </c>
      <c r="G27" s="153" t="s">
        <v>6316</v>
      </c>
      <c r="H27" s="153" t="s">
        <v>6317</v>
      </c>
      <c r="I27" s="153" t="s">
        <v>6318</v>
      </c>
    </row>
    <row r="28" spans="1:9" ht="19.95" customHeight="1" x14ac:dyDescent="0.3">
      <c r="A28" s="16">
        <v>1</v>
      </c>
      <c r="B28" s="54" t="s">
        <v>327</v>
      </c>
      <c r="C28" s="72" t="str">
        <f>IF(B28="","", IFERROR(INDEX(Rates_Master!$C:$C, MATCH(B28, Rates_Master!$A:$A, 0)), "Custom / Intermediate Material"))</f>
        <v>Stone Aggregate (Single size) : 63 mm nominal size</v>
      </c>
      <c r="D28" s="56" t="str">
        <f>IF(B28="","", IFERROR(INDEX(Rates_Master!$D:$D, MATCH(B28, Rates_Master!$A:$A, 0)), ""))</f>
        <v>cum</v>
      </c>
      <c r="E28" s="57">
        <v>10</v>
      </c>
      <c r="F28" s="58">
        <f>IF(B28="","", IFERROR(INDEX(Rates_Master!$E:$E, MATCH(B28, Rates_Master!$A:$A, 0)), 0))</f>
        <v>1000</v>
      </c>
      <c r="G28" s="37">
        <f t="shared" ref="G28:G37" si="0">IF(OR(B28="", E28=""), 0, ROUND(E28 * F28, 2))</f>
        <v>10000</v>
      </c>
      <c r="H28" s="135" t="s">
        <v>8302</v>
      </c>
      <c r="I28" s="54"/>
    </row>
    <row r="29" spans="1:9" ht="19.95" customHeight="1" x14ac:dyDescent="0.3">
      <c r="A29" s="16">
        <v>2</v>
      </c>
      <c r="B29" s="54" t="s">
        <v>1626</v>
      </c>
      <c r="C29" s="72" t="str">
        <f>IF(B29="","", IFERROR(INDEX(Rates_Master!$C:$C, MATCH(B29, Rates_Master!$A:$A, 0)), "Custom / Intermediate Material"))</f>
        <v>Carriage of Bricks</v>
      </c>
      <c r="D29" s="56" t="str">
        <f>IF(B29="","", IFERROR(INDEX(Rates_Master!$D:$D, MATCH(B29, Rates_Master!$A:$A, 0)), ""))</f>
        <v>1000 Nos</v>
      </c>
      <c r="E29" s="57">
        <v>0.05</v>
      </c>
      <c r="F29" s="58">
        <f>IF(B29="","", IFERROR(INDEX(Rates_Master!$E:$E, MATCH(B29, Rates_Master!$A:$A, 0)), 0))</f>
        <v>276.72000000000003</v>
      </c>
      <c r="G29" s="37">
        <f t="shared" si="0"/>
        <v>13.84</v>
      </c>
      <c r="H29" s="135" t="s">
        <v>8303</v>
      </c>
      <c r="I29" s="54"/>
    </row>
    <row r="30" spans="1:9" ht="19.95" customHeight="1" x14ac:dyDescent="0.3">
      <c r="A30" s="16">
        <v>3</v>
      </c>
      <c r="B30" s="54" t="s">
        <v>4572</v>
      </c>
      <c r="C30" s="72" t="s">
        <v>8304</v>
      </c>
      <c r="D30" s="56" t="s">
        <v>18</v>
      </c>
      <c r="E30" s="57">
        <v>0.2</v>
      </c>
      <c r="F30" s="58">
        <f>'03_Mortars'!G69</f>
        <v>3956.5</v>
      </c>
      <c r="G30" s="37">
        <f t="shared" si="0"/>
        <v>791.3</v>
      </c>
      <c r="H30" s="135" t="s">
        <v>8155</v>
      </c>
      <c r="I30" s="54"/>
    </row>
    <row r="31" spans="1:9" ht="19.95" customHeight="1" x14ac:dyDescent="0.3">
      <c r="A31" s="16">
        <v>4</v>
      </c>
      <c r="B31" s="54" t="s">
        <v>424</v>
      </c>
      <c r="C31" s="72" t="str">
        <f>IF(B31="","", IFERROR(INDEX(Rates_Master!$C:$C, MATCH(B31, Rates_Master!$A:$A, 0)), "Custom / Intermediate Material"))</f>
        <v>Portland Cement (OPC-43 Grade)</v>
      </c>
      <c r="D31" s="56" t="str">
        <f>IF(B31="","", IFERROR(INDEX(Rates_Master!$D:$D, MATCH(B31, Rates_Master!$A:$A, 0)), ""))</f>
        <v>tonne</v>
      </c>
      <c r="E31" s="57">
        <v>4.3999999999999997E-2</v>
      </c>
      <c r="F31" s="58">
        <f>IF(B31="","", IFERROR(INDEX(Rates_Master!$E:$E, MATCH(B31, Rates_Master!$A:$A, 0)), 0))</f>
        <v>4940</v>
      </c>
      <c r="G31" s="37">
        <f t="shared" si="0"/>
        <v>217.36</v>
      </c>
      <c r="H31" s="135" t="s">
        <v>8305</v>
      </c>
      <c r="I31" s="54"/>
    </row>
    <row r="32" spans="1:9" ht="19.95" customHeight="1" x14ac:dyDescent="0.3">
      <c r="A32" s="16">
        <v>5</v>
      </c>
      <c r="B32" s="54"/>
      <c r="C32" s="72" t="str">
        <f>IF(B32="","", IFERROR(INDEX(Rates_Master!$C:$C, MATCH(B32, Rates_Master!$A:$A, 0)), "Custom / Intermediate Material"))</f>
        <v/>
      </c>
      <c r="D32" s="56" t="str">
        <f>IF(B32="","", IFERROR(INDEX(Rates_Master!$D:$D, MATCH(B32, Rates_Master!$A:$A, 0)), ""))</f>
        <v/>
      </c>
      <c r="E32" s="57"/>
      <c r="F32" s="58" t="str">
        <f>IF(B32="","", IFERROR(INDEX(Rates_Master!$E:$E, MATCH(B32, Rates_Master!$A:$A, 0)), 0))</f>
        <v/>
      </c>
      <c r="G32" s="37">
        <f t="shared" si="0"/>
        <v>0</v>
      </c>
      <c r="H32" s="135"/>
      <c r="I32" s="54"/>
    </row>
    <row r="33" spans="1:9" ht="19.95" customHeight="1" x14ac:dyDescent="0.3">
      <c r="A33" s="16">
        <v>6</v>
      </c>
      <c r="B33" s="54"/>
      <c r="C33" s="72" t="str">
        <f>IF(B33="","", IFERROR(INDEX(Rates_Master!$C:$C, MATCH(B33, Rates_Master!$A:$A, 0)), "Custom / Intermediate Material"))</f>
        <v/>
      </c>
      <c r="D33" s="56" t="str">
        <f>IF(B33="","", IFERROR(INDEX(Rates_Master!$D:$D, MATCH(B33, Rates_Master!$A:$A, 0)), ""))</f>
        <v/>
      </c>
      <c r="E33" s="57"/>
      <c r="F33" s="58" t="str">
        <f>IF(B33="","", IFERROR(INDEX(Rates_Master!$E:$E, MATCH(B33, Rates_Master!$A:$A, 0)), 0))</f>
        <v/>
      </c>
      <c r="G33" s="37">
        <f t="shared" si="0"/>
        <v>0</v>
      </c>
      <c r="H33" s="135"/>
      <c r="I33" s="54"/>
    </row>
    <row r="34" spans="1:9" ht="19.95" customHeight="1" x14ac:dyDescent="0.3">
      <c r="A34" s="16">
        <v>7</v>
      </c>
      <c r="B34" s="54"/>
      <c r="C34" s="72" t="str">
        <f>IF(B34="","", IFERROR(INDEX(Rates_Master!$C:$C, MATCH(B34, Rates_Master!$A:$A, 0)), "Custom / Intermediate Material"))</f>
        <v/>
      </c>
      <c r="D34" s="56" t="str">
        <f>IF(B34="","", IFERROR(INDEX(Rates_Master!$D:$D, MATCH(B34, Rates_Master!$A:$A, 0)), ""))</f>
        <v/>
      </c>
      <c r="E34" s="57"/>
      <c r="F34" s="58" t="str">
        <f>IF(B34="","", IFERROR(INDEX(Rates_Master!$E:$E, MATCH(B34, Rates_Master!$A:$A, 0)), 0))</f>
        <v/>
      </c>
      <c r="G34" s="37">
        <f t="shared" si="0"/>
        <v>0</v>
      </c>
      <c r="H34" s="135"/>
      <c r="I34" s="54"/>
    </row>
    <row r="35" spans="1:9" ht="19.95" customHeight="1" x14ac:dyDescent="0.3">
      <c r="A35" s="16">
        <v>8</v>
      </c>
      <c r="B35" s="54"/>
      <c r="C35" s="72" t="str">
        <f>IF(B35="","", IFERROR(INDEX(Rates_Master!$C:$C, MATCH(B35, Rates_Master!$A:$A, 0)), "Custom / Intermediate Material"))</f>
        <v/>
      </c>
      <c r="D35" s="56" t="str">
        <f>IF(B35="","", IFERROR(INDEX(Rates_Master!$D:$D, MATCH(B35, Rates_Master!$A:$A, 0)), ""))</f>
        <v/>
      </c>
      <c r="E35" s="57"/>
      <c r="F35" s="58" t="str">
        <f>IF(B35="","", IFERROR(INDEX(Rates_Master!$E:$E, MATCH(B35, Rates_Master!$A:$A, 0)), 0))</f>
        <v/>
      </c>
      <c r="G35" s="37">
        <f t="shared" si="0"/>
        <v>0</v>
      </c>
      <c r="H35" s="135"/>
      <c r="I35" s="54"/>
    </row>
    <row r="36" spans="1:9" ht="19.95" customHeight="1" x14ac:dyDescent="0.3">
      <c r="A36" s="16">
        <v>9</v>
      </c>
      <c r="B36" s="54"/>
      <c r="C36" s="72" t="str">
        <f>IF(B36="","", IFERROR(INDEX(Rates_Master!$C:$C, MATCH(B36, Rates_Master!$A:$A, 0)), "Custom / Intermediate Material"))</f>
        <v/>
      </c>
      <c r="D36" s="56" t="str">
        <f>IF(B36="","", IFERROR(INDEX(Rates_Master!$D:$D, MATCH(B36, Rates_Master!$A:$A, 0)), ""))</f>
        <v/>
      </c>
      <c r="E36" s="57"/>
      <c r="F36" s="58" t="str">
        <f>IF(B36="","", IFERROR(INDEX(Rates_Master!$E:$E, MATCH(B36, Rates_Master!$A:$A, 0)), 0))</f>
        <v/>
      </c>
      <c r="G36" s="37">
        <f t="shared" si="0"/>
        <v>0</v>
      </c>
      <c r="H36" s="135"/>
      <c r="I36" s="54"/>
    </row>
    <row r="37" spans="1:9" ht="19.95" customHeight="1" x14ac:dyDescent="0.3">
      <c r="A37" s="16">
        <v>10</v>
      </c>
      <c r="B37" s="54"/>
      <c r="C37" s="72" t="str">
        <f>IF(B37="","", IFERROR(INDEX(Rates_Master!$C:$C, MATCH(B37, Rates_Master!$A:$A, 0)), "Custom / Intermediate Material"))</f>
        <v/>
      </c>
      <c r="D37" s="56" t="str">
        <f>IF(B37="","", IFERROR(INDEX(Rates_Master!$D:$D, MATCH(B37, Rates_Master!$A:$A, 0)), ""))</f>
        <v/>
      </c>
      <c r="E37" s="57"/>
      <c r="F37" s="58" t="str">
        <f>IF(B37="","", IFERROR(INDEX(Rates_Master!$E:$E, MATCH(B37, Rates_Master!$A:$A, 0)), 0))</f>
        <v/>
      </c>
      <c r="G37" s="37">
        <f t="shared" si="0"/>
        <v>0</v>
      </c>
      <c r="H37" s="135"/>
      <c r="I37" s="54"/>
    </row>
    <row r="38" spans="1:9" ht="22.05" customHeight="1" x14ac:dyDescent="0.3">
      <c r="A38" s="252" t="s">
        <v>7899</v>
      </c>
      <c r="B38" s="253"/>
      <c r="C38" s="253"/>
      <c r="D38" s="253"/>
      <c r="E38" s="253"/>
      <c r="F38" s="254"/>
      <c r="G38" s="100">
        <f>SUM(G28:G37)</f>
        <v>11022.5</v>
      </c>
      <c r="H38" s="99"/>
      <c r="I38" s="99"/>
    </row>
    <row r="39" spans="1:9" ht="30" customHeight="1" x14ac:dyDescent="0.3">
      <c r="A39" s="244" t="s">
        <v>7900</v>
      </c>
      <c r="B39" s="241"/>
      <c r="C39" s="241"/>
      <c r="D39" s="241"/>
      <c r="E39" s="241"/>
      <c r="F39" s="242"/>
      <c r="G39" s="41">
        <f>ROUND(SUMIF($I$28:$I$37, "A", $G$28:$G$37), 2)</f>
        <v>0</v>
      </c>
      <c r="H39" s="63" t="s">
        <v>7901</v>
      </c>
      <c r="I39" s="61"/>
    </row>
    <row r="40" spans="1:9" ht="24" customHeight="1" x14ac:dyDescent="0.3">
      <c r="A40" s="239" t="s">
        <v>7902</v>
      </c>
      <c r="B40" s="228"/>
      <c r="C40" s="228"/>
      <c r="D40" s="228"/>
      <c r="E40" s="228"/>
      <c r="F40" s="228"/>
      <c r="G40" s="228"/>
      <c r="H40" s="228"/>
      <c r="I40" s="228"/>
    </row>
    <row r="41" spans="1:9" ht="24" customHeight="1" x14ac:dyDescent="0.3">
      <c r="A41" s="153" t="s">
        <v>6313</v>
      </c>
      <c r="B41" s="153" t="s">
        <v>6314</v>
      </c>
      <c r="C41" s="153" t="s">
        <v>5</v>
      </c>
      <c r="D41" s="153" t="s">
        <v>6</v>
      </c>
      <c r="E41" s="153" t="s">
        <v>6315</v>
      </c>
      <c r="F41" s="153" t="s">
        <v>7</v>
      </c>
      <c r="G41" s="153" t="s">
        <v>6316</v>
      </c>
      <c r="H41" s="153" t="s">
        <v>6317</v>
      </c>
      <c r="I41" s="153" t="s">
        <v>6318</v>
      </c>
    </row>
    <row r="42" spans="1:9" ht="19.95" customHeight="1" x14ac:dyDescent="0.3">
      <c r="A42" s="16">
        <v>1</v>
      </c>
      <c r="B42" s="54" t="s">
        <v>255</v>
      </c>
      <c r="C42" s="72" t="str">
        <f>IF(B42="","", IFERROR(INDEX(Rates_Master!$C:$C, MATCH(B42, Rates_Master!$A:$A, 0)), "Custom Labour / Plant"))</f>
        <v>Mason (average)</v>
      </c>
      <c r="D42" s="56" t="str">
        <f>IF(B42="","", IFERROR(INDEX(Rates_Master!$D:$D, MATCH(B42, Rates_Master!$A:$A, 0)), ""))</f>
        <v>day</v>
      </c>
      <c r="E42" s="57">
        <v>1.2</v>
      </c>
      <c r="F42" s="58">
        <f>IF(B42="","", IFERROR(INDEX(Rates_Master!$E:$E, MATCH(B42, Rates_Master!$A:$A, 0)), 0))</f>
        <v>709</v>
      </c>
      <c r="G42" s="37">
        <f t="shared" ref="G42:G51" si="1">IF(OR(B42="", E42=""), 0, ROUND(E42 * F42, 2))</f>
        <v>850.8</v>
      </c>
      <c r="H42" s="135" t="s">
        <v>256</v>
      </c>
      <c r="I42" s="5"/>
    </row>
    <row r="43" spans="1:9" ht="19.95" customHeight="1" x14ac:dyDescent="0.3">
      <c r="A43" s="16">
        <v>2</v>
      </c>
      <c r="B43" s="54" t="s">
        <v>211</v>
      </c>
      <c r="C43" s="72" t="str">
        <f>IF(B43="","", IFERROR(INDEX(Rates_Master!$C:$C, MATCH(B43, Rates_Master!$A:$A, 0)), "Custom Labour / Plant"))</f>
        <v>Coolie</v>
      </c>
      <c r="D43" s="56" t="str">
        <f>IF(B43="","", IFERROR(INDEX(Rates_Master!$D:$D, MATCH(B43, Rates_Master!$A:$A, 0)), ""))</f>
        <v>day</v>
      </c>
      <c r="E43" s="57">
        <v>1.2</v>
      </c>
      <c r="F43" s="58">
        <f>IF(B43="","", IFERROR(INDEX(Rates_Master!$E:$E, MATCH(B43, Rates_Master!$A:$A, 0)), 0))</f>
        <v>558</v>
      </c>
      <c r="G43" s="37">
        <f t="shared" si="1"/>
        <v>669.6</v>
      </c>
      <c r="H43" s="135" t="s">
        <v>212</v>
      </c>
      <c r="I43" s="5"/>
    </row>
    <row r="44" spans="1:9" ht="19.95" customHeight="1" x14ac:dyDescent="0.3">
      <c r="A44" s="16">
        <v>3</v>
      </c>
      <c r="B44" s="54" t="s">
        <v>197</v>
      </c>
      <c r="C44" s="72" t="str">
        <f>IF(B44="","", IFERROR(INDEX(Rates_Master!$C:$C, MATCH(B44, Rates_Master!$A:$A, 0)), "Custom Labour / Plant"))</f>
        <v>Bhisti</v>
      </c>
      <c r="D44" s="56" t="str">
        <f>IF(B44="","", IFERROR(INDEX(Rates_Master!$D:$D, MATCH(B44, Rates_Master!$A:$A, 0)), ""))</f>
        <v>day</v>
      </c>
      <c r="E44" s="57">
        <v>0.2</v>
      </c>
      <c r="F44" s="58">
        <f>IF(B44="","", IFERROR(INDEX(Rates_Master!$E:$E, MATCH(B44, Rates_Master!$A:$A, 0)), 0))</f>
        <v>617</v>
      </c>
      <c r="G44" s="37">
        <f t="shared" si="1"/>
        <v>123.4</v>
      </c>
      <c r="H44" s="135" t="s">
        <v>198</v>
      </c>
      <c r="I44" s="5"/>
    </row>
    <row r="45" spans="1:9" ht="19.95" customHeight="1" x14ac:dyDescent="0.3">
      <c r="A45" s="16">
        <v>4</v>
      </c>
      <c r="B45" s="54" t="s">
        <v>35</v>
      </c>
      <c r="C45" s="72" t="str">
        <f>IF(B45="","", IFERROR(INDEX(Rates_Master!$C:$C, MATCH(B45, Rates_Master!$A:$A, 0)), "Custom Labour / Plant"))</f>
        <v>Machine for rubbing of floors</v>
      </c>
      <c r="D45" s="56" t="str">
        <f>IF(B45="","", IFERROR(INDEX(Rates_Master!$D:$D, MATCH(B45, Rates_Master!$A:$A, 0)), ""))</f>
        <v>day</v>
      </c>
      <c r="E45" s="57">
        <v>0.3</v>
      </c>
      <c r="F45" s="58">
        <f>IF(B45="","", IFERROR(INDEX(Rates_Master!$E:$E, MATCH(B45, Rates_Master!$A:$A, 0)), 0))</f>
        <v>300</v>
      </c>
      <c r="G45" s="37">
        <f t="shared" si="1"/>
        <v>90</v>
      </c>
      <c r="H45" s="135" t="s">
        <v>8306</v>
      </c>
      <c r="I45" s="5"/>
    </row>
    <row r="46" spans="1:9" ht="19.95" customHeight="1" x14ac:dyDescent="0.3">
      <c r="A46" s="16">
        <v>5</v>
      </c>
      <c r="B46" s="54"/>
      <c r="C46" s="72" t="str">
        <f>IF(B46="","", IFERROR(INDEX(Rates_Master!$C:$C, MATCH(B46, Rates_Master!$A:$A, 0)), "Custom Labour / Plant"))</f>
        <v/>
      </c>
      <c r="D46" s="56" t="str">
        <f>IF(B46="","", IFERROR(INDEX(Rates_Master!$D:$D, MATCH(B46, Rates_Master!$A:$A, 0)), ""))</f>
        <v/>
      </c>
      <c r="E46" s="57"/>
      <c r="F46" s="58" t="str">
        <f>IF(B46="","", IFERROR(INDEX(Rates_Master!$E:$E, MATCH(B46, Rates_Master!$A:$A, 0)), 0))</f>
        <v/>
      </c>
      <c r="G46" s="37">
        <f t="shared" si="1"/>
        <v>0</v>
      </c>
      <c r="H46" s="135"/>
      <c r="I46" s="5"/>
    </row>
    <row r="47" spans="1:9" ht="19.95" customHeight="1" x14ac:dyDescent="0.3">
      <c r="A47" s="16">
        <v>6</v>
      </c>
      <c r="B47" s="54"/>
      <c r="C47" s="72" t="str">
        <f>IF(B47="","", IFERROR(INDEX(Rates_Master!$C:$C, MATCH(B47, Rates_Master!$A:$A, 0)), "Custom Labour / Plant"))</f>
        <v/>
      </c>
      <c r="D47" s="56" t="str">
        <f>IF(B47="","", IFERROR(INDEX(Rates_Master!$D:$D, MATCH(B47, Rates_Master!$A:$A, 0)), ""))</f>
        <v/>
      </c>
      <c r="E47" s="57"/>
      <c r="F47" s="58" t="str">
        <f>IF(B47="","", IFERROR(INDEX(Rates_Master!$E:$E, MATCH(B47, Rates_Master!$A:$A, 0)), 0))</f>
        <v/>
      </c>
      <c r="G47" s="37">
        <f t="shared" si="1"/>
        <v>0</v>
      </c>
      <c r="H47" s="135"/>
      <c r="I47" s="5"/>
    </row>
    <row r="48" spans="1:9" ht="19.95" customHeight="1" x14ac:dyDescent="0.3">
      <c r="A48" s="16">
        <v>7</v>
      </c>
      <c r="B48" s="54"/>
      <c r="C48" s="72" t="str">
        <f>IF(B48="","", IFERROR(INDEX(Rates_Master!$C:$C, MATCH(B48, Rates_Master!$A:$A, 0)), "Custom Labour / Plant"))</f>
        <v/>
      </c>
      <c r="D48" s="56" t="str">
        <f>IF(B48="","", IFERROR(INDEX(Rates_Master!$D:$D, MATCH(B48, Rates_Master!$A:$A, 0)), ""))</f>
        <v/>
      </c>
      <c r="E48" s="57"/>
      <c r="F48" s="58" t="str">
        <f>IF(B48="","", IFERROR(INDEX(Rates_Master!$E:$E, MATCH(B48, Rates_Master!$A:$A, 0)), 0))</f>
        <v/>
      </c>
      <c r="G48" s="37">
        <f t="shared" si="1"/>
        <v>0</v>
      </c>
      <c r="H48" s="135"/>
      <c r="I48" s="5"/>
    </row>
    <row r="49" spans="1:9" ht="19.95" customHeight="1" x14ac:dyDescent="0.3">
      <c r="A49" s="16">
        <v>8</v>
      </c>
      <c r="B49" s="54"/>
      <c r="C49" s="72" t="str">
        <f>IF(B49="","", IFERROR(INDEX(Rates_Master!$C:$C, MATCH(B49, Rates_Master!$A:$A, 0)), "Custom Labour / Plant"))</f>
        <v/>
      </c>
      <c r="D49" s="56" t="str">
        <f>IF(B49="","", IFERROR(INDEX(Rates_Master!$D:$D, MATCH(B49, Rates_Master!$A:$A, 0)), ""))</f>
        <v/>
      </c>
      <c r="E49" s="57"/>
      <c r="F49" s="58" t="str">
        <f>IF(B49="","", IFERROR(INDEX(Rates_Master!$E:$E, MATCH(B49, Rates_Master!$A:$A, 0)), 0))</f>
        <v/>
      </c>
      <c r="G49" s="37">
        <f t="shared" si="1"/>
        <v>0</v>
      </c>
      <c r="H49" s="135"/>
      <c r="I49" s="5"/>
    </row>
    <row r="50" spans="1:9" ht="19.95" customHeight="1" x14ac:dyDescent="0.3">
      <c r="A50" s="16">
        <v>9</v>
      </c>
      <c r="B50" s="54"/>
      <c r="C50" s="72" t="str">
        <f>IF(B50="","", IFERROR(INDEX(Rates_Master!$C:$C, MATCH(B50, Rates_Master!$A:$A, 0)), "Custom Labour / Plant"))</f>
        <v/>
      </c>
      <c r="D50" s="56" t="str">
        <f>IF(B50="","", IFERROR(INDEX(Rates_Master!$D:$D, MATCH(B50, Rates_Master!$A:$A, 0)), ""))</f>
        <v/>
      </c>
      <c r="E50" s="57"/>
      <c r="F50" s="58" t="str">
        <f>IF(B50="","", IFERROR(INDEX(Rates_Master!$E:$E, MATCH(B50, Rates_Master!$A:$A, 0)), 0))</f>
        <v/>
      </c>
      <c r="G50" s="37">
        <f t="shared" si="1"/>
        <v>0</v>
      </c>
      <c r="H50" s="135"/>
      <c r="I50" s="5"/>
    </row>
    <row r="51" spans="1:9" ht="19.95" customHeight="1" x14ac:dyDescent="0.3">
      <c r="A51" s="16">
        <v>10</v>
      </c>
      <c r="B51" s="54"/>
      <c r="C51" s="72" t="str">
        <f>IF(B51="","", IFERROR(INDEX(Rates_Master!$C:$C, MATCH(B51, Rates_Master!$A:$A, 0)), "Custom Labour / Plant"))</f>
        <v/>
      </c>
      <c r="D51" s="56" t="str">
        <f>IF(B51="","", IFERROR(INDEX(Rates_Master!$D:$D, MATCH(B51, Rates_Master!$A:$A, 0)), ""))</f>
        <v/>
      </c>
      <c r="E51" s="57"/>
      <c r="F51" s="58" t="str">
        <f>IF(B51="","", IFERROR(INDEX(Rates_Master!$E:$E, MATCH(B51, Rates_Master!$A:$A, 0)), 0))</f>
        <v/>
      </c>
      <c r="G51" s="37">
        <f t="shared" si="1"/>
        <v>0</v>
      </c>
      <c r="H51" s="135"/>
      <c r="I51" s="5"/>
    </row>
    <row r="52" spans="1:9" ht="22.05" customHeight="1" x14ac:dyDescent="0.3">
      <c r="A52" s="252" t="s">
        <v>7905</v>
      </c>
      <c r="B52" s="253"/>
      <c r="C52" s="253"/>
      <c r="D52" s="253"/>
      <c r="E52" s="253"/>
      <c r="F52" s="254"/>
      <c r="G52" s="100">
        <f>SUM(G42:G51)</f>
        <v>1733.8000000000002</v>
      </c>
      <c r="H52" s="99"/>
      <c r="I52" s="99"/>
    </row>
    <row r="54" spans="1:9" ht="24" customHeight="1" x14ac:dyDescent="0.3">
      <c r="A54" s="239" t="s">
        <v>7906</v>
      </c>
      <c r="B54" s="228"/>
      <c r="C54" s="228"/>
      <c r="D54" s="228"/>
      <c r="E54" s="228"/>
      <c r="F54" s="228"/>
      <c r="G54" s="228"/>
      <c r="H54" s="228"/>
      <c r="I54" s="228"/>
    </row>
    <row r="55" spans="1:9" ht="22.05" customHeight="1" x14ac:dyDescent="0.3">
      <c r="A55" s="16" t="s">
        <v>4390</v>
      </c>
      <c r="B55" s="48" t="s">
        <v>4269</v>
      </c>
      <c r="C55" s="53" t="s">
        <v>7907</v>
      </c>
      <c r="D55" s="16" t="s">
        <v>4266</v>
      </c>
      <c r="E55" s="22">
        <v>10</v>
      </c>
      <c r="F55" s="59">
        <f>Factor_Sundries</f>
        <v>2</v>
      </c>
      <c r="G55" s="65">
        <f>ROUND(E55 * F55, 2)</f>
        <v>20</v>
      </c>
      <c r="H55" s="60" t="s">
        <v>7908</v>
      </c>
      <c r="I55" s="53"/>
    </row>
    <row r="57" spans="1:9" ht="24" customHeight="1" x14ac:dyDescent="0.3">
      <c r="A57" s="239" t="s">
        <v>7909</v>
      </c>
      <c r="B57" s="228"/>
      <c r="C57" s="228"/>
      <c r="D57" s="228"/>
      <c r="E57" s="228"/>
      <c r="F57" s="228"/>
      <c r="G57" s="228"/>
      <c r="H57" s="228"/>
      <c r="I57" s="228"/>
    </row>
    <row r="58" spans="1:9" ht="24" customHeight="1" x14ac:dyDescent="0.3">
      <c r="A58" s="153" t="s">
        <v>6516</v>
      </c>
      <c r="B58" s="153" t="s">
        <v>6994</v>
      </c>
      <c r="C58" s="153" t="s">
        <v>6518</v>
      </c>
      <c r="D58" s="153" t="s">
        <v>6519</v>
      </c>
      <c r="E58" s="153" t="s">
        <v>6520</v>
      </c>
      <c r="F58" s="153" t="s">
        <v>6521</v>
      </c>
      <c r="G58" s="153" t="s">
        <v>6316</v>
      </c>
      <c r="H58" s="153" t="s">
        <v>6522</v>
      </c>
      <c r="I58" s="153" t="s">
        <v>7910</v>
      </c>
    </row>
    <row r="59" spans="1:9" ht="24" customHeight="1" x14ac:dyDescent="0.3">
      <c r="A59" s="1" t="s">
        <v>6523</v>
      </c>
      <c r="B59" s="67" t="s">
        <v>7911</v>
      </c>
      <c r="C59" s="66" t="s">
        <v>6335</v>
      </c>
      <c r="D59" s="66" t="s">
        <v>7001</v>
      </c>
      <c r="E59" s="102" t="s">
        <v>6335</v>
      </c>
      <c r="F59" s="102" t="s">
        <v>6335</v>
      </c>
      <c r="G59" s="41">
        <f>G38 + G52 + G55</f>
        <v>12776.3</v>
      </c>
      <c r="H59" s="63" t="s">
        <v>7912</v>
      </c>
      <c r="I59" s="136" t="s">
        <v>7913</v>
      </c>
    </row>
    <row r="60" spans="1:9" ht="24" customHeight="1" x14ac:dyDescent="0.3">
      <c r="A60" s="48" t="s">
        <v>6331</v>
      </c>
      <c r="B60" s="17" t="s">
        <v>6527</v>
      </c>
      <c r="C60" s="54" t="s">
        <v>4318</v>
      </c>
      <c r="D60" s="16" t="s">
        <v>7004</v>
      </c>
      <c r="E60" s="51">
        <f>G59 - G39</f>
        <v>12776.3</v>
      </c>
      <c r="F60" s="64">
        <f>Factor_Water</f>
        <v>0.01</v>
      </c>
      <c r="G60" s="65">
        <f>IF(C60="YES", ROUND(E60 * F60, 2), 0)</f>
        <v>127.76</v>
      </c>
      <c r="H60" s="152" t="s">
        <v>8107</v>
      </c>
      <c r="I60" s="132" t="s">
        <v>7915</v>
      </c>
    </row>
    <row r="61" spans="1:9" ht="24" customHeight="1" x14ac:dyDescent="0.3">
      <c r="A61" s="1" t="s">
        <v>6334</v>
      </c>
      <c r="B61" s="67" t="s">
        <v>6336</v>
      </c>
      <c r="C61" s="66" t="s">
        <v>6335</v>
      </c>
      <c r="D61" s="66" t="s">
        <v>6531</v>
      </c>
      <c r="E61" s="102" t="s">
        <v>6335</v>
      </c>
      <c r="F61" s="102" t="s">
        <v>6335</v>
      </c>
      <c r="G61" s="41">
        <f>G59 + G60</f>
        <v>12904.06</v>
      </c>
      <c r="H61" s="63" t="s">
        <v>7916</v>
      </c>
      <c r="I61" s="136" t="s">
        <v>7913</v>
      </c>
    </row>
    <row r="62" spans="1:9" ht="24" customHeight="1" x14ac:dyDescent="0.3">
      <c r="A62" s="48" t="s">
        <v>6338</v>
      </c>
      <c r="B62" s="17" t="s">
        <v>7917</v>
      </c>
      <c r="C62" s="54" t="s">
        <v>4318</v>
      </c>
      <c r="D62" s="16" t="s">
        <v>7009</v>
      </c>
      <c r="E62" s="51">
        <f>G61 - G39</f>
        <v>12904.06</v>
      </c>
      <c r="F62" s="64">
        <f>Factor_GST</f>
        <v>0.14050000000000001</v>
      </c>
      <c r="G62" s="65">
        <f>IF(C62="YES", ROUND(E62 * F62, 2), 0)</f>
        <v>1813.02</v>
      </c>
      <c r="H62" s="152" t="s">
        <v>8108</v>
      </c>
      <c r="I62" s="132" t="s">
        <v>7915</v>
      </c>
    </row>
    <row r="63" spans="1:9" ht="24" customHeight="1" x14ac:dyDescent="0.3">
      <c r="A63" s="1" t="s">
        <v>6341</v>
      </c>
      <c r="B63" s="67" t="s">
        <v>6342</v>
      </c>
      <c r="C63" s="66" t="s">
        <v>6335</v>
      </c>
      <c r="D63" s="66" t="s">
        <v>6537</v>
      </c>
      <c r="E63" s="102" t="s">
        <v>6335</v>
      </c>
      <c r="F63" s="102" t="s">
        <v>6335</v>
      </c>
      <c r="G63" s="41">
        <f>G61 + G62</f>
        <v>14717.08</v>
      </c>
      <c r="H63" s="63" t="s">
        <v>7919</v>
      </c>
      <c r="I63" s="136" t="s">
        <v>7913</v>
      </c>
    </row>
    <row r="64" spans="1:9" ht="24" customHeight="1" x14ac:dyDescent="0.3">
      <c r="A64" s="48" t="s">
        <v>6343</v>
      </c>
      <c r="B64" s="17" t="s">
        <v>6539</v>
      </c>
      <c r="C64" s="54" t="s">
        <v>4318</v>
      </c>
      <c r="D64" s="16" t="s">
        <v>7013</v>
      </c>
      <c r="E64" s="51">
        <f>G63 - G39</f>
        <v>14717.08</v>
      </c>
      <c r="F64" s="64">
        <f>Factor_CPOH</f>
        <v>0.15</v>
      </c>
      <c r="G64" s="65">
        <f>IF(C64="YES", ROUND(E64 * F64, 2), 0)</f>
        <v>2207.56</v>
      </c>
      <c r="H64" s="152" t="s">
        <v>8109</v>
      </c>
      <c r="I64" s="132" t="s">
        <v>7915</v>
      </c>
    </row>
    <row r="65" spans="1:9" ht="24" customHeight="1" x14ac:dyDescent="0.3">
      <c r="A65" s="1" t="s">
        <v>6346</v>
      </c>
      <c r="B65" s="67" t="s">
        <v>6347</v>
      </c>
      <c r="C65" s="66" t="s">
        <v>6335</v>
      </c>
      <c r="D65" s="66" t="s">
        <v>6543</v>
      </c>
      <c r="E65" s="102" t="s">
        <v>6335</v>
      </c>
      <c r="F65" s="102" t="s">
        <v>6335</v>
      </c>
      <c r="G65" s="41">
        <f>G63 + G64</f>
        <v>16924.64</v>
      </c>
      <c r="H65" s="63" t="s">
        <v>7921</v>
      </c>
      <c r="I65" s="136" t="s">
        <v>7913</v>
      </c>
    </row>
    <row r="66" spans="1:9" ht="24" customHeight="1" x14ac:dyDescent="0.3">
      <c r="A66" s="48" t="s">
        <v>6348</v>
      </c>
      <c r="B66" s="17" t="s">
        <v>7922</v>
      </c>
      <c r="C66" s="54" t="s">
        <v>4318</v>
      </c>
      <c r="D66" s="16" t="s">
        <v>7923</v>
      </c>
      <c r="E66" s="51">
        <f>G65 - G39</f>
        <v>16924.64</v>
      </c>
      <c r="F66" s="64">
        <f>Factor_Cess</f>
        <v>0.01</v>
      </c>
      <c r="G66" s="65">
        <f>IF(C66="YES", ROUND(E66 * F66, 2), 0)</f>
        <v>169.25</v>
      </c>
      <c r="H66" s="152" t="s">
        <v>8110</v>
      </c>
      <c r="I66" s="132" t="s">
        <v>7915</v>
      </c>
    </row>
    <row r="67" spans="1:9" ht="24" customHeight="1" x14ac:dyDescent="0.3">
      <c r="A67" s="26" t="s">
        <v>7018</v>
      </c>
      <c r="B67" s="103" t="str">
        <f>"Total Cost of Batch (" &amp; TEXT(D16, "0.00") &amp; " " &amp; F16 &amp; "):"</f>
        <v>Total Cost of Batch (10.00 sqm):</v>
      </c>
      <c r="C67" s="104" t="s">
        <v>6335</v>
      </c>
      <c r="D67" s="104" t="s">
        <v>6550</v>
      </c>
      <c r="E67" s="105" t="s">
        <v>6335</v>
      </c>
      <c r="F67" s="105" t="s">
        <v>6335</v>
      </c>
      <c r="G67" s="69">
        <f>G65 + G66</f>
        <v>17093.89</v>
      </c>
      <c r="H67" s="106" t="s">
        <v>7925</v>
      </c>
      <c r="I67" s="107" t="s">
        <v>6335</v>
      </c>
    </row>
    <row r="68" spans="1:9" ht="24" customHeight="1" x14ac:dyDescent="0.3">
      <c r="A68" s="1" t="s">
        <v>7021</v>
      </c>
      <c r="B68" s="67" t="str">
        <f>"Analyzed Unit Rate per 1.00 " &amp; F16 &amp; ":"</f>
        <v>Analyzed Unit Rate per 1.00 sqm:</v>
      </c>
      <c r="C68" s="66" t="s">
        <v>6335</v>
      </c>
      <c r="D68" s="66" t="s">
        <v>7926</v>
      </c>
      <c r="E68" s="102" t="s">
        <v>6335</v>
      </c>
      <c r="F68" s="102" t="s">
        <v>6335</v>
      </c>
      <c r="G68" s="41">
        <f>ROUND(G67 / D16, 2)</f>
        <v>1709.39</v>
      </c>
      <c r="H68" s="63" t="s">
        <v>7927</v>
      </c>
      <c r="I68" s="136" t="s">
        <v>6335</v>
      </c>
    </row>
    <row r="69" spans="1:9" ht="30" customHeight="1" x14ac:dyDescent="0.3">
      <c r="A69" s="46" t="s">
        <v>6423</v>
      </c>
      <c r="B69" s="109" t="str">
        <f>"OFFICIAL SAY RATE (Rs per " &amp; F16 &amp; "):"</f>
        <v>OFFICIAL SAY RATE (Rs per sqm):</v>
      </c>
      <c r="C69" s="110" t="s">
        <v>6335</v>
      </c>
      <c r="D69" s="110" t="s">
        <v>6568</v>
      </c>
      <c r="E69" s="111" t="s">
        <v>6335</v>
      </c>
      <c r="F69" s="111" t="s">
        <v>6335</v>
      </c>
      <c r="G69" s="52">
        <f>MROUND(G68, 0.05)</f>
        <v>1709.4</v>
      </c>
      <c r="H69" s="71" t="s">
        <v>7928</v>
      </c>
      <c r="I69" s="112" t="s">
        <v>6335</v>
      </c>
    </row>
    <row r="70" spans="1:9" ht="43.95" customHeight="1" x14ac:dyDescent="0.3">
      <c r="A70" s="237" t="s">
        <v>6570</v>
      </c>
      <c r="B70" s="241"/>
      <c r="C70" s="241"/>
      <c r="D70" s="241"/>
      <c r="E70" s="241"/>
      <c r="F70" s="241"/>
      <c r="G70" s="241"/>
      <c r="H70" s="241"/>
      <c r="I70" s="242"/>
    </row>
    <row r="72" spans="1:9" ht="24" customHeight="1" x14ac:dyDescent="0.3">
      <c r="A72" s="239" t="s">
        <v>7929</v>
      </c>
      <c r="B72" s="228"/>
      <c r="C72" s="228"/>
      <c r="D72" s="228"/>
      <c r="E72" s="228"/>
      <c r="F72" s="228"/>
      <c r="G72" s="228"/>
      <c r="H72" s="228"/>
      <c r="I72" s="228"/>
    </row>
    <row r="73" spans="1:9" ht="19.95" customHeight="1" x14ac:dyDescent="0.3">
      <c r="A73" s="238" t="s">
        <v>7930</v>
      </c>
      <c r="B73" s="228"/>
      <c r="C73" s="228"/>
      <c r="D73" s="228"/>
      <c r="E73" s="228"/>
      <c r="F73" s="228"/>
      <c r="G73" s="228"/>
      <c r="H73" s="228"/>
      <c r="I73" s="228"/>
    </row>
    <row r="74" spans="1:9" ht="24" customHeight="1" x14ac:dyDescent="0.3">
      <c r="A74" s="153" t="s">
        <v>7931</v>
      </c>
      <c r="B74" s="153" t="s">
        <v>7932</v>
      </c>
      <c r="C74" s="153" t="s">
        <v>6</v>
      </c>
      <c r="D74" s="153" t="s">
        <v>4364</v>
      </c>
      <c r="E74" s="153" t="s">
        <v>7933</v>
      </c>
      <c r="F74" s="153" t="s">
        <v>7934</v>
      </c>
      <c r="G74" s="153" t="s">
        <v>7935</v>
      </c>
      <c r="H74" s="153" t="s">
        <v>7936</v>
      </c>
      <c r="I74" s="153" t="s">
        <v>7937</v>
      </c>
    </row>
    <row r="75" spans="1:9" ht="19.95" customHeight="1" x14ac:dyDescent="0.3">
      <c r="A75" s="137" t="s">
        <v>5795</v>
      </c>
      <c r="B75" s="138" t="s">
        <v>8307</v>
      </c>
      <c r="C75" s="139" t="s">
        <v>169</v>
      </c>
      <c r="D75" s="139">
        <v>10</v>
      </c>
      <c r="E75" s="140">
        <v>7850</v>
      </c>
      <c r="F75" s="139" t="s">
        <v>7943</v>
      </c>
      <c r="G75" s="140">
        <v>1049.8</v>
      </c>
      <c r="H75" s="8">
        <v>1049.8</v>
      </c>
      <c r="I75" s="140"/>
    </row>
    <row r="76" spans="1:9" ht="19.95" customHeight="1" x14ac:dyDescent="0.3">
      <c r="A76" s="141" t="s">
        <v>8308</v>
      </c>
      <c r="B76" s="142" t="s">
        <v>7942</v>
      </c>
      <c r="C76" s="143" t="s">
        <v>169</v>
      </c>
      <c r="D76" s="143">
        <v>10</v>
      </c>
      <c r="E76" s="144"/>
      <c r="F76" s="143" t="s">
        <v>7943</v>
      </c>
      <c r="G76" s="144"/>
      <c r="H76" s="4"/>
      <c r="I76" s="144"/>
    </row>
    <row r="77" spans="1:9" ht="19.95" customHeight="1" x14ac:dyDescent="0.3">
      <c r="A77" s="137" t="s">
        <v>8309</v>
      </c>
      <c r="B77" s="138" t="s">
        <v>7942</v>
      </c>
      <c r="C77" s="139" t="s">
        <v>169</v>
      </c>
      <c r="D77" s="139">
        <v>10</v>
      </c>
      <c r="E77" s="140"/>
      <c r="F77" s="139" t="s">
        <v>7943</v>
      </c>
      <c r="G77" s="140"/>
      <c r="H77" s="8"/>
      <c r="I77" s="140"/>
    </row>
    <row r="78" spans="1:9" ht="19.95" customHeight="1" x14ac:dyDescent="0.3">
      <c r="A78" s="141" t="s">
        <v>8310</v>
      </c>
      <c r="B78" s="142" t="s">
        <v>7942</v>
      </c>
      <c r="C78" s="143" t="s">
        <v>169</v>
      </c>
      <c r="D78" s="143">
        <v>10</v>
      </c>
      <c r="E78" s="144"/>
      <c r="F78" s="143" t="s">
        <v>7943</v>
      </c>
      <c r="G78" s="144"/>
      <c r="H78" s="4"/>
      <c r="I78" s="144"/>
    </row>
    <row r="79" spans="1:9" ht="19.95" customHeight="1" x14ac:dyDescent="0.3">
      <c r="A79" s="137" t="s">
        <v>8311</v>
      </c>
      <c r="B79" s="138" t="s">
        <v>7942</v>
      </c>
      <c r="C79" s="139" t="s">
        <v>169</v>
      </c>
      <c r="D79" s="139">
        <v>10</v>
      </c>
      <c r="E79" s="140"/>
      <c r="F79" s="139" t="s">
        <v>7943</v>
      </c>
      <c r="G79" s="140"/>
      <c r="H79" s="8"/>
      <c r="I79" s="140"/>
    </row>
    <row r="80" spans="1:9" ht="19.95" customHeight="1" x14ac:dyDescent="0.3">
      <c r="A80" s="141" t="s">
        <v>8312</v>
      </c>
      <c r="B80" s="142" t="s">
        <v>7942</v>
      </c>
      <c r="C80" s="143" t="s">
        <v>169</v>
      </c>
      <c r="D80" s="143">
        <v>10</v>
      </c>
      <c r="E80" s="144"/>
      <c r="F80" s="143" t="s">
        <v>7943</v>
      </c>
      <c r="G80" s="144"/>
      <c r="H80" s="4"/>
      <c r="I80" s="144"/>
    </row>
    <row r="81" spans="1:9" ht="19.95" customHeight="1" x14ac:dyDescent="0.3">
      <c r="A81" s="137" t="s">
        <v>8313</v>
      </c>
      <c r="B81" s="138" t="s">
        <v>7942</v>
      </c>
      <c r="C81" s="139" t="s">
        <v>169</v>
      </c>
      <c r="D81" s="139">
        <v>10</v>
      </c>
      <c r="E81" s="140"/>
      <c r="F81" s="139" t="s">
        <v>7943</v>
      </c>
      <c r="G81" s="140"/>
      <c r="H81" s="8"/>
      <c r="I81" s="140"/>
    </row>
    <row r="82" spans="1:9" ht="19.95" customHeight="1" x14ac:dyDescent="0.3">
      <c r="A82" s="141" t="s">
        <v>8314</v>
      </c>
      <c r="B82" s="142" t="s">
        <v>7942</v>
      </c>
      <c r="C82" s="143" t="s">
        <v>169</v>
      </c>
      <c r="D82" s="143">
        <v>10</v>
      </c>
      <c r="E82" s="144"/>
      <c r="F82" s="143" t="s">
        <v>7943</v>
      </c>
      <c r="G82" s="144"/>
      <c r="H82" s="4"/>
      <c r="I82" s="144"/>
    </row>
  </sheetData>
  <sheetProtection sheet="1"/>
  <mergeCells count="31">
    <mergeCell ref="A73:I73"/>
    <mergeCell ref="A1:I1"/>
    <mergeCell ref="A70:I70"/>
    <mergeCell ref="A6:I6"/>
    <mergeCell ref="E22:I22"/>
    <mergeCell ref="A54:I54"/>
    <mergeCell ref="A72:I72"/>
    <mergeCell ref="A38:F38"/>
    <mergeCell ref="A52:F52"/>
    <mergeCell ref="E15:I15"/>
    <mergeCell ref="A40:I40"/>
    <mergeCell ref="A39:F39"/>
    <mergeCell ref="A24:I24"/>
    <mergeCell ref="E23:I23"/>
    <mergeCell ref="E14:I14"/>
    <mergeCell ref="A26:I26"/>
    <mergeCell ref="A57:I57"/>
    <mergeCell ref="E20:I20"/>
    <mergeCell ref="E19:I19"/>
    <mergeCell ref="E21:I21"/>
    <mergeCell ref="E12:I12"/>
    <mergeCell ref="B17:G17"/>
    <mergeCell ref="A18:I18"/>
    <mergeCell ref="A3:I3"/>
    <mergeCell ref="A5:I5"/>
    <mergeCell ref="E10:I10"/>
    <mergeCell ref="E13:I13"/>
    <mergeCell ref="A8:I8"/>
    <mergeCell ref="A4:I4"/>
    <mergeCell ref="E9:I9"/>
    <mergeCell ref="E11:I11"/>
  </mergeCells>
  <dataValidations count="9">
    <dataValidation type="list" sqref="C60 C62 C64 C66">
      <formula1>"YES,NO"</formula1>
    </dataValidation>
    <dataValidation type="list" allowBlank="1" promptTitle="CPWD A-tag" prompt="Enter A only if this line imports a rate that already includes Water, GST, CPOH and Cess. A-tagged lines are excluded from every markup base per the CPWD (W-A) convention." sqref="I28 I29 I30 I31 I32 I33 I34 I35 I36 I37">
      <formula1>"A,"</formula1>
    </dataValidation>
    <dataValidation type="list" allowBlank="1" promptTitle="Component picker" prompt="Pick a Rates_Master code, or type an intermediate source such as 03_Mortars or a Resolved_Cross_Volume_Items item number." sqref="B28 B29 B30 B31 B32 B33 B34 B35 B36 B37 B42 B43 B44 B45 B46 B47 B48 B49 B50 B51">
      <formula1>Master_Codes</formula1>
    </dataValidation>
    <dataValidation type="list" allowBlank="1" sqref="B10">
      <formula1>"brick on edge (class 7.5),precast terrazzo tiles,cement concrete flooring,Kota stone slab,marble slab,ceramic / vitrified tile"</formula1>
    </dataValidation>
    <dataValidation type="list" allowBlank="1" sqref="B11">
      <formula1>"cement mortar 1:3 (1 cement : 3 coarse sand),cement mortar 1:4 (1 cement : 4 coarse sand),cement mortar 1:6 (1 cement : 6 coarse sand),mud mortar (DAR 3.18)"</formula1>
    </dataValidation>
    <dataValidation type="list" allowBlank="1" sqref="B12">
      <formula1>"20 mm thick,40 mm thick,52 mm thick,62 mm thick"</formula1>
    </dataValidation>
    <dataValidation type="list" allowBlank="1" sqref="B13">
      <formula1>"finished with a floating coat of neat cement,concrete hardener topping,machine rubbed and polished,no special finish"</formula1>
    </dataValidation>
    <dataValidation type="list" allowBlank="1" sqref="B14">
      <formula1>"on a bed of 12 mm cement mortar,on a bed of 20 mm cement mortar,on a bed of 25 mm cement mortar"</formula1>
    </dataValidation>
    <dataValidation type="list" allowBlank="1" sqref="B15">
      <formula1>"in required pattern,herringbone,straight joint,diagonal"</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workbookViewId="0">
      <pane ySplit="3" topLeftCell="A4" activePane="bottomLeft" state="frozen"/>
      <selection pane="bottomLeft"/>
    </sheetView>
  </sheetViews>
  <sheetFormatPr defaultRowHeight="14.4" x14ac:dyDescent="0.3"/>
  <cols>
    <col min="1" max="1" width="34" style="151" customWidth="1"/>
    <col min="2" max="2" width="26" style="151" customWidth="1"/>
    <col min="3" max="3" width="46" style="151" customWidth="1"/>
    <col min="4" max="4" width="16" style="151" customWidth="1"/>
    <col min="5" max="6" width="18" style="151" customWidth="1"/>
    <col min="7" max="7" width="20" style="151" customWidth="1"/>
    <col min="8" max="8" width="44" style="151" customWidth="1"/>
    <col min="9" max="9" width="14" style="151" customWidth="1"/>
  </cols>
  <sheetData>
    <row r="1" spans="1:9" ht="30" customHeight="1" x14ac:dyDescent="0.3">
      <c r="A1" s="227" t="s">
        <v>8315</v>
      </c>
      <c r="B1" s="228"/>
      <c r="C1" s="228"/>
      <c r="D1" s="228"/>
      <c r="E1" s="228"/>
      <c r="F1" s="228"/>
      <c r="G1" s="228"/>
      <c r="H1" s="228"/>
      <c r="I1" s="228"/>
    </row>
    <row r="2" spans="1:9" ht="19.95" customHeight="1" x14ac:dyDescent="0.3">
      <c r="A2" s="73" t="s">
        <v>4272</v>
      </c>
      <c r="B2" s="45" t="s">
        <v>6379</v>
      </c>
      <c r="C2" s="74" t="s">
        <v>6380</v>
      </c>
      <c r="D2" s="28" t="s">
        <v>6381</v>
      </c>
      <c r="E2" s="7" t="s">
        <v>6382</v>
      </c>
      <c r="F2" s="26" t="s">
        <v>6383</v>
      </c>
      <c r="G2" s="46" t="s">
        <v>6384</v>
      </c>
      <c r="H2" s="47" t="s">
        <v>6385</v>
      </c>
      <c r="I2" s="3" t="s">
        <v>6386</v>
      </c>
    </row>
    <row r="3" spans="1:9" ht="30" customHeight="1" x14ac:dyDescent="0.3">
      <c r="A3" s="237" t="s">
        <v>8316</v>
      </c>
      <c r="B3" s="241"/>
      <c r="C3" s="241"/>
      <c r="D3" s="241"/>
      <c r="E3" s="241"/>
      <c r="F3" s="241"/>
      <c r="G3" s="241"/>
      <c r="H3" s="241"/>
      <c r="I3" s="242"/>
    </row>
    <row r="4" spans="1:9" ht="22.05" customHeight="1" x14ac:dyDescent="0.3">
      <c r="A4" s="239" t="s">
        <v>6388</v>
      </c>
      <c r="B4" s="228"/>
      <c r="C4" s="228"/>
      <c r="D4" s="228"/>
      <c r="E4" s="228"/>
      <c r="F4" s="228"/>
      <c r="G4" s="228"/>
      <c r="H4" s="228"/>
      <c r="I4" s="228"/>
    </row>
    <row r="5" spans="1:9" ht="46.05" customHeight="1" x14ac:dyDescent="0.3">
      <c r="A5" s="237" t="s">
        <v>6389</v>
      </c>
      <c r="B5" s="241"/>
      <c r="C5" s="241"/>
      <c r="D5" s="241"/>
      <c r="E5" s="241"/>
      <c r="F5" s="241"/>
      <c r="G5" s="241"/>
      <c r="H5" s="241"/>
      <c r="I5" s="242"/>
    </row>
    <row r="6" spans="1:9" ht="46.05" customHeight="1" x14ac:dyDescent="0.3">
      <c r="A6" s="237" t="s">
        <v>6390</v>
      </c>
      <c r="B6" s="241"/>
      <c r="C6" s="241"/>
      <c r="D6" s="241"/>
      <c r="E6" s="241"/>
      <c r="F6" s="241"/>
      <c r="G6" s="241"/>
      <c r="H6" s="241"/>
      <c r="I6" s="242"/>
    </row>
    <row r="8" spans="1:9" ht="24" customHeight="1" x14ac:dyDescent="0.3">
      <c r="A8" s="239" t="s">
        <v>7837</v>
      </c>
      <c r="B8" s="228"/>
      <c r="C8" s="228"/>
      <c r="D8" s="228"/>
      <c r="E8" s="228"/>
      <c r="F8" s="228"/>
      <c r="G8" s="228"/>
      <c r="H8" s="228"/>
      <c r="I8" s="228"/>
    </row>
    <row r="9" spans="1:9" ht="30" customHeight="1" x14ac:dyDescent="0.3">
      <c r="A9" s="153" t="s">
        <v>7838</v>
      </c>
      <c r="B9" s="153" t="s">
        <v>7839</v>
      </c>
      <c r="C9" s="153" t="s">
        <v>7840</v>
      </c>
      <c r="D9" s="153" t="s">
        <v>7841</v>
      </c>
      <c r="E9" s="247" t="s">
        <v>7842</v>
      </c>
      <c r="F9" s="248"/>
      <c r="G9" s="248"/>
      <c r="H9" s="248"/>
      <c r="I9" s="249"/>
    </row>
    <row r="10" spans="1:9" ht="31.95" customHeight="1" x14ac:dyDescent="0.3">
      <c r="A10" s="75" t="s">
        <v>8317</v>
      </c>
      <c r="B10" s="76" t="s">
        <v>8318</v>
      </c>
      <c r="C10" s="26" t="s">
        <v>7845</v>
      </c>
      <c r="D10" s="132" t="s">
        <v>7846</v>
      </c>
      <c r="E10" s="246" t="s">
        <v>8319</v>
      </c>
      <c r="F10" s="241"/>
      <c r="G10" s="241"/>
      <c r="H10" s="241"/>
      <c r="I10" s="242"/>
    </row>
    <row r="11" spans="1:9" ht="31.95" customHeight="1" x14ac:dyDescent="0.3">
      <c r="A11" s="75" t="s">
        <v>8320</v>
      </c>
      <c r="B11" s="76" t="s">
        <v>8321</v>
      </c>
      <c r="C11" s="26" t="s">
        <v>7845</v>
      </c>
      <c r="D11" s="132" t="s">
        <v>7846</v>
      </c>
      <c r="E11" s="246" t="s">
        <v>8322</v>
      </c>
      <c r="F11" s="241"/>
      <c r="G11" s="241"/>
      <c r="H11" s="241"/>
      <c r="I11" s="242"/>
    </row>
    <row r="12" spans="1:9" ht="31.95" customHeight="1" x14ac:dyDescent="0.3">
      <c r="A12" s="75" t="s">
        <v>8323</v>
      </c>
      <c r="B12" s="76" t="s">
        <v>8324</v>
      </c>
      <c r="C12" s="1" t="s">
        <v>7862</v>
      </c>
      <c r="D12" s="132" t="s">
        <v>6335</v>
      </c>
      <c r="E12" s="246" t="s">
        <v>8325</v>
      </c>
      <c r="F12" s="241"/>
      <c r="G12" s="241"/>
      <c r="H12" s="241"/>
      <c r="I12" s="242"/>
    </row>
    <row r="13" spans="1:9" ht="31.95" customHeight="1" x14ac:dyDescent="0.3">
      <c r="A13" s="75" t="s">
        <v>8326</v>
      </c>
      <c r="B13" s="76" t="s">
        <v>8327</v>
      </c>
      <c r="C13" s="26" t="s">
        <v>7845</v>
      </c>
      <c r="D13" s="132" t="s">
        <v>8328</v>
      </c>
      <c r="E13" s="246" t="s">
        <v>8329</v>
      </c>
      <c r="F13" s="241"/>
      <c r="G13" s="241"/>
      <c r="H13" s="241"/>
      <c r="I13" s="242"/>
    </row>
    <row r="14" spans="1:9" ht="31.95" customHeight="1" x14ac:dyDescent="0.3">
      <c r="A14" s="75" t="s">
        <v>8330</v>
      </c>
      <c r="B14" s="76" t="s">
        <v>8331</v>
      </c>
      <c r="C14" s="1" t="s">
        <v>7862</v>
      </c>
      <c r="D14" s="132" t="s">
        <v>6335</v>
      </c>
      <c r="E14" s="246" t="s">
        <v>8332</v>
      </c>
      <c r="F14" s="241"/>
      <c r="G14" s="241"/>
      <c r="H14" s="241"/>
      <c r="I14" s="242"/>
    </row>
    <row r="15" spans="1:9" ht="31.95" customHeight="1" x14ac:dyDescent="0.3">
      <c r="A15" s="75" t="s">
        <v>8333</v>
      </c>
      <c r="B15" s="76" t="s">
        <v>8334</v>
      </c>
      <c r="C15" s="26" t="s">
        <v>7845</v>
      </c>
      <c r="D15" s="132" t="s">
        <v>7858</v>
      </c>
      <c r="E15" s="246" t="s">
        <v>8335</v>
      </c>
      <c r="F15" s="241"/>
      <c r="G15" s="241"/>
      <c r="H15" s="241"/>
      <c r="I15" s="242"/>
    </row>
    <row r="16" spans="1:9" ht="22.05" customHeight="1" x14ac:dyDescent="0.35">
      <c r="A16" s="14" t="s">
        <v>7867</v>
      </c>
      <c r="B16" s="54" t="s">
        <v>8336</v>
      </c>
      <c r="C16" s="14" t="s">
        <v>7869</v>
      </c>
      <c r="D16" s="77">
        <v>184.52</v>
      </c>
      <c r="E16" s="14" t="s">
        <v>7870</v>
      </c>
      <c r="F16" s="54" t="s">
        <v>169</v>
      </c>
      <c r="G16" s="14" t="s">
        <v>7871</v>
      </c>
      <c r="H16" s="29" t="s">
        <v>8337</v>
      </c>
      <c r="I16" s="60" t="s">
        <v>7873</v>
      </c>
    </row>
    <row r="17" spans="1:9" ht="40.049999999999997" customHeight="1" x14ac:dyDescent="0.35">
      <c r="A17" s="14" t="s">
        <v>7874</v>
      </c>
      <c r="B17" s="282" t="str">
        <f>IF(I17&lt;&gt;"", I17, "Providing roofing with " &amp; B10 &amp; ", " &amp; B11 &amp; ", " &amp; B12 &amp; ", " &amp; B13 &amp; ", " &amp; B14 &amp; ", " &amp; B15 &amp; ", complete as per CPWD specifications and directions of Engineer-in-charge.")</f>
        <v>Providing roofing with 1.00 mm thick, corrugated G.S. sheet, zinc coating not less than 275 gm/sqm, polymer coated J or L hooks, bolts and nuts, vertical / curved surface included, no openings, complete as per CPWD specifications and directions of Engineer-in-charge.</v>
      </c>
      <c r="C17" s="241"/>
      <c r="D17" s="241"/>
      <c r="E17" s="241"/>
      <c r="F17" s="241"/>
      <c r="G17" s="242"/>
      <c r="H17" s="60" t="s">
        <v>7875</v>
      </c>
      <c r="I17" s="133"/>
    </row>
    <row r="18" spans="1:9" ht="24" customHeight="1" x14ac:dyDescent="0.3">
      <c r="A18" s="239" t="s">
        <v>7876</v>
      </c>
      <c r="B18" s="228"/>
      <c r="C18" s="228"/>
      <c r="D18" s="228"/>
      <c r="E18" s="228"/>
      <c r="F18" s="228"/>
      <c r="G18" s="228"/>
      <c r="H18" s="228"/>
      <c r="I18" s="228"/>
    </row>
    <row r="19" spans="1:9" ht="25.95" customHeight="1" x14ac:dyDescent="0.3">
      <c r="A19" s="153" t="s">
        <v>7877</v>
      </c>
      <c r="B19" s="153" t="s">
        <v>6393</v>
      </c>
      <c r="C19" s="153" t="s">
        <v>6</v>
      </c>
      <c r="D19" s="153" t="s">
        <v>7878</v>
      </c>
      <c r="E19" s="247" t="s">
        <v>7879</v>
      </c>
      <c r="F19" s="248"/>
      <c r="G19" s="248"/>
      <c r="H19" s="248"/>
      <c r="I19" s="249"/>
    </row>
    <row r="20" spans="1:9" ht="30" customHeight="1" x14ac:dyDescent="0.3">
      <c r="A20" s="75" t="s">
        <v>8338</v>
      </c>
      <c r="B20" s="77">
        <v>5</v>
      </c>
      <c r="C20" s="16" t="s">
        <v>7891</v>
      </c>
      <c r="D20" s="132" t="s">
        <v>7846</v>
      </c>
      <c r="E20" s="246" t="s">
        <v>8339</v>
      </c>
      <c r="F20" s="241"/>
      <c r="G20" s="241"/>
      <c r="H20" s="241"/>
      <c r="I20" s="242"/>
    </row>
    <row r="21" spans="1:9" ht="30" customHeight="1" x14ac:dyDescent="0.3">
      <c r="A21" s="75" t="s">
        <v>8340</v>
      </c>
      <c r="B21" s="77">
        <v>17.72</v>
      </c>
      <c r="C21" s="16" t="s">
        <v>8341</v>
      </c>
      <c r="D21" s="132" t="s">
        <v>7846</v>
      </c>
      <c r="E21" s="246" t="s">
        <v>8342</v>
      </c>
      <c r="F21" s="241"/>
      <c r="G21" s="241"/>
      <c r="H21" s="241"/>
      <c r="I21" s="242"/>
    </row>
    <row r="22" spans="1:9" ht="30" customHeight="1" x14ac:dyDescent="0.3">
      <c r="A22" s="75" t="s">
        <v>8343</v>
      </c>
      <c r="B22" s="134">
        <v>8</v>
      </c>
      <c r="C22" s="16" t="s">
        <v>4205</v>
      </c>
      <c r="D22" s="132" t="s">
        <v>8344</v>
      </c>
      <c r="E22" s="246" t="s">
        <v>8345</v>
      </c>
      <c r="F22" s="241"/>
      <c r="G22" s="241"/>
      <c r="H22" s="241"/>
      <c r="I22" s="242"/>
    </row>
    <row r="23" spans="1:9" ht="30" customHeight="1" x14ac:dyDescent="0.3">
      <c r="A23" s="75" t="s">
        <v>8346</v>
      </c>
      <c r="B23" s="54" t="s">
        <v>4318</v>
      </c>
      <c r="C23" s="16" t="s">
        <v>8347</v>
      </c>
      <c r="D23" s="132" t="s">
        <v>8348</v>
      </c>
      <c r="E23" s="246" t="s">
        <v>8349</v>
      </c>
      <c r="F23" s="241"/>
      <c r="G23" s="241"/>
      <c r="H23" s="241"/>
      <c r="I23" s="242"/>
    </row>
    <row r="24" spans="1:9" ht="43.95" customHeight="1" x14ac:dyDescent="0.3">
      <c r="A24" s="237" t="s">
        <v>7893</v>
      </c>
      <c r="B24" s="241"/>
      <c r="C24" s="241"/>
      <c r="D24" s="241"/>
      <c r="E24" s="241"/>
      <c r="F24" s="241"/>
      <c r="G24" s="241"/>
      <c r="H24" s="241"/>
      <c r="I24" s="242"/>
    </row>
    <row r="25" spans="1:9" ht="22.05" customHeight="1" x14ac:dyDescent="0.3">
      <c r="A25" s="92" t="s">
        <v>6500</v>
      </c>
      <c r="B25" s="93" t="str">
        <f>IF(AND(D25="OK", F25="OK", H25="OK"), "[PASS] ALL CHECKS OK", "[ALERT] CHECKS FAILED")</f>
        <v>[PASS] ALL CHECKS OK</v>
      </c>
      <c r="C25" s="94" t="s">
        <v>7894</v>
      </c>
      <c r="D25" s="48" t="str">
        <f>IF(D16&gt;0, "OK", "ERR: Qty&lt;=0")</f>
        <v>OK</v>
      </c>
      <c r="E25" s="94" t="s">
        <v>7895</v>
      </c>
      <c r="F25" s="48" t="str">
        <f>IF(G59&gt;0, "OK", "ERR: W&lt;=0")</f>
        <v>OK</v>
      </c>
      <c r="G25" s="94" t="s">
        <v>7896</v>
      </c>
      <c r="H25" s="48" t="str">
        <f>IF(AND(G59&lt;=G61, G61&lt;=G63, G63&lt;=G65, G39&lt;=G59), "OK", "ERR: Markups Broken")</f>
        <v>OK</v>
      </c>
      <c r="I25" s="132" t="str">
        <f>IF(G39&gt;0, "A-rule active", "No A imports")</f>
        <v>No A imports</v>
      </c>
    </row>
    <row r="26" spans="1:9" ht="24" customHeight="1" x14ac:dyDescent="0.3">
      <c r="A26" s="239" t="s">
        <v>7897</v>
      </c>
      <c r="B26" s="228"/>
      <c r="C26" s="228"/>
      <c r="D26" s="228"/>
      <c r="E26" s="228"/>
      <c r="F26" s="228"/>
      <c r="G26" s="228"/>
      <c r="H26" s="228"/>
      <c r="I26" s="228"/>
    </row>
    <row r="27" spans="1:9" ht="24" customHeight="1" x14ac:dyDescent="0.3">
      <c r="A27" s="153" t="s">
        <v>6313</v>
      </c>
      <c r="B27" s="153" t="s">
        <v>6314</v>
      </c>
      <c r="C27" s="153" t="s">
        <v>5</v>
      </c>
      <c r="D27" s="153" t="s">
        <v>6</v>
      </c>
      <c r="E27" s="153" t="s">
        <v>6315</v>
      </c>
      <c r="F27" s="153" t="s">
        <v>7</v>
      </c>
      <c r="G27" s="153" t="s">
        <v>6316</v>
      </c>
      <c r="H27" s="153" t="s">
        <v>6317</v>
      </c>
      <c r="I27" s="153" t="s">
        <v>6318</v>
      </c>
    </row>
    <row r="28" spans="1:9" ht="19.95" customHeight="1" x14ac:dyDescent="0.3">
      <c r="A28" s="16">
        <v>1</v>
      </c>
      <c r="B28" s="54" t="s">
        <v>2027</v>
      </c>
      <c r="C28" s="72" t="str">
        <f>IF(B28="","", IFERROR(INDEX(Rates_Master!$C:$C, MATCH(B28, Rates_Master!$A:$A, 0)), "Custom / Intermediate Material"))</f>
        <v>Galvanised steel corrugated sheets</v>
      </c>
      <c r="D28" s="56" t="str">
        <f>IF(B28="","", IFERROR(INDEX(Rates_Master!$D:$D, MATCH(B28, Rates_Master!$A:$A, 0)), ""))</f>
        <v>quintal</v>
      </c>
      <c r="E28" s="57">
        <v>23.26</v>
      </c>
      <c r="F28" s="58">
        <f>IF(B28="","", IFERROR(INDEX(Rates_Master!$E:$E, MATCH(B28, Rates_Master!$A:$A, 0)), 0))</f>
        <v>5600</v>
      </c>
      <c r="G28" s="37">
        <f t="shared" ref="G28:G37" si="0">IF(OR(B28="", E28=""), 0, ROUND(E28 * F28, 2))</f>
        <v>130256</v>
      </c>
      <c r="H28" s="135" t="s">
        <v>8350</v>
      </c>
      <c r="I28" s="54"/>
    </row>
    <row r="29" spans="1:9" ht="19.95" customHeight="1" x14ac:dyDescent="0.3">
      <c r="A29" s="16">
        <v>2</v>
      </c>
      <c r="B29" s="54" t="s">
        <v>1697</v>
      </c>
      <c r="C29" s="72" t="str">
        <f>IF(B29="","", IFERROR(INDEX(Rates_Master!$C:$C, MATCH(B29, Rates_Master!$A:$A, 0)), "Custom / Intermediate Material"))</f>
        <v>Carriage of G.I. sheet and accessories</v>
      </c>
      <c r="D29" s="56" t="str">
        <f>IF(B29="","", IFERROR(INDEX(Rates_Master!$D:$D, MATCH(B29, Rates_Master!$A:$A, 0)), ""))</f>
        <v>tonne</v>
      </c>
      <c r="E29" s="57">
        <v>2.3260000000000001</v>
      </c>
      <c r="F29" s="58">
        <f>IF(B29="","", IFERROR(INDEX(Rates_Master!$E:$E, MATCH(B29, Rates_Master!$A:$A, 0)), 0))</f>
        <v>92.24</v>
      </c>
      <c r="G29" s="37">
        <f t="shared" si="0"/>
        <v>214.55</v>
      </c>
      <c r="H29" s="135" t="s">
        <v>8351</v>
      </c>
      <c r="I29" s="54"/>
    </row>
    <row r="30" spans="1:9" ht="19.95" customHeight="1" x14ac:dyDescent="0.3">
      <c r="A30" s="16">
        <v>3</v>
      </c>
      <c r="B30" s="54" t="s">
        <v>959</v>
      </c>
      <c r="C30" s="72" t="str">
        <f>IF(B30="","", IFERROR(INDEX(Rates_Master!$C:$C, MATCH(B30, Rates_Master!$A:$A, 0)), "Custom / Intermediate Material"))</f>
        <v>Galvanised steel bolts &amp; nuts 6 mm dia and 25 mm long round head</v>
      </c>
      <c r="D30" s="56" t="str">
        <f>IF(B30="","", IFERROR(INDEX(Rates_Master!$D:$D, MATCH(B30, Rates_Master!$A:$A, 0)), ""))</f>
        <v>10 Nos</v>
      </c>
      <c r="E30" s="57">
        <v>88.4</v>
      </c>
      <c r="F30" s="58">
        <f>IF(B30="","", IFERROR(INDEX(Rates_Master!$E:$E, MATCH(B30, Rates_Master!$A:$A, 0)), 0))</f>
        <v>38</v>
      </c>
      <c r="G30" s="37">
        <f t="shared" si="0"/>
        <v>3359.2</v>
      </c>
      <c r="H30" s="135" t="s">
        <v>8352</v>
      </c>
      <c r="I30" s="54"/>
    </row>
    <row r="31" spans="1:9" ht="19.95" customHeight="1" x14ac:dyDescent="0.3">
      <c r="A31" s="16">
        <v>4</v>
      </c>
      <c r="B31" s="54" t="s">
        <v>961</v>
      </c>
      <c r="C31" s="72" t="str">
        <f>IF(B31="","", IFERROR(INDEX(Rates_Master!$C:$C, MATCH(B31, Rates_Master!$A:$A, 0)), "Custom / Intermediate Material"))</f>
        <v>Galvanised steel J or L hooks 8 mm dia</v>
      </c>
      <c r="D31" s="56" t="str">
        <f>IF(B31="","", IFERROR(INDEX(Rates_Master!$D:$D, MATCH(B31, Rates_Master!$A:$A, 0)), ""))</f>
        <v>10 Nos</v>
      </c>
      <c r="E31" s="57">
        <v>81</v>
      </c>
      <c r="F31" s="58">
        <f>IF(B31="","", IFERROR(INDEX(Rates_Master!$E:$E, MATCH(B31, Rates_Master!$A:$A, 0)), 0))</f>
        <v>120</v>
      </c>
      <c r="G31" s="37">
        <f t="shared" si="0"/>
        <v>9720</v>
      </c>
      <c r="H31" s="135" t="s">
        <v>8353</v>
      </c>
      <c r="I31" s="54"/>
    </row>
    <row r="32" spans="1:9" ht="19.95" customHeight="1" x14ac:dyDescent="0.3">
      <c r="A32" s="16">
        <v>5</v>
      </c>
      <c r="B32" s="54" t="s">
        <v>1062</v>
      </c>
      <c r="C32" s="72" t="str">
        <f>IF(B32="","", IFERROR(INDEX(Rates_Master!$C:$C, MATCH(B32, Rates_Master!$A:$A, 0)), "Custom / Intermediate Material"))</f>
        <v>G.I. Limpet washer</v>
      </c>
      <c r="D32" s="56" t="str">
        <f>IF(B32="","", IFERROR(INDEX(Rates_Master!$D:$D, MATCH(B32, Rates_Master!$A:$A, 0)), ""))</f>
        <v>100 Nos</v>
      </c>
      <c r="E32" s="57">
        <v>16.940000000000001</v>
      </c>
      <c r="F32" s="58">
        <f>IF(B32="","", IFERROR(INDEX(Rates_Master!$E:$E, MATCH(B32, Rates_Master!$A:$A, 0)), 0))</f>
        <v>21</v>
      </c>
      <c r="G32" s="37">
        <f t="shared" si="0"/>
        <v>355.74</v>
      </c>
      <c r="H32" s="135" t="s">
        <v>8354</v>
      </c>
      <c r="I32" s="54"/>
    </row>
    <row r="33" spans="1:9" ht="19.95" customHeight="1" x14ac:dyDescent="0.3">
      <c r="A33" s="16">
        <v>6</v>
      </c>
      <c r="B33" s="54" t="s">
        <v>1064</v>
      </c>
      <c r="C33" s="72" t="str">
        <f>IF(B33="","", IFERROR(INDEX(Rates_Master!$C:$C, MATCH(B33, Rates_Master!$A:$A, 0)), "Custom / Intermediate Material"))</f>
        <v>Bitumen washer</v>
      </c>
      <c r="D33" s="56" t="str">
        <f>IF(B33="","", IFERROR(INDEX(Rates_Master!$D:$D, MATCH(B33, Rates_Master!$A:$A, 0)), ""))</f>
        <v>100 Nos</v>
      </c>
      <c r="E33" s="57">
        <v>16.940000000000001</v>
      </c>
      <c r="F33" s="58">
        <f>IF(B33="","", IFERROR(INDEX(Rates_Master!$E:$E, MATCH(B33, Rates_Master!$A:$A, 0)), 0))</f>
        <v>30</v>
      </c>
      <c r="G33" s="37">
        <f t="shared" si="0"/>
        <v>508.2</v>
      </c>
      <c r="H33" s="135" t="s">
        <v>8355</v>
      </c>
      <c r="I33" s="54"/>
    </row>
    <row r="34" spans="1:9" ht="19.95" customHeight="1" x14ac:dyDescent="0.3">
      <c r="A34" s="16">
        <v>7</v>
      </c>
      <c r="B34" s="54"/>
      <c r="C34" s="72" t="str">
        <f>IF(B34="","", IFERROR(INDEX(Rates_Master!$C:$C, MATCH(B34, Rates_Master!$A:$A, 0)), "Custom / Intermediate Material"))</f>
        <v/>
      </c>
      <c r="D34" s="56" t="str">
        <f>IF(B34="","", IFERROR(INDEX(Rates_Master!$D:$D, MATCH(B34, Rates_Master!$A:$A, 0)), ""))</f>
        <v/>
      </c>
      <c r="E34" s="57"/>
      <c r="F34" s="58" t="str">
        <f>IF(B34="","", IFERROR(INDEX(Rates_Master!$E:$E, MATCH(B34, Rates_Master!$A:$A, 0)), 0))</f>
        <v/>
      </c>
      <c r="G34" s="37">
        <f t="shared" si="0"/>
        <v>0</v>
      </c>
      <c r="H34" s="135"/>
      <c r="I34" s="54"/>
    </row>
    <row r="35" spans="1:9" ht="19.95" customHeight="1" x14ac:dyDescent="0.3">
      <c r="A35" s="16">
        <v>8</v>
      </c>
      <c r="B35" s="54"/>
      <c r="C35" s="72" t="str">
        <f>IF(B35="","", IFERROR(INDEX(Rates_Master!$C:$C, MATCH(B35, Rates_Master!$A:$A, 0)), "Custom / Intermediate Material"))</f>
        <v/>
      </c>
      <c r="D35" s="56" t="str">
        <f>IF(B35="","", IFERROR(INDEX(Rates_Master!$D:$D, MATCH(B35, Rates_Master!$A:$A, 0)), ""))</f>
        <v/>
      </c>
      <c r="E35" s="57"/>
      <c r="F35" s="58" t="str">
        <f>IF(B35="","", IFERROR(INDEX(Rates_Master!$E:$E, MATCH(B35, Rates_Master!$A:$A, 0)), 0))</f>
        <v/>
      </c>
      <c r="G35" s="37">
        <f t="shared" si="0"/>
        <v>0</v>
      </c>
      <c r="H35" s="135"/>
      <c r="I35" s="54"/>
    </row>
    <row r="36" spans="1:9" ht="19.95" customHeight="1" x14ac:dyDescent="0.3">
      <c r="A36" s="16">
        <v>9</v>
      </c>
      <c r="B36" s="54"/>
      <c r="C36" s="72" t="str">
        <f>IF(B36="","", IFERROR(INDEX(Rates_Master!$C:$C, MATCH(B36, Rates_Master!$A:$A, 0)), "Custom / Intermediate Material"))</f>
        <v/>
      </c>
      <c r="D36" s="56" t="str">
        <f>IF(B36="","", IFERROR(INDEX(Rates_Master!$D:$D, MATCH(B36, Rates_Master!$A:$A, 0)), ""))</f>
        <v/>
      </c>
      <c r="E36" s="57"/>
      <c r="F36" s="58" t="str">
        <f>IF(B36="","", IFERROR(INDEX(Rates_Master!$E:$E, MATCH(B36, Rates_Master!$A:$A, 0)), 0))</f>
        <v/>
      </c>
      <c r="G36" s="37">
        <f t="shared" si="0"/>
        <v>0</v>
      </c>
      <c r="H36" s="135"/>
      <c r="I36" s="54"/>
    </row>
    <row r="37" spans="1:9" ht="19.95" customHeight="1" x14ac:dyDescent="0.3">
      <c r="A37" s="16">
        <v>10</v>
      </c>
      <c r="B37" s="54"/>
      <c r="C37" s="72" t="str">
        <f>IF(B37="","", IFERROR(INDEX(Rates_Master!$C:$C, MATCH(B37, Rates_Master!$A:$A, 0)), "Custom / Intermediate Material"))</f>
        <v/>
      </c>
      <c r="D37" s="56" t="str">
        <f>IF(B37="","", IFERROR(INDEX(Rates_Master!$D:$D, MATCH(B37, Rates_Master!$A:$A, 0)), ""))</f>
        <v/>
      </c>
      <c r="E37" s="57"/>
      <c r="F37" s="58" t="str">
        <f>IF(B37="","", IFERROR(INDEX(Rates_Master!$E:$E, MATCH(B37, Rates_Master!$A:$A, 0)), 0))</f>
        <v/>
      </c>
      <c r="G37" s="37">
        <f t="shared" si="0"/>
        <v>0</v>
      </c>
      <c r="H37" s="135"/>
      <c r="I37" s="54"/>
    </row>
    <row r="38" spans="1:9" ht="22.05" customHeight="1" x14ac:dyDescent="0.3">
      <c r="A38" s="252" t="s">
        <v>7899</v>
      </c>
      <c r="B38" s="253"/>
      <c r="C38" s="253"/>
      <c r="D38" s="253"/>
      <c r="E38" s="253"/>
      <c r="F38" s="254"/>
      <c r="G38" s="100">
        <f>SUM(G28:G37)</f>
        <v>144413.69</v>
      </c>
      <c r="H38" s="99"/>
      <c r="I38" s="99"/>
    </row>
    <row r="39" spans="1:9" ht="30" customHeight="1" x14ac:dyDescent="0.3">
      <c r="A39" s="244" t="s">
        <v>7900</v>
      </c>
      <c r="B39" s="241"/>
      <c r="C39" s="241"/>
      <c r="D39" s="241"/>
      <c r="E39" s="241"/>
      <c r="F39" s="242"/>
      <c r="G39" s="41">
        <f>ROUND(SUMIF($I$28:$I$37, "A", $G$28:$G$37), 2)</f>
        <v>0</v>
      </c>
      <c r="H39" s="63" t="s">
        <v>7901</v>
      </c>
      <c r="I39" s="61"/>
    </row>
    <row r="40" spans="1:9" ht="24" customHeight="1" x14ac:dyDescent="0.3">
      <c r="A40" s="239" t="s">
        <v>7902</v>
      </c>
      <c r="B40" s="228"/>
      <c r="C40" s="228"/>
      <c r="D40" s="228"/>
      <c r="E40" s="228"/>
      <c r="F40" s="228"/>
      <c r="G40" s="228"/>
      <c r="H40" s="228"/>
      <c r="I40" s="228"/>
    </row>
    <row r="41" spans="1:9" ht="24" customHeight="1" x14ac:dyDescent="0.3">
      <c r="A41" s="153" t="s">
        <v>6313</v>
      </c>
      <c r="B41" s="153" t="s">
        <v>6314</v>
      </c>
      <c r="C41" s="153" t="s">
        <v>5</v>
      </c>
      <c r="D41" s="153" t="s">
        <v>6</v>
      </c>
      <c r="E41" s="153" t="s">
        <v>6315</v>
      </c>
      <c r="F41" s="153" t="s">
        <v>7</v>
      </c>
      <c r="G41" s="153" t="s">
        <v>6316</v>
      </c>
      <c r="H41" s="153" t="s">
        <v>6317</v>
      </c>
      <c r="I41" s="153" t="s">
        <v>6318</v>
      </c>
    </row>
    <row r="42" spans="1:9" ht="19.95" customHeight="1" x14ac:dyDescent="0.3">
      <c r="A42" s="16">
        <v>1</v>
      </c>
      <c r="B42" s="54" t="s">
        <v>257</v>
      </c>
      <c r="C42" s="72" t="str">
        <f>IF(B42="","", IFERROR(INDEX(Rates_Master!$C:$C, MATCH(B42, Rates_Master!$A:$A, 0)), "Custom Labour / Plant"))</f>
        <v>Carpenter (average)</v>
      </c>
      <c r="D42" s="56" t="str">
        <f>IF(B42="","", IFERROR(INDEX(Rates_Master!$D:$D, MATCH(B42, Rates_Master!$A:$A, 0)), ""))</f>
        <v>day</v>
      </c>
      <c r="E42" s="57">
        <v>4</v>
      </c>
      <c r="F42" s="58">
        <f>IF(B42="","", IFERROR(INDEX(Rates_Master!$E:$E, MATCH(B42, Rates_Master!$A:$A, 0)), 0))</f>
        <v>709</v>
      </c>
      <c r="G42" s="37">
        <f t="shared" ref="G42:G51" si="1">IF(OR(B42="", E42=""), 0, ROUND(E42 * F42, 2))</f>
        <v>2836</v>
      </c>
      <c r="H42" s="135" t="s">
        <v>8356</v>
      </c>
      <c r="I42" s="5"/>
    </row>
    <row r="43" spans="1:9" ht="19.95" customHeight="1" x14ac:dyDescent="0.3">
      <c r="A43" s="16">
        <v>2</v>
      </c>
      <c r="B43" s="54" t="s">
        <v>209</v>
      </c>
      <c r="C43" s="72" t="str">
        <f>IF(B43="","", IFERROR(INDEX(Rates_Master!$C:$C, MATCH(B43, Rates_Master!$A:$A, 0)), "Custom Labour / Plant"))</f>
        <v>Beldar</v>
      </c>
      <c r="D43" s="56" t="str">
        <f>IF(B43="","", IFERROR(INDEX(Rates_Master!$D:$D, MATCH(B43, Rates_Master!$A:$A, 0)), ""))</f>
        <v>day</v>
      </c>
      <c r="E43" s="57">
        <v>6</v>
      </c>
      <c r="F43" s="58">
        <f>IF(B43="","", IFERROR(INDEX(Rates_Master!$E:$E, MATCH(B43, Rates_Master!$A:$A, 0)), 0))</f>
        <v>558</v>
      </c>
      <c r="G43" s="37">
        <f t="shared" si="1"/>
        <v>3348</v>
      </c>
      <c r="H43" s="135" t="s">
        <v>210</v>
      </c>
      <c r="I43" s="5"/>
    </row>
    <row r="44" spans="1:9" ht="19.95" customHeight="1" x14ac:dyDescent="0.3">
      <c r="A44" s="16">
        <v>3</v>
      </c>
      <c r="B44" s="54" t="s">
        <v>237</v>
      </c>
      <c r="C44" s="72" t="str">
        <f>IF(B44="","", IFERROR(INDEX(Rates_Master!$C:$C, MATCH(B44, Rates_Master!$A:$A, 0)), "Custom Labour / Plant"))</f>
        <v>Painter</v>
      </c>
      <c r="D44" s="56" t="str">
        <f>IF(B44="","", IFERROR(INDEX(Rates_Master!$D:$D, MATCH(B44, Rates_Master!$A:$A, 0)), ""))</f>
        <v>day</v>
      </c>
      <c r="E44" s="57">
        <v>2</v>
      </c>
      <c r="F44" s="58">
        <f>IF(B44="","", IFERROR(INDEX(Rates_Master!$E:$E, MATCH(B44, Rates_Master!$A:$A, 0)), 0))</f>
        <v>679</v>
      </c>
      <c r="G44" s="37">
        <f t="shared" si="1"/>
        <v>1358</v>
      </c>
      <c r="H44" s="135" t="s">
        <v>8357</v>
      </c>
      <c r="I44" s="5"/>
    </row>
    <row r="45" spans="1:9" ht="19.95" customHeight="1" x14ac:dyDescent="0.3">
      <c r="A45" s="16">
        <v>4</v>
      </c>
      <c r="B45" s="54"/>
      <c r="C45" s="72" t="str">
        <f>IF(B45="","", IFERROR(INDEX(Rates_Master!$C:$C, MATCH(B45, Rates_Master!$A:$A, 0)), "Custom Labour / Plant"))</f>
        <v/>
      </c>
      <c r="D45" s="56" t="str">
        <f>IF(B45="","", IFERROR(INDEX(Rates_Master!$D:$D, MATCH(B45, Rates_Master!$A:$A, 0)), ""))</f>
        <v/>
      </c>
      <c r="E45" s="57"/>
      <c r="F45" s="58" t="str">
        <f>IF(B45="","", IFERROR(INDEX(Rates_Master!$E:$E, MATCH(B45, Rates_Master!$A:$A, 0)), 0))</f>
        <v/>
      </c>
      <c r="G45" s="37">
        <f t="shared" si="1"/>
        <v>0</v>
      </c>
      <c r="H45" s="135"/>
      <c r="I45" s="5"/>
    </row>
    <row r="46" spans="1:9" ht="19.95" customHeight="1" x14ac:dyDescent="0.3">
      <c r="A46" s="16">
        <v>5</v>
      </c>
      <c r="B46" s="54"/>
      <c r="C46" s="72" t="str">
        <f>IF(B46="","", IFERROR(INDEX(Rates_Master!$C:$C, MATCH(B46, Rates_Master!$A:$A, 0)), "Custom Labour / Plant"))</f>
        <v/>
      </c>
      <c r="D46" s="56" t="str">
        <f>IF(B46="","", IFERROR(INDEX(Rates_Master!$D:$D, MATCH(B46, Rates_Master!$A:$A, 0)), ""))</f>
        <v/>
      </c>
      <c r="E46" s="57"/>
      <c r="F46" s="58" t="str">
        <f>IF(B46="","", IFERROR(INDEX(Rates_Master!$E:$E, MATCH(B46, Rates_Master!$A:$A, 0)), 0))</f>
        <v/>
      </c>
      <c r="G46" s="37">
        <f t="shared" si="1"/>
        <v>0</v>
      </c>
      <c r="H46" s="135"/>
      <c r="I46" s="5"/>
    </row>
    <row r="47" spans="1:9" ht="19.95" customHeight="1" x14ac:dyDescent="0.3">
      <c r="A47" s="16">
        <v>6</v>
      </c>
      <c r="B47" s="54"/>
      <c r="C47" s="72" t="str">
        <f>IF(B47="","", IFERROR(INDEX(Rates_Master!$C:$C, MATCH(B47, Rates_Master!$A:$A, 0)), "Custom Labour / Plant"))</f>
        <v/>
      </c>
      <c r="D47" s="56" t="str">
        <f>IF(B47="","", IFERROR(INDEX(Rates_Master!$D:$D, MATCH(B47, Rates_Master!$A:$A, 0)), ""))</f>
        <v/>
      </c>
      <c r="E47" s="57"/>
      <c r="F47" s="58" t="str">
        <f>IF(B47="","", IFERROR(INDEX(Rates_Master!$E:$E, MATCH(B47, Rates_Master!$A:$A, 0)), 0))</f>
        <v/>
      </c>
      <c r="G47" s="37">
        <f t="shared" si="1"/>
        <v>0</v>
      </c>
      <c r="H47" s="135"/>
      <c r="I47" s="5"/>
    </row>
    <row r="48" spans="1:9" ht="19.95" customHeight="1" x14ac:dyDescent="0.3">
      <c r="A48" s="16">
        <v>7</v>
      </c>
      <c r="B48" s="54"/>
      <c r="C48" s="72" t="str">
        <f>IF(B48="","", IFERROR(INDEX(Rates_Master!$C:$C, MATCH(B48, Rates_Master!$A:$A, 0)), "Custom Labour / Plant"))</f>
        <v/>
      </c>
      <c r="D48" s="56" t="str">
        <f>IF(B48="","", IFERROR(INDEX(Rates_Master!$D:$D, MATCH(B48, Rates_Master!$A:$A, 0)), ""))</f>
        <v/>
      </c>
      <c r="E48" s="57"/>
      <c r="F48" s="58" t="str">
        <f>IF(B48="","", IFERROR(INDEX(Rates_Master!$E:$E, MATCH(B48, Rates_Master!$A:$A, 0)), 0))</f>
        <v/>
      </c>
      <c r="G48" s="37">
        <f t="shared" si="1"/>
        <v>0</v>
      </c>
      <c r="H48" s="135"/>
      <c r="I48" s="5"/>
    </row>
    <row r="49" spans="1:9" ht="19.95" customHeight="1" x14ac:dyDescent="0.3">
      <c r="A49" s="16">
        <v>8</v>
      </c>
      <c r="B49" s="54"/>
      <c r="C49" s="72" t="str">
        <f>IF(B49="","", IFERROR(INDEX(Rates_Master!$C:$C, MATCH(B49, Rates_Master!$A:$A, 0)), "Custom Labour / Plant"))</f>
        <v/>
      </c>
      <c r="D49" s="56" t="str">
        <f>IF(B49="","", IFERROR(INDEX(Rates_Master!$D:$D, MATCH(B49, Rates_Master!$A:$A, 0)), ""))</f>
        <v/>
      </c>
      <c r="E49" s="57"/>
      <c r="F49" s="58" t="str">
        <f>IF(B49="","", IFERROR(INDEX(Rates_Master!$E:$E, MATCH(B49, Rates_Master!$A:$A, 0)), 0))</f>
        <v/>
      </c>
      <c r="G49" s="37">
        <f t="shared" si="1"/>
        <v>0</v>
      </c>
      <c r="H49" s="135"/>
      <c r="I49" s="5"/>
    </row>
    <row r="50" spans="1:9" ht="19.95" customHeight="1" x14ac:dyDescent="0.3">
      <c r="A50" s="16">
        <v>9</v>
      </c>
      <c r="B50" s="54"/>
      <c r="C50" s="72" t="str">
        <f>IF(B50="","", IFERROR(INDEX(Rates_Master!$C:$C, MATCH(B50, Rates_Master!$A:$A, 0)), "Custom Labour / Plant"))</f>
        <v/>
      </c>
      <c r="D50" s="56" t="str">
        <f>IF(B50="","", IFERROR(INDEX(Rates_Master!$D:$D, MATCH(B50, Rates_Master!$A:$A, 0)), ""))</f>
        <v/>
      </c>
      <c r="E50" s="57"/>
      <c r="F50" s="58" t="str">
        <f>IF(B50="","", IFERROR(INDEX(Rates_Master!$E:$E, MATCH(B50, Rates_Master!$A:$A, 0)), 0))</f>
        <v/>
      </c>
      <c r="G50" s="37">
        <f t="shared" si="1"/>
        <v>0</v>
      </c>
      <c r="H50" s="135"/>
      <c r="I50" s="5"/>
    </row>
    <row r="51" spans="1:9" ht="19.95" customHeight="1" x14ac:dyDescent="0.3">
      <c r="A51" s="16">
        <v>10</v>
      </c>
      <c r="B51" s="54"/>
      <c r="C51" s="72" t="str">
        <f>IF(B51="","", IFERROR(INDEX(Rates_Master!$C:$C, MATCH(B51, Rates_Master!$A:$A, 0)), "Custom Labour / Plant"))</f>
        <v/>
      </c>
      <c r="D51" s="56" t="str">
        <f>IF(B51="","", IFERROR(INDEX(Rates_Master!$D:$D, MATCH(B51, Rates_Master!$A:$A, 0)), ""))</f>
        <v/>
      </c>
      <c r="E51" s="57"/>
      <c r="F51" s="58" t="str">
        <f>IF(B51="","", IFERROR(INDEX(Rates_Master!$E:$E, MATCH(B51, Rates_Master!$A:$A, 0)), 0))</f>
        <v/>
      </c>
      <c r="G51" s="37">
        <f t="shared" si="1"/>
        <v>0</v>
      </c>
      <c r="H51" s="135"/>
      <c r="I51" s="5"/>
    </row>
    <row r="52" spans="1:9" ht="22.05" customHeight="1" x14ac:dyDescent="0.3">
      <c r="A52" s="252" t="s">
        <v>7905</v>
      </c>
      <c r="B52" s="253"/>
      <c r="C52" s="253"/>
      <c r="D52" s="253"/>
      <c r="E52" s="253"/>
      <c r="F52" s="254"/>
      <c r="G52" s="100">
        <f>SUM(G42:G51)</f>
        <v>7542</v>
      </c>
      <c r="H52" s="99"/>
      <c r="I52" s="99"/>
    </row>
    <row r="54" spans="1:9" ht="24" customHeight="1" x14ac:dyDescent="0.3">
      <c r="A54" s="239" t="s">
        <v>7906</v>
      </c>
      <c r="B54" s="228"/>
      <c r="C54" s="228"/>
      <c r="D54" s="228"/>
      <c r="E54" s="228"/>
      <c r="F54" s="228"/>
      <c r="G54" s="228"/>
      <c r="H54" s="228"/>
      <c r="I54" s="228"/>
    </row>
    <row r="55" spans="1:9" ht="22.05" customHeight="1" x14ac:dyDescent="0.3">
      <c r="A55" s="16" t="s">
        <v>4390</v>
      </c>
      <c r="B55" s="48" t="s">
        <v>4269</v>
      </c>
      <c r="C55" s="53" t="s">
        <v>7907</v>
      </c>
      <c r="D55" s="16" t="s">
        <v>4266</v>
      </c>
      <c r="E55" s="22">
        <v>15</v>
      </c>
      <c r="F55" s="59">
        <f>Factor_Sundries</f>
        <v>2</v>
      </c>
      <c r="G55" s="65">
        <f>ROUND(E55 * F55, 2)</f>
        <v>30</v>
      </c>
      <c r="H55" s="60" t="s">
        <v>7908</v>
      </c>
      <c r="I55" s="53"/>
    </row>
    <row r="57" spans="1:9" ht="24" customHeight="1" x14ac:dyDescent="0.3">
      <c r="A57" s="239" t="s">
        <v>7909</v>
      </c>
      <c r="B57" s="228"/>
      <c r="C57" s="228"/>
      <c r="D57" s="228"/>
      <c r="E57" s="228"/>
      <c r="F57" s="228"/>
      <c r="G57" s="228"/>
      <c r="H57" s="228"/>
      <c r="I57" s="228"/>
    </row>
    <row r="58" spans="1:9" ht="24" customHeight="1" x14ac:dyDescent="0.3">
      <c r="A58" s="153" t="s">
        <v>6516</v>
      </c>
      <c r="B58" s="153" t="s">
        <v>6994</v>
      </c>
      <c r="C58" s="153" t="s">
        <v>6518</v>
      </c>
      <c r="D58" s="153" t="s">
        <v>6519</v>
      </c>
      <c r="E58" s="153" t="s">
        <v>6520</v>
      </c>
      <c r="F58" s="153" t="s">
        <v>6521</v>
      </c>
      <c r="G58" s="153" t="s">
        <v>6316</v>
      </c>
      <c r="H58" s="153" t="s">
        <v>6522</v>
      </c>
      <c r="I58" s="153" t="s">
        <v>7910</v>
      </c>
    </row>
    <row r="59" spans="1:9" ht="24" customHeight="1" x14ac:dyDescent="0.3">
      <c r="A59" s="1" t="s">
        <v>6523</v>
      </c>
      <c r="B59" s="67" t="s">
        <v>7911</v>
      </c>
      <c r="C59" s="66" t="s">
        <v>6335</v>
      </c>
      <c r="D59" s="66" t="s">
        <v>7001</v>
      </c>
      <c r="E59" s="102" t="s">
        <v>6335</v>
      </c>
      <c r="F59" s="102" t="s">
        <v>6335</v>
      </c>
      <c r="G59" s="41">
        <f>G38 + G52 + G55</f>
        <v>151985.69</v>
      </c>
      <c r="H59" s="63" t="s">
        <v>7912</v>
      </c>
      <c r="I59" s="136" t="s">
        <v>7913</v>
      </c>
    </row>
    <row r="60" spans="1:9" ht="24" customHeight="1" x14ac:dyDescent="0.3">
      <c r="A60" s="48" t="s">
        <v>6331</v>
      </c>
      <c r="B60" s="17" t="s">
        <v>6527</v>
      </c>
      <c r="C60" s="54" t="s">
        <v>4318</v>
      </c>
      <c r="D60" s="16" t="s">
        <v>7004</v>
      </c>
      <c r="E60" s="51">
        <f>G59 - G39</f>
        <v>151985.69</v>
      </c>
      <c r="F60" s="64">
        <f>Factor_Water</f>
        <v>0.01</v>
      </c>
      <c r="G60" s="65">
        <f>IF(C60="YES", ROUND(E60 * F60, 2), 0)</f>
        <v>1519.86</v>
      </c>
      <c r="H60" s="152" t="s">
        <v>8107</v>
      </c>
      <c r="I60" s="132" t="s">
        <v>7915</v>
      </c>
    </row>
    <row r="61" spans="1:9" ht="24" customHeight="1" x14ac:dyDescent="0.3">
      <c r="A61" s="1" t="s">
        <v>6334</v>
      </c>
      <c r="B61" s="67" t="s">
        <v>6336</v>
      </c>
      <c r="C61" s="66" t="s">
        <v>6335</v>
      </c>
      <c r="D61" s="66" t="s">
        <v>6531</v>
      </c>
      <c r="E61" s="102" t="s">
        <v>6335</v>
      </c>
      <c r="F61" s="102" t="s">
        <v>6335</v>
      </c>
      <c r="G61" s="41">
        <f>G59 + G60</f>
        <v>153505.54999999999</v>
      </c>
      <c r="H61" s="63" t="s">
        <v>7916</v>
      </c>
      <c r="I61" s="136" t="s">
        <v>7913</v>
      </c>
    </row>
    <row r="62" spans="1:9" ht="24" customHeight="1" x14ac:dyDescent="0.3">
      <c r="A62" s="48" t="s">
        <v>6338</v>
      </c>
      <c r="B62" s="17" t="s">
        <v>7917</v>
      </c>
      <c r="C62" s="54" t="s">
        <v>4318</v>
      </c>
      <c r="D62" s="16" t="s">
        <v>7009</v>
      </c>
      <c r="E62" s="51">
        <f>G61 - G39</f>
        <v>153505.54999999999</v>
      </c>
      <c r="F62" s="64">
        <f>Factor_GST</f>
        <v>0.14050000000000001</v>
      </c>
      <c r="G62" s="65">
        <f>IF(C62="YES", ROUND(E62 * F62, 2), 0)</f>
        <v>21567.53</v>
      </c>
      <c r="H62" s="152" t="s">
        <v>8108</v>
      </c>
      <c r="I62" s="132" t="s">
        <v>7915</v>
      </c>
    </row>
    <row r="63" spans="1:9" ht="24" customHeight="1" x14ac:dyDescent="0.3">
      <c r="A63" s="1" t="s">
        <v>6341</v>
      </c>
      <c r="B63" s="67" t="s">
        <v>6342</v>
      </c>
      <c r="C63" s="66" t="s">
        <v>6335</v>
      </c>
      <c r="D63" s="66" t="s">
        <v>6537</v>
      </c>
      <c r="E63" s="102" t="s">
        <v>6335</v>
      </c>
      <c r="F63" s="102" t="s">
        <v>6335</v>
      </c>
      <c r="G63" s="41">
        <f>G61 + G62</f>
        <v>175073.08</v>
      </c>
      <c r="H63" s="63" t="s">
        <v>7919</v>
      </c>
      <c r="I63" s="136" t="s">
        <v>7913</v>
      </c>
    </row>
    <row r="64" spans="1:9" ht="24" customHeight="1" x14ac:dyDescent="0.3">
      <c r="A64" s="48" t="s">
        <v>6343</v>
      </c>
      <c r="B64" s="17" t="s">
        <v>6539</v>
      </c>
      <c r="C64" s="54" t="s">
        <v>4318</v>
      </c>
      <c r="D64" s="16" t="s">
        <v>7013</v>
      </c>
      <c r="E64" s="51">
        <f>G63 - G39</f>
        <v>175073.08</v>
      </c>
      <c r="F64" s="64">
        <f>Factor_CPOH</f>
        <v>0.15</v>
      </c>
      <c r="G64" s="65">
        <f>IF(C64="YES", ROUND(E64 * F64, 2), 0)</f>
        <v>26260.959999999999</v>
      </c>
      <c r="H64" s="152" t="s">
        <v>8109</v>
      </c>
      <c r="I64" s="132" t="s">
        <v>7915</v>
      </c>
    </row>
    <row r="65" spans="1:9" ht="24" customHeight="1" x14ac:dyDescent="0.3">
      <c r="A65" s="1" t="s">
        <v>6346</v>
      </c>
      <c r="B65" s="67" t="s">
        <v>6347</v>
      </c>
      <c r="C65" s="66" t="s">
        <v>6335</v>
      </c>
      <c r="D65" s="66" t="s">
        <v>6543</v>
      </c>
      <c r="E65" s="102" t="s">
        <v>6335</v>
      </c>
      <c r="F65" s="102" t="s">
        <v>6335</v>
      </c>
      <c r="G65" s="41">
        <f>G63 + G64</f>
        <v>201334.03999999998</v>
      </c>
      <c r="H65" s="63" t="s">
        <v>7921</v>
      </c>
      <c r="I65" s="136" t="s">
        <v>7913</v>
      </c>
    </row>
    <row r="66" spans="1:9" ht="24" customHeight="1" x14ac:dyDescent="0.3">
      <c r="A66" s="48" t="s">
        <v>6348</v>
      </c>
      <c r="B66" s="17" t="s">
        <v>7922</v>
      </c>
      <c r="C66" s="54" t="s">
        <v>4318</v>
      </c>
      <c r="D66" s="16" t="s">
        <v>7923</v>
      </c>
      <c r="E66" s="51">
        <f>G65 - G39</f>
        <v>201334.03999999998</v>
      </c>
      <c r="F66" s="64">
        <f>Factor_Cess</f>
        <v>0.01</v>
      </c>
      <c r="G66" s="65">
        <f>IF(C66="YES", ROUND(E66 * F66, 2), 0)</f>
        <v>2013.34</v>
      </c>
      <c r="H66" s="152" t="s">
        <v>8110</v>
      </c>
      <c r="I66" s="132" t="s">
        <v>7915</v>
      </c>
    </row>
    <row r="67" spans="1:9" ht="24" customHeight="1" x14ac:dyDescent="0.3">
      <c r="A67" s="26" t="s">
        <v>7018</v>
      </c>
      <c r="B67" s="103" t="str">
        <f>"Total Cost of Batch (" &amp; TEXT(D16, "0.00") &amp; " " &amp; F16 &amp; "):"</f>
        <v>Total Cost of Batch (184.52 sqm):</v>
      </c>
      <c r="C67" s="104" t="s">
        <v>6335</v>
      </c>
      <c r="D67" s="104" t="s">
        <v>6550</v>
      </c>
      <c r="E67" s="105" t="s">
        <v>6335</v>
      </c>
      <c r="F67" s="105" t="s">
        <v>6335</v>
      </c>
      <c r="G67" s="69">
        <f>G65 + G66</f>
        <v>203347.37999999998</v>
      </c>
      <c r="H67" s="106" t="s">
        <v>7925</v>
      </c>
      <c r="I67" s="107" t="s">
        <v>6335</v>
      </c>
    </row>
    <row r="68" spans="1:9" ht="24" customHeight="1" x14ac:dyDescent="0.3">
      <c r="A68" s="1" t="s">
        <v>7021</v>
      </c>
      <c r="B68" s="67" t="str">
        <f>"Analyzed Unit Rate per 1.00 " &amp; F16 &amp; ":"</f>
        <v>Analyzed Unit Rate per 1.00 sqm:</v>
      </c>
      <c r="C68" s="66" t="s">
        <v>6335</v>
      </c>
      <c r="D68" s="66" t="s">
        <v>7926</v>
      </c>
      <c r="E68" s="102" t="s">
        <v>6335</v>
      </c>
      <c r="F68" s="102" t="s">
        <v>6335</v>
      </c>
      <c r="G68" s="41">
        <f>ROUND(G67 / D16, 2)</f>
        <v>1102.03</v>
      </c>
      <c r="H68" s="63" t="s">
        <v>7927</v>
      </c>
      <c r="I68" s="136" t="s">
        <v>6335</v>
      </c>
    </row>
    <row r="69" spans="1:9" ht="30" customHeight="1" x14ac:dyDescent="0.3">
      <c r="A69" s="46" t="s">
        <v>6423</v>
      </c>
      <c r="B69" s="109" t="str">
        <f>"OFFICIAL SAY RATE (Rs per " &amp; F16 &amp; "):"</f>
        <v>OFFICIAL SAY RATE (Rs per sqm):</v>
      </c>
      <c r="C69" s="110" t="s">
        <v>6335</v>
      </c>
      <c r="D69" s="110" t="s">
        <v>6568</v>
      </c>
      <c r="E69" s="111" t="s">
        <v>6335</v>
      </c>
      <c r="F69" s="111" t="s">
        <v>6335</v>
      </c>
      <c r="G69" s="52">
        <f>MROUND(G68, 0.05)</f>
        <v>1102.05</v>
      </c>
      <c r="H69" s="71" t="s">
        <v>7928</v>
      </c>
      <c r="I69" s="112" t="s">
        <v>6335</v>
      </c>
    </row>
    <row r="70" spans="1:9" ht="43.95" customHeight="1" x14ac:dyDescent="0.3">
      <c r="A70" s="237" t="s">
        <v>6570</v>
      </c>
      <c r="B70" s="241"/>
      <c r="C70" s="241"/>
      <c r="D70" s="241"/>
      <c r="E70" s="241"/>
      <c r="F70" s="241"/>
      <c r="G70" s="241"/>
      <c r="H70" s="241"/>
      <c r="I70" s="242"/>
    </row>
    <row r="72" spans="1:9" ht="24" customHeight="1" x14ac:dyDescent="0.3">
      <c r="A72" s="239" t="s">
        <v>7929</v>
      </c>
      <c r="B72" s="228"/>
      <c r="C72" s="228"/>
      <c r="D72" s="228"/>
      <c r="E72" s="228"/>
      <c r="F72" s="228"/>
      <c r="G72" s="228"/>
      <c r="H72" s="228"/>
      <c r="I72" s="228"/>
    </row>
    <row r="73" spans="1:9" ht="19.95" customHeight="1" x14ac:dyDescent="0.3">
      <c r="A73" s="238" t="s">
        <v>7930</v>
      </c>
      <c r="B73" s="228"/>
      <c r="C73" s="228"/>
      <c r="D73" s="228"/>
      <c r="E73" s="228"/>
      <c r="F73" s="228"/>
      <c r="G73" s="228"/>
      <c r="H73" s="228"/>
      <c r="I73" s="228"/>
    </row>
    <row r="74" spans="1:9" ht="24" customHeight="1" x14ac:dyDescent="0.3">
      <c r="A74" s="153" t="s">
        <v>7931</v>
      </c>
      <c r="B74" s="153" t="s">
        <v>7932</v>
      </c>
      <c r="C74" s="153" t="s">
        <v>6</v>
      </c>
      <c r="D74" s="153" t="s">
        <v>4364</v>
      </c>
      <c r="E74" s="153" t="s">
        <v>7933</v>
      </c>
      <c r="F74" s="153" t="s">
        <v>7934</v>
      </c>
      <c r="G74" s="153" t="s">
        <v>7935</v>
      </c>
      <c r="H74" s="153" t="s">
        <v>7936</v>
      </c>
      <c r="I74" s="153" t="s">
        <v>7937</v>
      </c>
    </row>
    <row r="75" spans="1:9" ht="19.95" customHeight="1" x14ac:dyDescent="0.3">
      <c r="A75" s="137" t="s">
        <v>5566</v>
      </c>
      <c r="B75" s="138" t="s">
        <v>8358</v>
      </c>
      <c r="C75" s="139" t="s">
        <v>169</v>
      </c>
      <c r="D75" s="139">
        <v>184.52</v>
      </c>
      <c r="E75" s="140">
        <v>152340</v>
      </c>
      <c r="F75" s="139" t="s">
        <v>7943</v>
      </c>
      <c r="G75" s="140">
        <v>1104.5</v>
      </c>
      <c r="H75" s="8">
        <v>1104.5</v>
      </c>
      <c r="I75" s="140"/>
    </row>
    <row r="76" spans="1:9" ht="19.95" customHeight="1" x14ac:dyDescent="0.3">
      <c r="A76" s="141" t="s">
        <v>8359</v>
      </c>
      <c r="B76" s="142" t="s">
        <v>7942</v>
      </c>
      <c r="C76" s="143" t="s">
        <v>169</v>
      </c>
      <c r="D76" s="143">
        <v>184.52</v>
      </c>
      <c r="E76" s="144"/>
      <c r="F76" s="143" t="s">
        <v>7943</v>
      </c>
      <c r="G76" s="144"/>
      <c r="H76" s="4"/>
      <c r="I76" s="144"/>
    </row>
    <row r="77" spans="1:9" ht="19.95" customHeight="1" x14ac:dyDescent="0.3">
      <c r="A77" s="137" t="s">
        <v>8360</v>
      </c>
      <c r="B77" s="138" t="s">
        <v>7942</v>
      </c>
      <c r="C77" s="139" t="s">
        <v>169</v>
      </c>
      <c r="D77" s="139">
        <v>184.52</v>
      </c>
      <c r="E77" s="140"/>
      <c r="F77" s="139" t="s">
        <v>7943</v>
      </c>
      <c r="G77" s="140"/>
      <c r="H77" s="8"/>
      <c r="I77" s="140"/>
    </row>
    <row r="78" spans="1:9" ht="19.95" customHeight="1" x14ac:dyDescent="0.3">
      <c r="A78" s="141" t="s">
        <v>8361</v>
      </c>
      <c r="B78" s="142" t="s">
        <v>7942</v>
      </c>
      <c r="C78" s="143" t="s">
        <v>169</v>
      </c>
      <c r="D78" s="143">
        <v>184.52</v>
      </c>
      <c r="E78" s="144"/>
      <c r="F78" s="143" t="s">
        <v>7943</v>
      </c>
      <c r="G78" s="144"/>
      <c r="H78" s="4"/>
      <c r="I78" s="144"/>
    </row>
    <row r="79" spans="1:9" ht="19.95" customHeight="1" x14ac:dyDescent="0.3">
      <c r="A79" s="137" t="s">
        <v>8362</v>
      </c>
      <c r="B79" s="138" t="s">
        <v>7942</v>
      </c>
      <c r="C79" s="139" t="s">
        <v>169</v>
      </c>
      <c r="D79" s="139">
        <v>184.52</v>
      </c>
      <c r="E79" s="140"/>
      <c r="F79" s="139" t="s">
        <v>7943</v>
      </c>
      <c r="G79" s="140"/>
      <c r="H79" s="8"/>
      <c r="I79" s="140"/>
    </row>
    <row r="80" spans="1:9" ht="19.95" customHeight="1" x14ac:dyDescent="0.3">
      <c r="A80" s="141" t="s">
        <v>8363</v>
      </c>
      <c r="B80" s="142" t="s">
        <v>7942</v>
      </c>
      <c r="C80" s="143" t="s">
        <v>169</v>
      </c>
      <c r="D80" s="143">
        <v>184.52</v>
      </c>
      <c r="E80" s="144"/>
      <c r="F80" s="143" t="s">
        <v>7943</v>
      </c>
      <c r="G80" s="144"/>
      <c r="H80" s="4"/>
      <c r="I80" s="144"/>
    </row>
    <row r="81" spans="1:9" ht="19.95" customHeight="1" x14ac:dyDescent="0.3">
      <c r="A81" s="137" t="s">
        <v>8364</v>
      </c>
      <c r="B81" s="138" t="s">
        <v>7942</v>
      </c>
      <c r="C81" s="139" t="s">
        <v>169</v>
      </c>
      <c r="D81" s="139">
        <v>184.52</v>
      </c>
      <c r="E81" s="140"/>
      <c r="F81" s="139" t="s">
        <v>7943</v>
      </c>
      <c r="G81" s="140"/>
      <c r="H81" s="8"/>
      <c r="I81" s="140"/>
    </row>
    <row r="82" spans="1:9" ht="19.95" customHeight="1" x14ac:dyDescent="0.3">
      <c r="A82" s="141" t="s">
        <v>8365</v>
      </c>
      <c r="B82" s="142" t="s">
        <v>7942</v>
      </c>
      <c r="C82" s="143" t="s">
        <v>169</v>
      </c>
      <c r="D82" s="143">
        <v>184.52</v>
      </c>
      <c r="E82" s="144"/>
      <c r="F82" s="143" t="s">
        <v>7943</v>
      </c>
      <c r="G82" s="144"/>
      <c r="H82" s="4"/>
      <c r="I82" s="144"/>
    </row>
  </sheetData>
  <sheetProtection sheet="1"/>
  <mergeCells count="31">
    <mergeCell ref="A73:I73"/>
    <mergeCell ref="A1:I1"/>
    <mergeCell ref="A70:I70"/>
    <mergeCell ref="A6:I6"/>
    <mergeCell ref="E22:I22"/>
    <mergeCell ref="A54:I54"/>
    <mergeCell ref="A72:I72"/>
    <mergeCell ref="A38:F38"/>
    <mergeCell ref="A52:F52"/>
    <mergeCell ref="E15:I15"/>
    <mergeCell ref="A40:I40"/>
    <mergeCell ref="A39:F39"/>
    <mergeCell ref="A24:I24"/>
    <mergeCell ref="E23:I23"/>
    <mergeCell ref="E14:I14"/>
    <mergeCell ref="A26:I26"/>
    <mergeCell ref="A57:I57"/>
    <mergeCell ref="E20:I20"/>
    <mergeCell ref="E19:I19"/>
    <mergeCell ref="E21:I21"/>
    <mergeCell ref="E12:I12"/>
    <mergeCell ref="B17:G17"/>
    <mergeCell ref="A18:I18"/>
    <mergeCell ref="A3:I3"/>
    <mergeCell ref="A5:I5"/>
    <mergeCell ref="E10:I10"/>
    <mergeCell ref="E13:I13"/>
    <mergeCell ref="A8:I8"/>
    <mergeCell ref="A4:I4"/>
    <mergeCell ref="E9:I9"/>
    <mergeCell ref="E11:I11"/>
  </mergeCells>
  <dataValidations count="10">
    <dataValidation type="list" sqref="C60 C62 C64 C66">
      <formula1>"YES,NO"</formula1>
    </dataValidation>
    <dataValidation type="list" allowBlank="1" promptTitle="CPWD A-tag" prompt="Enter A only if this line imports a rate that already includes Water, GST, CPOH and Cess. A-tagged lines are excluded from every markup base per the CPWD (W-A) convention." sqref="I28 I29 I30 I31 I32 I33 I34 I35 I36 I37">
      <formula1>"A,"</formula1>
    </dataValidation>
    <dataValidation type="list" allowBlank="1" promptTitle="Component picker" prompt="Pick a Rates_Master code, or type an intermediate source such as 03_Mortars or a Resolved_Cross_Volume_Items item number." sqref="B28 B29 B30 B31 B32 B33 B34 B35 B36 B37 B42 B43 B44 B45 B46 B47 B48 B49 B50 B51">
      <formula1>Master_Codes</formula1>
    </dataValidation>
    <dataValidation type="list" allowBlank="1" sqref="B10">
      <formula1>"1.00 mm thick,0.80 mm thick,0.63 mm thick,0.50 mm thick"</formula1>
    </dataValidation>
    <dataValidation type="list" allowBlank="1" sqref="B11">
      <formula1>"corrugated G.S. sheet,plain G.S. sheet,colour coated profile sheet,polycarbonate sheet,A.C. sheet"</formula1>
    </dataValidation>
    <dataValidation type="list" allowBlank="1" sqref="B12">
      <formula1>"zinc coating not less than 275 gm/sqm,zinc coating not less than 120 gm/sqm"</formula1>
    </dataValidation>
    <dataValidation type="list" allowBlank="1" sqref="B13">
      <formula1>"polymer coated J or L hooks, bolts and nuts,G.I. J or L hooks,self drilling screws,seam bolts"</formula1>
    </dataValidation>
    <dataValidation type="list" allowBlank="1" sqref="B14">
      <formula1>"vertical / curved surface included,flat sloping surface only"</formula1>
    </dataValidation>
    <dataValidation type="list" allowBlank="1" sqref="B15">
      <formula1>"no openings,straight cutting for openings (DAR 12.2),circular cutting for openings (DAR 12.3)"</formula1>
    </dataValidation>
    <dataValidation type="list" allowBlank="1" sqref="B23">
      <formula1>"YES,NO"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25</vt:i4>
      </vt:variant>
    </vt:vector>
  </HeadingPairs>
  <TitlesOfParts>
    <vt:vector size="43" baseType="lpstr">
      <vt:lpstr>Vol_1_Cover</vt:lpstr>
      <vt:lpstr>Rates_Master</vt:lpstr>
      <vt:lpstr>Global_Factors</vt:lpstr>
      <vt:lpstr>Labour_Machinery_Productivity</vt:lpstr>
      <vt:lpstr>Sundries_Reference</vt:lpstr>
      <vt:lpstr>Resolved_Cross_Volume_Items</vt:lpstr>
      <vt:lpstr>01_Carriage_of_Materials</vt:lpstr>
      <vt:lpstr>02_Earth_Work</vt:lpstr>
      <vt:lpstr>03_Mortars</vt:lpstr>
      <vt:lpstr>04_Concrete_Work</vt:lpstr>
      <vt:lpstr>05_RCC_Work</vt:lpstr>
      <vt:lpstr>06_Masonry_Work</vt:lpstr>
      <vt:lpstr>07_Stone_Work</vt:lpstr>
      <vt:lpstr>08_Cladding_Work</vt:lpstr>
      <vt:lpstr>09_Wood_and_PVC_Work</vt:lpstr>
      <vt:lpstr>10_Steel_Work</vt:lpstr>
      <vt:lpstr>11_Flooring</vt:lpstr>
      <vt:lpstr>12_Roofing</vt:lpstr>
      <vt:lpstr>CPWD_Carriage_Item_Codes</vt:lpstr>
      <vt:lpstr>CPWD_Carriage_Materials</vt:lpstr>
      <vt:lpstr>CPWD_Carriage_Net_Payable</vt:lpstr>
      <vt:lpstr>CPWD_Carriage_Scope</vt:lpstr>
      <vt:lpstr>CPWD_Carriage12_Materials</vt:lpstr>
      <vt:lpstr>CPWD_Carriage14_Items</vt:lpstr>
      <vt:lpstr>CPWD_Carriage14_Table</vt:lpstr>
      <vt:lpstr>CPWD_DataSheet1</vt:lpstr>
      <vt:lpstr>CPWD_Earth_Items</vt:lpstr>
      <vt:lpstr>Factor_Cess</vt:lpstr>
      <vt:lpstr>Factor_CPOH</vt:lpstr>
      <vt:lpstr>Factor_GST</vt:lpstr>
      <vt:lpstr>Factor_Sundries</vt:lpstr>
      <vt:lpstr>Factor_Water</vt:lpstr>
      <vt:lpstr>Master_Codes</vt:lpstr>
      <vt:lpstr>Master_Rates_Table</vt:lpstr>
      <vt:lpstr>Productivity_Summary</vt:lpstr>
      <vt:lpstr>Productivity_Work_Types</vt:lpstr>
      <vt:lpstr>Table_5E_Master</vt:lpstr>
      <vt:lpstr>Table_5E_Resources</vt:lpstr>
      <vt:lpstr>XV_13_50_1</vt:lpstr>
      <vt:lpstr>XV_13_50_3</vt:lpstr>
      <vt:lpstr>XV_13_57_1</vt:lpstr>
      <vt:lpstr>XV_18_78</vt:lpstr>
      <vt:lpstr>XV_4_2_5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cp:lastModifiedBy>
  <dcterms:created xsi:type="dcterms:W3CDTF">2026-09-09T12:04:12Z</dcterms:created>
  <dcterms:modified xsi:type="dcterms:W3CDTF">2026-09-10T00:19:24Z</dcterms:modified>
</cp:coreProperties>
</file>