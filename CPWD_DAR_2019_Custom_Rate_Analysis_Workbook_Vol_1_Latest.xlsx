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3_Mortars" sheetId="9" state="visible" r:id="rId9"/>
    <sheet xmlns:r="http://schemas.openxmlformats.org/officeDocument/2006/relationships" name="04_Concrete_Work" sheetId="10" state="visible" r:id="rId10"/>
    <sheet xmlns:r="http://schemas.openxmlformats.org/officeDocument/2006/relationships" name="05_RCC_Work" sheetId="11" state="visible" r:id="rId11"/>
    <sheet xmlns:r="http://schemas.openxmlformats.org/officeDocument/2006/relationships" name="06_Masonry_Work" sheetId="12" state="visible" r:id="rId12"/>
    <sheet xmlns:r="http://schemas.openxmlformats.org/officeDocument/2006/relationships" name="07_Stone_Work" sheetId="13" state="visible" r:id="rId13"/>
    <sheet xmlns:r="http://schemas.openxmlformats.org/officeDocument/2006/relationships" name="08_Cladding_Work" sheetId="14" state="visible" r:id="rId14"/>
    <sheet xmlns:r="http://schemas.openxmlformats.org/officeDocument/2006/relationships" name="09_Wood_and_PVC_Work" sheetId="15" state="visible" r:id="rId15"/>
    <sheet xmlns:r="http://schemas.openxmlformats.org/officeDocument/2006/relationships" name="10_Steel_Work" sheetId="16" state="visible" r:id="rId16"/>
    <sheet xmlns:r="http://schemas.openxmlformats.org/officeDocument/2006/relationships" name="11_Flooring" sheetId="17" state="visible" r:id="rId17"/>
    <sheet xmlns:r="http://schemas.openxmlformats.org/officeDocument/2006/relationships" name="12_Roofing" sheetId="18" state="visible" r:id="rId18"/>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2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row>
    <row r="4"/>
    <row r="5"/>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0"/>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T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&amp; OPERATIONAL PROFILE (Select parameters in D6, D7, D8, D9 to drive rate analysis)</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Scope</t>
        </is>
      </c>
      <c r="B6" s="61" t="n"/>
      <c r="C6" s="61" t="n"/>
      <c r="D6" s="62" t="inlineStr">
        <is>
          <t>Surface Excavation (≤30 cm)</t>
        </is>
      </c>
      <c r="E6" s="29" t="inlineStr">
        <is>
          <t>—</t>
        </is>
      </c>
      <c r="F6" s="52" t="inlineStr">
        <is>
          <t>INPUT</t>
        </is>
      </c>
      <c r="G6" s="25" t="inlineStr">
        <is>
          <t>Core civil work category: Surface excavation, Foundation/trenching, Embankment, Backfilling, Site clearance, Timbering, or Anti-termite.</t>
        </is>
      </c>
      <c r="H6" s="61" t="n"/>
      <c r="I6" s="61" t="n"/>
      <c r="J6" s="61" t="n"/>
      <c r="K6" s="61" t="n"/>
      <c r="L6" s="61" t="n"/>
      <c r="M6" s="61" t="n"/>
      <c r="N6" s="61" t="n"/>
      <c r="O6" s="61" t="n"/>
    </row>
    <row r="7" ht="24" customHeight="1">
      <c r="A7" s="30" t="inlineStr">
        <is>
          <t>Ground Strata / Material</t>
        </is>
      </c>
      <c r="B7" s="61" t="n"/>
      <c r="C7" s="61" t="n"/>
      <c r="D7" s="62" t="inlineStr">
        <is>
          <t>All kinds of soil</t>
        </is>
      </c>
      <c r="E7" s="29" t="inlineStr">
        <is>
          <t>—</t>
        </is>
      </c>
      <c r="F7" s="52" t="inlineStr">
        <is>
          <t>INPUT</t>
        </is>
      </c>
      <c r="G7" s="25" t="inlineStr">
        <is>
          <t>Strata classification: All kinds of soil, Ordinary rock, Hard rock (blasting permitted), or Hard rock (blasting prohibited).</t>
        </is>
      </c>
      <c r="H7" s="61" t="n"/>
      <c r="I7" s="61" t="n"/>
      <c r="J7" s="61" t="n"/>
      <c r="K7" s="61" t="n"/>
      <c r="L7" s="61" t="n"/>
      <c r="M7" s="61" t="n"/>
      <c r="N7" s="61" t="n"/>
      <c r="O7" s="61" t="n"/>
    </row>
    <row r="8" ht="24" customHeight="1">
      <c r="A8" s="30" t="inlineStr">
        <is>
          <t>Execution Method / Plant &amp; Labour Fleet</t>
        </is>
      </c>
      <c r="B8" s="61" t="n"/>
      <c r="C8" s="61" t="n"/>
      <c r="D8" s="62" t="inlineStr">
        <is>
          <t>Manual labor (depth ≤1.5m)</t>
        </is>
      </c>
      <c r="E8" s="29" t="inlineStr">
        <is>
          <t>—</t>
        </is>
      </c>
      <c r="F8" s="52" t="inlineStr">
        <is>
          <t>INPUT</t>
        </is>
      </c>
      <c r="G8" s="25">
        <f>IF(OR($D$9="Open areas &amp; wide foundation trenches",$D$9="Foundation trenches &amp; drain trenches",ISNUMBER(SEARCH("blasting + Excavator",$D$9)),ISNUMBER(SEARCH("Rock breaker",$D$9))),"AUTO-SUGGEST -&gt; Mechanical (Hydraulic Excavator 0.9 cum) recommended for this task. Confirm in D8 - your selection drives Table 2A resource fleet. Mechanical: 0.9 cum bucket, output ~120 cum/shift.","AUTO-SUGGEST -&gt; Manual labor (depth &lt;=1.5m) recommended. For mechanised work select Mechanical in D8. Manual: standard gang of Beldar + Mate. D8 is a free selection - override any time.")</f>
        <v/>
      </c>
      <c r="H8" s="61" t="n"/>
      <c r="I8" s="61" t="n"/>
      <c r="J8" s="61" t="n"/>
      <c r="K8" s="61" t="n"/>
      <c r="L8" s="61" t="n"/>
      <c r="M8" s="61" t="n"/>
      <c r="N8" s="61" t="n"/>
      <c r="O8" s="61" t="n"/>
    </row>
    <row r="9" ht="20" customHeight="1">
      <c r="A9" s="30" t="inlineStr">
        <is>
          <t>Sub-Head Category &amp; Specific Task:</t>
        </is>
      </c>
      <c r="B9" s="61" t="n"/>
      <c r="C9" s="62" t="inlineStr">
        <is>
          <t>2. Surface Preparation &amp; Earthwork</t>
        </is>
      </c>
      <c r="D9" s="62" t="inlineStr">
        <is>
          <t>General surface cut (≤30 cm deep)</t>
        </is>
      </c>
      <c r="E9" s="29" t="inlineStr">
        <is>
          <t>—</t>
        </is>
      </c>
      <c r="F9" s="52" t="inlineStr">
        <is>
          <t>INPUT</t>
        </is>
      </c>
      <c r="G9" s="148">
        <f>IF(COUNTIF(OFFSET($AO$109,MATCH($C$9,$AN$109:$AN$153,0)-1,0,COUNTIF($AN$109:$AN$153,$C$9),1),$D$9)=0,"[STALE TASK] Current D9 value ["&amp;$D$9&amp;"] is not in Category ["&amp;$C$9&amp;"]. Please reselect D9 from the dropdown to restore a valid task and trigger correct lookups.","Select C9 category first, then D9 task (45 verified CPWD earthwork variants across 9 sub-heads). Active: ["&amp;$C$9&amp;"] -&gt; ["&amp;$D$9&amp;"]. D9 controls Table 2A resource lookup and D8 auto-suggest.")</f>
        <v/>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6" ht="30" customHeight="1">
      <c r="A16" s="30" t="inlineStr">
        <is>
          <t>Analysis Mode / Item Linkage Status:</t>
        </is>
      </c>
      <c r="B16" s="61" t="n"/>
      <c r="C16" s="61"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1" t="n"/>
      <c r="I16" s="61" t="n"/>
      <c r="J16" s="61" t="n"/>
      <c r="K16" s="61" t="n"/>
      <c r="L16" s="61" t="n"/>
      <c r="M16" s="61" t="n"/>
      <c r="N16" s="61" t="n"/>
      <c r="O16"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Excavation depth boundary: Depth ≤ 1.5 m (Standard lift); Depth &gt; 1.5 m to 3.0 m (Extra 1.5 m lift stage); Depth &gt; 3.0 m to 4.5 m (Extra 3.0 m lift stage per CPWD DAR Item 2.26 / 2.11 / 2.12).</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4">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5"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Primary Work Scope Options (AP)</t>
        </is>
      </c>
      <c r="AQ108" s="179" t="inlineStr">
        <is>
          <t>Category / Sub-Head Headings (AQ)</t>
        </is>
      </c>
      <c r="AR108" s="179" t="inlineStr">
        <is>
          <t>Execution Method Options (AR)</t>
        </is>
      </c>
      <c r="AS108" s="179" t="inlineStr">
        <is>
          <t>Excavation Depth &amp; Lift Options (AS)</t>
        </is>
      </c>
      <c r="AT108" s="179" t="inlineStr">
        <is>
          <t>Ground Strata Options (AT)</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Surface Excavation (≤30 cm)</t>
        </is>
      </c>
      <c r="AQ109" s="182" t="inlineStr">
        <is>
          <t>1. Site Clearance &amp; Vegetation</t>
        </is>
      </c>
      <c r="AR109" s="182" t="inlineStr">
        <is>
          <t>Mechanical (Hydraulic Excavator 0.9 cum)</t>
        </is>
      </c>
      <c r="AS109" s="182" t="inlineStr">
        <is>
          <t>Depth ≤ 1.5 m (Standard lift upto 1.5 m)</t>
        </is>
      </c>
      <c r="AT109" s="182" t="inlineStr">
        <is>
          <t>All kinds of soil</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Foundation &amp; Bulk Trenches (&gt;30cm depth, &gt;1.5m width or &gt;10 sqm plan)</t>
        </is>
      </c>
      <c r="AQ110" s="182" t="inlineStr">
        <is>
          <t>2. Surface Preparation &amp; Earthwork</t>
        </is>
      </c>
      <c r="AR110" s="182" t="inlineStr">
        <is>
          <t>Manual labor (depth ≤1.5m)</t>
        </is>
      </c>
      <c r="AS110" s="182" t="inlineStr">
        <is>
          <t>Depth &gt; 1.5 m to 3.0 m (Extra 1.5 m lift stage)</t>
        </is>
      </c>
      <c r="AT110" s="182" t="inlineStr">
        <is>
          <t>Ordinary rock</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Pipeline &amp; Cable Trenching (narrow trenches with sockets &amp; refilling)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Embankment Banking &amp; Dressing</t>
        </is>
      </c>
      <c r="AQ112" s="182" t="inlineStr">
        <is>
          <t>4. Excavation – Rock</t>
        </is>
      </c>
      <c r="AT112" s="182" t="inlineStr">
        <is>
          <t>Hard rock (blasting prohibited)</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3. Excavation – Soil / Earth|Extra for pipe trench depth 1.5 m to 3.0 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Backfilling &amp; Compaction</t>
        </is>
      </c>
      <c r="AQ113" s="182" t="inlineStr">
        <is>
          <t>5. Timbering / Shoring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3. Excavation – Soil / Earth|Extra for pipe trench depth 3.0 m to 4.5 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Site Clearance &amp; Tree Felling</t>
        </is>
      </c>
      <c r="AQ114" s="182" t="inlineStr">
        <is>
          <t>6. Filling &amp; Backfilling</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Pipeline &amp; Cable Trenching (narrow trenches with sockets &amp; refilling)|Pipe trenches in ordinary rock (≤80mm)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Timbering &amp; Shoring</t>
        </is>
      </c>
      <c r="AQ115" s="182" t="inlineStr">
        <is>
          <t>7. Compaction / Rolling Deductions</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P116" s="182" t="inlineStr">
        <is>
          <t>Chemical Anti-Termite Treatment</t>
        </is>
      </c>
      <c r="AQ116" s="182" t="inlineStr">
        <is>
          <t>8. Termite Treatment</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pipe trench depth 1.5m to 3.0m</t>
        </is>
      </c>
      <c r="AN122" s="182" t="inlineStr">
        <is>
          <t>3. Excavation – Soil / Earth</t>
        </is>
      </c>
      <c r="AO122" s="182" t="inlineStr">
        <is>
          <t>Foundation trenches &amp; drain trenches</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every additional 1.5 m</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Extra for pipe trench depth 3.0m to 4.5m</t>
        </is>
      </c>
      <c r="AN123" s="182" t="inlineStr">
        <is>
          <t>3. Excavation – Soil / Earth</t>
        </is>
      </c>
      <c r="AO123" s="182" t="inlineStr">
        <is>
          <t>Pipe / Cable trenches (dia ≤80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Foundation &amp; Bulk Trenches (&gt;30cm depth, &gt;1.5m width or &gt;10 sqm plan)|Extra lift for every additional 1.5m</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Extra for wet/water position (+20%)</t>
        </is>
      </c>
      <c r="AN124" s="182" t="inlineStr">
        <is>
          <t>3. Excavation – Soil / Earth</t>
        </is>
      </c>
      <c r="AO124" s="182" t="inlineStr">
        <is>
          <t>Pipe / Cable trenches (dia 80–300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Extra lift for every additional 1.5m</t>
        </is>
      </c>
      <c r="AN125" s="182" t="inlineStr">
        <is>
          <t>3. Excavation – Soil / Earth</t>
        </is>
      </c>
      <c r="AO125" s="182" t="inlineStr">
        <is>
          <t>Pipe / Cable trenches (dia &gt;300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Filling available excavated earth in plinth/trenches</t>
        </is>
      </c>
      <c r="AN126" s="182" t="inlineStr">
        <is>
          <t>3. Excavation – Soil / Earth</t>
        </is>
      </c>
      <c r="AO126" s="182" t="inlineStr">
        <is>
          <t>Extra lift for every additional 1.5 m</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Filling with fly ash and earth mix in plinth</t>
        </is>
      </c>
      <c r="AN127" s="182" t="inlineStr">
        <is>
          <t>3. Excavation – Soil / Earth</t>
        </is>
      </c>
      <c r="AO127" s="182" t="inlineStr">
        <is>
          <t>Extra for pipe trench depth 1.5 m to 3.0 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Foundation trenches &amp; drain trenches</t>
        </is>
      </c>
      <c r="AN128" s="182" t="inlineStr">
        <is>
          <t>3. Excavation – Soil / Earth</t>
        </is>
      </c>
      <c r="AO128" s="182" t="inlineStr">
        <is>
          <t>Extra for pipe trench depth 3.0 m to 4.5 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Full cycle: rough excavation + banking + roll</t>
        </is>
      </c>
      <c r="AN129" s="182" t="inlineStr">
        <is>
          <t>3. Excavation – Soil / Earth</t>
        </is>
      </c>
      <c r="AO129" s="182" t="inlineStr">
        <is>
          <t>Extra for foul position (+25%)</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General surface cut (≤30 cm deep)</t>
        </is>
      </c>
      <c r="AN130" s="182" t="inlineStr">
        <is>
          <t>3. Excavation – Soil / Earth</t>
        </is>
      </c>
      <c r="AO130" s="182" t="inlineStr">
        <is>
          <t>Extra for wet/water position (+20%)</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areas &amp; wide foundation trenches</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Plant &amp; Machinery|Open areas &amp; wide foundation trenches|Mechanical (Hydraulic Excavator 0.9 cum)|1</t>
        </is>
      </c>
      <c r="K131" s="181" t="n">
        <v>0.063</v>
      </c>
      <c r="L131" s="148" t="inlineStr">
        <is>
          <t>Plant &amp; Machinery|Open areas &amp; wide foundation trenches|1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areas &amp; wide foundation trenches|1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Levelling &amp; neatly dressing disposed soil</t>
        </is>
      </c>
      <c r="AN131" s="182" t="inlineStr">
        <is>
          <t>4. Excavation – Rock</t>
        </is>
      </c>
      <c r="AO131" s="182" t="inlineStr">
        <is>
          <t>Rock blasting + Excavator loading</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areas &amp; wide foundation trenches</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Plant &amp; Machinery|Open areas &amp; wide foundation trenches|Mechanical (Hydraulic Excavator 0.9 cum)|2</t>
        </is>
      </c>
      <c r="K132" s="181" t="n">
        <v>0.063</v>
      </c>
      <c r="L132" s="148" t="inlineStr">
        <is>
          <t>Plant &amp; Machinery|Open areas &amp; wide foundation trenches|2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areas &amp; wide foundation trenches|2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Manual rock chiselling (no blasting)</t>
        </is>
      </c>
      <c r="AN132" s="182" t="inlineStr">
        <is>
          <t>4. Excavation – Rock</t>
        </is>
      </c>
      <c r="AO132" s="182" t="inlineStr">
        <is>
          <t>Rock blasting + manual trench excavation</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areas &amp; wide foundation trenches</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Sundries &amp; Allowances|Open areas &amp; wide foundation trenches|Mechanical (Hydraulic Excavator 0.9 cum)|3</t>
        </is>
      </c>
      <c r="K133" s="181" t="n">
        <v>0.705</v>
      </c>
      <c r="L133" s="148" t="inlineStr">
        <is>
          <t>Sundries &amp; Allowances|Open areas &amp; wide foundation trenches|3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areas &amp; wide foundation trenches|3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Open areas &amp; wide foundation trenches</t>
        </is>
      </c>
      <c r="AN133" s="182" t="inlineStr">
        <is>
          <t>4. Excavation – Rock</t>
        </is>
      </c>
      <c r="AO133" s="182" t="inlineStr">
        <is>
          <t>Rock breaker / Chiselling (no blasting)</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areas &amp; wide foundation trenches</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Sundries &amp; Allowances|Open areas &amp; wide foundation trenches|Mechanical (Hydraulic Excavator 0.9 cum)|4</t>
        </is>
      </c>
      <c r="K134" s="181" t="n">
        <v>1.59</v>
      </c>
      <c r="L134" s="148" t="inlineStr">
        <is>
          <t>Sundries &amp; Allowances|Open areas &amp; wide foundation trenches|4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areas &amp; wide foundation trenches|4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POST-CONSTRUCTION: drilling 12mm holes &amp; injecting</t>
        </is>
      </c>
      <c r="AN134" s="182" t="inlineStr">
        <is>
          <t>4. Excavation – Rock</t>
        </is>
      </c>
      <c r="AO134" s="182" t="inlineStr">
        <is>
          <t>Manual rock chiselling (no blasting)</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areas &amp; wide foundation trenches</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Sundries &amp; Allowances|Open areas &amp; wide foundation trenches|Mechanical (Hydraulic Excavator 0.9 cum)|5</t>
        </is>
      </c>
      <c r="K135" s="181" t="n">
        <v>0.355</v>
      </c>
      <c r="L135" s="148" t="inlineStr">
        <is>
          <t>Sundries &amp; Allowances|Open areas &amp; wide foundation trenches|5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areas &amp; wide foundation trenches|5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 Cable trenches (dia 80-300 mm)</t>
        </is>
      </c>
      <c r="AN135" s="182" t="inlineStr">
        <is>
          <t>4. Excavation – Rock</t>
        </is>
      </c>
      <c r="AO135" s="182" t="inlineStr">
        <is>
          <t>Excavating post holes 0.1–0.5 cum in soil</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areas &amp; wide foundation trenches</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Labour (Semi-Skilled / Operational)|Open areas &amp; wide foundation trenches|Mechanical (Hydraulic Excavator 0.9 cum)|6</t>
        </is>
      </c>
      <c r="K136" s="181" t="n">
        <v>0.5</v>
      </c>
      <c r="L136" s="148" t="inlineStr">
        <is>
          <t>Labour (Semi-Skilled / Operational)|Open areas &amp; wide foundation trenches|6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areas &amp; wide foundation trenches|6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Pipe / Cable trenches (dia &gt; 300 mm)</t>
        </is>
      </c>
      <c r="AN136" s="182" t="inlineStr">
        <is>
          <t>4. Excavation – Rock</t>
        </is>
      </c>
      <c r="AO136" s="182" t="inlineStr">
        <is>
          <t>Excavating post holes 0.1–0.5 cum in ordinary rock</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areas &amp; wide foundation trenches</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Labour (Unskilled / Haulage)|Open areas &amp; wide foundation trenches|Mechanical (Hydraulic Excavator 0.9 cum)|7</t>
        </is>
      </c>
      <c r="K137" s="181" t="n">
        <v>0.55</v>
      </c>
      <c r="L137" s="148" t="inlineStr">
        <is>
          <t>Labour (Unskilled / Haulage)|Open areas &amp; wide foundation trenches|7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areas &amp; wide foundation trenches|7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Pipe / Cable trenches (dia ≤ 80 mm)</t>
        </is>
      </c>
      <c r="AN137" s="182" t="inlineStr">
        <is>
          <t>4. Excavation – Rock</t>
        </is>
      </c>
      <c r="AO137" s="182" t="inlineStr">
        <is>
          <t>Excavating post holes 0.1–0.5 cum in hard rock chiseled</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areas &amp; wide foundation trenches</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Sundries &amp; Allowances|Open areas &amp; wide foundation trenches|Mechanical (Hydraulic Excavator 0.9 cum)|8</t>
        </is>
      </c>
      <c r="K138" s="181" t="n">
        <v>10.79</v>
      </c>
      <c r="L138" s="148" t="inlineStr">
        <is>
          <t>Sundries &amp; Allowances|Open areas &amp; wide foundation trenches|8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areas &amp; wide foundation trenches|8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Pipe trenches in ordinary rock (≤80mm)</t>
        </is>
      </c>
      <c r="AN138" s="182" t="inlineStr">
        <is>
          <t>4. Excavation – Rock</t>
        </is>
      </c>
      <c r="AO138" s="182" t="inlineStr">
        <is>
          <t>Excavating post holes 0.1–0.5 cum in hard rock blast</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Ploughing ground (15-25 cm) &amp; watering</t>
        </is>
      </c>
      <c r="AN139" s="182" t="inlineStr">
        <is>
          <t>5. Timbering / Shoring</t>
        </is>
      </c>
      <c r="AO139" s="182" t="inlineStr">
        <is>
          <t>Close timbering depth ≤1.5 m (90 sqm face)</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Rock blasting + Excavator loading</t>
        </is>
      </c>
      <c r="AN140" s="182" t="inlineStr">
        <is>
          <t>5. Timbering / Shoring</t>
        </is>
      </c>
      <c r="AO140" s="182" t="inlineStr">
        <is>
          <t>Close timbering depth 1.5–3.0 m (90 sqm face)</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Rock blasting + manual trench excavation</t>
        </is>
      </c>
      <c r="AN141" s="182" t="inlineStr">
        <is>
          <t>5. Timbering / Shoring</t>
        </is>
      </c>
      <c r="AO141" s="182" t="inlineStr">
        <is>
          <t>Close timbering depth 3.0–4.5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Rock breaker / Chiselling (no blasting)</t>
        </is>
      </c>
      <c r="AN142" s="182" t="inlineStr">
        <is>
          <t>6. Filling &amp; Backfilling</t>
        </is>
      </c>
      <c r="AO142" s="182" t="inlineStr">
        <is>
          <t>Filling available excavated earth in plinth/trenches</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Supply and stacking fly ash (IRC-58)</t>
        </is>
      </c>
      <c r="AN143" s="182" t="inlineStr">
        <is>
          <t>6. Filling &amp; Backfilling</t>
        </is>
      </c>
      <c r="AO143" s="182" t="inlineStr">
        <is>
          <t>Filling with fly ash and earth mix in plinth</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Supply chemical emulsion (Chlorpyrifos 20% EC)</t>
        </is>
      </c>
      <c r="AN144" s="182" t="inlineStr">
        <is>
          <t>6. Filling &amp; Backfilling</t>
        </is>
      </c>
      <c r="AO144" s="182" t="inlineStr">
        <is>
          <t>Supplying and filling quarry moorum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Supplying and filling quarry moorum</t>
        </is>
      </c>
      <c r="AN145" s="182" t="inlineStr">
        <is>
          <t>6. Filling &amp; Backfilling</t>
        </is>
      </c>
      <c r="AO145" s="182" t="inlineStr">
        <is>
          <t>Supply and stacking fly ash (IRC-58)</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Surface dressing (≤15 cm depth)</t>
        </is>
      </c>
      <c r="AN146" s="182" t="inlineStr">
        <is>
          <t>7. Compaction / Rolling Deductions</t>
        </is>
      </c>
      <c r="AO146" s="182" t="inlineStr">
        <is>
          <t>DEDUCT: Omission of 8–10 t power rolling</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at junction of wall &amp; floor</t>
        </is>
      </c>
      <c r="AN147" s="182" t="inlineStr">
        <is>
          <t>7. Compaction / Rolling Deductions</t>
        </is>
      </c>
      <c r="AO147" s="182" t="inlineStr">
        <is>
          <t>DEDUCT: Omission of OMC compaction watering</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Treatment to backfill earth in contact with walls</t>
        </is>
      </c>
      <c r="AN148" s="182" t="inlineStr">
        <is>
          <t>8. Termite Treatment</t>
        </is>
      </c>
      <c r="AO148" s="182" t="inlineStr">
        <is>
          <t>Supply chemical emulsion (Chlorpyrifos 20% EC)</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Treatment to bottom &amp; sides of foundation trenches</t>
        </is>
      </c>
      <c r="AN149" s="182" t="inlineStr">
        <is>
          <t>8. Termite Treatment</t>
        </is>
      </c>
      <c r="AO149" s="182" t="inlineStr">
        <is>
          <t>Treatment to bottom &amp; sides of foundation trenches</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Treatment to subgrade under floors</t>
        </is>
      </c>
      <c r="AN150" s="182" t="inlineStr">
        <is>
          <t>8. Termite Treatment</t>
        </is>
      </c>
      <c r="AO150" s="182" t="inlineStr">
        <is>
          <t>Treatment to backfill earth in contact with walls</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Foundation &amp; Bulk Trenches (&gt;30cm depth, &gt;1.5m width or &gt;10 sqm plan)|Open areas &amp; wide foundation trenches</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120-240 cm girth (cutting &amp; grubbing roots)</t>
        </is>
      </c>
      <c r="AN151" s="182" t="inlineStr">
        <is>
          <t>8. Termite Treatment</t>
        </is>
      </c>
      <c r="AO151" s="182" t="inlineStr">
        <is>
          <t>Treatment to subgrade under floors</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L152" s="182" t="inlineStr">
        <is>
          <t>Tree felling girth 30-60 cm girth (cutting &amp; grubbing roots)</t>
        </is>
      </c>
      <c r="AN152" s="182" t="inlineStr">
        <is>
          <t>8. Termite Treatment</t>
        </is>
      </c>
      <c r="AO152" s="182" t="inlineStr">
        <is>
          <t>Treatment at junction of wall &amp; floor</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L153" s="182" t="inlineStr">
        <is>
          <t>Tree felling girth 60-120 cm girth (cutting &amp; grubbing roots)</t>
        </is>
      </c>
      <c r="AN153" s="182" t="inlineStr">
        <is>
          <t>9. Post-Construction Treatment</t>
        </is>
      </c>
      <c r="AO153" s="182" t="inlineStr">
        <is>
          <t>POST-CONSTRUCTION: drilling 12 mm holes &amp; injecting</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L154" s="182" t="inlineStr">
        <is>
          <t>Tree felling girth above 240 cm girth (cutting &amp; grubbing roots)</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Foundation &amp; Bulk Trenches (&gt;30cm depth, &gt;1.5m width or &gt;10 sqm plan)|Foundation trenches &amp; drain trenches</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trenches &amp; drain trenches</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Plant &amp; Machinery|Foundation trenches &amp; drain trenches|Manual labor (depth ≤1.5m)|1</t>
        </is>
      </c>
      <c r="K162" s="181" t="n">
        <v>0.0625</v>
      </c>
      <c r="L162" s="148" t="inlineStr">
        <is>
          <t>Plant &amp; Machinery|Foundation trenches &amp; drain trenches|1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trenches &amp; drain trenches|1</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trenches &amp; drain trenches</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Plant &amp; Machinery|Foundation trenches &amp; drain trenches|Manual labor (depth ≤1.5m)|2</t>
        </is>
      </c>
      <c r="K163" s="181" t="n">
        <v>0.0625</v>
      </c>
      <c r="L163" s="148" t="inlineStr">
        <is>
          <t>Plant &amp; Machinery|Foundation trenches &amp; drain trenches|2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trenches &amp; drain trenches|2</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trenches &amp; drain trenches</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Sundries &amp; Allowances|Foundation trenches &amp; drain trenches|Manual labor (depth ≤1.5m)|3</t>
        </is>
      </c>
      <c r="K164" s="181" t="n">
        <v>0.885</v>
      </c>
      <c r="L164" s="148" t="inlineStr">
        <is>
          <t>Sundries &amp; Allowances|Foundation trenches &amp; drain trenches|3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trenches &amp; drain trenches|3</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trenches &amp; drain trenches</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Sundries &amp; Allowances|Foundation trenches &amp; drain trenches|Manual labor (depth ≤1.5m)|4</t>
        </is>
      </c>
      <c r="K165" s="181" t="n">
        <v>1.765</v>
      </c>
      <c r="L165" s="148" t="inlineStr">
        <is>
          <t>Sundries &amp; Allowances|Foundation trenches &amp; drain trenches|4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trenches &amp; drain trenches|4</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trenches &amp; drain trenches</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Sundries &amp; Allowances|Foundation trenches &amp; drain trenches|Manual labor (depth ≤1.5m)|5</t>
        </is>
      </c>
      <c r="K166" s="181" t="n">
        <v>0.53</v>
      </c>
      <c r="L166" s="148" t="inlineStr">
        <is>
          <t>Sundries &amp; Allowances|Foundation trenches &amp; drain trenches|5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trenches &amp; drain trenches|5</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trenches &amp; drain trenches</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Labour (Semi-Skilled / Operational)|Foundation trenches &amp; drain trenches|Manual labor (depth ≤1.5m)|6</t>
        </is>
      </c>
      <c r="K167" s="181" t="n">
        <v>0.5</v>
      </c>
      <c r="L167" s="148" t="inlineStr">
        <is>
          <t>Labour (Semi-Skilled / Operational)|Foundation trenches &amp; drain trenches|6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trenches &amp; drain trenches|6</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trenches &amp; drain trenches</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Labour (Unskilled / Haulage)|Foundation trenches &amp; drain trenches|Manual labor (depth ≤1.5m)|7</t>
        </is>
      </c>
      <c r="K168" s="181" t="n">
        <v>1.3</v>
      </c>
      <c r="L168" s="148" t="inlineStr">
        <is>
          <t>Labour (Unskilled / Haulage)|Foundation trenches &amp; drain trenches|7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trenches &amp; drain trenches|7</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trenches &amp; drain trenches</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Sundries &amp; Allowances|Foundation trenches &amp; drain trenches|Manual labor (depth ≤1.5m)|8</t>
        </is>
      </c>
      <c r="K169" s="181" t="n">
        <v>13.52</v>
      </c>
      <c r="L169" s="148" t="inlineStr">
        <is>
          <t>Sundries &amp; Allowances|Foundation trenches &amp; drain trenches|8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trenches &amp; drain trenches|8</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 m to 3.0 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3. Excavation – Soil / Earth|Extra for pipe trench depth 1.5 m to 3.0 m|Manual labor (depth ≤1.5m)|1</t>
        </is>
      </c>
      <c r="K195" s="181" t="n">
        <v>1</v>
      </c>
      <c r="L195" s="148" t="inlineStr">
        <is>
          <t>3. Excavation – Soil / Earth|Extra for pipe trench depth 1.5 m to 3.0 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 m to 3.0 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 m to 4.5 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3. Excavation – Soil / Earth|Extra for pipe trench depth 3.0 m to 4.5 m|Manual labor (depth ≤1.5m)|1</t>
        </is>
      </c>
      <c r="K196" s="181" t="n">
        <v>1</v>
      </c>
      <c r="L196" s="148" t="inlineStr">
        <is>
          <t>3. Excavation – Soil / Earth|Extra for pipe trench depth 3.0 m to 4.5 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 m to 4.5 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trenches in ordinary rock (≤80mm)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Sundries &amp; Allowances|Pipe trenches in ordinary rock (≤80mm)|Manual labor (depth ≤1.5m)|1</t>
        </is>
      </c>
      <c r="K197" s="181" t="n">
        <v>0.4725</v>
      </c>
      <c r="L197" s="148" t="inlineStr">
        <is>
          <t>Sundries &amp; Allowances|Pipe trenches in ordinary rock (≤80mm)|1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trenches in ordinary rock (≤80mm)|1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trenches in ordinary rock (≤80mm)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Sundries &amp; Allowances|Pipe trenches in ordinary rock (≤80mm)|Manual labor (depth ≤1.5m)|2</t>
        </is>
      </c>
      <c r="K198" s="181" t="n">
        <v>0.4725</v>
      </c>
      <c r="L198" s="148" t="inlineStr">
        <is>
          <t>Sundries &amp; Allowances|Pipe trenches in ordinary rock (≤80mm)|2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trenches in ordinary rock (≤80mm)|2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trenches in ordinary rock (≤80mm)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Labour (Semi-Skilled / Operational)|Pipe trenches in ordinary rock (≤80mm)|Manual labor (depth ≤1.5m)|3</t>
        </is>
      </c>
      <c r="K199" s="181" t="n">
        <v>0.01111</v>
      </c>
      <c r="L199" s="148" t="inlineStr">
        <is>
          <t>Labour (Semi-Skilled / Operational)|Pipe trenches in ordinary rock (≤80mm)|3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trenches in ordinary rock (≤80mm)|3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81" t="n">
        <v>1</v>
      </c>
      <c r="L200" s="148" t="inlineStr">
        <is>
          <t>3. Excavation – Soil / Earth|Extra for wet/water position (+20%)|1</t>
        </is>
      </c>
      <c r="M200" s="148" t="inlineStr">
        <is>
          <t>Extra 20% over applicable depth item rate</t>
        </is>
      </c>
      <c r="N200" s="155" t="inlineStr">
        <is>
          <t>pct</t>
        </is>
      </c>
      <c r="O200" s="167"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81" t="n">
        <v>1</v>
      </c>
      <c r="L201" s="148" t="inlineStr">
        <is>
          <t>3. Excavation – Soil / Earth|Extra for foul position (+25%)|1</t>
        </is>
      </c>
      <c r="M201" s="148" t="inlineStr">
        <is>
          <t>Extra 25% over applicable depth item rate</t>
        </is>
      </c>
      <c r="N201" s="155" t="inlineStr">
        <is>
          <t>pct</t>
        </is>
      </c>
      <c r="O201" s="167"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every additional 1.5 m</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every additional 1.5 m|Manual labor (depth ≤1.5m)|1</t>
        </is>
      </c>
      <c r="K205" s="181" t="n">
        <v>0.1</v>
      </c>
      <c r="L205" s="148" t="inlineStr">
        <is>
          <t>3. Excavation – Soil / Earth|Extra lift for every additional 1.5 m|1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every additional 1.5 m|1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every additional 1.5 m</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every additional 1.5 m|Manual labor (depth ≤1.5m)|2</t>
        </is>
      </c>
      <c r="K206" s="181" t="n">
        <v>1.1</v>
      </c>
      <c r="L206" s="148" t="inlineStr">
        <is>
          <t>3. Excavation – Soil / Earth|Extra lift for every additional 1.5 m|2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every additional 1.5 m|2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every additional 1.5m</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Labour (Supervisory / Mate)|Extra lift for every additional 1.5m|Manual labor (depth ≤1.5m)|1</t>
        </is>
      </c>
      <c r="K207" s="181" t="n">
        <v>0.2</v>
      </c>
      <c r="L207" s="148" t="inlineStr">
        <is>
          <t>Labour (Supervisory / Mate)|Extra lift for every additional 1.5m|1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every additional 1.5m|1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every additional 1.5m</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Labour (Semi-Skilled / Operational)|Extra lift for every additional 1.5m|Manual labor (depth ≤1.5m)|2</t>
        </is>
      </c>
      <c r="K208" s="181" t="n">
        <v>1.95</v>
      </c>
      <c r="L208" s="148" t="inlineStr">
        <is>
          <t>Labour (Semi-Skilled / Operational)|Extra lift for every additional 1.5m|2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every additional 1.5m|2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8">
    <dataValidation sqref="C51 C53 C55 C57 D22 D23" showDropDown="0" showInputMessage="0" showErrorMessage="0" allowBlank="0" type="list">
      <formula1>"YES,NO"</formula1>
    </dataValidation>
    <dataValidation sqref="D6" showDropDown="0" showInputMessage="0" showErrorMessage="0" allowBlank="0" type="list">
      <formula1>=$AP$109:$AP$116</formula1>
    </dataValidation>
    <dataValidation sqref="D7" showDropDown="0" showInputMessage="0" showErrorMessage="0" allowBlank="0" type="list">
      <formula1>=$AT$109:$AT$112</formula1>
    </dataValidation>
    <dataValidation sqref="D8" showDropDown="0" showInputMessage="0" showErrorMessage="0" allowBlank="0" type="list">
      <formula1>=$AR$109:$AR$111</formula1>
    </dataValidation>
    <dataValidation sqref="D20" showDropDown="0" showInputMessage="0" showErrorMessage="0" allowBlank="0" type="list">
      <formula1>=$AS$109:$AS$111</formula1>
    </dataValidation>
    <dataValidation sqref="C9" showDropDown="0" showInputMessage="0" showErrorMessage="0" allowBlank="0" type="list">
      <formula1>=$AQ$109:$AQ$117</formula1>
    </dataValidation>
    <dataValidation sqref="D9" showDropDown="0" showInputMessage="0" showErrorMessage="0" allowBlank="1" type="list">
      <formula1>=OFFSET($AO$109, MATCH($C$9, $AN$109:$AN$153, 0) - 1, 0, COUNTIF($AN$109:$AN$153, $C$9), 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2026-09-10T11:09:47Z</dcterms:created>
  <dcterms:modified xmlns:dcterms="http://purl.org/dc/terms/" xmlns:xsi="http://www.w3.org/2001/XMLSchema-instance" xsi:type="dcterms:W3CDTF">2026-09-10T11:09:51Z</dcterms:modified>
</cp:coreProperties>
</file>