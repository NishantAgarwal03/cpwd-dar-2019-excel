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_PYTHON_CODEX\CPWD DAR_2019\"/>
    </mc:Choice>
  </mc:AlternateContent>
  <bookViews>
    <workbookView xWindow="0" yWindow="0" windowWidth="30720" windowHeight="12240"/>
  </bookViews>
  <sheets>
    <sheet name="Addon_Waterfall_Plan" sheetId="1" r:id="rId1"/>
    <sheet name="_Lists" sheetId="2" state="hidden" r:id="rId2"/>
  </sheets>
  <definedNames>
    <definedName name="_xlnm.Print_Titles" localSheetId="0">Addon_Waterfall_Plan!$1:$2</definedName>
  </definedNames>
  <calcPr calcId="162913"/>
</workbook>
</file>

<file path=xl/calcChain.xml><?xml version="1.0" encoding="utf-8"?>
<calcChain xmlns="http://schemas.openxmlformats.org/spreadsheetml/2006/main">
  <c r="G22" i="1" l="1"/>
  <c r="F22" i="1"/>
  <c r="D22" i="1"/>
  <c r="G21" i="1"/>
  <c r="F21" i="1"/>
  <c r="D21" i="1"/>
  <c r="G20" i="1"/>
  <c r="F20" i="1"/>
  <c r="D20" i="1"/>
  <c r="G19" i="1"/>
  <c r="F19" i="1"/>
  <c r="D19" i="1"/>
  <c r="G18" i="1"/>
  <c r="F18" i="1"/>
  <c r="D18" i="1"/>
  <c r="G17" i="1"/>
  <c r="H17" i="1" s="1"/>
  <c r="F17" i="1"/>
  <c r="D17" i="1"/>
  <c r="H16" i="1"/>
  <c r="G16" i="1"/>
  <c r="F16" i="1"/>
  <c r="D16" i="1"/>
  <c r="D11" i="1"/>
  <c r="D5" i="1"/>
  <c r="H18" i="1" l="1"/>
  <c r="H19" i="1" s="1"/>
  <c r="H20" i="1" s="1"/>
  <c r="H21" i="1" s="1"/>
  <c r="H22" i="1" s="1"/>
  <c r="H23" i="1" s="1"/>
  <c r="H25" i="1" s="1"/>
  <c r="G23" i="1" l="1"/>
  <c r="G25" i="1" s="1"/>
</calcChain>
</file>

<file path=xl/sharedStrings.xml><?xml version="1.0" encoding="utf-8"?>
<sst xmlns="http://schemas.openxmlformats.org/spreadsheetml/2006/main" count="180" uniqueCount="156">
  <si>
    <t>CPWD DAR 2019 -- Earth Work Add-On Items: Decision &amp; Waterfall Planning Workbook</t>
  </si>
  <si>
    <t>Zone A (rows 3-13): yellow cells = your input. Zone B (rows 15-36): waterfall auto-calculates from Zone A. Zone C (rows 38+): review each decision, enter AGREE / DISAGREE+note in col J.</t>
  </si>
  <si>
    <t>ZONE A -- DECISION PANEL  (yellow = user input | green = auto-derived)</t>
  </si>
  <si>
    <t>A1 -- Base Task (D9 dropdown)</t>
  </si>
  <si>
    <t>Pipe/Cable trenches dia 80-300 mm -- 2.10.1.2</t>
  </si>
  <si>
    <t>INPUT</t>
  </si>
  <si>
    <t>Select the PRIMARY base excavation task. Extra-depth add-ons (2.11, 2.12, 2.26.1) and position surcharges (2.24.1, 2.24.2) are NOT tasks -- they are controlled by rows A4-A6 below.</t>
  </si>
  <si>
    <t>A2 -- Task Type (auto-derived)</t>
  </si>
  <si>
    <t>AUTO</t>
  </si>
  <si>
    <t>PIPE TRENCH: depth add-ons use 2.11 (127%) + 2.12 (315.05%) as % of base 2.10 rate.  GENERAL TRENCH: depth add-on is 2.26.1 (Rs90.4/cum soil | Rs162.1/cum rock) per stage.  SURFACE/MISC: depth stage has no cost effect -- depth levers grey out.</t>
  </si>
  <si>
    <t>A3 -- Strata / Ground Class</t>
  </si>
  <si>
    <t>Controls 2.26.1 rate: All soil = Rs90.4/cum; Ordinary/Hard rock = Rs162.1/cum. Also controls which pipe-trench depth set applies (2.11/2.12 for soil vs 2.14/2.15 for rock).</t>
  </si>
  <si>
    <t>A4 -- Depth Stage (D20 lever)</t>
  </si>
  <si>
    <t>Standard (&lt;=1.5m)</t>
  </si>
  <si>
    <t>ADDITIVE lever. Standard: no depth add-on.  Stage 2 (&gt;1.5-3.0m): fires 2.26.1 x1 (general) OR 2.11 127% (pipe).  Stage 3 (&gt;3.0-4.5m): fires 2.26.1 x2 (general) OR 2.11+2.12 (pipe) -- see Zone C decision C1.</t>
  </si>
  <si>
    <t>A5 -- Foul Position (DAR 2.24.2, +25%)</t>
  </si>
  <si>
    <t>NO</t>
  </si>
  <si>
    <t>YES = add +25% of accumulated rate to total.  GREYED OUT (NA) for Surface/Banking/Vegetation tasks -- no engineering basis to apply.  Was incorrectly in D9 task dropdown; this toggle is the correct UI. See Zone C decision C4.</t>
  </si>
  <si>
    <t>A6 -- Wet/Water Position (DAR 2.24.1, +20%)</t>
  </si>
  <si>
    <t>YES = add +20% of accumulated rate to total.  Foul AND Wet can apply simultaneously: combined +45% on accumulated rate (additive, confirmed).  GREYED OUT (NA) for Surface/Banking/Vegetation tasks. See Zone C decisions C5, C6.</t>
  </si>
  <si>
    <t>A7 -- Base Item Rate (Rs per unit, from DAR)</t>
  </si>
  <si>
    <t>Enter DAR published rate for D4 task + D6 strata (see Rate_Matrix sheet in reference file).  Examples: 2.8.1 foundation trench all soil = Rs252.30/cum | 2.10.1.2 pipe 80-300mm = Rs364.20/m  2.6.1 over areas all soil = Rs181.85/cum | 2.10.1.1 pipe &lt;=80mm = Rs223.00/m</t>
  </si>
  <si>
    <t>A8 -- Unit (auto)</t>
  </si>
  <si>
    <t>Pipe/Cable trenches are measured per metre run; all other items per cubic metre.</t>
  </si>
  <si>
    <t>ZONE B -- COST WATERFALL  (auto-driven by Zone A | rates at DAR published level)</t>
  </si>
  <si>
    <t>#</t>
  </si>
  <si>
    <t>Cost Component</t>
  </si>
  <si>
    <t>DAR Ref</t>
  </si>
  <si>
    <t>Fires?</t>
  </si>
  <si>
    <t>Basis</t>
  </si>
  <si>
    <t>Rate / %</t>
  </si>
  <si>
    <t>Cost Impact Rs</t>
  </si>
  <si>
    <t>Accumulated Rate Rs</t>
  </si>
  <si>
    <t>Engineering Note</t>
  </si>
  <si>
    <t>W0</t>
  </si>
  <si>
    <t>Base Item Rate (D4 task, D6 strata, from A7)</t>
  </si>
  <si>
    <t>DAR various</t>
  </si>
  <si>
    <t>Published rate</t>
  </si>
  <si>
    <t>Starting point. This is the full DAR published rate for the base task (already includes W + water + GST + CPOH + Cess). All add-ons below are ADDITIONAL to this rate.</t>
  </si>
  <si>
    <t>L1</t>
  </si>
  <si>
    <t>Extra Lift Stage 2 (&gt;1.5-3.0m) -- 2.26.1 x1  [GENERAL TRENCH only]</t>
  </si>
  <si>
    <t>2.26.1</t>
  </si>
  <si>
    <t>Flat Rs/cum</t>
  </si>
  <si>
    <t>Per 1.5m stage above standard. Soil = Rs90.4/cum; Rock = Rs162.1/cum (DAR p.127). PIPE TRENCH uses 2.11/2.12 percentage method instead (rows L3-L4).</t>
  </si>
  <si>
    <t>L2</t>
  </si>
  <si>
    <t>Extra Lift Stage 3 add: +1 more stage (2.26.1 x2 total)  [GENERAL TRENCH only]</t>
  </si>
  <si>
    <t>Stage 3 = 2 extra lift stages above standard (1.5-3.0m AND 3.0-4.5m). L1 covers the first; L2 adds the second. Combined Stage 3 extra lift = 2 x Rs90.4 = Rs180.8/cum for soil. Confirmed: '1.5m or part thereof' -- 2 parts for Stage 3.</t>
  </si>
  <si>
    <t>L3</t>
  </si>
  <si>
    <t>Pipe Trench Extra Depth 1.5-3.0m (2.11 = 127% of base 2.10 rate)  [PIPE TRENCH only]</t>
  </si>
  <si>
    <t>2.11</t>
  </si>
  <si>
    <t>127% of base</t>
  </si>
  <si>
    <t>Rate_Matrix: '% OVER basic 2.10.1.x'. For pipe 80-300mm: 127% x Rs364.2 = Rs462.53/m. This covers the INCREMENTAL depth from 1.5m to 3.0m. Fires for Stage 2 AND Stage 3 (Stage 3 traverses the 1.5-3.0m band on the way down).</t>
  </si>
  <si>
    <t>L4</t>
  </si>
  <si>
    <t>[OPEN C1] Pipe Trench Extra Depth 3.0-4.5m (2.12 = 315.05% of base)  [PIPE TRENCH Stage 3]</t>
  </si>
  <si>
    <t>2.12</t>
  </si>
  <si>
    <t>315.05% of base</t>
  </si>
  <si>
    <t>[OPEN DECISION C1] Does Stage 3 pipe trench bill BOTH L3 (2.11) AND L4 (2.12)? Current formula: YES -- both apply. Total Stage 3 = base x (1+1.27+3.1505) = base x 5.4205. Evidence: 2.12 = 'Extra: depth 3-4.5m OVER 2.10' -- covers the 3.0-4.5m INCREMENT only, so the 1.5-3.0m increment (2.11) is separately billable. Awaiting user confirmation.</t>
  </si>
  <si>
    <t>S1</t>
  </si>
  <si>
    <t>Foul Position Surcharge (DAR 2.24.2) -- +25% of accumulated rate</t>
  </si>
  <si>
    <t>2.24.2</t>
  </si>
  <si>
    <t>25% of H20</t>
  </si>
  <si>
    <t>DAR: '25% of the rate of the item' applied to accumulated rate (base + depth add-ons). Applied at published-rate level (chain already embedded in all component rates). INACTIVE (NA) for Surface/Banking/Vegetation/Filling -- no engineering basis. Was incorrectly placed in D9 dropdown.</t>
  </si>
  <si>
    <t>S2</t>
  </si>
  <si>
    <t>Wet/Water Position Surcharge (DAR 2.24.1) -- +20% of accumulated rate</t>
  </si>
  <si>
    <t>2.24.1</t>
  </si>
  <si>
    <t>20% of H21</t>
  </si>
  <si>
    <t>DAR: '20% of the rate of the item'. Foul + Wet simultaneously = +45% additive on accumulated rate (user-confirmed). NOT compounded (not x1.25 x 1.20 = 50%) -- DAR says 20%+25% each separately. INACTIVE (NA) for Surface/Banking/Vegetation/Filling.</t>
  </si>
  <si>
    <t>TOTAL ANALYSED RATE (base + all active add-ons)</t>
  </si>
  <si>
    <t>Sum of all active rows above. Compare with DAR row below.</t>
  </si>
  <si>
    <t>DAR Published Rate for this combination (enter manually for comparison)</t>
  </si>
  <si>
    <t>Yellow cell = user input. Enter DAR 2019 Vol.1 published rate for exact task+strata+depth combination from Rate_Matrix. Used to verify alignment.</t>
  </si>
  <si>
    <t>Variance (Analysed - DAR Published)</t>
  </si>
  <si>
    <t>0 = aligned with DAR published rate. For base task with NO add-ons active: Analysed = D10 base rate, variance = 0. For add-ons active: Analysed &gt; DAR base (expected -- DAR base does not include add-ons). Set D10 to base rate AND G24 to same base rate to verify add-on math independently.</t>
  </si>
  <si>
    <t>EXAMPLE CHECK: Set D4=Pipe 80-300mm, D6=All soil, D7=Stage 3, D8=YES foul, D9=NO, D10=364.2  =&gt; Accumulated = 364.2 + 462.53(2.11) + 1152.17(2.12) + 494.72(25% foul) = Rs2,473.62/m  | Set G24=DAR base 364.2 to see standalone add-on impact.</t>
  </si>
  <si>
    <t>ZONE C -- ARCHITECTURAL DECISIONS &amp; JUSTIFICATION  (col J: enter AGREE / DISAGREE + note)</t>
  </si>
  <si>
    <t>Decision Made in Code</t>
  </si>
  <si>
    <t>DAR Items</t>
  </si>
  <si>
    <t>Status</t>
  </si>
  <si>
    <t>Cost Alignment Evidence</t>
  </si>
  <si>
    <t>Impact if Wrong</t>
  </si>
  <si>
    <t>Code Location</t>
  </si>
  <si>
    <t>DAR p.</t>
  </si>
  <si>
    <t>Justification</t>
  </si>
  <si>
    <t>User Verdict</t>
  </si>
  <si>
    <t>C1</t>
  </si>
  <si>
    <t>Stage 3 pipe trench (&gt;3.0-4.5m) fires BOTH 2.11 (127%) AND 2.12 (315.05%) on base 2.10 rate</t>
  </si>
  <si>
    <t>2.11 + 2.12</t>
  </si>
  <si>
    <t>[OPEN]</t>
  </si>
  <si>
    <t>2.11='Extra depth 1.5-3m OVER 2.10'; 2.12='Extra depth 3-4.5m OVER 2.10'. Both note: '% OVER basic 2.10.1.x'. Each covers one depth INCREMENT. Stage 3 pipe traverses both bands =&gt; both bill. Total = base x(1 + 1.27 + 3.1505) = base x5.4205.</t>
  </si>
  <si>
    <t>If only 2.12 fires: Stage 3 understated by 127% x base rate. For 2.10.1.2: Rs364.2 x 1.27 = Rs462.53/m missing.</t>
  </si>
  <si>
    <t>earthwork_tables.py Table5E; trade_builder_earth.py deduction_rows_spec</t>
  </si>
  <si>
    <t>p.96-97</t>
  </si>
  <si>
    <t>Rate_Matrix confirms both reference '% OVER 2.10' independently. Analogy: a 4.5m-deep trench passes through 0-1.5m (base), 1.5-3.0m (+2.11), 3.0-4.5m (+2.12). Each band is separately billable per DAR. Current waterfall (L3+L4) reflects this.</t>
  </si>
  <si>
    <t>OPEN -- please confirm</t>
  </si>
  <si>
    <t>C2</t>
  </si>
  <si>
    <t>2.26.1 extra lift quantity x2 for Stage 3 (two extra 1.5m stages above standard)</t>
  </si>
  <si>
    <t>CONFIRMED</t>
  </si>
  <si>
    <t>DAR item name: 'Extra lift per 1.5m OR PART thereof'. Stage 3 has 2 extra 1.5m parts (1.5-3.0m and 3.0-4.5m). Rs90.4 x2 = Rs180.8/cum for soil. Waterfall rows L1+L2 handle this.</t>
  </si>
  <si>
    <t>If x1 only: Stage 3 general trench understated by Rs90.4/cum (soil).</t>
  </si>
  <si>
    <t>trade_builder_earth.py R_OP_HANDLING / deduction_rows_spec L-rows</t>
  </si>
  <si>
    <t>p.127</t>
  </si>
  <si>
    <t>Unambiguous: 'per 1.5m' means per each 1.5m stage. Stage 3 spans 2 stages above standard. User confirmed in session.</t>
  </si>
  <si>
    <t>CONFIRMED by user</t>
  </si>
  <si>
    <t>C3</t>
  </si>
  <si>
    <t>Extra-depth items (2.11, 2.12, 2.26.1) removed from D9 exclusive dropdown; moved to D20 depth-stage lever</t>
  </si>
  <si>
    <t>2.11, 2.12, 2.26.1</t>
  </si>
  <si>
    <t>DONE -- commit 5cb4105</t>
  </si>
  <si>
    <t>D9 is single-select. These items are ADDITIVE -- must combine with a base task simultaneously. Reference SH2_Excavation STEP 2: extra lift explicitly listed as EXCLUDED from base item scope.</t>
  </si>
  <si>
    <t>Without fix: user cannot select 'Foundation trench' + 'Extra lift' together. Deep-trench rate analysis blocked.</t>
  </si>
  <si>
    <t>earthwork_tables.py HEADING_TASK_CATALOG (lines 55-57 removed); TASK_OPTIONS</t>
  </si>
  <si>
    <t>p.96-97, p.127</t>
  </si>
  <si>
    <t>Extra-depth items are add-ons that SUPPLEMENT the base task, not replace it. D20 depth-stage lever is architecturally correct: it is an ADDITIVE overlay. Already implemented and verified.</t>
  </si>
  <si>
    <t>DONE</t>
  </si>
  <si>
    <t>C4</t>
  </si>
  <si>
    <t>Foul position (2.24.2, +25%) removed from D9 dropdown; to be moved to YES/NO toggle (like D8)</t>
  </si>
  <si>
    <t>TO DO</t>
  </si>
  <si>
    <t>DAR: '25% of the rate of the item' -- the word 'extra' in item name confirms it is an add-on. A trench in foul position needs base task + surcharge simultaneously.</t>
  </si>
  <si>
    <t>Without fix: user forced to pick foul surcharge AS the task, producing a rate with no resource basis. CPWD audit would reject.</t>
  </si>
  <si>
    <t>earthwork_tables.py HEADING_TASK_CATALOG line 58; TASK_OPTIONS -- not yet removed</t>
  </si>
  <si>
    <t>p.125</t>
  </si>
  <si>
    <t>Structurally identical to watering (D22) and rolling (D23) which are already YES/NO toggles. Same pattern: apply or deduct a fixed % on a condition. Applies to TRENCH tasks only; grey out for Surface/Vegetation/Banking.</t>
  </si>
  <si>
    <t>Pending implementation</t>
  </si>
  <si>
    <t>C5</t>
  </si>
  <si>
    <t>Wet/water position (2.24.1, +20%) removed from D9 dropdown; to be moved to YES/NO toggle (like D9)</t>
  </si>
  <si>
    <t>Same logic as C4. DAR: 'Extra in/under water &amp; liquid mud'. Applies on top of any trench-type base task. User confirmed: foul+wet can apply together = +45% additive (not compounded).</t>
  </si>
  <si>
    <t>Without fix: same problem as C4. Water-table excavation analysis impossible.</t>
  </si>
  <si>
    <t>earthwork_tables.py HEADING_TASK_CATALOG line 59; TASK_OPTIONS -- not yet removed</t>
  </si>
  <si>
    <t>Additive, not alternative. DAR says 'applicable in respect of each item' = applied on top of each. +45% = 25% + 20% (additive, user confirmed, NOT 1.25x1.20=50% compounded).</t>
  </si>
  <si>
    <t>C6</t>
  </si>
  <si>
    <t>Foul+wet surcharges applied at published-rate level (chain already embedded); +% on accumulated rate</t>
  </si>
  <si>
    <t>2.24.1, 2.24.2</t>
  </si>
  <si>
    <t>User: 'it is before GST/CPOH/Cess chain'. But since DAR published rates already embed the full chain, applying +% on published rate is equivalent. Rate_Matrix note: '% on depth-item rate' = % on the accumulated DAR rate at that depth.</t>
  </si>
  <si>
    <t>If applied after double-chain: surcharge overstated. If ignored entirely: large understatement for contaminated-site work.</t>
  </si>
  <si>
    <t>To be implemented in trade_builder_earth.py Section 2B / deduction_rows_spec</t>
  </si>
  <si>
    <t>DAR wording: '20% of the rate of the item limited to quantities executed in difficult condition'. Rate of the item = the published item rate (inclusive of overheads). Waterfall rows S1, S2 implement this as % of accumulated H-column total.</t>
  </si>
  <si>
    <t>C7</t>
  </si>
  <si>
    <t>Foul+wet toggles greyed out (LEVER INACTIVE note) when task is Surface/Banking/Vegetation/Filling</t>
  </si>
  <si>
    <t>No foul/wet norm exists for surface grading, banking, jungle clearing, filling. DAR restricts surcharge to 'quantities executed in difficult [TRENCH] condition'. Consistent with D22/D23 LEVER INACTIVE logic already implemented.</t>
  </si>
  <si>
    <t>If allowed for surface tasks: spurious surcharge with no engineering basis. CPWD would disallow.</t>
  </si>
  <si>
    <t>trade_builder_earth.py -- lever visibility logic for the new toggle rows (like D22/D23 pattern)</t>
  </si>
  <si>
    <t>User confirmed. Mirrors existing architecture: D22 (watering) and D23 (rolling) already show 'LEVER INACTIVE -- no rate effect for Excavation/Clearance scope'. Same pattern applies here.</t>
  </si>
  <si>
    <t>General surface cut (&lt;=30 cm deep) -- 2.1.1</t>
  </si>
  <si>
    <t>Surface dressing (&lt;=15 cm depth) -- 2.28.1</t>
  </si>
  <si>
    <t>Ploughing ground (15-25 cm) &amp; watering -- 2.29.1</t>
  </si>
  <si>
    <t>Levelling &amp; neatly dressing disposed soil -- 2.36</t>
  </si>
  <si>
    <t>Banking &amp; rolling only (excvn excluded) -- 2.3.1</t>
  </si>
  <si>
    <t>Full cycle: rough excvn + banking + rolling -- 2.2.1</t>
  </si>
  <si>
    <t>Open areas &amp; wide foundation trenches -- 2.6.1</t>
  </si>
  <si>
    <t>Foundation trenches &amp; drain trenches -- 2.8.1</t>
  </si>
  <si>
    <t>Pipe/Cable trenches dia &lt;=80 mm -- 2.10.1.1</t>
  </si>
  <si>
    <t>Pipe/Cable trenches dia &gt;300 mm -- 2.10.1.3</t>
  </si>
  <si>
    <t>Clearing jungle &amp; rank vegetation -- 2.31</t>
  </si>
  <si>
    <t>Clearing grass &amp; removal of rubbish -- 2.32</t>
  </si>
  <si>
    <t>Excavating post holes 0.1-0.5 cum in soil -- 2.30.1</t>
  </si>
  <si>
    <t>Filling available excavated earth in plinth/trenches -- 2.25</t>
  </si>
  <si>
    <t>Hard rock (blasting)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</si>
</sst>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+#,##0.00;\-#,##0.00;&quot;-&quot;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8"/>
      <color rgb="FF595959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rgb="FF59595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A4A7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0" fillId="2" borderId="1" xfId="0" applyFill="1" applyBorder="1"/>
    <xf numFmtId="4" fontId="3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/>
    <xf numFmtId="4" fontId="4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4" fillId="0" borderId="1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0" fillId="2" borderId="0" xfId="0" applyFill="1"/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9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0" fillId="7" borderId="0" xfId="0" applyFill="1"/>
    <xf numFmtId="0" fontId="10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tabSelected="1" zoomScale="90" zoomScaleNormal="90"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5" customWidth="1"/>
    <col min="2" max="2" width="36" customWidth="1"/>
    <col min="3" max="3" width="11" customWidth="1"/>
    <col min="4" max="4" width="22.88671875" customWidth="1"/>
    <col min="5" max="5" width="16" customWidth="1"/>
    <col min="6" max="6" width="13" customWidth="1"/>
    <col min="7" max="8" width="14" customWidth="1"/>
    <col min="9" max="9" width="44" customWidth="1"/>
    <col min="10" max="10" width="22" customWidth="1"/>
  </cols>
  <sheetData>
    <row r="1" spans="1:10" ht="28.05" customHeight="1" x14ac:dyDescent="0.3">
      <c r="A1" s="3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9.95" customHeight="1" x14ac:dyDescent="0.3">
      <c r="A2" s="37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22.05" customHeight="1" x14ac:dyDescent="0.3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28.05" customHeight="1" x14ac:dyDescent="0.3">
      <c r="A4" s="26" t="s">
        <v>3</v>
      </c>
      <c r="B4" s="27"/>
      <c r="C4" s="27"/>
      <c r="D4" s="38" t="s">
        <v>141</v>
      </c>
      <c r="E4" s="2" t="s">
        <v>5</v>
      </c>
      <c r="F4" s="24" t="s">
        <v>6</v>
      </c>
      <c r="G4" s="23"/>
      <c r="H4" s="23"/>
      <c r="I4" s="23"/>
      <c r="J4" s="23"/>
    </row>
    <row r="5" spans="1:10" ht="31.95" customHeight="1" x14ac:dyDescent="0.3">
      <c r="A5" s="26" t="s">
        <v>7</v>
      </c>
      <c r="B5" s="27"/>
      <c r="C5" s="27"/>
      <c r="D5" s="4" t="str">
        <f>IF((ISNUMBER(SEARCH("Pipe",$D$4))+ISNUMBER(SEARCH("Cable",$D$4)))&gt;0,"PIPE TRENCH",IF(OR(ISNUMBER(SEARCH("surface",$D$4)),ISNUMBER(SEARCH("dressing",$D$4)),ISNUMBER(SEARCH("Ploughing",$D$4)),ISNUMBER(SEARCH("Levelling",$D$4)),ISNUMBER(SEARCH("Banking",$D$4)),ISNUMBER(SEARCH("Full cycle",$D$4)),ISNUMBER(SEARCH("Clearing",$D$4)),ISNUMBER(SEARCH("Filling",$D$4))),"SURFACE / MISC","GENERAL TRENCH"))</f>
        <v>SURFACE / MISC</v>
      </c>
      <c r="E5" s="2" t="s">
        <v>8</v>
      </c>
      <c r="F5" s="24" t="s">
        <v>9</v>
      </c>
      <c r="G5" s="23"/>
      <c r="H5" s="23"/>
      <c r="I5" s="23"/>
      <c r="J5" s="23"/>
    </row>
    <row r="6" spans="1:10" ht="24" customHeight="1" x14ac:dyDescent="0.3">
      <c r="A6" s="26" t="s">
        <v>10</v>
      </c>
      <c r="B6" s="27"/>
      <c r="C6" s="27"/>
      <c r="D6" s="1" t="s">
        <v>155</v>
      </c>
      <c r="E6" s="2" t="s">
        <v>5</v>
      </c>
      <c r="F6" s="24" t="s">
        <v>11</v>
      </c>
      <c r="G6" s="23"/>
      <c r="H6" s="23"/>
      <c r="I6" s="23"/>
      <c r="J6" s="23"/>
    </row>
    <row r="7" spans="1:10" ht="28.05" customHeight="1" x14ac:dyDescent="0.3">
      <c r="A7" s="26" t="s">
        <v>12</v>
      </c>
      <c r="B7" s="27"/>
      <c r="C7" s="27"/>
      <c r="D7" s="1" t="s">
        <v>13</v>
      </c>
      <c r="E7" s="2" t="s">
        <v>5</v>
      </c>
      <c r="F7" s="24" t="s">
        <v>14</v>
      </c>
      <c r="G7" s="23"/>
      <c r="H7" s="23"/>
      <c r="I7" s="23"/>
      <c r="J7" s="23"/>
    </row>
    <row r="8" spans="1:10" ht="24" customHeight="1" x14ac:dyDescent="0.3">
      <c r="A8" s="26" t="s">
        <v>15</v>
      </c>
      <c r="B8" s="27"/>
      <c r="C8" s="27"/>
      <c r="D8" s="1" t="s">
        <v>16</v>
      </c>
      <c r="E8" s="2" t="s">
        <v>5</v>
      </c>
      <c r="F8" s="24" t="s">
        <v>17</v>
      </c>
      <c r="G8" s="23"/>
      <c r="H8" s="23"/>
      <c r="I8" s="23"/>
      <c r="J8" s="23"/>
    </row>
    <row r="9" spans="1:10" ht="24" customHeight="1" x14ac:dyDescent="0.3">
      <c r="A9" s="26" t="s">
        <v>18</v>
      </c>
      <c r="B9" s="27"/>
      <c r="C9" s="27"/>
      <c r="D9" s="1" t="s">
        <v>16</v>
      </c>
      <c r="E9" s="2" t="s">
        <v>5</v>
      </c>
      <c r="F9" s="24" t="s">
        <v>19</v>
      </c>
      <c r="G9" s="23"/>
      <c r="H9" s="23"/>
      <c r="I9" s="23"/>
      <c r="J9" s="23"/>
    </row>
    <row r="10" spans="1:10" ht="31.95" customHeight="1" x14ac:dyDescent="0.3">
      <c r="A10" s="26" t="s">
        <v>20</v>
      </c>
      <c r="B10" s="27"/>
      <c r="C10" s="27"/>
      <c r="D10" s="5">
        <v>364.2</v>
      </c>
      <c r="E10" s="2" t="s">
        <v>5</v>
      </c>
      <c r="F10" s="24" t="s">
        <v>21</v>
      </c>
      <c r="G10" s="23"/>
      <c r="H10" s="23"/>
      <c r="I10" s="23"/>
      <c r="J10" s="23"/>
    </row>
    <row r="11" spans="1:10" ht="18" customHeight="1" x14ac:dyDescent="0.3">
      <c r="A11" s="26" t="s">
        <v>22</v>
      </c>
      <c r="B11" s="27"/>
      <c r="C11" s="27"/>
      <c r="D11" s="4" t="str">
        <f>IF(ISNUMBER(SEARCH("Pipe",$D$4)),"per m","per cum")</f>
        <v>per cum</v>
      </c>
      <c r="E11" s="2" t="s">
        <v>8</v>
      </c>
      <c r="F11" s="24" t="s">
        <v>23</v>
      </c>
      <c r="G11" s="23"/>
      <c r="H11" s="23"/>
      <c r="I11" s="23"/>
      <c r="J11" s="23"/>
    </row>
    <row r="12" spans="1:10" ht="30" customHeight="1" x14ac:dyDescent="0.3">
      <c r="A12" s="35"/>
      <c r="B12" s="23"/>
      <c r="C12" s="23"/>
      <c r="D12" s="23"/>
      <c r="E12" s="23"/>
      <c r="F12" s="23"/>
      <c r="G12" s="23"/>
      <c r="H12" s="23"/>
      <c r="I12" s="23"/>
      <c r="J12" s="23"/>
    </row>
    <row r="13" spans="1:10" ht="40.200000000000003" customHeight="1" x14ac:dyDescent="0.3">
      <c r="A13" s="25"/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22.05" customHeight="1" x14ac:dyDescent="0.3">
      <c r="A14" s="22" t="s">
        <v>24</v>
      </c>
      <c r="B14" s="23"/>
      <c r="C14" s="23"/>
      <c r="D14" s="23"/>
      <c r="E14" s="23"/>
      <c r="F14" s="23"/>
      <c r="G14" s="23"/>
      <c r="H14" s="23"/>
      <c r="I14" s="23"/>
      <c r="J14" s="23"/>
    </row>
    <row r="15" spans="1:10" ht="18" customHeight="1" x14ac:dyDescent="0.3">
      <c r="A15" s="6" t="s">
        <v>25</v>
      </c>
      <c r="B15" s="6" t="s">
        <v>26</v>
      </c>
      <c r="C15" s="6" t="s">
        <v>27</v>
      </c>
      <c r="D15" s="6" t="s">
        <v>28</v>
      </c>
      <c r="E15" s="6" t="s">
        <v>29</v>
      </c>
      <c r="F15" s="6" t="s">
        <v>30</v>
      </c>
      <c r="G15" s="6" t="s">
        <v>31</v>
      </c>
      <c r="H15" s="6" t="s">
        <v>32</v>
      </c>
      <c r="I15" s="6" t="s">
        <v>33</v>
      </c>
      <c r="J15" s="6"/>
    </row>
    <row r="16" spans="1:10" ht="44.4" customHeight="1" x14ac:dyDescent="0.3">
      <c r="A16" s="7" t="s">
        <v>34</v>
      </c>
      <c r="B16" s="8" t="s">
        <v>35</v>
      </c>
      <c r="C16" s="8" t="s">
        <v>36</v>
      </c>
      <c r="D16" s="9" t="str">
        <f>"ALWAYS -- " &amp; D4</f>
        <v>ALWAYS -- General surface cut (&lt;=30 cm deep) -- 2.1.1</v>
      </c>
      <c r="E16" s="8" t="s">
        <v>37</v>
      </c>
      <c r="F16" s="10">
        <f>$D$10</f>
        <v>364.2</v>
      </c>
      <c r="G16" s="10">
        <f>$D$10</f>
        <v>364.2</v>
      </c>
      <c r="H16" s="10">
        <f>$D$10</f>
        <v>364.2</v>
      </c>
      <c r="I16" s="3" t="s">
        <v>38</v>
      </c>
      <c r="J16" s="8"/>
    </row>
    <row r="17" spans="1:10" ht="44.4" customHeight="1" x14ac:dyDescent="0.3">
      <c r="A17" s="7" t="s">
        <v>39</v>
      </c>
      <c r="B17" s="8" t="s">
        <v>40</v>
      </c>
      <c r="C17" s="8" t="s">
        <v>41</v>
      </c>
      <c r="D17" s="9" t="str">
        <f>IF(AND(AND(NOT((ISNUMBER(SEARCH("Pipe",$D$4))+ISNUMBER(SEARCH("Cable",$D$4)))&gt;0),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cycle",$D$4)),ISNUMBER(SEARCH("Clearing",$D$4)),ISNUMBER(SEARCH("Filling",$D$4))))),OR(ISNUMBER(SEARCH("Stage 2",$D$7)),ISNUMBER(SEARCH("Stage 3",$D$7)))),"YES -- fires","NO / grey")</f>
        <v>NO / grey</v>
      </c>
      <c r="E17" s="8" t="s">
        <v>42</v>
      </c>
      <c r="F17" s="10">
        <f>IF(ISNUMBER(SEARCH("rock",$D$6)),162.1,90.4)</f>
        <v>162.1</v>
      </c>
      <c r="G17" s="10">
        <f>IF(AND(AND(NOT((ISNUMBER(SEARCH("Pipe",$D$4))+ISNUMBER(SEARCH("Cable",$D$4)))&gt;0),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cycle",$D$4)),ISNUMBER(SEARCH("Clearing",$D$4)),ISNUMBER(SEARCH("Filling",$D$4))))),OR(ISNUMBER(SEARCH("Stage 2",$D$7)),ISNUMBER(SEARCH("Stage 3",$D$7)))),IF(ISNUMBER(SEARCH("rock",$D$6)),162.1,90.4),0)</f>
        <v>0</v>
      </c>
      <c r="H17" s="10">
        <f t="shared" ref="H17:H22" si="0">H16+G17</f>
        <v>364.2</v>
      </c>
      <c r="I17" s="3" t="s">
        <v>43</v>
      </c>
      <c r="J17" s="8"/>
    </row>
    <row r="18" spans="1:10" ht="44.4" customHeight="1" x14ac:dyDescent="0.3">
      <c r="A18" s="7" t="s">
        <v>44</v>
      </c>
      <c r="B18" s="8" t="s">
        <v>45</v>
      </c>
      <c r="C18" s="8" t="s">
        <v>41</v>
      </c>
      <c r="D18" s="9" t="str">
        <f>IF(AND(AND(NOT((ISNUMBER(SEARCH("Pipe",$D$4))+ISNUMBER(SEARCH("Cable",$D$4)))&gt;0),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cycle",$D$4)),ISNUMBER(SEARCH("Clearing",$D$4)),ISNUMBER(SEARCH("Filling",$D$4))))),ISNUMBER(SEARCH("Stage 3",$D$7))),"YES -- fires","NO / grey")</f>
        <v>NO / grey</v>
      </c>
      <c r="E18" s="8" t="s">
        <v>42</v>
      </c>
      <c r="F18" s="10">
        <f>IF(ISNUMBER(SEARCH("rock",$D$6)),162.1,90.4)</f>
        <v>162.1</v>
      </c>
      <c r="G18" s="10">
        <f>IF(AND(AND(NOT((ISNUMBER(SEARCH("Pipe",$D$4))+ISNUMBER(SEARCH("Cable",$D$4)))&gt;0),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cycle",$D$4)),ISNUMBER(SEARCH("Clearing",$D$4)),ISNUMBER(SEARCH("Filling",$D$4))))),ISNUMBER(SEARCH("Stage 3",$D$7))),IF(ISNUMBER(SEARCH("rock",$D$6)),162.1,90.4),0)</f>
        <v>0</v>
      </c>
      <c r="H18" s="10">
        <f t="shared" si="0"/>
        <v>364.2</v>
      </c>
      <c r="I18" s="3" t="s">
        <v>46</v>
      </c>
      <c r="J18" s="8"/>
    </row>
    <row r="19" spans="1:10" ht="44.4" customHeight="1" x14ac:dyDescent="0.3">
      <c r="A19" s="7" t="s">
        <v>47</v>
      </c>
      <c r="B19" s="8" t="s">
        <v>48</v>
      </c>
      <c r="C19" s="8" t="s">
        <v>49</v>
      </c>
      <c r="D19" s="9" t="str">
        <f>IF(AND((ISNUMBER(SEARCH("Pipe",$D$4))+ISNUMBER(SEARCH("Cable",$D$4)))&gt;0,OR(ISNUMBER(SEARCH("Stage 2",$D$7)),ISNUMBER(SEARCH("Stage 3",$D$7)))),"YES -- fires","NO / grey")</f>
        <v>NO / grey</v>
      </c>
      <c r="E19" s="8" t="s">
        <v>50</v>
      </c>
      <c r="F19" s="10" t="str">
        <f>"127% = Rs " &amp; TEXT($D$10*1.27,"#,##0.00")</f>
        <v>127% = Rs 462.53</v>
      </c>
      <c r="G19" s="10">
        <f>IF(AND((ISNUMBER(SEARCH("Pipe",$D$4))+ISNUMBER(SEARCH("Cable",$D$4)))&gt;0,OR(ISNUMBER(SEARCH("Stage 2",$D$7)),ISNUMBER(SEARCH("Stage 3",$D$7)))),$D$10*1.27,0)</f>
        <v>0</v>
      </c>
      <c r="H19" s="10">
        <f t="shared" si="0"/>
        <v>364.2</v>
      </c>
      <c r="I19" s="3" t="s">
        <v>51</v>
      </c>
      <c r="J19" s="8"/>
    </row>
    <row r="20" spans="1:10" ht="44.4" customHeight="1" x14ac:dyDescent="0.3">
      <c r="A20" s="7" t="s">
        <v>52</v>
      </c>
      <c r="B20" s="8" t="s">
        <v>53</v>
      </c>
      <c r="C20" s="8" t="s">
        <v>54</v>
      </c>
      <c r="D20" s="9" t="str">
        <f>IF(AND((ISNUMBER(SEARCH("Pipe",$D$4))+ISNUMBER(SEARCH("Cable",$D$4)))&gt;0,ISNUMBER(SEARCH("Stage 3",$D$7))),"OPEN -- see C1","NO / grey")</f>
        <v>NO / grey</v>
      </c>
      <c r="E20" s="8" t="s">
        <v>55</v>
      </c>
      <c r="F20" s="10" t="str">
        <f>"315% = Rs " &amp; TEXT($D$10*3.1505,"#,##0.00")</f>
        <v>315% = Rs 1,147.41</v>
      </c>
      <c r="G20" s="10">
        <f>IF(AND((ISNUMBER(SEARCH("Pipe",$D$4))+ISNUMBER(SEARCH("Cable",$D$4)))&gt;0,ISNUMBER(SEARCH("Stage 3",$D$7))),$D$10*3.1505,0)</f>
        <v>0</v>
      </c>
      <c r="H20" s="10">
        <f t="shared" si="0"/>
        <v>364.2</v>
      </c>
      <c r="I20" s="3" t="s">
        <v>56</v>
      </c>
      <c r="J20" s="8"/>
    </row>
    <row r="21" spans="1:10" ht="44.4" customHeight="1" x14ac:dyDescent="0.3">
      <c r="A21" s="7" t="s">
        <v>57</v>
      </c>
      <c r="B21" s="8" t="s">
        <v>58</v>
      </c>
      <c r="C21" s="8" t="s">
        <v>59</v>
      </c>
      <c r="D21" s="9" t="str">
        <f>IF(NOT(NOT(OR(ISNUMBER(SEARCH("surface",$D$4)),ISNUMBER(SEARCH("dressing",$D$4)),ISNUMBER(SEARCH("Ploughing",$D$4)),ISNUMBER(SEARCH("Levelling",$D$4)),ISNUMBER(SEARCH("Banking",$D$4)),ISNUMBER(SEARCH("Full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cycle",$D$4)),ISNUMBER(SEARCH("Clearing",$D$4)),ISNUMBER(SEARCH("Filling",$D$4))))),"NA -- not trench task",IF($D$8="YES","YES -- fires","NO"))</f>
        <v>NA -- not trench task</v>
      </c>
      <c r="E21" s="8" t="s">
        <v>60</v>
      </c>
      <c r="F21" s="10">
        <f>25%</f>
        <v>0.25</v>
      </c>
      <c r="G21" s="10">
        <f>IF(AND(NOT(OR(ISNUMBER(SEARCH("surface",$D$4)),ISNUMBER(SEARCH("dressing",$D$4)),ISNUMBER(SEARCH("Ploughing",$D$4)),ISNUMBER(SEARCH("Levelling",$D$4)),ISNUMBER(SEARCH("Banking",$D$4)),ISNUMBER(SEARCH("Full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cycle",$D$4)),ISNUMBER(SEARCH("Clearing",$D$4)),ISNUMBER(SEARCH("Filling",$D$4)))),$D$8="YES"),H20*0.25,0)</f>
        <v>0</v>
      </c>
      <c r="H21" s="10">
        <f t="shared" si="0"/>
        <v>364.2</v>
      </c>
      <c r="I21" s="3" t="s">
        <v>61</v>
      </c>
      <c r="J21" s="8"/>
    </row>
    <row r="22" spans="1:10" ht="44.4" customHeight="1" x14ac:dyDescent="0.3">
      <c r="A22" s="7" t="s">
        <v>62</v>
      </c>
      <c r="B22" s="8" t="s">
        <v>63</v>
      </c>
      <c r="C22" s="8" t="s">
        <v>64</v>
      </c>
      <c r="D22" s="9" t="str">
        <f>IF(NOT(NOT(OR(ISNUMBER(SEARCH("surface",$D$4)),ISNUMBER(SEARCH("dressing",$D$4)),ISNUMBER(SEARCH("Ploughing",$D$4)),ISNUMBER(SEARCH("Levelling",$D$4)),ISNUMBER(SEARCH("Banking",$D$4)),ISNUMBER(SEARCH("Full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cycle",$D$4)),ISNUMBER(SEARCH("Clearing",$D$4)),ISNUMBER(SEARCH("Filling",$D$4))))),"NA -- not trench task",IF($D$9="YES","YES -- fires","NO"))</f>
        <v>NA -- not trench task</v>
      </c>
      <c r="E22" s="8" t="s">
        <v>65</v>
      </c>
      <c r="F22" s="10">
        <f>20%</f>
        <v>0.2</v>
      </c>
      <c r="G22" s="10">
        <f>IF(AND(NOT(OR(ISNUMBER(SEARCH("surface",$D$4)),ISNUMBER(SEARCH("dressing",$D$4)),ISNUMBER(SEARCH("Ploughing",$D$4)),ISNUMBER(SEARCH("Levelling",$D$4)),ISNUMBER(SEARCH("Banking",$D$4)),ISNUMBER(SEARCH("Full cycle",$D$4)),ISNUMBER(SEARCH("Clearing",$D$4)),ISNUMBER(SEARCH("Filling",$D$4)))),$D$9="YES"),H21*0.2,0)</f>
        <v>0</v>
      </c>
      <c r="H22" s="10">
        <f t="shared" si="0"/>
        <v>364.2</v>
      </c>
      <c r="I22" s="3" t="s">
        <v>66</v>
      </c>
      <c r="J22" s="8"/>
    </row>
    <row r="23" spans="1:10" ht="22.05" customHeight="1" x14ac:dyDescent="0.3">
      <c r="A23" s="28" t="s">
        <v>67</v>
      </c>
      <c r="B23" s="29"/>
      <c r="C23" s="29"/>
      <c r="D23" s="29"/>
      <c r="E23" s="29"/>
      <c r="F23" s="29"/>
      <c r="G23" s="12">
        <f>H22</f>
        <v>364.2</v>
      </c>
      <c r="H23" s="12">
        <f>H22</f>
        <v>364.2</v>
      </c>
      <c r="I23" s="13" t="s">
        <v>68</v>
      </c>
      <c r="J23" s="11"/>
    </row>
    <row r="24" spans="1:10" ht="43.2" customHeight="1" x14ac:dyDescent="0.3">
      <c r="A24" s="33" t="s">
        <v>69</v>
      </c>
      <c r="B24" s="34"/>
      <c r="C24" s="34"/>
      <c r="D24" s="34"/>
      <c r="E24" s="34"/>
      <c r="F24" s="34"/>
      <c r="G24" s="14">
        <v>364.2</v>
      </c>
      <c r="H24" s="14">
        <v>364.2</v>
      </c>
      <c r="I24" s="3" t="s">
        <v>70</v>
      </c>
      <c r="J24" s="15"/>
    </row>
    <row r="25" spans="1:10" ht="43.2" customHeight="1" x14ac:dyDescent="0.3">
      <c r="A25" s="30" t="s">
        <v>71</v>
      </c>
      <c r="B25" s="31"/>
      <c r="C25" s="31"/>
      <c r="D25" s="31"/>
      <c r="E25" s="31"/>
      <c r="F25" s="31"/>
      <c r="G25" s="16">
        <f>G23-G24</f>
        <v>0</v>
      </c>
      <c r="H25" s="16">
        <f>H23-H24</f>
        <v>0</v>
      </c>
      <c r="I25" s="3" t="s">
        <v>72</v>
      </c>
      <c r="J25" s="15"/>
    </row>
    <row r="26" spans="1:10" ht="28.05" customHeight="1" x14ac:dyDescent="0.3">
      <c r="A26" s="36" t="s">
        <v>73</v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0" ht="4.05" customHeight="1" x14ac:dyDescent="0.3">
      <c r="A27" s="25"/>
      <c r="B27" s="23"/>
      <c r="C27" s="23"/>
      <c r="D27" s="23"/>
      <c r="E27" s="23"/>
      <c r="F27" s="23"/>
      <c r="G27" s="23"/>
      <c r="H27" s="23"/>
      <c r="I27" s="23"/>
      <c r="J27" s="23"/>
    </row>
    <row r="28" spans="1:10" ht="22.05" customHeight="1" x14ac:dyDescent="0.3">
      <c r="A28" s="22" t="s">
        <v>74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ht="36" customHeight="1" x14ac:dyDescent="0.3">
      <c r="A29" s="17" t="s">
        <v>25</v>
      </c>
      <c r="B29" s="17" t="s">
        <v>75</v>
      </c>
      <c r="C29" s="17" t="s">
        <v>76</v>
      </c>
      <c r="D29" s="17" t="s">
        <v>77</v>
      </c>
      <c r="E29" s="17" t="s">
        <v>78</v>
      </c>
      <c r="F29" s="17" t="s">
        <v>79</v>
      </c>
      <c r="G29" s="17" t="s">
        <v>80</v>
      </c>
      <c r="H29" s="17" t="s">
        <v>81</v>
      </c>
      <c r="I29" s="17" t="s">
        <v>82</v>
      </c>
      <c r="J29" s="17" t="s">
        <v>83</v>
      </c>
    </row>
    <row r="30" spans="1:10" ht="97.8" customHeight="1" x14ac:dyDescent="0.3">
      <c r="A30" s="18" t="s">
        <v>84</v>
      </c>
      <c r="B30" s="3" t="s">
        <v>85</v>
      </c>
      <c r="C30" s="3" t="s">
        <v>86</v>
      </c>
      <c r="D30" s="19" t="s">
        <v>87</v>
      </c>
      <c r="E30" s="3" t="s">
        <v>88</v>
      </c>
      <c r="F30" s="3" t="s">
        <v>89</v>
      </c>
      <c r="G30" s="3" t="s">
        <v>90</v>
      </c>
      <c r="H30" s="3" t="s">
        <v>91</v>
      </c>
      <c r="I30" s="3" t="s">
        <v>92</v>
      </c>
      <c r="J30" s="3" t="s">
        <v>93</v>
      </c>
    </row>
    <row r="31" spans="1:10" ht="97.8" customHeight="1" x14ac:dyDescent="0.3">
      <c r="A31" s="18" t="s">
        <v>94</v>
      </c>
      <c r="B31" s="3" t="s">
        <v>95</v>
      </c>
      <c r="C31" s="3" t="s">
        <v>41</v>
      </c>
      <c r="D31" s="20" t="s">
        <v>96</v>
      </c>
      <c r="E31" s="3" t="s">
        <v>97</v>
      </c>
      <c r="F31" s="3" t="s">
        <v>98</v>
      </c>
      <c r="G31" s="3" t="s">
        <v>99</v>
      </c>
      <c r="H31" s="3" t="s">
        <v>100</v>
      </c>
      <c r="I31" s="3" t="s">
        <v>101</v>
      </c>
      <c r="J31" s="3" t="s">
        <v>102</v>
      </c>
    </row>
    <row r="32" spans="1:10" ht="97.8" customHeight="1" x14ac:dyDescent="0.3">
      <c r="A32" s="18" t="s">
        <v>103</v>
      </c>
      <c r="B32" s="3" t="s">
        <v>104</v>
      </c>
      <c r="C32" s="3" t="s">
        <v>105</v>
      </c>
      <c r="D32" s="20" t="s">
        <v>106</v>
      </c>
      <c r="E32" s="3" t="s">
        <v>107</v>
      </c>
      <c r="F32" s="3" t="s">
        <v>108</v>
      </c>
      <c r="G32" s="3" t="s">
        <v>109</v>
      </c>
      <c r="H32" s="3" t="s">
        <v>110</v>
      </c>
      <c r="I32" s="3" t="s">
        <v>111</v>
      </c>
      <c r="J32" s="3" t="s">
        <v>112</v>
      </c>
    </row>
    <row r="33" spans="1:10" ht="97.8" customHeight="1" x14ac:dyDescent="0.3">
      <c r="A33" s="18" t="s">
        <v>113</v>
      </c>
      <c r="B33" s="3" t="s">
        <v>114</v>
      </c>
      <c r="C33" s="3" t="s">
        <v>59</v>
      </c>
      <c r="D33" s="21" t="s">
        <v>115</v>
      </c>
      <c r="E33" s="3" t="s">
        <v>116</v>
      </c>
      <c r="F33" s="3" t="s">
        <v>117</v>
      </c>
      <c r="G33" s="3" t="s">
        <v>118</v>
      </c>
      <c r="H33" s="3" t="s">
        <v>119</v>
      </c>
      <c r="I33" s="3" t="s">
        <v>120</v>
      </c>
      <c r="J33" s="3" t="s">
        <v>121</v>
      </c>
    </row>
    <row r="34" spans="1:10" ht="97.8" customHeight="1" x14ac:dyDescent="0.3">
      <c r="A34" s="18" t="s">
        <v>122</v>
      </c>
      <c r="B34" s="3" t="s">
        <v>123</v>
      </c>
      <c r="C34" s="3" t="s">
        <v>64</v>
      </c>
      <c r="D34" s="21" t="s">
        <v>115</v>
      </c>
      <c r="E34" s="3" t="s">
        <v>124</v>
      </c>
      <c r="F34" s="3" t="s">
        <v>125</v>
      </c>
      <c r="G34" s="3" t="s">
        <v>126</v>
      </c>
      <c r="H34" s="3" t="s">
        <v>119</v>
      </c>
      <c r="I34" s="3" t="s">
        <v>127</v>
      </c>
      <c r="J34" s="3" t="s">
        <v>121</v>
      </c>
    </row>
    <row r="35" spans="1:10" ht="97.8" customHeight="1" x14ac:dyDescent="0.3">
      <c r="A35" s="18" t="s">
        <v>128</v>
      </c>
      <c r="B35" s="3" t="s">
        <v>129</v>
      </c>
      <c r="C35" s="3" t="s">
        <v>130</v>
      </c>
      <c r="D35" s="20" t="s">
        <v>96</v>
      </c>
      <c r="E35" s="3" t="s">
        <v>131</v>
      </c>
      <c r="F35" s="3" t="s">
        <v>132</v>
      </c>
      <c r="G35" s="3" t="s">
        <v>133</v>
      </c>
      <c r="H35" s="3" t="s">
        <v>119</v>
      </c>
      <c r="I35" s="3" t="s">
        <v>134</v>
      </c>
      <c r="J35" s="3" t="s">
        <v>102</v>
      </c>
    </row>
    <row r="36" spans="1:10" ht="97.8" customHeight="1" x14ac:dyDescent="0.3">
      <c r="A36" s="18" t="s">
        <v>135</v>
      </c>
      <c r="B36" s="3" t="s">
        <v>136</v>
      </c>
      <c r="C36" s="3" t="s">
        <v>130</v>
      </c>
      <c r="D36" s="21" t="s">
        <v>115</v>
      </c>
      <c r="E36" s="3" t="s">
        <v>137</v>
      </c>
      <c r="F36" s="3" t="s">
        <v>138</v>
      </c>
      <c r="G36" s="3" t="s">
        <v>139</v>
      </c>
      <c r="H36" s="3" t="s">
        <v>119</v>
      </c>
      <c r="I36" s="3" t="s">
        <v>140</v>
      </c>
      <c r="J36" s="3" t="s">
        <v>121</v>
      </c>
    </row>
  </sheetData>
  <mergeCells count="28">
    <mergeCell ref="A4:C4"/>
    <mergeCell ref="F8:J8"/>
    <mergeCell ref="A10:C10"/>
    <mergeCell ref="A1:J1"/>
    <mergeCell ref="A9:C9"/>
    <mergeCell ref="F9:J9"/>
    <mergeCell ref="A3:J3"/>
    <mergeCell ref="A6:C6"/>
    <mergeCell ref="A2:J2"/>
    <mergeCell ref="A7:C7"/>
    <mergeCell ref="F4:J4"/>
    <mergeCell ref="A5:C5"/>
    <mergeCell ref="A8:C8"/>
    <mergeCell ref="A23:F23"/>
    <mergeCell ref="F5:J5"/>
    <mergeCell ref="A25:F25"/>
    <mergeCell ref="A24:F24"/>
    <mergeCell ref="A11:C11"/>
    <mergeCell ref="A12:J12"/>
    <mergeCell ref="A14:J14"/>
    <mergeCell ref="F11:J11"/>
    <mergeCell ref="F10:J10"/>
    <mergeCell ref="F6:J6"/>
    <mergeCell ref="A28:J28"/>
    <mergeCell ref="A13:J13"/>
    <mergeCell ref="F7:J7"/>
    <mergeCell ref="A27:J27"/>
    <mergeCell ref="A26:J26"/>
  </mergeCells>
  <dataValidations count="3">
    <dataValidation type="list" sqref="D7">
      <formula1>"Standard (&lt;=1.5m),Stage 2 (&gt;1.5-3.0m),Stage 3 (&gt;3.0-4.5m)"</formula1>
    </dataValidation>
    <dataValidation type="list" sqref="D6">
      <formula1>"All soil,Ordinary rock,Hard rock (blasting),Hard rock (no blasting)"</formula1>
    </dataValidation>
    <dataValidation type="list" sqref="D8 D9">
      <formula1>"YES,NO"</formula1>
    </dataValidation>
  </dataValidations>
  <pageMargins left="0.75" right="0.75" top="1" bottom="1" header="0.5" footer="0.5"/>
  <pageSetup orientation="landscape"/>
  <cellWatches>
    <cellWatch r="G23"/>
    <cellWatch r="H23"/>
  </cellWatch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_Lists!$A$1:$A$15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4.4" x14ac:dyDescent="0.3"/>
  <sheetData>
    <row r="1" spans="1:1" x14ac:dyDescent="0.3">
      <c r="A1" t="s">
        <v>141</v>
      </c>
    </row>
    <row r="2" spans="1:1" x14ac:dyDescent="0.3">
      <c r="A2" t="s">
        <v>142</v>
      </c>
    </row>
    <row r="3" spans="1:1" x14ac:dyDescent="0.3">
      <c r="A3" t="s">
        <v>143</v>
      </c>
    </row>
    <row r="4" spans="1:1" x14ac:dyDescent="0.3">
      <c r="A4" t="s">
        <v>144</v>
      </c>
    </row>
    <row r="5" spans="1:1" x14ac:dyDescent="0.3">
      <c r="A5" t="s">
        <v>145</v>
      </c>
    </row>
    <row r="6" spans="1:1" x14ac:dyDescent="0.3">
      <c r="A6" t="s">
        <v>146</v>
      </c>
    </row>
    <row r="7" spans="1:1" x14ac:dyDescent="0.3">
      <c r="A7" t="s">
        <v>147</v>
      </c>
    </row>
    <row r="8" spans="1:1" x14ac:dyDescent="0.3">
      <c r="A8" t="s">
        <v>148</v>
      </c>
    </row>
    <row r="9" spans="1:1" x14ac:dyDescent="0.3">
      <c r="A9" t="s">
        <v>149</v>
      </c>
    </row>
    <row r="10" spans="1:1" x14ac:dyDescent="0.3">
      <c r="A10" t="s">
        <v>4</v>
      </c>
    </row>
    <row r="11" spans="1:1" x14ac:dyDescent="0.3">
      <c r="A11" t="s">
        <v>150</v>
      </c>
    </row>
    <row r="12" spans="1:1" x14ac:dyDescent="0.3">
      <c r="A12" t="s">
        <v>151</v>
      </c>
    </row>
    <row r="13" spans="1:1" x14ac:dyDescent="0.3">
      <c r="A13" t="s">
        <v>152</v>
      </c>
    </row>
    <row r="14" spans="1:1" x14ac:dyDescent="0.3">
      <c r="A14" t="s">
        <v>153</v>
      </c>
    </row>
    <row r="15" spans="1:1" x14ac:dyDescent="0.3">
      <c r="A15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Addon_Waterfall_Plan</vt:lpstr>
      <vt:lpstr>_Lists</vt:lpstr>
      <vt:lpstr>Addon_Waterfall_Plan!Print_Titles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</cp:lastModifiedBy>
  <dcterms:created xsi:type="dcterms:W3CDTF">2026-09-10T12:40:17Z</dcterms:created>
  <dcterms:modified xsi:type="dcterms:W3CDTF">2026-09-10T13:18:29Z</dcterms:modified>
</cp:coreProperties>
</file>